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1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d.docs.live.net/75aa362f49c77008/Desktop/Kat Work/KeyIS/05 - Technical/14 - Equipment Schedules/"/>
    </mc:Choice>
  </mc:AlternateContent>
  <xr:revisionPtr revIDLastSave="969" documentId="8_{616A0471-22AC-487D-9C49-CEE3226A1F64}" xr6:coauthVersionLast="47" xr6:coauthVersionMax="47" xr10:uidLastSave="{A50F3BBD-8F03-47AC-AC9B-5DC4BD7EA5FE}"/>
  <bookViews>
    <workbookView xWindow="12045" yWindow="4065" windowWidth="24360" windowHeight="15345" tabRatio="697" firstSheet="15" activeTab="17" xr2:uid="{00000000-000D-0000-FFFF-FFFF00000000}"/>
  </bookViews>
  <sheets>
    <sheet name="PROJECT SUMMARY" sheetId="66" r:id="rId1"/>
    <sheet name="AHU" sheetId="35" r:id="rId2"/>
    <sheet name="Fans" sheetId="38" r:id="rId3"/>
    <sheet name="HRU" sheetId="39" r:id="rId4"/>
    <sheet name="Attenuator" sheetId="43" r:id="rId5"/>
    <sheet name="Louvres" sheetId="44" r:id="rId6"/>
    <sheet name="Fire Damper" sheetId="45" r:id="rId7"/>
    <sheet name="Motorised Damper" sheetId="47" r:id="rId8"/>
    <sheet name="Roof Terminal" sheetId="48" r:id="rId9"/>
    <sheet name="Grilles" sheetId="46" r:id="rId10"/>
    <sheet name="Air Filter" sheetId="60" r:id="rId11"/>
    <sheet name="Chiller" sheetId="40" r:id="rId12"/>
    <sheet name="Process Chiller" sheetId="55" r:id="rId13"/>
    <sheet name="DX" sheetId="41" r:id="rId14"/>
    <sheet name="VRF" sheetId="42" r:id="rId15"/>
    <sheet name="Booster Set" sheetId="49" r:id="rId16"/>
    <sheet name="Tank" sheetId="54" r:id="rId17"/>
    <sheet name="CAT 5" sheetId="50" r:id="rId18"/>
    <sheet name="Shower" sheetId="51" r:id="rId19"/>
    <sheet name="Water Heater" sheetId="53" r:id="rId20"/>
    <sheet name="Expansion Vessel" sheetId="59" r:id="rId21"/>
    <sheet name="Electric Water Heater" sheetId="61" r:id="rId22"/>
    <sheet name="Meters" sheetId="62" r:id="rId23"/>
    <sheet name="Pumps" sheetId="52" r:id="rId24"/>
    <sheet name="Gas Booster" sheetId="56" r:id="rId25"/>
    <sheet name="Press Unit" sheetId="58" r:id="rId26"/>
    <sheet name="Electric Panel Heater" sheetId="63" r:id="rId27"/>
    <sheet name="Heater Battery" sheetId="64" r:id="rId28"/>
    <sheet name="Compressed Air" sheetId="65" r:id="rId29"/>
    <sheet name="Electrical Requirements" sheetId="57" r:id="rId30"/>
  </sheets>
  <externalReferences>
    <externalReference r:id="rId31"/>
  </externalReferences>
  <definedNames>
    <definedName name="_xlnm._FilterDatabase" localSheetId="29" hidden="1">'Electrical Requirements'!$A$32:$M$41</definedName>
    <definedName name="_xlnm.Print_Area" localSheetId="1">AHU!$A$1:$G$74</definedName>
    <definedName name="_xlnm.Print_Area" localSheetId="11">Chiller!$A$1:$F$74</definedName>
    <definedName name="_xlnm.Print_Area" localSheetId="28">'Compressed Air'!$A$1:$F$60</definedName>
    <definedName name="_xlnm.Print_Area" localSheetId="13">DX!$A$1:$Q$17</definedName>
    <definedName name="_xlnm.Print_Area" localSheetId="29">'Electrical Requirements'!$A$1:$R$42</definedName>
    <definedName name="_xlnm.Print_Area" localSheetId="12">'Process Chiller'!$A$1:$F$67</definedName>
    <definedName name="_xlnm.Print_Area" localSheetId="14">VRF!$A$1:$Q$50</definedName>
    <definedName name="_xlnm.Print_Titles" localSheetId="29">'Electrical Requirements'!$8:$9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38" l="1"/>
  <c r="E5" i="38"/>
  <c r="E6" i="38"/>
  <c r="E7" i="38"/>
  <c r="E2" i="38"/>
  <c r="F5" i="39"/>
  <c r="F6" i="39"/>
  <c r="D4" i="57"/>
  <c r="D6" i="57"/>
  <c r="D2" i="57"/>
  <c r="D1" i="57"/>
  <c r="E5" i="65"/>
  <c r="E7" i="65"/>
  <c r="E3" i="65"/>
  <c r="E2" i="65"/>
  <c r="G5" i="64"/>
  <c r="G7" i="64"/>
  <c r="G3" i="64"/>
  <c r="G2" i="64"/>
  <c r="G5" i="63"/>
  <c r="G7" i="63"/>
  <c r="G3" i="63"/>
  <c r="G2" i="63"/>
  <c r="E5" i="58"/>
  <c r="E7" i="58"/>
  <c r="E3" i="58"/>
  <c r="E2" i="58"/>
  <c r="F5" i="56"/>
  <c r="F7" i="56"/>
  <c r="F3" i="56"/>
  <c r="F2" i="56"/>
  <c r="F7" i="52"/>
  <c r="F5" i="52"/>
  <c r="F3" i="52"/>
  <c r="F2" i="52"/>
  <c r="D7" i="62"/>
  <c r="D5" i="62"/>
  <c r="D3" i="62"/>
  <c r="D2" i="62"/>
  <c r="F5" i="61"/>
  <c r="F7" i="61"/>
  <c r="F3" i="61"/>
  <c r="F2" i="61"/>
  <c r="E5" i="59"/>
  <c r="E7" i="59"/>
  <c r="E3" i="59"/>
  <c r="E2" i="59"/>
  <c r="F5" i="53"/>
  <c r="F7" i="53"/>
  <c r="F3" i="53"/>
  <c r="F2" i="53"/>
  <c r="F7" i="51"/>
  <c r="F5" i="51"/>
  <c r="F3" i="51"/>
  <c r="F2" i="51"/>
  <c r="E5" i="50"/>
  <c r="E7" i="50"/>
  <c r="E3" i="50"/>
  <c r="E2" i="50"/>
  <c r="E5" i="54"/>
  <c r="E7" i="54"/>
  <c r="E3" i="54"/>
  <c r="E2" i="54"/>
  <c r="E5" i="49"/>
  <c r="E7" i="49"/>
  <c r="E3" i="49"/>
  <c r="E2" i="49"/>
  <c r="E6" i="42"/>
  <c r="E4" i="42"/>
  <c r="E2" i="42"/>
  <c r="E1" i="42"/>
  <c r="E6" i="41"/>
  <c r="E4" i="41"/>
  <c r="E2" i="41"/>
  <c r="E1" i="41"/>
  <c r="E5" i="40"/>
  <c r="E5" i="55"/>
  <c r="E7" i="55"/>
  <c r="E3" i="55"/>
  <c r="E2" i="55"/>
  <c r="E7" i="40"/>
  <c r="E3" i="40"/>
  <c r="E2" i="40"/>
  <c r="E7" i="60"/>
  <c r="E3" i="60"/>
  <c r="E2" i="60"/>
  <c r="F7" i="46"/>
  <c r="F3" i="46"/>
  <c r="F2" i="46"/>
  <c r="E7" i="48"/>
  <c r="E3" i="48"/>
  <c r="E2" i="48"/>
  <c r="E7" i="47"/>
  <c r="E3" i="47"/>
  <c r="E2" i="47"/>
  <c r="E7" i="45"/>
  <c r="E6" i="45"/>
  <c r="E3" i="45"/>
  <c r="E2" i="45"/>
  <c r="E7" i="44"/>
  <c r="E3" i="44"/>
  <c r="E2" i="44"/>
  <c r="E7" i="43"/>
  <c r="E3" i="43"/>
  <c r="E2" i="43"/>
  <c r="F7" i="39"/>
  <c r="F3" i="39"/>
  <c r="F2" i="39"/>
  <c r="E7" i="35"/>
  <c r="E3" i="35"/>
  <c r="E2" i="35"/>
  <c r="E5" i="60"/>
  <c r="F5" i="46"/>
  <c r="E5" i="48"/>
  <c r="E5" i="47"/>
  <c r="E5" i="45"/>
  <c r="E5" i="44"/>
  <c r="E5" i="43"/>
  <c r="E5" i="35"/>
  <c r="C46" i="66"/>
  <c r="D6" i="62" s="1"/>
  <c r="C56" i="66"/>
  <c r="D5" i="57" s="1"/>
  <c r="C54" i="66"/>
  <c r="E6" i="65" s="1"/>
  <c r="C52" i="66"/>
  <c r="G6" i="64" s="1"/>
  <c r="C51" i="66"/>
  <c r="G6" i="63" s="1"/>
  <c r="C50" i="66"/>
  <c r="E6" i="58" s="1"/>
  <c r="C49" i="66"/>
  <c r="F6" i="56" s="1"/>
  <c r="C48" i="66"/>
  <c r="F6" i="52" s="1"/>
  <c r="C45" i="66"/>
  <c r="F6" i="61" s="1"/>
  <c r="C44" i="66"/>
  <c r="E6" i="59" s="1"/>
  <c r="C43" i="66"/>
  <c r="F6" i="53" s="1"/>
  <c r="C42" i="66"/>
  <c r="F6" i="51" s="1"/>
  <c r="C41" i="66"/>
  <c r="E6" i="50" s="1"/>
  <c r="C40" i="66"/>
  <c r="E6" i="54" s="1"/>
  <c r="C39" i="66"/>
  <c r="E6" i="49" s="1"/>
  <c r="C37" i="66"/>
  <c r="E5" i="42" s="1"/>
  <c r="C36" i="66"/>
  <c r="E5" i="41" s="1"/>
  <c r="C35" i="66"/>
  <c r="E6" i="55" s="1"/>
  <c r="C34" i="66"/>
  <c r="E6" i="40" s="1"/>
  <c r="C32" i="66"/>
  <c r="E6" i="60" s="1"/>
  <c r="C31" i="66"/>
  <c r="F6" i="46" s="1"/>
  <c r="C30" i="66"/>
  <c r="E6" i="48" s="1"/>
  <c r="C29" i="66"/>
  <c r="E6" i="47" s="1"/>
  <c r="C28" i="66"/>
  <c r="C27" i="66"/>
  <c r="E6" i="44" s="1"/>
  <c r="C26" i="66"/>
  <c r="E6" i="43" s="1"/>
  <c r="C25" i="66"/>
  <c r="C24" i="66"/>
  <c r="C23" i="66"/>
  <c r="E6" i="35" s="1"/>
  <c r="F14" i="64" l="1"/>
  <c r="I14" i="64"/>
  <c r="I15" i="64"/>
  <c r="F16" i="64"/>
  <c r="I16" i="64"/>
  <c r="I17" i="64"/>
  <c r="F18" i="64"/>
  <c r="I18" i="64"/>
  <c r="F19" i="64"/>
  <c r="I19" i="64"/>
  <c r="F20" i="64"/>
  <c r="I20" i="64"/>
  <c r="F21" i="64"/>
  <c r="I21" i="64"/>
  <c r="F14" i="63"/>
  <c r="F17" i="63"/>
  <c r="T485" i="57"/>
  <c r="T4246" i="57"/>
  <c r="G11" i="42"/>
  <c r="G12" i="42"/>
  <c r="G13" i="42"/>
  <c r="G14" i="42"/>
  <c r="G15" i="42"/>
  <c r="G16" i="42"/>
  <c r="G17" i="42"/>
  <c r="G18" i="42"/>
  <c r="B16" i="41"/>
</calcChain>
</file>

<file path=xl/sharedStrings.xml><?xml version="1.0" encoding="utf-8"?>
<sst xmlns="http://schemas.openxmlformats.org/spreadsheetml/2006/main" count="2679" uniqueCount="1154">
  <si>
    <r>
      <t xml:space="preserve">MECHANICAL EQUIPMENT SCHEDULES 
</t>
    </r>
    <r>
      <rPr>
        <sz val="14"/>
        <rFont val="Calibri"/>
        <family val="2"/>
        <scheme val="minor"/>
      </rPr>
      <t>SCHEDULE INDEX &amp; STATUS / ISSUE CHECKLIST</t>
    </r>
  </si>
  <si>
    <t>IP 02-05-14 Version 1</t>
  </si>
  <si>
    <t>Project No:</t>
  </si>
  <si>
    <t>Lead Engineer Initials:</t>
  </si>
  <si>
    <t>Project:</t>
  </si>
  <si>
    <t>Schedule Checker Initials:</t>
  </si>
  <si>
    <t>Date:</t>
  </si>
  <si>
    <t>??</t>
  </si>
  <si>
    <t>Approver Initials:</t>
  </si>
  <si>
    <r>
      <t xml:space="preserve">NOTES - </t>
    </r>
    <r>
      <rPr>
        <u/>
        <sz val="11"/>
        <color rgb="FFFF0000"/>
        <rFont val="Calibri"/>
        <family val="2"/>
        <scheme val="minor"/>
      </rPr>
      <t>USING THIS WORKBOOK</t>
    </r>
  </si>
  <si>
    <r>
      <rPr>
        <i/>
        <sz val="11"/>
        <color rgb="FFFF0000"/>
        <rFont val="Calibri"/>
        <family val="2"/>
        <scheme val="minor"/>
      </rPr>
      <t>At Project Inception make a copy of this MASTER to your project file.</t>
    </r>
    <r>
      <rPr>
        <i/>
        <sz val="11"/>
        <rFont val="Calibri"/>
        <family val="2"/>
        <scheme val="minor"/>
      </rPr>
      <t xml:space="preserve"> </t>
    </r>
    <r>
      <rPr>
        <b/>
        <i/>
        <sz val="11"/>
        <rFont val="Calibri"/>
        <family val="2"/>
        <scheme val="minor"/>
      </rPr>
      <t>Then</t>
    </r>
    <r>
      <rPr>
        <i/>
        <sz val="11"/>
        <rFont val="Calibri"/>
        <family val="2"/>
        <scheme val="minor"/>
      </rPr>
      <t xml:space="preserve"> fill in Project No &amp; Project Details above - this field populates all schedules. </t>
    </r>
  </si>
  <si>
    <t>Fill in Engineer / Checker / Approver Details - this field populates all schedules</t>
  </si>
  <si>
    <t>* Select YES from list below if Equipment required on the project - The Item is then shown highlighted on the index, for printing to PDF issue</t>
  </si>
  <si>
    <r>
      <rPr>
        <i/>
        <u/>
        <sz val="11"/>
        <rFont val="Calibri"/>
        <family val="2"/>
        <scheme val="minor"/>
      </rPr>
      <t>Next</t>
    </r>
    <r>
      <rPr>
        <i/>
        <sz val="11"/>
        <rFont val="Calibri"/>
        <family val="2"/>
        <scheme val="minor"/>
      </rPr>
      <t xml:space="preserve"> insert a unique Schedule Ref for those you are using - this is carried through to each schedule (i.e. KEY-SCH-M-50-0001)</t>
    </r>
  </si>
  <si>
    <t>Populate the schedule tabs in the workbook as the design progresses - less work to do at the end!!</t>
  </si>
  <si>
    <t>The template schedules are not exhaustive - Your project may have equipment / plant not covered - add in tabs as required.</t>
  </si>
  <si>
    <t>Insert new rows as necessary on each schedule for the number of items required. Don't copy tabs.</t>
  </si>
  <si>
    <t>Date Complete, Checked &amp; Approved cells below will auto complete, as these fields are filled in on individual schedules.</t>
  </si>
  <si>
    <r>
      <t xml:space="preserve">Once the workbook is Stage complete it can be reviewed as a whole for technical checking / issue approval. </t>
    </r>
    <r>
      <rPr>
        <i/>
        <sz val="11"/>
        <color rgb="FFFF0000"/>
        <rFont val="Calibri"/>
        <family val="2"/>
        <scheme val="minor"/>
      </rPr>
      <t>NEVER issue the Excel File - ONLY PDF.</t>
    </r>
  </si>
  <si>
    <t>SCHEDULE REF / DOC No:</t>
  </si>
  <si>
    <t>REV</t>
  </si>
  <si>
    <t>MECHANICAL EQUIPMENT</t>
  </si>
  <si>
    <t>*EQUIP REQUIRED ?</t>
  </si>
  <si>
    <t>ISSUE STATUS</t>
  </si>
  <si>
    <t>COMPLETE</t>
  </si>
  <si>
    <t>CHECKED</t>
  </si>
  <si>
    <t>APPROVED</t>
  </si>
  <si>
    <t>COMMENT</t>
  </si>
  <si>
    <t>Populate Here</t>
  </si>
  <si>
    <t>Auto</t>
  </si>
  <si>
    <t>Add New Schedules as Required</t>
  </si>
  <si>
    <t>Yes / No</t>
  </si>
  <si>
    <t>Select</t>
  </si>
  <si>
    <t>VENTILATION</t>
  </si>
  <si>
    <t>KEY-SH-M-50-XXX</t>
  </si>
  <si>
    <t>AHU</t>
  </si>
  <si>
    <t>Fans</t>
  </si>
  <si>
    <t>HRU</t>
  </si>
  <si>
    <t>Attenuator</t>
  </si>
  <si>
    <t>Louvres</t>
  </si>
  <si>
    <t>Fire Damper</t>
  </si>
  <si>
    <t>Motorised Damper</t>
  </si>
  <si>
    <t>Roof Terminal</t>
  </si>
  <si>
    <t>Grilles</t>
  </si>
  <si>
    <t>Air Filter</t>
  </si>
  <si>
    <t xml:space="preserve">CHILLED/REFRIDGERANT </t>
  </si>
  <si>
    <t>Chiller</t>
  </si>
  <si>
    <t>Process Chiller</t>
  </si>
  <si>
    <t>DX</t>
  </si>
  <si>
    <t>VRF</t>
  </si>
  <si>
    <t>WATER</t>
  </si>
  <si>
    <t>Booster Set</t>
  </si>
  <si>
    <t>Tank</t>
  </si>
  <si>
    <t>CAT 5</t>
  </si>
  <si>
    <t>Shower</t>
  </si>
  <si>
    <t>Water Heater</t>
  </si>
  <si>
    <t>Expansion Vessel</t>
  </si>
  <si>
    <t>Electric Water Heater</t>
  </si>
  <si>
    <t>Meters</t>
  </si>
  <si>
    <t>HEATING</t>
  </si>
  <si>
    <t>Pumps</t>
  </si>
  <si>
    <t>Gas Booster</t>
  </si>
  <si>
    <t>Press Unit</t>
  </si>
  <si>
    <t>Electric Panel Heater</t>
  </si>
  <si>
    <t>Heater Battery</t>
  </si>
  <si>
    <t>COMPRESSED AIR</t>
  </si>
  <si>
    <t>Compressed Air</t>
  </si>
  <si>
    <t>ELECTRICAL</t>
  </si>
  <si>
    <t>Electrical Requirements</t>
  </si>
  <si>
    <t>NO</t>
  </si>
  <si>
    <t>Key Integrated Services Ltd
Unit 2, Bollin Court
Mill Lane
Lymm 
Cheshire
WA13 0SL
TEL: 01925 759948  FAX: 01925 758400</t>
  </si>
  <si>
    <t>Project No.</t>
  </si>
  <si>
    <t>Project</t>
  </si>
  <si>
    <t>Schedule</t>
  </si>
  <si>
    <t>Air Handling Unit 01</t>
  </si>
  <si>
    <t>Schedule No.</t>
  </si>
  <si>
    <t>Revision</t>
  </si>
  <si>
    <t>Date</t>
  </si>
  <si>
    <t>REFERENCE</t>
  </si>
  <si>
    <t>AHU1</t>
  </si>
  <si>
    <t>Comments</t>
  </si>
  <si>
    <t>APPLICATION</t>
  </si>
  <si>
    <t>Single Deck Supply Only</t>
  </si>
  <si>
    <t>with recirculation.</t>
  </si>
  <si>
    <t>LOCATION</t>
  </si>
  <si>
    <t>Internal - Plant Deck</t>
  </si>
  <si>
    <t>System Served</t>
  </si>
  <si>
    <t>Main Production Area</t>
  </si>
  <si>
    <t>MANUFACTURER</t>
  </si>
  <si>
    <t>MODEL</t>
  </si>
  <si>
    <t>AHU Components</t>
  </si>
  <si>
    <t xml:space="preserve">Supply </t>
  </si>
  <si>
    <t>Extract</t>
  </si>
  <si>
    <t>Inlet Section</t>
  </si>
  <si>
    <t>Mixing Box</t>
  </si>
  <si>
    <t>Fresh Air</t>
  </si>
  <si>
    <t>15% - Motorised Inlet Damper</t>
  </si>
  <si>
    <t>include actuators</t>
  </si>
  <si>
    <r>
      <t xml:space="preserve">Temp </t>
    </r>
    <r>
      <rPr>
        <vertAlign val="superscript"/>
        <sz val="10"/>
        <rFont val="Arial"/>
        <family val="2"/>
      </rPr>
      <t>o</t>
    </r>
    <r>
      <rPr>
        <sz val="10"/>
        <rFont val="Arial"/>
        <family val="2"/>
      </rPr>
      <t>C db/wb</t>
    </r>
  </si>
  <si>
    <t>-5/5 winter, 32/23 summer</t>
  </si>
  <si>
    <t>Recirculation Air</t>
  </si>
  <si>
    <t>85% - Motorised Inlet Damper</t>
  </si>
  <si>
    <r>
      <t xml:space="preserve">Temp </t>
    </r>
    <r>
      <rPr>
        <vertAlign val="superscript"/>
        <sz val="10"/>
        <rFont val="Arial"/>
        <family val="2"/>
      </rPr>
      <t>o</t>
    </r>
    <r>
      <rPr>
        <sz val="10"/>
        <rFont val="Arial"/>
        <family val="2"/>
      </rPr>
      <t>C db/RH</t>
    </r>
  </si>
  <si>
    <r>
      <t>12-14</t>
    </r>
    <r>
      <rPr>
        <vertAlign val="superscript"/>
        <sz val="10"/>
        <color rgb="FFFF0000"/>
        <rFont val="Arial"/>
        <family val="2"/>
      </rPr>
      <t>o</t>
    </r>
    <r>
      <rPr>
        <sz val="10"/>
        <color rgb="FFFF0000"/>
        <rFont val="Arial"/>
        <family val="2"/>
      </rPr>
      <t>C, 50-70% RH</t>
    </r>
  </si>
  <si>
    <t>Panel Filter</t>
  </si>
  <si>
    <t>Grade</t>
  </si>
  <si>
    <t>G4</t>
  </si>
  <si>
    <t>Magnehelic/ Pressure Switch</t>
  </si>
  <si>
    <t>Bag Filter</t>
  </si>
  <si>
    <t>F7</t>
  </si>
  <si>
    <t>Heat Recovery</t>
  </si>
  <si>
    <t>Type</t>
  </si>
  <si>
    <t>min efficiency</t>
  </si>
  <si>
    <t>Summer Air on (supply/Return) - °C/RH</t>
  </si>
  <si>
    <t>Summer Air off (supply/Return) - °C/RH</t>
  </si>
  <si>
    <t>Winter Air Off (supply/Return) - °C/RH</t>
  </si>
  <si>
    <t>advised by Manufacturer</t>
  </si>
  <si>
    <t>Reclaim (kW) Summer/Winter</t>
  </si>
  <si>
    <t>kW</t>
  </si>
  <si>
    <t>Duty</t>
  </si>
  <si>
    <t>Duties to be confirmed and validated by the manufacturer during selection</t>
  </si>
  <si>
    <t>Air temperature on/off</t>
  </si>
  <si>
    <t>ºC</t>
  </si>
  <si>
    <t>??°C /15°C</t>
  </si>
  <si>
    <t>on coil temp to be determined by manufacturer based on mixed conditions. Adjustable off coil dependant on room conditions.</t>
  </si>
  <si>
    <t>if LTHW coil, use same format at CHW section</t>
  </si>
  <si>
    <t xml:space="preserve"> Medium</t>
  </si>
  <si>
    <t>Electric</t>
  </si>
  <si>
    <t>Thyristor Control to be included</t>
  </si>
  <si>
    <t>Electrical supply</t>
  </si>
  <si>
    <t>V/A</t>
  </si>
  <si>
    <t>l/sec</t>
  </si>
  <si>
    <t>Rated current (Run/Start)</t>
  </si>
  <si>
    <t>A</t>
  </si>
  <si>
    <t>Fan Section</t>
  </si>
  <si>
    <t>Duty volume</t>
  </si>
  <si>
    <t>m³/s</t>
  </si>
  <si>
    <t>7.3</t>
  </si>
  <si>
    <t>Fixed Volume</t>
  </si>
  <si>
    <t>External static pressure</t>
  </si>
  <si>
    <t>Pa</t>
  </si>
  <si>
    <t>350</t>
  </si>
  <si>
    <t>V/ph/Hz</t>
  </si>
  <si>
    <t>To be confirmed and validated by the manufacturer during selection</t>
  </si>
  <si>
    <t>Motor rating</t>
  </si>
  <si>
    <t>Fan Types</t>
  </si>
  <si>
    <t>EC Fans</t>
  </si>
  <si>
    <t>Access Section</t>
  </si>
  <si>
    <t>Yes</t>
  </si>
  <si>
    <t>manufacturer to confirm during selection</t>
  </si>
  <si>
    <t>H11</t>
  </si>
  <si>
    <t>due to recirculation air</t>
  </si>
  <si>
    <t>Cooling Coil</t>
  </si>
  <si>
    <t>Chilled Water</t>
  </si>
  <si>
    <t xml:space="preserve">Duties to be confirmed and validated (including any fan gains) by the manufacturer during selection.  </t>
  </si>
  <si>
    <t>?? / 3°C</t>
  </si>
  <si>
    <t>Liquid Medium</t>
  </si>
  <si>
    <t>CHW</t>
  </si>
  <si>
    <t>25% glycol (food grade)</t>
  </si>
  <si>
    <t>Liquid flowrate</t>
  </si>
  <si>
    <t>Liquid Flow/Return Temp</t>
  </si>
  <si>
    <t>0/5</t>
  </si>
  <si>
    <t>Liquid pressure drop</t>
  </si>
  <si>
    <t>kPa</t>
  </si>
  <si>
    <r>
      <t xml:space="preserve">PLEASE NOTE THAT THE OFF COIL TEMPERATURE NOTED FOR COOLING ABOVE IS THE TEMPERATURE OF THE SUPPLY AIR </t>
    </r>
    <r>
      <rPr>
        <b/>
        <u/>
        <sz val="10"/>
        <rFont val="Arial"/>
        <family val="2"/>
      </rPr>
      <t>LEAVING</t>
    </r>
    <r>
      <rPr>
        <b/>
        <sz val="10"/>
        <rFont val="Arial"/>
        <family val="2"/>
      </rPr>
      <t xml:space="preserve"> THE AHU. ANY INTERNAL GAINS SHOULD BE INCLUDED IN THE CHILLED WATER COIL DUTY (AS CALCULATED BY THE MANUFACTURER) TO ENSURE THE SUPPLY AIR CONDITIONS ARE MET.</t>
    </r>
  </si>
  <si>
    <t>Specific Fan Power</t>
  </si>
  <si>
    <t>W/(l/s)</t>
  </si>
  <si>
    <t>Controls</t>
  </si>
  <si>
    <t>AHU to be complete with integral controls</t>
  </si>
  <si>
    <t>include fault/run/enable</t>
  </si>
  <si>
    <t>Modbus/BACnet</t>
  </si>
  <si>
    <t>Connection/interface to be included</t>
  </si>
  <si>
    <t>to allow remote adjustment of parameters</t>
  </si>
  <si>
    <t>Thyristor control and High Temp Cut Off to be included</t>
  </si>
  <si>
    <t>Defrost</t>
  </si>
  <si>
    <t>Defrost to be included as required</t>
  </si>
  <si>
    <t>General Unit Dimension Overall</t>
  </si>
  <si>
    <t>Length</t>
  </si>
  <si>
    <t>mm</t>
  </si>
  <si>
    <t>7500</t>
  </si>
  <si>
    <t>max noted. Actual dims to be confirmed by the manufacturer during selection</t>
  </si>
  <si>
    <t>Width</t>
  </si>
  <si>
    <t>2500</t>
  </si>
  <si>
    <t>Height</t>
  </si>
  <si>
    <t>Weight</t>
  </si>
  <si>
    <t>kg</t>
  </si>
  <si>
    <t>Additional</t>
  </si>
  <si>
    <t>Trap Size</t>
  </si>
  <si>
    <t>Manufacturer to include for correctly sized plastic trap</t>
  </si>
  <si>
    <t>Notes:</t>
  </si>
  <si>
    <t>1. Fans to be capable of 10% flow &amp; 21% Resistance Additional duty above stated valves.</t>
  </si>
  <si>
    <t>2. Provide inlet guard/mesh</t>
  </si>
  <si>
    <t>3. AHU manufactured to EUROVENT performance certification &amp; ISO14001</t>
  </si>
  <si>
    <t>Check notes are relevant and add/delete as required.</t>
  </si>
  <si>
    <t>4. Base frame to be included (minimum 150mm deep) to allow installation of cooling coil drainage trap</t>
  </si>
  <si>
    <t>5. AHU thermal performance, air leakage rate and structural strength to be in accordance with CEN standard EN 1886. Leakage rate shall be L2 or better.</t>
  </si>
  <si>
    <t>6. Configuration of the unit is indicative.  Order of components/configuration to be advised by manufacturer.</t>
  </si>
  <si>
    <t>7. Humidity of air uncontrolled.</t>
  </si>
  <si>
    <t>Supply &amp; Extract Fans</t>
  </si>
  <si>
    <t>Reference No.</t>
  </si>
  <si>
    <t>System Ref:</t>
  </si>
  <si>
    <t>Location</t>
  </si>
  <si>
    <t>No. Off.</t>
  </si>
  <si>
    <t>Total Flow</t>
  </si>
  <si>
    <t>External Resistance</t>
  </si>
  <si>
    <t>Model</t>
  </si>
  <si>
    <t>Duct Connection (mm)</t>
  </si>
  <si>
    <t>Dimensions (mm)</t>
  </si>
  <si>
    <t>SFP</t>
  </si>
  <si>
    <t>Electrical Details</t>
  </si>
  <si>
    <t>Notes/Control Method</t>
  </si>
  <si>
    <t>(m3/s)</t>
  </si>
  <si>
    <t>(Pa)</t>
  </si>
  <si>
    <t>L</t>
  </si>
  <si>
    <t>W</t>
  </si>
  <si>
    <t>H</t>
  </si>
  <si>
    <t>(w/l/s)</t>
  </si>
  <si>
    <t>Ph/Hz/V</t>
  </si>
  <si>
    <t>Input (W)</t>
  </si>
  <si>
    <t>FLC (A)</t>
  </si>
  <si>
    <t>EF01</t>
  </si>
  <si>
    <t>WC &amp; Changing Extract</t>
  </si>
  <si>
    <t>Ceiling Void</t>
  </si>
  <si>
    <t>Inline</t>
  </si>
  <si>
    <t>Local on/off controller</t>
  </si>
  <si>
    <t>EF02</t>
  </si>
  <si>
    <t>Washroom Extract</t>
  </si>
  <si>
    <t>Roof Void</t>
  </si>
  <si>
    <t>EF03</t>
  </si>
  <si>
    <t>Office 2</t>
  </si>
  <si>
    <t>EF04</t>
  </si>
  <si>
    <t>Canopy C Extract</t>
  </si>
  <si>
    <t>Kitchen Extract Inline</t>
  </si>
  <si>
    <t>omitted</t>
  </si>
  <si>
    <t>EF05</t>
  </si>
  <si>
    <t>Local on/off controller interlocked with motorised dampers on supply grilles</t>
  </si>
  <si>
    <t>EF06</t>
  </si>
  <si>
    <t>EF07</t>
  </si>
  <si>
    <t>EF08</t>
  </si>
  <si>
    <t>Canopy B Extract</t>
  </si>
  <si>
    <t>EF09</t>
  </si>
  <si>
    <t>Canopy A Extract</t>
  </si>
  <si>
    <t>EF10</t>
  </si>
  <si>
    <t>Battery Extract</t>
  </si>
  <si>
    <t>Through Wall ATEX Fan</t>
  </si>
  <si>
    <t>Operation linked to battery charge equipment &amp; hydrogen sensor c/w adjustable run on timer &amp; speed controller</t>
  </si>
  <si>
    <t>EF11</t>
  </si>
  <si>
    <t>FF Server Room</t>
  </si>
  <si>
    <t>SF01</t>
  </si>
  <si>
    <t>Filling Supply</t>
  </si>
  <si>
    <t>SF02</t>
  </si>
  <si>
    <t>Packing Supply</t>
  </si>
  <si>
    <t>1. Fans to be capable of additional margin 10% Flow &amp; 20% Resistance.</t>
  </si>
  <si>
    <t>Heat Recovery Unit Schedule</t>
  </si>
  <si>
    <t>Flow</t>
  </si>
  <si>
    <t>Filtration</t>
  </si>
  <si>
    <t>NR Level</t>
  </si>
  <si>
    <t>Heater Battery
(LPHW/Elec)</t>
  </si>
  <si>
    <t>Notes</t>
  </si>
  <si>
    <t>Mezz Floor</t>
  </si>
  <si>
    <t>HRU-01</t>
  </si>
  <si>
    <t>Mezz Level</t>
  </si>
  <si>
    <t>Local controllers required.</t>
  </si>
  <si>
    <t>1. Model of fans to be confirmed by the manufacturer at the time of quotation.</t>
  </si>
  <si>
    <t>2. Select on low to medium speed to meet NR noise levels</t>
  </si>
  <si>
    <t>3. Flowrates and pressure apply to both supply and extract.</t>
  </si>
  <si>
    <t>Attenuator Schedule</t>
  </si>
  <si>
    <t>Noise Criteria</t>
  </si>
  <si>
    <t>Model/Type</t>
  </si>
  <si>
    <t>Duct Size (mm)</t>
  </si>
  <si>
    <t>ATT-01</t>
  </si>
  <si>
    <t>EF01 - Exhaust</t>
  </si>
  <si>
    <t>&lt;50</t>
  </si>
  <si>
    <r>
      <t>400</t>
    </r>
    <r>
      <rPr>
        <sz val="9"/>
        <rFont val="Symbol"/>
        <family val="1"/>
        <charset val="2"/>
      </rPr>
      <t>Æ</t>
    </r>
  </si>
  <si>
    <t>ATT-02</t>
  </si>
  <si>
    <t>EF01 - Extract</t>
  </si>
  <si>
    <t>ATT-03</t>
  </si>
  <si>
    <t>SF01 - FAI</t>
  </si>
  <si>
    <r>
      <t>350</t>
    </r>
    <r>
      <rPr>
        <sz val="9"/>
        <rFont val="Symbol"/>
        <family val="1"/>
        <charset val="2"/>
      </rPr>
      <t>Æ</t>
    </r>
  </si>
  <si>
    <t>ATT-04</t>
  </si>
  <si>
    <t>SF01 - Supply</t>
  </si>
  <si>
    <t>ATT-05</t>
  </si>
  <si>
    <t>EF02 - Exhaust</t>
  </si>
  <si>
    <r>
      <t>450</t>
    </r>
    <r>
      <rPr>
        <sz val="9"/>
        <rFont val="Symbol"/>
        <family val="1"/>
        <charset val="2"/>
      </rPr>
      <t>Æ</t>
    </r>
  </si>
  <si>
    <t>ATT-06</t>
  </si>
  <si>
    <t>EF02 - Extract</t>
  </si>
  <si>
    <t>ATT-07</t>
  </si>
  <si>
    <t>EF03 - Exhaust</t>
  </si>
  <si>
    <r>
      <t>100</t>
    </r>
    <r>
      <rPr>
        <sz val="9"/>
        <rFont val="Symbol"/>
        <family val="1"/>
        <charset val="2"/>
      </rPr>
      <t>Æ</t>
    </r>
  </si>
  <si>
    <t>ATT-08</t>
  </si>
  <si>
    <t>EF03 - Extract</t>
  </si>
  <si>
    <t>ATT-09</t>
  </si>
  <si>
    <t>SF02 - FAI</t>
  </si>
  <si>
    <t>ATT-10</t>
  </si>
  <si>
    <t>SF02 - Supply</t>
  </si>
  <si>
    <t>ATT-11</t>
  </si>
  <si>
    <t>EF11 - Exhaust</t>
  </si>
  <si>
    <t>ATT-12</t>
  </si>
  <si>
    <t>EF11 - Extract</t>
  </si>
  <si>
    <t>External Louvres</t>
  </si>
  <si>
    <t>System</t>
  </si>
  <si>
    <t>Flow (m3/s)</t>
  </si>
  <si>
    <t>Louvre Type</t>
  </si>
  <si>
    <t>Louvre Size (opening)</t>
  </si>
  <si>
    <t>Bird Screen</t>
  </si>
  <si>
    <t>Insect Screen</t>
  </si>
  <si>
    <t>Pressure Loss (Pa)</t>
  </si>
  <si>
    <t>Max Noise Level
(dB)</t>
  </si>
  <si>
    <t>Finish/Colour</t>
  </si>
  <si>
    <t>EL1</t>
  </si>
  <si>
    <t>EF01 - WC &amp; Changing Extract</t>
  </si>
  <si>
    <t xml:space="preserve">Min. Class B </t>
  </si>
  <si>
    <t>850x850</t>
  </si>
  <si>
    <t>Y</t>
  </si>
  <si>
    <t>&lt;20</t>
  </si>
  <si>
    <t>Standard finish, colour to be confirmed by Architect</t>
  </si>
  <si>
    <t xml:space="preserve">c/w bird screen </t>
  </si>
  <si>
    <t>EL2</t>
  </si>
  <si>
    <t>SF01 - Filling</t>
  </si>
  <si>
    <t>750x750</t>
  </si>
  <si>
    <t>EL3</t>
  </si>
  <si>
    <t>EF02 - Washroom Extract</t>
  </si>
  <si>
    <t>1250x1000</t>
  </si>
  <si>
    <t>EL4</t>
  </si>
  <si>
    <t>Fresh Air Makeup - Washroom</t>
  </si>
  <si>
    <t>800x800</t>
  </si>
  <si>
    <t>EL5</t>
  </si>
  <si>
    <t>EL6</t>
  </si>
  <si>
    <t>Battery Charge Makeup - Access Corridor</t>
  </si>
  <si>
    <t>500x500</t>
  </si>
  <si>
    <t>EL7</t>
  </si>
  <si>
    <t>EF10 - Access Corridor</t>
  </si>
  <si>
    <t>700x700</t>
  </si>
  <si>
    <t>EL8</t>
  </si>
  <si>
    <t>Canopies Fresh Air Makeup - Access Corridor</t>
  </si>
  <si>
    <t>4000x3000</t>
  </si>
  <si>
    <t>EL9</t>
  </si>
  <si>
    <t>EL10</t>
  </si>
  <si>
    <t>SF02 - Internet Sales</t>
  </si>
  <si>
    <t>Louvre sizes are based on min 50% free area.  Manufacturer to confirm size at time of selection based on flowrate and max pressure loss.</t>
  </si>
  <si>
    <t>Fire &amp; Fire Smoke Dampers</t>
  </si>
  <si>
    <t>Location / System</t>
  </si>
  <si>
    <t>Fire Damper Size mm
(w x h)</t>
  </si>
  <si>
    <t>Wall / Ceiling Type</t>
  </si>
  <si>
    <t>Compartment Fire Rating (mins)</t>
  </si>
  <si>
    <t>Installation Method</t>
  </si>
  <si>
    <t>Hole Size mm
(w x h)</t>
  </si>
  <si>
    <t>Ground Floor Fire Dampers</t>
  </si>
  <si>
    <t>FD-0-01</t>
  </si>
  <si>
    <t>AHU-02 - G50 Fat Store</t>
  </si>
  <si>
    <t>Smoke shield 501</t>
  </si>
  <si>
    <t>400x400</t>
  </si>
  <si>
    <t>Internal Wall - Eurobond Firemaster Extra</t>
  </si>
  <si>
    <t>DWFX-F</t>
  </si>
  <si>
    <t>Local 230v power required (by others)  control via smoke damper monitoring panel</t>
  </si>
  <si>
    <t>FD-0-02</t>
  </si>
  <si>
    <t>600x400</t>
  </si>
  <si>
    <t>700x500</t>
  </si>
  <si>
    <t>FD-0-03</t>
  </si>
  <si>
    <t>FD-0-04</t>
  </si>
  <si>
    <t>FD-0-05</t>
  </si>
  <si>
    <t>AHU-02 - G58 Link Corridor</t>
  </si>
  <si>
    <t>Smoke shield 601</t>
  </si>
  <si>
    <t>400dia</t>
  </si>
  <si>
    <t>550x550</t>
  </si>
  <si>
    <t>FD-0-06</t>
  </si>
  <si>
    <t>Ground Floor Fire Smoke Dampers</t>
  </si>
  <si>
    <t>FSD-0-01</t>
  </si>
  <si>
    <t>AHU-02 - G32 Production Stairwell</t>
  </si>
  <si>
    <t>600x500</t>
  </si>
  <si>
    <t>700x600</t>
  </si>
  <si>
    <t>FSD-0-02</t>
  </si>
  <si>
    <t>FSD-0-03</t>
  </si>
  <si>
    <t>1000x600</t>
  </si>
  <si>
    <t>1100x700</t>
  </si>
  <si>
    <t>FSD-0-04</t>
  </si>
  <si>
    <t>800x500</t>
  </si>
  <si>
    <t>900x600</t>
  </si>
  <si>
    <t>FSD-0-05</t>
  </si>
  <si>
    <t>FSD-0-06</t>
  </si>
  <si>
    <t>First Floor Fire Dampers</t>
  </si>
  <si>
    <t>FD-1-03</t>
  </si>
  <si>
    <t>EF-1-06 - F10 Female WC</t>
  </si>
  <si>
    <t>Thermshield FD</t>
  </si>
  <si>
    <t>Internal Wall - Type 9 British Gypsum Wall Partition System A206067</t>
  </si>
  <si>
    <t>ThermShield Standard Installation</t>
  </si>
  <si>
    <t>FD-1-04</t>
  </si>
  <si>
    <t>AHU-03 - F24 Shop Store</t>
  </si>
  <si>
    <t>Thermshield FDC</t>
  </si>
  <si>
    <t>125dia</t>
  </si>
  <si>
    <t>300x300</t>
  </si>
  <si>
    <t>FD-1-05</t>
  </si>
  <si>
    <t>FD-1-06</t>
  </si>
  <si>
    <t>FD-1-07</t>
  </si>
  <si>
    <t>FD-1-08</t>
  </si>
  <si>
    <t>AHU-03 - F37 Shop Office</t>
  </si>
  <si>
    <t>200dia</t>
  </si>
  <si>
    <t>350x350</t>
  </si>
  <si>
    <t>FD-1-09</t>
  </si>
  <si>
    <t>AHU-03 - F30 Acc WC</t>
  </si>
  <si>
    <t>FD-1-10</t>
  </si>
  <si>
    <t>150dia</t>
  </si>
  <si>
    <t>FD-1-11</t>
  </si>
  <si>
    <t>AHU-03 - F31 Servery</t>
  </si>
  <si>
    <t>400x200</t>
  </si>
  <si>
    <t>500x300</t>
  </si>
  <si>
    <t>First Floor Fire Smoke Dampers</t>
  </si>
  <si>
    <t>FSD-1-01</t>
  </si>
  <si>
    <t>AHU-03 - F01 Link Bridge</t>
  </si>
  <si>
    <t>Internal Wall - Type 10 British Gypsum Wall Lining System B216027</t>
  </si>
  <si>
    <t>FSD-1-02</t>
  </si>
  <si>
    <t>FSD-1-03</t>
  </si>
  <si>
    <t>AHU-03 - F07B Shower Room</t>
  </si>
  <si>
    <t>Internal Wall - Type 11 British Gypsum Wall Partition System Q606052</t>
  </si>
  <si>
    <t>FSD-1-04</t>
  </si>
  <si>
    <t>FSD-1-05</t>
  </si>
  <si>
    <t>100dia</t>
  </si>
  <si>
    <t>FSD-1-06</t>
  </si>
  <si>
    <t>AHU-03 - F12 Male WC</t>
  </si>
  <si>
    <t>FSD-1-07</t>
  </si>
  <si>
    <t>Fire &amp; Smoke Damper Control Panel</t>
  </si>
  <si>
    <t>FSDP</t>
  </si>
  <si>
    <t>Selections based on Action Air Fire Dampers</t>
  </si>
  <si>
    <t>Builders work and fire stopping to be by others and approved by relevant parties i.e. Building Controls, Fire Stopping Contractor</t>
  </si>
  <si>
    <t>Installation to comply fully with Manufacturer tested details.  Any deviation from this to be agreed in writing with the Architect/building control officer/fire stopping contractor.</t>
  </si>
  <si>
    <t>Motorised Damper Schedule</t>
  </si>
  <si>
    <t>Duct Size</t>
  </si>
  <si>
    <t>Damper Size</t>
  </si>
  <si>
    <t>Max PD (Pa)</t>
  </si>
  <si>
    <t>Actuator</t>
  </si>
  <si>
    <t>Control - BMS/ Local/ AHU</t>
  </si>
  <si>
    <t>Notes/Control links</t>
  </si>
  <si>
    <t>Material/ Construction</t>
  </si>
  <si>
    <t>(mm)</t>
  </si>
  <si>
    <t>(V)</t>
  </si>
  <si>
    <t>24V</t>
  </si>
  <si>
    <t>Roof Terminations</t>
  </si>
  <si>
    <t>System / Location</t>
  </si>
  <si>
    <t>Unit Size (mm)</t>
  </si>
  <si>
    <t>RT1</t>
  </si>
  <si>
    <r>
      <t>500</t>
    </r>
    <r>
      <rPr>
        <sz val="8"/>
        <rFont val="Symbol"/>
        <family val="1"/>
        <charset val="2"/>
      </rPr>
      <t>Æ</t>
    </r>
  </si>
  <si>
    <t>Roof Jet Exhaust Unit c/w Drain to Roof</t>
  </si>
  <si>
    <t>RT2</t>
  </si>
  <si>
    <t>RT3</t>
  </si>
  <si>
    <t>RT4</t>
  </si>
  <si>
    <r>
      <t>350</t>
    </r>
    <r>
      <rPr>
        <sz val="8"/>
        <rFont val="Symbol"/>
        <family val="1"/>
        <charset val="2"/>
      </rPr>
      <t>Æ</t>
    </r>
  </si>
  <si>
    <t>RT5</t>
  </si>
  <si>
    <r>
      <t>300</t>
    </r>
    <r>
      <rPr>
        <sz val="8"/>
        <rFont val="Symbol"/>
        <family val="1"/>
        <charset val="2"/>
      </rPr>
      <t>Æ</t>
    </r>
  </si>
  <si>
    <t>RT6</t>
  </si>
  <si>
    <r>
      <t>400</t>
    </r>
    <r>
      <rPr>
        <sz val="8"/>
        <rFont val="Symbol"/>
        <family val="1"/>
        <charset val="2"/>
      </rPr>
      <t>Æ</t>
    </r>
  </si>
  <si>
    <t>1. Weathering, Builders work and Upstand by others.  Terminal to be Free Issued to Builder for installation as required</t>
  </si>
  <si>
    <t>Grilles &amp; Diffuser Schedule</t>
  </si>
  <si>
    <t>Air Flow</t>
  </si>
  <si>
    <t>Dimensions</t>
  </si>
  <si>
    <t>Spigot Size</t>
  </si>
  <si>
    <t>Plenum</t>
  </si>
  <si>
    <t>OBD</t>
  </si>
  <si>
    <t>Motorised</t>
  </si>
  <si>
    <t>PD</t>
  </si>
  <si>
    <t>Throw</t>
  </si>
  <si>
    <t>Max NR</t>
  </si>
  <si>
    <t>Colour/Finish</t>
  </si>
  <si>
    <t>Ceiling Type</t>
  </si>
  <si>
    <t>(l/s)</t>
  </si>
  <si>
    <t>(m)</t>
  </si>
  <si>
    <t>Ground Floor Extract</t>
  </si>
  <si>
    <t>EG1</t>
  </si>
  <si>
    <t>Male WC</t>
  </si>
  <si>
    <t>Valve</t>
  </si>
  <si>
    <t>n/a</t>
  </si>
  <si>
    <t>N</t>
  </si>
  <si>
    <t>Standard RAL 9010</t>
  </si>
  <si>
    <t>EG2</t>
  </si>
  <si>
    <t>EG3</t>
  </si>
  <si>
    <t>EG4</t>
  </si>
  <si>
    <t>EG5</t>
  </si>
  <si>
    <t>Female WC</t>
  </si>
  <si>
    <t>EG6</t>
  </si>
  <si>
    <t>EG7</t>
  </si>
  <si>
    <t>Production Change</t>
  </si>
  <si>
    <t>4Way Diffuser Standard</t>
  </si>
  <si>
    <t>225x225</t>
  </si>
  <si>
    <t xml:space="preserve">Side Entry </t>
  </si>
  <si>
    <t>EG8</t>
  </si>
  <si>
    <t>Lockers</t>
  </si>
  <si>
    <t>EG9</t>
  </si>
  <si>
    <t>EG10</t>
  </si>
  <si>
    <t>GMP Change</t>
  </si>
  <si>
    <t>EG11</t>
  </si>
  <si>
    <t>Washroom</t>
  </si>
  <si>
    <t>4Way Diffuser Stainless Steel</t>
  </si>
  <si>
    <t>Stainless Steel</t>
  </si>
  <si>
    <t>EG12</t>
  </si>
  <si>
    <t>EG13</t>
  </si>
  <si>
    <t>EG14</t>
  </si>
  <si>
    <t>Dirty</t>
  </si>
  <si>
    <t>EG15</t>
  </si>
  <si>
    <t>Office</t>
  </si>
  <si>
    <t>150x150</t>
  </si>
  <si>
    <t>EG16</t>
  </si>
  <si>
    <t>Server</t>
  </si>
  <si>
    <t>First Floor Extract</t>
  </si>
  <si>
    <t>EG17</t>
  </si>
  <si>
    <t>Ground Floor Supply</t>
  </si>
  <si>
    <t>SG01</t>
  </si>
  <si>
    <t>Toppings</t>
  </si>
  <si>
    <t>1000x1000</t>
  </si>
  <si>
    <t>SG02</t>
  </si>
  <si>
    <t>SG03</t>
  </si>
  <si>
    <t>SG04</t>
  </si>
  <si>
    <t>SG05</t>
  </si>
  <si>
    <t>SG06</t>
  </si>
  <si>
    <t>Poppings</t>
  </si>
  <si>
    <t>1) All grille selections to be checked by supplier prior to procurement. Supplier to confirm throws, NR levels, PA drops, terminal velocities, and suitable space conditions under heating and cooling operation.</t>
  </si>
  <si>
    <t>2) Throws/mounting heights are to be checked and confirmed by grille supplier prior to procurement/order placement.</t>
  </si>
  <si>
    <t>3) Duct connection sizes to be checked and confirmed by grille supplier against coordinated drawings prior to procurement/order placement.</t>
  </si>
  <si>
    <t>4) Ceiling types to be reviewed by grille provider prior to final procurement and manufacture.</t>
  </si>
  <si>
    <t>5) Plenum connections to be reviewed against the coordinated drawings prior to procurement</t>
  </si>
  <si>
    <r>
      <t xml:space="preserve">6) All extract grilles to be either exhaust valves in WC areas and matched to the supply in other areas and where valves are not suitable.  Valves </t>
    </r>
    <r>
      <rPr>
        <b/>
        <sz val="8"/>
        <rFont val="Arial"/>
        <family val="2"/>
      </rPr>
      <t>should not be</t>
    </r>
    <r>
      <rPr>
        <sz val="8"/>
        <rFont val="Arial"/>
        <family val="2"/>
      </rPr>
      <t xml:space="preserve"> used for ventilation balancing.  Duct mounted VCD's to be utilised for main balancing with final adjustments only on valves</t>
    </r>
  </si>
  <si>
    <t>7) Any grilles which cannot be selected against scheduled criteria are to be highlighted and queried prior to placing of order.</t>
  </si>
  <si>
    <t>8) All Grille RAL Colours are to be confirmed by the architect prior to procurement/order placement.</t>
  </si>
  <si>
    <t>System Ref</t>
  </si>
  <si>
    <t>Total Air Volume</t>
  </si>
  <si>
    <t>Filter Size</t>
  </si>
  <si>
    <t>Frame</t>
  </si>
  <si>
    <t>Frame Size</t>
  </si>
  <si>
    <r>
      <t>(</t>
    </r>
    <r>
      <rPr>
        <b/>
        <sz val="8"/>
        <rFont val="Calibri"/>
        <family val="2"/>
      </rPr>
      <t>m</t>
    </r>
    <r>
      <rPr>
        <b/>
        <vertAlign val="superscript"/>
        <sz val="8"/>
        <rFont val="Calibri"/>
        <family val="2"/>
      </rPr>
      <t>3</t>
    </r>
    <r>
      <rPr>
        <b/>
        <sz val="8"/>
        <rFont val="Calibri"/>
        <family val="2"/>
      </rPr>
      <t>/s</t>
    </r>
    <r>
      <rPr>
        <b/>
        <sz val="8"/>
        <rFont val="Arial"/>
        <family val="2"/>
      </rPr>
      <t>)</t>
    </r>
  </si>
  <si>
    <r>
      <t xml:space="preserve">(L x H x D </t>
    </r>
    <r>
      <rPr>
        <b/>
        <sz val="8"/>
        <rFont val="Calibri"/>
        <family val="2"/>
      </rPr>
      <t>mm</t>
    </r>
    <r>
      <rPr>
        <b/>
        <sz val="8"/>
        <rFont val="Arial"/>
        <family val="2"/>
      </rPr>
      <t>)</t>
    </r>
  </si>
  <si>
    <t>FTR-01</t>
  </si>
  <si>
    <t>EL-01</t>
  </si>
  <si>
    <t>G4 Pleated Panel Filter</t>
  </si>
  <si>
    <t>1200 x 600 x 97 
(2No. 594 x 594 x 97)</t>
  </si>
  <si>
    <t>Front Withdrawal Frame</t>
  </si>
  <si>
    <t>1218 x 609 x 75
(2No. 609 x 609 x 75)</t>
  </si>
  <si>
    <t>Filter grade G4 to EN779 and frame to include 4inch filter retaining clips &amp; foam gasket to the filter sealing face</t>
  </si>
  <si>
    <t>FTR-02</t>
  </si>
  <si>
    <t>EL-02</t>
  </si>
  <si>
    <t>FTR-03</t>
  </si>
  <si>
    <t>EL-03</t>
  </si>
  <si>
    <t>1. To be supplied by Airclean Ltd or equal &amp; approved.</t>
  </si>
  <si>
    <t>Reverse Cycle Heat Pump Chiller</t>
  </si>
  <si>
    <t>Chiller CH01</t>
  </si>
  <si>
    <t>Reverse Cycle Heat Pump &amp; Chiller</t>
  </si>
  <si>
    <t>TYPE</t>
  </si>
  <si>
    <t>Air Cooled</t>
  </si>
  <si>
    <t>External</t>
  </si>
  <si>
    <t>Samples Lab - AHU coil</t>
  </si>
  <si>
    <t>Selection Data</t>
  </si>
  <si>
    <t>External Design Conditions</t>
  </si>
  <si>
    <t>ºC (dB/wB)</t>
  </si>
  <si>
    <t>35/30 (Summer)</t>
  </si>
  <si>
    <t>-4/-4(Winter)</t>
  </si>
  <si>
    <t>min CoP</t>
  </si>
  <si>
    <t>&gt;3.5</t>
  </si>
  <si>
    <t>Performance Data</t>
  </si>
  <si>
    <t>Heating</t>
  </si>
  <si>
    <t>Reversible Heat Pump Chiller</t>
  </si>
  <si>
    <t>52</t>
  </si>
  <si>
    <r>
      <t>min achieved at -4</t>
    </r>
    <r>
      <rPr>
        <vertAlign val="superscript"/>
        <sz val="9"/>
        <rFont val="Arial"/>
        <family val="2"/>
      </rPr>
      <t>o</t>
    </r>
    <r>
      <rPr>
        <sz val="9"/>
        <rFont val="Arial"/>
        <family val="2"/>
      </rPr>
      <t>C</t>
    </r>
  </si>
  <si>
    <t>LTHW</t>
  </si>
  <si>
    <t>20% glycol</t>
  </si>
  <si>
    <t>Liquid Flow Temp</t>
  </si>
  <si>
    <t>45</t>
  </si>
  <si>
    <r>
      <t>adjustable from 30 to 45</t>
    </r>
    <r>
      <rPr>
        <vertAlign val="superscript"/>
        <sz val="9"/>
        <rFont val="Arial"/>
        <family val="2"/>
      </rPr>
      <t>o</t>
    </r>
    <r>
      <rPr>
        <sz val="9"/>
        <rFont val="Arial"/>
        <family val="2"/>
      </rPr>
      <t>C</t>
    </r>
  </si>
  <si>
    <t>Liquid Return Temp</t>
  </si>
  <si>
    <t>40</t>
  </si>
  <si>
    <r>
      <t>adjustable from 22 to 40</t>
    </r>
    <r>
      <rPr>
        <vertAlign val="superscript"/>
        <sz val="9"/>
        <rFont val="Arial"/>
        <family val="2"/>
      </rPr>
      <t>o</t>
    </r>
    <r>
      <rPr>
        <sz val="9"/>
        <rFont val="Arial"/>
        <family val="2"/>
      </rPr>
      <t>C</t>
    </r>
  </si>
  <si>
    <t>Cooling</t>
  </si>
  <si>
    <r>
      <t>min achieved at 35/30</t>
    </r>
    <r>
      <rPr>
        <vertAlign val="superscript"/>
        <sz val="9"/>
        <rFont val="Arial"/>
        <family val="2"/>
      </rPr>
      <t>o</t>
    </r>
    <r>
      <rPr>
        <sz val="9"/>
        <rFont val="Arial"/>
        <family val="2"/>
      </rPr>
      <t>C</t>
    </r>
  </si>
  <si>
    <t>6</t>
  </si>
  <si>
    <r>
      <t>adjustable from 6 to 20</t>
    </r>
    <r>
      <rPr>
        <vertAlign val="superscript"/>
        <sz val="9"/>
        <rFont val="Arial"/>
        <family val="2"/>
      </rPr>
      <t>o</t>
    </r>
    <r>
      <rPr>
        <sz val="9"/>
        <rFont val="Arial"/>
        <family val="2"/>
      </rPr>
      <t>C</t>
    </r>
  </si>
  <si>
    <t>12</t>
  </si>
  <si>
    <r>
      <t>adjustable from 12 to 27</t>
    </r>
    <r>
      <rPr>
        <vertAlign val="superscript"/>
        <sz val="9"/>
        <rFont val="Arial"/>
        <family val="2"/>
      </rPr>
      <t>o</t>
    </r>
    <r>
      <rPr>
        <sz val="9"/>
        <rFont val="Arial"/>
        <family val="2"/>
      </rPr>
      <t>C</t>
    </r>
  </si>
  <si>
    <t>Variable speed.  Number to suit unit</t>
  </si>
  <si>
    <t>Unit Electrical supply</t>
  </si>
  <si>
    <t>Compressor Types</t>
  </si>
  <si>
    <t>Scroll (min 2No.compressors)</t>
  </si>
  <si>
    <t>VSD</t>
  </si>
  <si>
    <t>Min System Volume</t>
  </si>
  <si>
    <t>litre</t>
  </si>
  <si>
    <t>Manufacturer to confirm min system volume required.</t>
  </si>
  <si>
    <t>Refrigerant</t>
  </si>
  <si>
    <t>Acoustic Information</t>
  </si>
  <si>
    <t>63Hz</t>
  </si>
  <si>
    <r>
      <t xml:space="preserve">To be confirmed and validated by the manufacturer during selection. 
</t>
    </r>
    <r>
      <rPr>
        <b/>
        <i/>
        <sz val="9"/>
        <rFont val="Arial"/>
        <family val="2"/>
      </rPr>
      <t>Maximum sound pressure level at 5m from unit shall be 40dBA</t>
    </r>
  </si>
  <si>
    <t>125Hz</t>
  </si>
  <si>
    <t>250Hz</t>
  </si>
  <si>
    <t>500Hz</t>
  </si>
  <si>
    <t>1kHz</t>
  </si>
  <si>
    <t>2kHz</t>
  </si>
  <si>
    <t>4kHz</t>
  </si>
  <si>
    <t>8kHz</t>
  </si>
  <si>
    <t>Unit to be complete with integral controls</t>
  </si>
  <si>
    <t>See notes</t>
  </si>
  <si>
    <t>1. Refrigeration cycle to be reversible to operate in either cooling or heat pump mode</t>
  </si>
  <si>
    <t>2. Re-set of evaporator &amp; condenser entering and leaving water temperatures required via BMS 0-10v re-set signal</t>
  </si>
  <si>
    <t>3. Heating &amp; cooling medium = 20% glycol &amp; water mix (Ethylene)</t>
  </si>
  <si>
    <t>4. Chiller heat pump to operate in temperatures to -10°C</t>
  </si>
  <si>
    <t>5. Circulation pump &amp; strainer to be supplied integral with the chiller, system side pressure loss subject to confirmation</t>
  </si>
  <si>
    <t>6. Flow switch for chill / heat pump enabling &amp; shut off to be supplied with chiller and free issued for installation by mechanical installer.</t>
  </si>
  <si>
    <t>7. Glycol / water side pressure safety valve to be integral to chiller heat pump</t>
  </si>
  <si>
    <t>8. Winter anti-freeze pack and evaporator heater to be integral to chiller heat pump</t>
  </si>
  <si>
    <t>9. Chiller heat pump to include communications module using MODBUS or BACNET.</t>
  </si>
  <si>
    <t>10. BMS input signals to include; enable, disable and entering &amp; leaving temperature re-set</t>
  </si>
  <si>
    <t>11. Output signals to BMS to include defrost cycle and common fault notification.</t>
  </si>
  <si>
    <t>12. Maximum sound pressure level at 5m from unit shall be 40dBA</t>
  </si>
  <si>
    <t>13. Supply to include anti-vibration mountings and pipe flexible connections</t>
  </si>
  <si>
    <t>Process Chiller CH01</t>
  </si>
  <si>
    <t>&gt;3.0</t>
  </si>
  <si>
    <t>20% glycol (Ethylene)</t>
  </si>
  <si>
    <t>-3</t>
  </si>
  <si>
    <t>1</t>
  </si>
  <si>
    <t>Integral Buffer</t>
  </si>
  <si>
    <t>(if applicable)</t>
  </si>
  <si>
    <t>Integral Pump</t>
  </si>
  <si>
    <t>min Ex Static at flowrate</t>
  </si>
  <si>
    <t>150 kPa</t>
  </si>
  <si>
    <t>to be controlled by chiller</t>
  </si>
  <si>
    <t xml:space="preserve">To be confirmed and validated by the manufacturer during selection. </t>
  </si>
  <si>
    <t>1. Supply to include anti-vibration mountings and pipe flexible connections</t>
  </si>
  <si>
    <t>6. Flow switch for chiller enabling &amp; shut off to be supplied with chiller and free issued for installation by mechanical installer.</t>
  </si>
  <si>
    <t>Air Conditioning (DX Split)</t>
  </si>
  <si>
    <t>REF</t>
  </si>
  <si>
    <t>ROOM</t>
  </si>
  <si>
    <t>SUPPLY FAN (Mi1)</t>
  </si>
  <si>
    <t>COOLING CAPACITY</t>
  </si>
  <si>
    <t>HEATING CAPACITY</t>
  </si>
  <si>
    <t>ENTERING AIR</t>
  </si>
  <si>
    <t>DIMENSIONS</t>
  </si>
  <si>
    <t>WEIGHT</t>
  </si>
  <si>
    <t>Options and Accessories</t>
  </si>
  <si>
    <t>AIR FLOW RATE
l/s</t>
  </si>
  <si>
    <t>TOTAL kW</t>
  </si>
  <si>
    <t>TOTAL
kW</t>
  </si>
  <si>
    <r>
      <t xml:space="preserve">Winter </t>
    </r>
    <r>
      <rPr>
        <b/>
        <vertAlign val="superscript"/>
        <sz val="10"/>
        <color indexed="8"/>
        <rFont val="Calibri"/>
        <family val="2"/>
        <scheme val="minor"/>
      </rPr>
      <t>o</t>
    </r>
    <r>
      <rPr>
        <b/>
        <sz val="10"/>
        <color indexed="8"/>
        <rFont val="Calibri"/>
        <family val="2"/>
        <scheme val="minor"/>
      </rPr>
      <t>C</t>
    </r>
  </si>
  <si>
    <r>
      <t xml:space="preserve">Summer </t>
    </r>
    <r>
      <rPr>
        <b/>
        <vertAlign val="superscript"/>
        <sz val="10"/>
        <color indexed="8"/>
        <rFont val="Calibri"/>
        <family val="2"/>
        <scheme val="minor"/>
      </rPr>
      <t>o</t>
    </r>
    <r>
      <rPr>
        <b/>
        <sz val="10"/>
        <color indexed="8"/>
        <rFont val="Calibri"/>
        <family val="2"/>
        <scheme val="minor"/>
      </rPr>
      <t>C</t>
    </r>
  </si>
  <si>
    <t>POWER SUPPLY</t>
  </si>
  <si>
    <t>RUNNING CURRENT (A) Heating / Cooling</t>
  </si>
  <si>
    <t>FUSE Rating (BS88) -              HRC (A)</t>
  </si>
  <si>
    <t>WxDxH</t>
  </si>
  <si>
    <t>Net</t>
  </si>
  <si>
    <t>Ground Floor Offices - Indoor Units</t>
  </si>
  <si>
    <t>AC 01</t>
  </si>
  <si>
    <t>Ceiling Cassette</t>
  </si>
  <si>
    <t>21.0</t>
  </si>
  <si>
    <t>220V 1ph</t>
  </si>
  <si>
    <t xml:space="preserve">Power fed from condenser </t>
  </si>
  <si>
    <t>COOLING CAPACITY Kw</t>
  </si>
  <si>
    <t>HEATING CAPACITY kW</t>
  </si>
  <si>
    <t>COP / EER (nominal)</t>
  </si>
  <si>
    <t>REFRIG CHARGE</t>
  </si>
  <si>
    <t>WEIGHT
(kg)</t>
  </si>
  <si>
    <t>Factory Charge (kg)</t>
  </si>
  <si>
    <t>VOLTAGE-
PHASE</t>
  </si>
  <si>
    <t>Starting CURRENT (A)</t>
  </si>
  <si>
    <t>MIN CIRCUIT
AMPS (MCA)</t>
  </si>
  <si>
    <t xml:space="preserve"> RUNNING CURRENT (A) Heating / Cooling </t>
  </si>
  <si>
    <t>(WxDxH)
(mm)</t>
  </si>
  <si>
    <t>Ground Floor Offices - Condensers</t>
  </si>
  <si>
    <t>DX 01</t>
  </si>
  <si>
    <t>External Condenser</t>
  </si>
  <si>
    <t>Air Conditioning (VRF)</t>
  </si>
  <si>
    <r>
      <t xml:space="preserve">Winter </t>
    </r>
    <r>
      <rPr>
        <b/>
        <vertAlign val="superscript"/>
        <sz val="9"/>
        <color indexed="8"/>
        <rFont val="Calibri"/>
        <family val="2"/>
      </rPr>
      <t>o</t>
    </r>
    <r>
      <rPr>
        <b/>
        <sz val="9"/>
        <color indexed="8"/>
        <rFont val="Calibri"/>
        <family val="2"/>
      </rPr>
      <t>C</t>
    </r>
  </si>
  <si>
    <r>
      <t xml:space="preserve">Summer </t>
    </r>
    <r>
      <rPr>
        <b/>
        <vertAlign val="superscript"/>
        <sz val="9"/>
        <color indexed="8"/>
        <rFont val="Calibri"/>
        <family val="2"/>
      </rPr>
      <t>o</t>
    </r>
    <r>
      <rPr>
        <b/>
        <sz val="9"/>
        <color indexed="8"/>
        <rFont val="Calibri"/>
        <family val="2"/>
      </rPr>
      <t>C</t>
    </r>
  </si>
  <si>
    <t>System 1</t>
  </si>
  <si>
    <t>AC1-01</t>
  </si>
  <si>
    <t>EX A 181 - Meeting Room</t>
  </si>
  <si>
    <t>PLFY-M32VEM-E</t>
  </si>
  <si>
    <t xml:space="preserve">Ceiling Cassette </t>
  </si>
  <si>
    <t>24kg</t>
  </si>
  <si>
    <t>Refnet?</t>
  </si>
  <si>
    <t>AC1-02</t>
  </si>
  <si>
    <t>AC1-03</t>
  </si>
  <si>
    <t>EX A 202 - Meeting Room</t>
  </si>
  <si>
    <t>PLFY-P20VFM-E</t>
  </si>
  <si>
    <t xml:space="preserve">600 x 600 Ceiling Cassette </t>
  </si>
  <si>
    <t>17kg</t>
  </si>
  <si>
    <t>AC1-04</t>
  </si>
  <si>
    <t>AC1-05</t>
  </si>
  <si>
    <t>New Office</t>
  </si>
  <si>
    <t>PKFY-P20VLM-E</t>
  </si>
  <si>
    <t>Wall mounted Unit</t>
  </si>
  <si>
    <t>AC1-06</t>
  </si>
  <si>
    <t>EX A 201 - Meeting Room</t>
  </si>
  <si>
    <t>AC1-17</t>
  </si>
  <si>
    <t>EX A 158 - Office</t>
  </si>
  <si>
    <t>AC1-18</t>
  </si>
  <si>
    <t>PLFY-P25VFM-E</t>
  </si>
  <si>
    <t>CU1</t>
  </si>
  <si>
    <t>PURY-P450YNW-A2</t>
  </si>
  <si>
    <t>Heat Recovery Outdoor Unit (VRF)</t>
  </si>
  <si>
    <t>415V 3ph</t>
  </si>
  <si>
    <t>400V 3Nph</t>
  </si>
  <si>
    <t>R32/R410A??</t>
  </si>
  <si>
    <t xml:space="preserve">MODEL </t>
  </si>
  <si>
    <t>FUSE Rating (BS88) – HRC (A)</t>
  </si>
  <si>
    <t>RUNNING CURRENT (A)</t>
  </si>
  <si>
    <t>DIMENSIONS (WxDxH mm)</t>
  </si>
  <si>
    <t xml:space="preserve">WEIGHT (kg) Full </t>
  </si>
  <si>
    <t>BC1</t>
  </si>
  <si>
    <t>CMB-M1016V-JA1</t>
  </si>
  <si>
    <t>230V 1ph</t>
  </si>
  <si>
    <t>68kg</t>
  </si>
  <si>
    <t>Cooling/heating loads are based on 125w/m2 (cooling) and 100w/m2 (heating)</t>
  </si>
  <si>
    <t>System 2</t>
  </si>
  <si>
    <t>AC2-01</t>
  </si>
  <si>
    <t>EX A 153 - Office</t>
  </si>
  <si>
    <t>PLFY-P15VFM-E</t>
  </si>
  <si>
    <t>AC2-02</t>
  </si>
  <si>
    <t>EX A 157 - Office</t>
  </si>
  <si>
    <t>AC2-03</t>
  </si>
  <si>
    <t>EX A 156 - Office</t>
  </si>
  <si>
    <t>AC2-04</t>
  </si>
  <si>
    <t>EX A 152 - Office</t>
  </si>
  <si>
    <t>AC2-05</t>
  </si>
  <si>
    <t>EX A 148 - Office</t>
  </si>
  <si>
    <t>AC2-06</t>
  </si>
  <si>
    <t>EX A 151 - Office</t>
  </si>
  <si>
    <t>AC2-07</t>
  </si>
  <si>
    <t>EX A 140 - Office</t>
  </si>
  <si>
    <t>PLFY-P32VFM-E</t>
  </si>
  <si>
    <t>AC2-08</t>
  </si>
  <si>
    <t>EX A 139 - Office</t>
  </si>
  <si>
    <t>AC2-24</t>
  </si>
  <si>
    <t>EX A 116 - Male Changing Room</t>
  </si>
  <si>
    <t>AC2-25</t>
  </si>
  <si>
    <t>EX A 101Female Changing Room</t>
  </si>
  <si>
    <t>PURY-P550YNW-A2</t>
  </si>
  <si>
    <t>Centralised controller required</t>
  </si>
  <si>
    <t>BC2</t>
  </si>
  <si>
    <t>CMB-M108V-KB!</t>
  </si>
  <si>
    <t>48kg</t>
  </si>
  <si>
    <t>Booster Pump</t>
  </si>
  <si>
    <t>Duty (l/s @ bar)</t>
  </si>
  <si>
    <t>Booster Set Type</t>
  </si>
  <si>
    <t>Model Ref</t>
  </si>
  <si>
    <r>
      <t>Water Temp (</t>
    </r>
    <r>
      <rPr>
        <sz val="9"/>
        <rFont val="Calibri"/>
        <family val="2"/>
      </rPr>
      <t>°</t>
    </r>
    <r>
      <rPr>
        <sz val="9"/>
        <rFont val="Arial"/>
        <family val="2"/>
      </rPr>
      <t>C)</t>
    </r>
  </si>
  <si>
    <t>WRAS Approved?</t>
  </si>
  <si>
    <t>Duty/Standby or  
Duty/Assist</t>
  </si>
  <si>
    <t>Weight (kg)</t>
  </si>
  <si>
    <t>Sound Level db(A)</t>
  </si>
  <si>
    <t>Associated Tank Size (litre)</t>
  </si>
  <si>
    <t>Connections</t>
  </si>
  <si>
    <t>Electrical Data</t>
  </si>
  <si>
    <t>L (mm)</t>
  </si>
  <si>
    <t>W (mm)</t>
  </si>
  <si>
    <t>H (mm)</t>
  </si>
  <si>
    <t>Suction (mm)</t>
  </si>
  <si>
    <t>Discharge (mm)</t>
  </si>
  <si>
    <t>ph/hz/V</t>
  </si>
  <si>
    <t>FLC</t>
  </si>
  <si>
    <t>BS1</t>
  </si>
  <si>
    <t>Domestic BCWS</t>
  </si>
  <si>
    <t>Plantroom</t>
  </si>
  <si>
    <t>4.5 l/s @ 3 Bar</t>
  </si>
  <si>
    <t>3No. Stainless Steel Vertical Multi Stage Pumps</t>
  </si>
  <si>
    <t>Lowara (Included in Ormandy Skid)</t>
  </si>
  <si>
    <t>Duty/Duty/ Standby</t>
  </si>
  <si>
    <r>
      <t>67</t>
    </r>
    <r>
      <rPr>
        <sz val="9"/>
        <color rgb="FFFF0000"/>
        <rFont val="Calibri"/>
        <family val="2"/>
      </rPr>
      <t>Ø</t>
    </r>
  </si>
  <si>
    <t>3/50/400</t>
  </si>
  <si>
    <t>To include integral control panel with BMS interface.</t>
  </si>
  <si>
    <t>BS2</t>
  </si>
  <si>
    <t>Process BCWS</t>
  </si>
  <si>
    <t>7.5 l/s @ 5 Bar</t>
  </si>
  <si>
    <t>108Ø</t>
  </si>
  <si>
    <t>BS3</t>
  </si>
  <si>
    <t>Ingredients Room Process Cold Water</t>
  </si>
  <si>
    <t>2No. Stainless Steel Vertical Multi Stage Pumps</t>
  </si>
  <si>
    <t>BS4</t>
  </si>
  <si>
    <t>Ingredients Room Process Hot Water</t>
  </si>
  <si>
    <t>7.0 l/s @ 5 Bar</t>
  </si>
  <si>
    <t>BS5</t>
  </si>
  <si>
    <t>Ingredients Room Chilled Water</t>
  </si>
  <si>
    <t>10.0 l/s @ 5 Bar</t>
  </si>
  <si>
    <t>BS6</t>
  </si>
  <si>
    <t>HTHW Wash Down</t>
  </si>
  <si>
    <t>2.0 l/s @ 25 Bar</t>
  </si>
  <si>
    <t>54Ø</t>
  </si>
  <si>
    <t>1. Pumps to be selected with a minimum additional margin of 10% Flow &amp; 21% Resistance.</t>
  </si>
  <si>
    <t>2. Supplied by Grundfos Pumps or equal &amp; approved.</t>
  </si>
  <si>
    <t>Water Storage Tank</t>
  </si>
  <si>
    <t>Capacity (L) Actual Required</t>
  </si>
  <si>
    <t>Tank Type</t>
  </si>
  <si>
    <t>No. Compartments</t>
  </si>
  <si>
    <t>Overflow Pipe Size (mm)</t>
  </si>
  <si>
    <t>Warning Pipe Size (mm)</t>
  </si>
  <si>
    <t>Drain Size (mm)</t>
  </si>
  <si>
    <t>Air Gap</t>
  </si>
  <si>
    <t>Potable</t>
  </si>
  <si>
    <t>Inlet (mm)</t>
  </si>
  <si>
    <t>Outlet (mm)</t>
  </si>
  <si>
    <t>CWT1</t>
  </si>
  <si>
    <t>DOMESTIC BCWS</t>
  </si>
  <si>
    <t>GRP Sectional Externally Flanged Pre Insulated</t>
  </si>
  <si>
    <t>2 (Equal Split)</t>
  </si>
  <si>
    <t>2No. X 67mm</t>
  </si>
  <si>
    <t>2No. x 67mm</t>
  </si>
  <si>
    <r>
      <t>2000*</t>
    </r>
    <r>
      <rPr>
        <vertAlign val="superscript"/>
        <sz val="9"/>
        <color indexed="10"/>
        <rFont val="Arial"/>
        <family val="2"/>
      </rPr>
      <t>1</t>
    </r>
  </si>
  <si>
    <r>
      <t>1000*</t>
    </r>
    <r>
      <rPr>
        <vertAlign val="superscript"/>
        <sz val="9"/>
        <color indexed="10"/>
        <rFont val="Arial"/>
        <family val="2"/>
      </rPr>
      <t>1</t>
    </r>
  </si>
  <si>
    <t>AB</t>
  </si>
  <si>
    <t>Tanks to include the following:-
2No x External Ladders
2No x Tank covers
2No x manhole access
2No x BMS Temp Detector pockets
2No x BMS H/Level Detector pockets
2No x BMS L/Level Detector pockets
2No x Water sampling valves
2No x Water Level indicators provide for each compartment
Temperature warning alarm set to 18°C linked to BMS</t>
  </si>
  <si>
    <t>HWT1</t>
  </si>
  <si>
    <t>INGREDIENTS ROOM PROCESS HOT WATER</t>
  </si>
  <si>
    <r>
      <t xml:space="preserve">GRP Sectional or Stainless Steel </t>
    </r>
    <r>
      <rPr>
        <b/>
        <sz val="9"/>
        <rFont val="Arial"/>
        <family val="2"/>
      </rPr>
      <t>TBC</t>
    </r>
    <r>
      <rPr>
        <sz val="9"/>
        <rFont val="Arial"/>
        <family val="2"/>
      </rPr>
      <t xml:space="preserve"> Temp 65C Externally Flanged Pre Insulated</t>
    </r>
  </si>
  <si>
    <t>1No. X 67mm &amp;
1No. X 108mm</t>
  </si>
  <si>
    <t>1No. x 108mm</t>
  </si>
  <si>
    <r>
      <t>1500*</t>
    </r>
    <r>
      <rPr>
        <vertAlign val="superscript"/>
        <sz val="9"/>
        <color indexed="10"/>
        <rFont val="Arial"/>
        <family val="2"/>
      </rPr>
      <t>1</t>
    </r>
  </si>
  <si>
    <t>AG</t>
  </si>
  <si>
    <r>
      <t xml:space="preserve">Tanks to include the following:-
1No x External Ladders
1No x Tank covers
1No x manhole access
1No x BMS Temp Detector pockets
1No x BMS H/Level Detector pockets
1No x BMS L/Level Detector pockets
1No x Water sampling valves
1No x Water Level indicators provide for each compartment
</t>
    </r>
    <r>
      <rPr>
        <b/>
        <sz val="9"/>
        <rFont val="Arial"/>
        <family val="2"/>
      </rPr>
      <t>1No x View Window</t>
    </r>
    <r>
      <rPr>
        <sz val="9"/>
        <rFont val="Arial"/>
        <family val="2"/>
      </rPr>
      <t xml:space="preserve">
</t>
    </r>
    <r>
      <rPr>
        <sz val="9"/>
        <color indexed="10"/>
        <rFont val="Arial"/>
        <family val="2"/>
      </rPr>
      <t>Temperature warning alarm set to TBC°C linked to BMS</t>
    </r>
  </si>
  <si>
    <t>HWT2</t>
  </si>
  <si>
    <t>HIGH PRESSURE HOT WATER WASH DOWN</t>
  </si>
  <si>
    <t>1No. X 35mm &amp;
1No. X 54mm</t>
  </si>
  <si>
    <t>1No. x 54mm</t>
  </si>
  <si>
    <t>1. Manufacturer to confirm final tank dimensions</t>
  </si>
  <si>
    <t>CAT 5 Booster Pump</t>
  </si>
  <si>
    <t>Ref No.</t>
  </si>
  <si>
    <t>Associated Tank Volume (Litre)</t>
  </si>
  <si>
    <t>CAT5-01</t>
  </si>
  <si>
    <t>1.2lt/s @ 3.0 bar</t>
  </si>
  <si>
    <t>Run / standby  pump with break tank</t>
  </si>
  <si>
    <t>Boost -A - Break BTAB 3 -10</t>
  </si>
  <si>
    <t>2. Supplied by Arrow Valves, Grundfos Pumps or equal &amp; approved.</t>
  </si>
  <si>
    <t>Electric Shower Schedule</t>
  </si>
  <si>
    <t>System Ref.</t>
  </si>
  <si>
    <t>No. Off</t>
  </si>
  <si>
    <t>Storage Capacity</t>
  </si>
  <si>
    <t xml:space="preserve">Model
</t>
  </si>
  <si>
    <t>Max Temp</t>
  </si>
  <si>
    <t>TMV 3</t>
  </si>
  <si>
    <t>Weight Full</t>
  </si>
  <si>
    <t>Electrical Supply</t>
  </si>
  <si>
    <t>(kW)</t>
  </si>
  <si>
    <t>(Litres)</t>
  </si>
  <si>
    <r>
      <t>(</t>
    </r>
    <r>
      <rPr>
        <b/>
        <sz val="9"/>
        <rFont val="Calibri"/>
        <family val="2"/>
      </rPr>
      <t>°</t>
    </r>
    <r>
      <rPr>
        <b/>
        <sz val="9"/>
        <rFont val="Arial"/>
        <family val="2"/>
      </rPr>
      <t>C)</t>
    </r>
  </si>
  <si>
    <t>Required?</t>
  </si>
  <si>
    <t>(kg)</t>
  </si>
  <si>
    <t>ph/V/hz</t>
  </si>
  <si>
    <t>Power (w)</t>
  </si>
  <si>
    <t>H 
(mm)</t>
  </si>
  <si>
    <t>L 
(mm)</t>
  </si>
  <si>
    <t>W 
(mm)</t>
  </si>
  <si>
    <t>SHW-01</t>
  </si>
  <si>
    <t>F05 Unisex Squat</t>
  </si>
  <si>
    <t>NA</t>
  </si>
  <si>
    <t>Fed from CAT5 Supply, temperature control</t>
  </si>
  <si>
    <t>SHW-02</t>
  </si>
  <si>
    <t>F22 Unisex Squat</t>
  </si>
  <si>
    <t>1. Showers to be complete with Hose, head and fixing rail</t>
  </si>
  <si>
    <t>Water Heater Schedule</t>
  </si>
  <si>
    <t>Coil Duty</t>
  </si>
  <si>
    <t xml:space="preserve">Flow/Return Temp (C)
</t>
  </si>
  <si>
    <t xml:space="preserve">Immersion Heaters No/kW
</t>
  </si>
  <si>
    <t xml:space="preserve">Construction
</t>
  </si>
  <si>
    <t xml:space="preserve">Max Recovery (L/h)
</t>
  </si>
  <si>
    <t xml:space="preserve">Max Gas Rate (m3/hr)
</t>
  </si>
  <si>
    <t xml:space="preserve">Flue size (mm)
</t>
  </si>
  <si>
    <t xml:space="preserve">Working/ Max Pressure (Bar)
</t>
  </si>
  <si>
    <t>ph/V/hazy</t>
  </si>
  <si>
    <t>WH-01</t>
  </si>
  <si>
    <t>General Domestic Hot Water</t>
  </si>
  <si>
    <t>LTHW Indirect + Electric Immersion</t>
  </si>
  <si>
    <t>60/55</t>
  </si>
  <si>
    <t>1No. 3kW</t>
  </si>
  <si>
    <t>Copper</t>
  </si>
  <si>
    <t>4/8 bar</t>
  </si>
  <si>
    <t>1/50/230</t>
  </si>
  <si>
    <t>Cylinder to come with controls for pasteurisation.</t>
  </si>
  <si>
    <t>1. Cylinder to be pre insulated to current Building Regulations.</t>
  </si>
  <si>
    <t>2. Cylinder to be complete with Safety Valve, Pressure and Temperature Gauges, Anti Vac Valve, pockets for temperature and pressure sensors.</t>
  </si>
  <si>
    <t>Expansion Vessel for Domestic Hot Water</t>
  </si>
  <si>
    <t>System Volume</t>
  </si>
  <si>
    <t xml:space="preserve">Pre Charge/Max </t>
  </si>
  <si>
    <t>Vessel Model Volume</t>
  </si>
  <si>
    <r>
      <t>Temperature
(</t>
    </r>
    <r>
      <rPr>
        <b/>
        <vertAlign val="superscript"/>
        <sz val="8"/>
        <rFont val="Arial"/>
        <family val="2"/>
      </rPr>
      <t>o</t>
    </r>
    <r>
      <rPr>
        <b/>
        <sz val="8"/>
        <rFont val="Arial"/>
        <family val="2"/>
      </rPr>
      <t>C)</t>
    </r>
  </si>
  <si>
    <t>Glycol</t>
  </si>
  <si>
    <t>Medium</t>
  </si>
  <si>
    <t>Connection Size ("BSP) Inlet</t>
  </si>
  <si>
    <r>
      <t>Expansion Dimensions
(</t>
    </r>
    <r>
      <rPr>
        <b/>
        <sz val="8"/>
        <rFont val="Calibri"/>
        <family val="2"/>
      </rPr>
      <t xml:space="preserve">Ø x H </t>
    </r>
    <r>
      <rPr>
        <b/>
        <sz val="8"/>
        <rFont val="Arial"/>
        <family val="2"/>
      </rPr>
      <t>mm)</t>
    </r>
  </si>
  <si>
    <t>(L)</t>
  </si>
  <si>
    <t>(Bar Gauge)</t>
  </si>
  <si>
    <t>EV-01</t>
  </si>
  <si>
    <t>Hot Water Cylinder</t>
  </si>
  <si>
    <t>2.5/4.5</t>
  </si>
  <si>
    <t>10/65</t>
  </si>
  <si>
    <t>n/a - Water Only</t>
  </si>
  <si>
    <t>Domestic Water</t>
  </si>
  <si>
    <t>Unit to be suitable for domestic water services - WRAS approved.
Suitable for siting externally</t>
  </si>
  <si>
    <t>1. Manufacturer to check expansion volume/conditions and confirm requirements are satisfied.</t>
  </si>
  <si>
    <t>2. Unit to be suitable for domestic hot water *WRAS Approved"</t>
  </si>
  <si>
    <t>EWH-01</t>
  </si>
  <si>
    <t>PT13F - Sink</t>
  </si>
  <si>
    <t>Unvented Undersink</t>
  </si>
  <si>
    <t>1/230/50</t>
  </si>
  <si>
    <t>Temperature control, U2 Expansion pack inc. expansion vessel, relief valve &amp; check valve</t>
  </si>
  <si>
    <t>1. To be mounted below sink</t>
  </si>
  <si>
    <t>Type &amp; Description</t>
  </si>
  <si>
    <t>Pipe Size</t>
  </si>
  <si>
    <t>Max Flow Rate (l/s)</t>
  </si>
  <si>
    <t>Min Flow Rate (l/s)</t>
  </si>
  <si>
    <t>Pressure Loss</t>
  </si>
  <si>
    <t>Meter Conn Size</t>
  </si>
  <si>
    <t xml:space="preserve">(kPa or mBar) </t>
  </si>
  <si>
    <t>1. Turndown ratios be in line with manufactures requirements</t>
  </si>
  <si>
    <t>2. Connection/meter/seals to be suitable for the medium served.</t>
  </si>
  <si>
    <t>Resistance</t>
  </si>
  <si>
    <t>Flow/Return Temp</t>
  </si>
  <si>
    <t>Type/Model</t>
  </si>
  <si>
    <t>Dims (LxWxH)</t>
  </si>
  <si>
    <t>Duty/ Standby?</t>
  </si>
  <si>
    <t>Glycol/  Type 
%</t>
  </si>
  <si>
    <t>Pump Speed</t>
  </si>
  <si>
    <t>Motor</t>
  </si>
  <si>
    <t>(kPa)</t>
  </si>
  <si>
    <r>
      <t>(</t>
    </r>
    <r>
      <rPr>
        <b/>
        <vertAlign val="superscript"/>
        <sz val="9"/>
        <rFont val="Arial"/>
        <family val="2"/>
      </rPr>
      <t>o</t>
    </r>
    <r>
      <rPr>
        <b/>
        <sz val="9"/>
        <rFont val="Arial"/>
        <family val="2"/>
      </rPr>
      <t>C)</t>
    </r>
  </si>
  <si>
    <t>(rpm)</t>
  </si>
  <si>
    <t>(w)</t>
  </si>
  <si>
    <t>P1</t>
  </si>
  <si>
    <t>Secondary Circulation</t>
  </si>
  <si>
    <t>Single Head -WRAS Approved</t>
  </si>
  <si>
    <t>35dia</t>
  </si>
  <si>
    <t>N/A</t>
  </si>
  <si>
    <t>Pump with Inverter - suitable for domestic hot water</t>
  </si>
  <si>
    <t>P2</t>
  </si>
  <si>
    <t>CT LTHW</t>
  </si>
  <si>
    <t>45/40</t>
  </si>
  <si>
    <t>Single Head Pump</t>
  </si>
  <si>
    <t>22dia</t>
  </si>
  <si>
    <t>No</t>
  </si>
  <si>
    <t>Pump with inverter and ramp up/down on pressure</t>
  </si>
  <si>
    <t>1. Pumps to be capable of additional margin 10% Flow &amp; 20% Resistance from what is noted above.</t>
  </si>
  <si>
    <t>2. Pumps to be complete with flexible connections suitable for the medium.</t>
  </si>
  <si>
    <t>Flowrate</t>
  </si>
  <si>
    <t>Mains Pressure</t>
  </si>
  <si>
    <t>Required Pressure</t>
  </si>
  <si>
    <t>Max Inlet Pressure</t>
  </si>
  <si>
    <t>Max Pressure Lift</t>
  </si>
  <si>
    <t>Max Outlet Pressure</t>
  </si>
  <si>
    <t>Noise</t>
  </si>
  <si>
    <t>(m3/hr)</t>
  </si>
  <si>
    <t>(mBar)</t>
  </si>
  <si>
    <t>(dBA)</t>
  </si>
  <si>
    <t>Input (kW)</t>
  </si>
  <si>
    <t>GB1</t>
  </si>
  <si>
    <t>Natural gas to Steam Boilers</t>
  </si>
  <si>
    <t>Utile Model 876A</t>
  </si>
  <si>
    <t>Boiler minimum operating pressure 62mBar, maximum 200mBar</t>
  </si>
  <si>
    <t>GB2</t>
  </si>
  <si>
    <t>Pressurisation Unit</t>
  </si>
  <si>
    <t>Press Unit Model</t>
  </si>
  <si>
    <t>Vessel Model Volume 
(Litre)</t>
  </si>
  <si>
    <t>Wall Unit dimensions (mm)(mm)</t>
  </si>
  <si>
    <r>
      <t>Expansion Vessel Diameter 
(</t>
    </r>
    <r>
      <rPr>
        <b/>
        <sz val="8"/>
        <rFont val="Calibri"/>
        <family val="2"/>
      </rPr>
      <t xml:space="preserve">Ø x H </t>
    </r>
    <r>
      <rPr>
        <b/>
        <sz val="8"/>
        <rFont val="Arial"/>
        <family val="2"/>
      </rPr>
      <t>mm)</t>
    </r>
  </si>
  <si>
    <t>PU1</t>
  </si>
  <si>
    <t>Primary LTHW (Chiller) - 
Unit to be located externally</t>
  </si>
  <si>
    <t>2.5/3.5</t>
  </si>
  <si>
    <t>1/2"</t>
  </si>
  <si>
    <t>Cold Feed by BCWS. System Static Head 10.0 m. Min fluid risk category 4 backflow preventer.
Unit to be suitable for external position</t>
  </si>
  <si>
    <t>1. As manufactured by BOSS MIDI press fill</t>
  </si>
  <si>
    <t>2. Suitable for external use</t>
  </si>
  <si>
    <t>3. Manufacturer to check expansion volume/conditions and confirm requirements are satisfied.</t>
  </si>
  <si>
    <t>Electric Heater</t>
  </si>
  <si>
    <t>Area
m2</t>
  </si>
  <si>
    <t>Duty @ 80w/m2</t>
  </si>
  <si>
    <t>(Watts)</t>
  </si>
  <si>
    <t>Ground Floor Electric Heaters</t>
  </si>
  <si>
    <t>EH-0-01</t>
  </si>
  <si>
    <t>Stairs</t>
  </si>
  <si>
    <t>Panel Heater</t>
  </si>
  <si>
    <t>PLXE</t>
  </si>
  <si>
    <t>Inc 7 day programmable timer</t>
  </si>
  <si>
    <t>First Floor Electric Heaters</t>
  </si>
  <si>
    <t>EH-1-01</t>
  </si>
  <si>
    <t>F01 Link Bridge</t>
  </si>
  <si>
    <t>Heater Batteries</t>
  </si>
  <si>
    <t>Location Ref:</t>
  </si>
  <si>
    <t>Area</t>
  </si>
  <si>
    <t>w/m2</t>
  </si>
  <si>
    <t>Design Output</t>
  </si>
  <si>
    <t>Actual Output</t>
  </si>
  <si>
    <t>Air Flowrate</t>
  </si>
  <si>
    <t>Fluid Flowrate</t>
  </si>
  <si>
    <t>Water F&amp;R Temps</t>
  </si>
  <si>
    <t>(W)</t>
  </si>
  <si>
    <r>
      <t>(</t>
    </r>
    <r>
      <rPr>
        <b/>
        <sz val="8"/>
        <rFont val="Calibri"/>
        <family val="2"/>
      </rPr>
      <t>°</t>
    </r>
    <r>
      <rPr>
        <b/>
        <sz val="6.8"/>
        <rFont val="Arial"/>
        <family val="2"/>
      </rPr>
      <t>C</t>
    </r>
    <r>
      <rPr>
        <b/>
        <sz val="8"/>
        <rFont val="Arial"/>
        <family val="2"/>
      </rPr>
      <t>)</t>
    </r>
  </si>
  <si>
    <t>D (mm)</t>
  </si>
  <si>
    <t>Duct Mounted Heater Batteries</t>
  </si>
  <si>
    <t>HB1</t>
  </si>
  <si>
    <t>F09 Male WCs</t>
  </si>
  <si>
    <t>SPC Duct Mounted Coil</t>
  </si>
  <si>
    <t>80/70</t>
  </si>
  <si>
    <t>S and P Coils Code 12W1B6.2-4Tx150</t>
  </si>
  <si>
    <t>HB2</t>
  </si>
  <si>
    <t>HB3</t>
  </si>
  <si>
    <t>F10 Female WCs</t>
  </si>
  <si>
    <t>HB4</t>
  </si>
  <si>
    <t>HB5</t>
  </si>
  <si>
    <t>F13 Female Lockers</t>
  </si>
  <si>
    <t>S and P Coils Code 12W1B8.1-8Tx315</t>
  </si>
  <si>
    <t>HB6</t>
  </si>
  <si>
    <t>F14 Male Lockers</t>
  </si>
  <si>
    <t>S and P Coils Code 12W1B8.1-9Tx350</t>
  </si>
  <si>
    <t>HB7</t>
  </si>
  <si>
    <t>F50 Female WC</t>
  </si>
  <si>
    <t>S and P Coils Code 12W1B12.1-5Tx200</t>
  </si>
  <si>
    <t>HB8</t>
  </si>
  <si>
    <t>F51 Male WC</t>
  </si>
  <si>
    <t>HB9</t>
  </si>
  <si>
    <t>F31 Servery</t>
  </si>
  <si>
    <t>ELEC</t>
  </si>
  <si>
    <t>Electric Heating Coil</t>
  </si>
  <si>
    <t>HB10</t>
  </si>
  <si>
    <t>G40 QA Room</t>
  </si>
  <si>
    <t>HB11</t>
  </si>
  <si>
    <t>F53 QA Room</t>
  </si>
  <si>
    <t>Compressed Air Plant</t>
  </si>
  <si>
    <t>internal/external</t>
  </si>
  <si>
    <t>SYSTEM SERVED</t>
  </si>
  <si>
    <t>COMPRESSED AIR QUALITY REQUIRED</t>
  </si>
  <si>
    <t>(ISO8573-1:2010)</t>
  </si>
  <si>
    <t>1:2:1????</t>
  </si>
  <si>
    <t>non direct food contact???</t>
  </si>
  <si>
    <t>TOTAL SYSTEM DUTY REQUIRED</t>
  </si>
  <si>
    <t xml:space="preserve">CFM, m3/min </t>
  </si>
  <si>
    <t>SYSTEM WORKING PRESSURE</t>
  </si>
  <si>
    <t>BarG</t>
  </si>
  <si>
    <t>Compressor</t>
  </si>
  <si>
    <t>Capacity</t>
  </si>
  <si>
    <t>Working Pressure</t>
  </si>
  <si>
    <t>No.</t>
  </si>
  <si>
    <t>Duty or Duty/Standby</t>
  </si>
  <si>
    <t>As applicable</t>
  </si>
  <si>
    <t>Variable Speed Rotary screw etc?</t>
  </si>
  <si>
    <t>Oil Lubricated or Oil Free</t>
  </si>
  <si>
    <t>Food Grade required?</t>
  </si>
  <si>
    <t>Size</t>
  </si>
  <si>
    <t>(W xD x H mm)</t>
  </si>
  <si>
    <t>Motor Rating</t>
  </si>
  <si>
    <t>(kW</t>
  </si>
  <si>
    <t>Cooling Method</t>
  </si>
  <si>
    <t>Air/Water</t>
  </si>
  <si>
    <t>manufacturer to advise air flow rate for cooling purposes</t>
  </si>
  <si>
    <t>Receiver</t>
  </si>
  <si>
    <t>Litres</t>
  </si>
  <si>
    <t>Orientation</t>
  </si>
  <si>
    <t>Horizontal/Vertical</t>
  </si>
  <si>
    <t>(Dia x H mm)</t>
  </si>
  <si>
    <t>Design Pressure</t>
  </si>
  <si>
    <t>Dryer</t>
  </si>
  <si>
    <t>Dew Point</t>
  </si>
  <si>
    <t>Purge Air</t>
  </si>
  <si>
    <t>Required Filtration - Pre Filters</t>
  </si>
  <si>
    <t>AO</t>
  </si>
  <si>
    <t xml:space="preserve">To be advised by Manufacturer to meet air quality </t>
  </si>
  <si>
    <t>AA</t>
  </si>
  <si>
    <t>Required Filtration - Post Filters</t>
  </si>
  <si>
    <t>Required Filtration - Carbon Tower</t>
  </si>
  <si>
    <t>Condensate Management System</t>
  </si>
  <si>
    <t>Additional items/Sundry's</t>
  </si>
  <si>
    <t>1. Manufacturer to advise any elements that are required to meet the air quality standard</t>
  </si>
  <si>
    <t>2. Manufacturer to advise of the air flow required to provide sufficient cooling to the units to comply with the Manufacturers recommendations</t>
  </si>
  <si>
    <t>3. Manufacturer to provide data sheet of components to accompany the selection/quotation</t>
  </si>
  <si>
    <t>Key Integrated Services Ltd 
Unit 2, Bollin Court
Mill Lane 
Lymm 
Cheshire
WA13 9SX
TEL: 01925 759948  FAX: 01925 758400</t>
  </si>
  <si>
    <t>Mechanical Power Requirements</t>
  </si>
  <si>
    <t>Item Reference</t>
  </si>
  <si>
    <t>Item Description</t>
  </si>
  <si>
    <t>Qty</t>
  </si>
  <si>
    <t>Drawing No</t>
  </si>
  <si>
    <t>Manufacturer</t>
  </si>
  <si>
    <t>ELECTRICAL DATA</t>
  </si>
  <si>
    <t>Data</t>
  </si>
  <si>
    <t>Local Supply or BMS Panel</t>
  </si>
  <si>
    <t>Priority</t>
  </si>
  <si>
    <t>Linked to Fire Alarm (shut down)</t>
  </si>
  <si>
    <t>Other</t>
  </si>
  <si>
    <t>Phase      1 or 3</t>
  </si>
  <si>
    <t>Voltage</t>
  </si>
  <si>
    <t>SC
(A)</t>
  </si>
  <si>
    <t>FLC
(A)</t>
  </si>
  <si>
    <t>Fuse
(A)</t>
  </si>
  <si>
    <t>Load (kW)</t>
  </si>
  <si>
    <t>Main Plant -External</t>
  </si>
  <si>
    <t>CHW 01</t>
  </si>
  <si>
    <t>Heat Pump Chiller AHU 1</t>
  </si>
  <si>
    <t>local</t>
  </si>
  <si>
    <t>In-rush - 650A</t>
  </si>
  <si>
    <t>AHU 01</t>
  </si>
  <si>
    <t>Air Handling Unit</t>
  </si>
  <si>
    <t>Per Pump - 3 Pump Included on the booster set</t>
  </si>
  <si>
    <t>LEV Fan</t>
  </si>
  <si>
    <t>inverter located adjacent to electrical panels.</t>
  </si>
  <si>
    <t>EF02 A &amp; B</t>
  </si>
  <si>
    <t>-</t>
  </si>
  <si>
    <t>Trace Heating</t>
  </si>
  <si>
    <t>CU 1</t>
  </si>
  <si>
    <t xml:space="preserve">VRF Condenser </t>
  </si>
  <si>
    <t>ASAP</t>
  </si>
  <si>
    <t>Note there are 9no 1ph electrical supplies required to the FCU's/BC box in the office areas</t>
  </si>
  <si>
    <t>Main Plant -Plantroom</t>
  </si>
  <si>
    <t>AHU 1 Supply Fan</t>
  </si>
  <si>
    <t>6 separate Isolators</t>
  </si>
  <si>
    <t>AHU 1 Extract Fan</t>
  </si>
  <si>
    <t>yes</t>
  </si>
  <si>
    <t>2 separate Isolators</t>
  </si>
  <si>
    <t>AHU 1 Thermal Wheel</t>
  </si>
  <si>
    <t>Internal</t>
  </si>
  <si>
    <t>Internal Wired</t>
  </si>
  <si>
    <t>AHU 02</t>
  </si>
  <si>
    <t>AHU 2 Supply Fan</t>
  </si>
  <si>
    <t>AHU 2  Extract Fan</t>
  </si>
  <si>
    <t>AHU 2 Thermal Wheel</t>
  </si>
  <si>
    <t>AHU 2 Electric Heater Battery</t>
  </si>
  <si>
    <t>Single stage Thyristor controlled</t>
  </si>
  <si>
    <t>PU 01</t>
  </si>
  <si>
    <t>Press Unit 01 - AHU 01</t>
  </si>
  <si>
    <t>PU 02</t>
  </si>
  <si>
    <t>Press Unit 02 - AHU 02</t>
  </si>
  <si>
    <t>Electric Water Heater 1</t>
  </si>
  <si>
    <t>90 Amps per phase</t>
  </si>
  <si>
    <t>HW 01 &amp; 02</t>
  </si>
  <si>
    <t>Electric Water Heater 2</t>
  </si>
  <si>
    <t>P01</t>
  </si>
  <si>
    <t>Secondary Circulation Pump</t>
  </si>
  <si>
    <t>secondary circulation pump</t>
  </si>
  <si>
    <t>CAT 02</t>
  </si>
  <si>
    <t>CAT 5 Booster - Cold</t>
  </si>
  <si>
    <t>CAT 01</t>
  </si>
  <si>
    <t>CAT 5 Booster - Hot</t>
  </si>
  <si>
    <t>CAT 5 Booster - Hot - Immersion</t>
  </si>
  <si>
    <t>Immersion mounted in tank</t>
  </si>
  <si>
    <t>WS 01</t>
  </si>
  <si>
    <t xml:space="preserve">Water Softener </t>
  </si>
  <si>
    <t>EF-P-01</t>
  </si>
  <si>
    <t>Roof Extract Fan</t>
  </si>
  <si>
    <t>28A SC</t>
  </si>
  <si>
    <t>C1 &amp; C2</t>
  </si>
  <si>
    <t>Compressed Air Compressors</t>
  </si>
  <si>
    <t>D1</t>
  </si>
  <si>
    <t>Desiccant Dryer</t>
  </si>
  <si>
    <t>MCCP</t>
  </si>
  <si>
    <t>BMS Panel</t>
  </si>
  <si>
    <t>Provide Data and FA interface to panel.</t>
  </si>
  <si>
    <t>Fire Dampers (FD-01-02 &amp; 02), (FD-A2-01 &amp; 02)</t>
  </si>
  <si>
    <t>Plantroom Area</t>
  </si>
  <si>
    <t>This also requires a FA interface</t>
  </si>
  <si>
    <t>Engineers Store</t>
  </si>
  <si>
    <t>R01</t>
  </si>
  <si>
    <t>RO Plant</t>
  </si>
  <si>
    <t>F10 Engineers Store</t>
  </si>
  <si>
    <t>KEY-01-DR-ME-90-101</t>
  </si>
  <si>
    <t>IWE</t>
  </si>
  <si>
    <t>Promax 4 2000</t>
  </si>
  <si>
    <t>4kW</t>
  </si>
  <si>
    <t>20 A Pre-Fusing on datasheet</t>
  </si>
  <si>
    <t>Notes
1. Only the supplies for the Mechanical Equipment supplied and installed by Key IS are indicated on this schedule..  Client equipment/plant is not included.
2. The electrical contractor to provide power supplies were we have indicated local supplies.  Where noted as BMS Panel, the power supply will be provided by the BMS Contractor.
3. Final Electrical connections to equipment to be by Electrical Contractor for continuity of Testing/Commissioning.
4. All Primary and Secondary containment to Mechanical equipment to be provided by the Electrical Contractor.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</si>
</sst>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7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b/>
      <sz val="9"/>
      <name val="Arial"/>
      <family val="2"/>
    </font>
    <font>
      <b/>
      <sz val="10"/>
      <name val="Arial"/>
      <family val="2"/>
    </font>
    <font>
      <vertAlign val="superscript"/>
      <sz val="10"/>
      <name val="Arial"/>
      <family val="2"/>
    </font>
    <font>
      <b/>
      <sz val="9"/>
      <color rgb="FF0070C0"/>
      <name val="Arial"/>
      <family val="2"/>
    </font>
    <font>
      <sz val="10"/>
      <color rgb="FFFF0000"/>
      <name val="Arial"/>
      <family val="2"/>
    </font>
    <font>
      <b/>
      <sz val="9"/>
      <color rgb="FFFF0000"/>
      <name val="Arial"/>
      <family val="2"/>
    </font>
    <font>
      <vertAlign val="superscript"/>
      <sz val="10"/>
      <color rgb="FFFF0000"/>
      <name val="Arial"/>
      <family val="2"/>
    </font>
    <font>
      <b/>
      <sz val="12"/>
      <color rgb="FFFF0000"/>
      <name val="Arial"/>
      <family val="2"/>
    </font>
    <font>
      <b/>
      <u/>
      <sz val="10"/>
      <name val="Arial"/>
      <family val="2"/>
    </font>
    <font>
      <sz val="11"/>
      <color rgb="FF006100"/>
      <name val="Calibri"/>
      <family val="2"/>
      <scheme val="minor"/>
    </font>
    <font>
      <b/>
      <sz val="11"/>
      <color theme="1"/>
      <name val="Calibri"/>
      <family val="2"/>
      <scheme val="minor"/>
    </font>
    <font>
      <sz val="10"/>
      <color theme="1"/>
      <name val="Arial"/>
      <family val="2"/>
    </font>
    <font>
      <sz val="10"/>
      <name val="Calibri"/>
      <family val="2"/>
      <scheme val="minor"/>
    </font>
    <font>
      <sz val="10"/>
      <color theme="1"/>
      <name val="Calibri"/>
      <family val="2"/>
      <scheme val="minor"/>
    </font>
    <font>
      <b/>
      <sz val="10"/>
      <color theme="1"/>
      <name val="Calibri"/>
      <family val="2"/>
      <scheme val="minor"/>
    </font>
    <font>
      <strike/>
      <sz val="10"/>
      <color rgb="FFFF0000"/>
      <name val="Calibri"/>
      <family val="2"/>
      <scheme val="minor"/>
    </font>
    <font>
      <b/>
      <strike/>
      <sz val="10"/>
      <color rgb="FFFF0000"/>
      <name val="Calibri"/>
      <family val="2"/>
      <scheme val="minor"/>
    </font>
    <font>
      <b/>
      <sz val="10"/>
      <name val="Calibri"/>
      <family val="2"/>
      <scheme val="minor"/>
    </font>
    <font>
      <sz val="9"/>
      <name val="Arial"/>
      <family val="2"/>
    </font>
    <font>
      <sz val="8"/>
      <color theme="1"/>
      <name val="Arial"/>
      <family val="2"/>
    </font>
    <font>
      <b/>
      <vertAlign val="superscript"/>
      <sz val="10"/>
      <color indexed="8"/>
      <name val="Calibri"/>
      <family val="2"/>
      <scheme val="minor"/>
    </font>
    <font>
      <b/>
      <sz val="10"/>
      <color indexed="8"/>
      <name val="Calibri"/>
      <family val="2"/>
      <scheme val="minor"/>
    </font>
    <font>
      <b/>
      <sz val="8"/>
      <name val="Arial"/>
      <family val="2"/>
    </font>
    <font>
      <sz val="9"/>
      <color theme="1"/>
      <name val="Calibri"/>
      <family val="2"/>
      <scheme val="minor"/>
    </font>
    <font>
      <sz val="9"/>
      <color theme="1"/>
      <name val="Arial"/>
      <family val="2"/>
    </font>
    <font>
      <b/>
      <i/>
      <sz val="9"/>
      <color rgb="FFFF0000"/>
      <name val="Arial"/>
      <family val="2"/>
    </font>
    <font>
      <b/>
      <sz val="9"/>
      <color theme="1"/>
      <name val="Calibri"/>
      <family val="2"/>
      <scheme val="minor"/>
    </font>
    <font>
      <b/>
      <vertAlign val="superscript"/>
      <sz val="9"/>
      <color indexed="8"/>
      <name val="Calibri"/>
      <family val="2"/>
    </font>
    <font>
      <b/>
      <sz val="9"/>
      <color indexed="8"/>
      <name val="Calibri"/>
      <family val="2"/>
    </font>
    <font>
      <sz val="8"/>
      <name val="Symbol"/>
      <family val="1"/>
      <charset val="2"/>
    </font>
    <font>
      <sz val="8"/>
      <color rgb="FFFF0000"/>
      <name val="Arial"/>
      <family val="2"/>
    </font>
    <font>
      <b/>
      <sz val="9"/>
      <color theme="1"/>
      <name val="Arial"/>
      <family val="2"/>
    </font>
    <font>
      <sz val="8"/>
      <color rgb="FF0070C0"/>
      <name val="Arial"/>
      <family val="2"/>
    </font>
    <font>
      <sz val="9"/>
      <color rgb="FFFF0000"/>
      <name val="Arial"/>
      <family val="2"/>
    </font>
    <font>
      <sz val="9"/>
      <color rgb="FFFF0000"/>
      <name val="Calibri"/>
      <family val="2"/>
    </font>
    <font>
      <sz val="9"/>
      <name val="Calibri"/>
      <family val="2"/>
    </font>
    <font>
      <b/>
      <sz val="9"/>
      <name val="Calibri"/>
      <family val="2"/>
    </font>
    <font>
      <b/>
      <vertAlign val="superscript"/>
      <sz val="9"/>
      <name val="Arial"/>
      <family val="2"/>
    </font>
    <font>
      <sz val="9"/>
      <color indexed="10"/>
      <name val="Arial"/>
      <family val="2"/>
    </font>
    <font>
      <vertAlign val="superscript"/>
      <sz val="9"/>
      <color indexed="10"/>
      <name val="Arial"/>
      <family val="2"/>
    </font>
    <font>
      <vertAlign val="superscript"/>
      <sz val="9"/>
      <name val="Arial"/>
      <family val="2"/>
    </font>
    <font>
      <sz val="10"/>
      <name val="Cambria"/>
      <family val="2"/>
      <scheme val="major"/>
    </font>
    <font>
      <sz val="10"/>
      <color rgb="FFFF0000"/>
      <name val="Cambria"/>
      <family val="2"/>
      <scheme val="major"/>
    </font>
    <font>
      <u/>
      <sz val="11"/>
      <color theme="10"/>
      <name val="Calibri"/>
      <family val="2"/>
      <scheme val="minor"/>
    </font>
    <font>
      <sz val="10"/>
      <color theme="1"/>
      <name val="Cambria"/>
      <family val="2"/>
      <scheme val="major"/>
    </font>
    <font>
      <b/>
      <sz val="10"/>
      <name val="Cambria"/>
      <family val="2"/>
      <scheme val="major"/>
    </font>
    <font>
      <b/>
      <sz val="10"/>
      <color rgb="FF0070C0"/>
      <name val="Arial"/>
      <family val="2"/>
    </font>
    <font>
      <b/>
      <sz val="8"/>
      <name val="Calibri"/>
      <family val="2"/>
    </font>
    <font>
      <b/>
      <vertAlign val="superscript"/>
      <sz val="8"/>
      <name val="Arial"/>
      <family val="2"/>
    </font>
    <font>
      <sz val="9"/>
      <name val="Calibri"/>
      <family val="2"/>
      <scheme val="minor"/>
    </font>
    <font>
      <b/>
      <vertAlign val="superscript"/>
      <sz val="8"/>
      <name val="Calibri"/>
      <family val="2"/>
    </font>
    <font>
      <sz val="8"/>
      <name val="Calibri"/>
      <family val="2"/>
      <scheme val="minor"/>
    </font>
    <font>
      <sz val="8"/>
      <color theme="1"/>
      <name val="Calibri"/>
      <family val="2"/>
      <scheme val="minor"/>
    </font>
    <font>
      <b/>
      <sz val="6.8"/>
      <name val="Arial"/>
      <family val="2"/>
    </font>
    <font>
      <sz val="9"/>
      <name val="Symbol"/>
      <family val="1"/>
      <charset val="2"/>
    </font>
    <font>
      <b/>
      <i/>
      <sz val="9"/>
      <name val="Arial"/>
      <family val="2"/>
    </font>
    <font>
      <sz val="11"/>
      <color rgb="FFFF0000"/>
      <name val="Calibri"/>
      <family val="2"/>
      <scheme val="minor"/>
    </font>
    <font>
      <b/>
      <sz val="14"/>
      <name val="Calibri"/>
      <family val="2"/>
      <scheme val="minor"/>
    </font>
    <font>
      <sz val="14"/>
      <name val="Calibri"/>
      <family val="2"/>
      <scheme val="minor"/>
    </font>
    <font>
      <b/>
      <u/>
      <sz val="11"/>
      <color rgb="FFFF0000"/>
      <name val="Calibri"/>
      <family val="2"/>
      <scheme val="minor"/>
    </font>
    <font>
      <u/>
      <sz val="11"/>
      <color rgb="FFFF0000"/>
      <name val="Calibri"/>
      <family val="2"/>
      <scheme val="minor"/>
    </font>
    <font>
      <i/>
      <sz val="11"/>
      <name val="Calibri"/>
      <family val="2"/>
      <scheme val="minor"/>
    </font>
    <font>
      <i/>
      <sz val="11"/>
      <color rgb="FFFF0000"/>
      <name val="Calibri"/>
      <family val="2"/>
      <scheme val="minor"/>
    </font>
    <font>
      <b/>
      <i/>
      <sz val="11"/>
      <name val="Calibri"/>
      <family val="2"/>
      <scheme val="minor"/>
    </font>
    <font>
      <i/>
      <u/>
      <sz val="11"/>
      <name val="Calibri"/>
      <family val="2"/>
      <scheme val="minor"/>
    </font>
    <font>
      <i/>
      <sz val="9"/>
      <color theme="1"/>
      <name val="Calibri"/>
      <family val="2"/>
      <scheme val="minor"/>
    </font>
    <font>
      <u/>
      <sz val="10"/>
      <color indexed="12"/>
      <name val="Arial"/>
      <family val="2"/>
    </font>
    <font>
      <sz val="11"/>
      <name val="Calibri"/>
      <family val="2"/>
      <scheme val="minor"/>
    </font>
    <font>
      <sz val="8"/>
      <name val="Arial"/>
    </font>
    <font>
      <sz val="8"/>
      <color theme="1"/>
      <name val="Arial"/>
    </font>
    <font>
      <sz val="11"/>
      <color rgb="FF000000"/>
      <name val="Aptos Narrow"/>
      <family val="2"/>
    </font>
  </fonts>
  <fills count="19">
    <fill>
      <patternFill patternType="none"/>
    </fill>
    <fill>
      <patternFill patternType="gray125"/>
    </fill>
    <fill>
      <patternFill patternType="solid">
        <fgColor theme="0" tint="-4.9989318521683403E-2"/>
        <bgColor indexed="64"/>
      </patternFill>
    </fill>
    <fill>
      <patternFill patternType="solid">
        <fgColor theme="8" tint="0.79998168889431442"/>
        <bgColor indexed="64"/>
      </patternFill>
    </fill>
    <fill>
      <patternFill patternType="solid">
        <fgColor theme="0"/>
        <bgColor indexed="64"/>
      </patternFill>
    </fill>
    <fill>
      <patternFill patternType="solid">
        <fgColor rgb="FFC6EFCE"/>
      </patternFill>
    </fill>
    <fill>
      <patternFill patternType="solid">
        <fgColor theme="8" tint="0.79998168889431442"/>
        <bgColor indexed="65"/>
      </patternFill>
    </fill>
    <fill>
      <patternFill patternType="solid">
        <fgColor rgb="FFFFFF0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indexed="2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rgb="FF7030A0"/>
        <bgColor indexed="64"/>
      </patternFill>
    </fill>
    <fill>
      <patternFill patternType="solid">
        <fgColor rgb="FFF04893"/>
        <bgColor indexed="64"/>
      </patternFill>
    </fill>
  </fills>
  <borders count="1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diagonal/>
    </border>
    <border>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thin">
        <color indexed="64"/>
      </left>
      <right/>
      <top style="medium">
        <color indexed="64"/>
      </top>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bottom style="medium">
        <color indexed="64"/>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medium">
        <color rgb="FF000000"/>
      </right>
      <top/>
      <bottom/>
      <diagonal/>
    </border>
    <border>
      <left/>
      <right style="medium">
        <color rgb="FF000000"/>
      </right>
      <top/>
      <bottom style="thin">
        <color indexed="64"/>
      </bottom>
      <diagonal/>
    </border>
    <border>
      <left/>
      <right style="thin">
        <color indexed="64"/>
      </right>
      <top/>
      <bottom style="thin">
        <color indexed="64"/>
      </bottom>
      <diagonal/>
    </border>
    <border>
      <left style="medium">
        <color indexed="64"/>
      </left>
      <right/>
      <top/>
      <bottom style="thin">
        <color indexed="64"/>
      </bottom>
      <diagonal/>
    </border>
    <border>
      <left/>
      <right style="medium">
        <color rgb="FF000000"/>
      </right>
      <top style="thin">
        <color indexed="64"/>
      </top>
      <bottom style="thin">
        <color indexed="64"/>
      </bottom>
      <diagonal/>
    </border>
    <border>
      <left style="medium">
        <color rgb="FF000000"/>
      </left>
      <right style="medium">
        <color rgb="FF000000"/>
      </right>
      <top style="medium">
        <color rgb="FF000000"/>
      </top>
      <bottom/>
      <diagonal/>
    </border>
    <border>
      <left style="thin">
        <color indexed="64"/>
      </left>
      <right/>
      <top/>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style="thin">
        <color indexed="64"/>
      </left>
      <right style="thin">
        <color indexed="64"/>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style="thin">
        <color indexed="64"/>
      </left>
      <right style="medium">
        <color indexed="64"/>
      </right>
      <top style="hair">
        <color indexed="64"/>
      </top>
      <bottom style="medium">
        <color indexed="64"/>
      </bottom>
      <diagonal/>
    </border>
    <border>
      <left/>
      <right style="medium">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bottom style="hair">
        <color indexed="64"/>
      </bottom>
      <diagonal/>
    </border>
    <border>
      <left style="medium">
        <color indexed="64"/>
      </left>
      <right style="thin">
        <color indexed="64"/>
      </right>
      <top/>
      <bottom style="hair">
        <color indexed="64"/>
      </bottom>
      <diagonal/>
    </border>
    <border>
      <left style="thin">
        <color indexed="64"/>
      </left>
      <right style="medium">
        <color indexed="64"/>
      </right>
      <top/>
      <bottom style="hair">
        <color indexed="64"/>
      </bottom>
      <diagonal/>
    </border>
    <border>
      <left style="medium">
        <color indexed="64"/>
      </left>
      <right style="medium">
        <color indexed="64"/>
      </right>
      <top/>
      <bottom style="thin">
        <color indexed="64"/>
      </bottom>
      <diagonal/>
    </border>
    <border>
      <left style="medium">
        <color indexed="64"/>
      </left>
      <right style="medium">
        <color indexed="64"/>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medium">
        <color indexed="64"/>
      </right>
      <top style="hair">
        <color indexed="64"/>
      </top>
      <bottom style="medium">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bottom style="dotted">
        <color indexed="64"/>
      </bottom>
      <diagonal/>
    </border>
    <border>
      <left/>
      <right style="dotted">
        <color indexed="64"/>
      </right>
      <top style="dotted">
        <color indexed="64"/>
      </top>
      <bottom style="medium">
        <color indexed="64"/>
      </bottom>
      <diagonal/>
    </border>
    <border>
      <left style="dotted">
        <color indexed="64"/>
      </left>
      <right style="dotted">
        <color indexed="64"/>
      </right>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dotted">
        <color indexed="64"/>
      </top>
      <bottom style="dotted">
        <color indexed="64"/>
      </bottom>
      <diagonal/>
    </border>
  </borders>
  <cellStyleXfs count="8">
    <xf numFmtId="0" fontId="0" fillId="0" borderId="0"/>
    <xf numFmtId="0" fontId="15" fillId="5" borderId="0" applyNumberFormat="0" applyBorder="0" applyAlignment="0" applyProtection="0"/>
    <xf numFmtId="0" fontId="3" fillId="6" borderId="0" applyNumberFormat="0" applyBorder="0" applyAlignment="0" applyProtection="0"/>
    <xf numFmtId="0" fontId="4" fillId="0" borderId="0"/>
    <xf numFmtId="0" fontId="3" fillId="0" borderId="0"/>
    <xf numFmtId="0" fontId="49" fillId="0" borderId="0" applyNumberFormat="0" applyFill="0" applyBorder="0" applyAlignment="0" applyProtection="0"/>
    <xf numFmtId="0" fontId="2" fillId="0" borderId="0"/>
    <xf numFmtId="0" fontId="72" fillId="0" borderId="0" applyNumberFormat="0" applyFill="0" applyBorder="0" applyAlignment="0" applyProtection="0">
      <alignment vertical="top"/>
      <protection locked="0"/>
    </xf>
  </cellStyleXfs>
  <cellXfs count="1160">
    <xf numFmtId="0" fontId="0" fillId="0" borderId="0" xfId="0"/>
    <xf numFmtId="0" fontId="5" fillId="0" borderId="1" xfId="0" applyFont="1" applyBorder="1" applyAlignment="1">
      <alignment horizontal="center" vertical="center" wrapText="1"/>
    </xf>
    <xf numFmtId="0" fontId="5" fillId="2" borderId="2" xfId="0" applyFont="1" applyFill="1" applyBorder="1" applyAlignment="1">
      <alignment horizontal="center" vertical="center" wrapText="1"/>
    </xf>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0" fontId="5" fillId="0" borderId="5" xfId="0" applyFont="1" applyBorder="1" applyAlignment="1">
      <alignment horizontal="center" vertical="center" wrapText="1"/>
    </xf>
    <xf numFmtId="0" fontId="7" fillId="3" borderId="6"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4" fillId="0" borderId="8" xfId="0" applyFont="1" applyBorder="1" applyAlignment="1">
      <alignment vertical="center"/>
    </xf>
    <xf numFmtId="0" fontId="4" fillId="0" borderId="9" xfId="0" applyFont="1" applyBorder="1" applyAlignment="1">
      <alignment vertical="center"/>
    </xf>
    <xf numFmtId="0" fontId="4" fillId="0" borderId="4" xfId="0" applyFont="1" applyBorder="1" applyAlignment="1">
      <alignment vertical="center"/>
    </xf>
    <xf numFmtId="0" fontId="4" fillId="0" borderId="0" xfId="0" applyFont="1" applyAlignment="1">
      <alignment horizontal="right" vertical="center"/>
    </xf>
    <xf numFmtId="0" fontId="4" fillId="0" borderId="10" xfId="0" applyFont="1" applyBorder="1" applyAlignment="1">
      <alignment vertical="center"/>
    </xf>
    <xf numFmtId="0" fontId="4" fillId="0" borderId="11" xfId="0" applyFont="1" applyBorder="1" applyAlignment="1">
      <alignment vertical="center"/>
    </xf>
    <xf numFmtId="0" fontId="4" fillId="0" borderId="0" xfId="0" applyFont="1"/>
    <xf numFmtId="0" fontId="4" fillId="0" borderId="5" xfId="0" applyFont="1" applyBorder="1"/>
    <xf numFmtId="0" fontId="4" fillId="0" borderId="13" xfId="0" applyFont="1" applyBorder="1"/>
    <xf numFmtId="0" fontId="4" fillId="0" borderId="14" xfId="0" applyFont="1" applyBorder="1"/>
    <xf numFmtId="0" fontId="7" fillId="3" borderId="15" xfId="0" applyFont="1" applyFill="1" applyBorder="1" applyAlignment="1">
      <alignment horizontal="center" vertical="center" wrapText="1"/>
    </xf>
    <xf numFmtId="0" fontId="4" fillId="0" borderId="17" xfId="0" applyFont="1" applyBorder="1" applyAlignment="1">
      <alignment vertical="center"/>
    </xf>
    <xf numFmtId="0" fontId="4" fillId="0" borderId="18" xfId="0" applyFont="1" applyBorder="1" applyAlignment="1">
      <alignment vertical="center"/>
    </xf>
    <xf numFmtId="0" fontId="4" fillId="0" borderId="1" xfId="0" applyFont="1" applyBorder="1"/>
    <xf numFmtId="0" fontId="4" fillId="0" borderId="2" xfId="0" applyFont="1" applyBorder="1"/>
    <xf numFmtId="0" fontId="4" fillId="0" borderId="3" xfId="0" applyFont="1" applyBorder="1"/>
    <xf numFmtId="0" fontId="4" fillId="0" borderId="15" xfId="0" applyFont="1" applyBorder="1" applyAlignment="1">
      <alignment vertical="center"/>
    </xf>
    <xf numFmtId="0" fontId="4" fillId="0" borderId="6" xfId="0" applyFont="1" applyBorder="1" applyAlignment="1">
      <alignment vertical="center"/>
    </xf>
    <xf numFmtId="0" fontId="4" fillId="0" borderId="1" xfId="0" applyFont="1" applyBorder="1" applyAlignment="1">
      <alignment vertical="center"/>
    </xf>
    <xf numFmtId="0" fontId="4" fillId="0" borderId="12" xfId="0" applyFont="1" applyBorder="1" applyAlignment="1">
      <alignment vertical="center"/>
    </xf>
    <xf numFmtId="0" fontId="4" fillId="0" borderId="20" xfId="0" applyFont="1" applyBorder="1" applyAlignment="1">
      <alignment vertical="center"/>
    </xf>
    <xf numFmtId="0" fontId="4" fillId="0" borderId="24" xfId="0" applyFont="1" applyBorder="1" applyAlignment="1">
      <alignment horizontal="right" vertical="center"/>
    </xf>
    <xf numFmtId="0" fontId="4" fillId="0" borderId="13" xfId="0" applyFont="1" applyBorder="1" applyAlignment="1">
      <alignment vertical="center"/>
    </xf>
    <xf numFmtId="0" fontId="5" fillId="2" borderId="1"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9" fillId="2" borderId="0" xfId="0" applyFont="1" applyFill="1"/>
    <xf numFmtId="0" fontId="9" fillId="2" borderId="0" xfId="0" applyFont="1" applyFill="1" applyAlignment="1">
      <alignment horizontal="left"/>
    </xf>
    <xf numFmtId="0" fontId="6" fillId="2" borderId="0" xfId="0" applyFont="1" applyFill="1" applyAlignment="1">
      <alignment horizontal="left"/>
    </xf>
    <xf numFmtId="0" fontId="5" fillId="2" borderId="12" xfId="0" applyFont="1" applyFill="1" applyBorder="1" applyAlignment="1">
      <alignment horizontal="center" vertical="center" wrapText="1"/>
    </xf>
    <xf numFmtId="0" fontId="5" fillId="2" borderId="13" xfId="0" applyFont="1" applyFill="1" applyBorder="1" applyAlignment="1">
      <alignment horizontal="center" vertical="center" wrapText="1"/>
    </xf>
    <xf numFmtId="0" fontId="6" fillId="2" borderId="0" xfId="0" applyFont="1" applyFill="1"/>
    <xf numFmtId="0" fontId="4" fillId="0" borderId="25" xfId="0" applyFont="1" applyBorder="1" applyAlignment="1">
      <alignment horizontal="center" vertical="center"/>
    </xf>
    <xf numFmtId="0" fontId="4" fillId="0" borderId="26" xfId="0" applyFont="1" applyBorder="1" applyAlignment="1">
      <alignment horizontal="center" vertical="center"/>
    </xf>
    <xf numFmtId="0" fontId="4" fillId="0" borderId="31" xfId="0" applyFont="1" applyBorder="1" applyAlignment="1">
      <alignment horizontal="right" vertical="center"/>
    </xf>
    <xf numFmtId="0" fontId="4" fillId="0" borderId="32" xfId="0" applyFont="1" applyBorder="1" applyAlignment="1">
      <alignment horizontal="right" vertical="center"/>
    </xf>
    <xf numFmtId="0" fontId="4" fillId="0" borderId="31" xfId="0" applyFont="1" applyBorder="1" applyAlignment="1">
      <alignment vertical="center"/>
    </xf>
    <xf numFmtId="0" fontId="4" fillId="0" borderId="32" xfId="0" applyFont="1" applyBorder="1" applyAlignment="1">
      <alignment vertical="center"/>
    </xf>
    <xf numFmtId="0" fontId="4" fillId="0" borderId="33" xfId="0" applyFont="1" applyBorder="1" applyAlignment="1">
      <alignment vertical="center"/>
    </xf>
    <xf numFmtId="0" fontId="4" fillId="0" borderId="34" xfId="0" applyFont="1" applyBorder="1" applyAlignment="1">
      <alignment vertical="center"/>
    </xf>
    <xf numFmtId="0" fontId="7" fillId="0" borderId="15" xfId="0" applyFont="1" applyBorder="1" applyAlignment="1">
      <alignment horizontal="left" vertical="center"/>
    </xf>
    <xf numFmtId="0" fontId="7" fillId="0" borderId="6" xfId="0" applyFont="1" applyBorder="1" applyAlignment="1">
      <alignment horizontal="left" vertical="center"/>
    </xf>
    <xf numFmtId="0" fontId="7" fillId="0" borderId="7" xfId="0" applyFont="1" applyBorder="1" applyAlignment="1">
      <alignment horizontal="left" vertical="center"/>
    </xf>
    <xf numFmtId="0" fontId="11" fillId="2" borderId="0" xfId="0" applyFont="1" applyFill="1" applyAlignment="1">
      <alignment horizontal="left"/>
    </xf>
    <xf numFmtId="0" fontId="4" fillId="0" borderId="24" xfId="0" applyFont="1" applyBorder="1" applyAlignment="1">
      <alignment vertical="center"/>
    </xf>
    <xf numFmtId="0" fontId="10" fillId="0" borderId="4" xfId="0" applyFont="1" applyBorder="1"/>
    <xf numFmtId="0" fontId="10" fillId="0" borderId="12" xfId="0" applyFont="1" applyBorder="1"/>
    <xf numFmtId="0" fontId="10" fillId="4" borderId="16" xfId="0" applyFont="1" applyFill="1" applyBorder="1" applyAlignment="1">
      <alignment horizontal="center" vertical="center" wrapText="1"/>
    </xf>
    <xf numFmtId="0" fontId="10" fillId="4" borderId="28" xfId="0" applyFont="1" applyFill="1" applyBorder="1" applyAlignment="1">
      <alignment horizontal="center" vertical="center" wrapText="1"/>
    </xf>
    <xf numFmtId="49" fontId="10" fillId="4" borderId="22" xfId="0" applyNumberFormat="1" applyFont="1" applyFill="1" applyBorder="1" applyAlignment="1">
      <alignment horizontal="center" vertical="center" wrapText="1"/>
    </xf>
    <xf numFmtId="0" fontId="10" fillId="4" borderId="19" xfId="0" applyFont="1" applyFill="1" applyBorder="1" applyAlignment="1">
      <alignment horizontal="center" vertical="center" wrapText="1"/>
    </xf>
    <xf numFmtId="49" fontId="10" fillId="4" borderId="32" xfId="0" applyNumberFormat="1" applyFont="1" applyFill="1" applyBorder="1" applyAlignment="1">
      <alignment horizontal="center" vertical="center" wrapText="1"/>
    </xf>
    <xf numFmtId="49" fontId="10" fillId="4" borderId="27" xfId="0" applyNumberFormat="1" applyFont="1" applyFill="1" applyBorder="1" applyAlignment="1">
      <alignment horizontal="center" vertical="center" wrapText="1"/>
    </xf>
    <xf numFmtId="49" fontId="10" fillId="4" borderId="20" xfId="0" applyNumberFormat="1" applyFont="1" applyFill="1" applyBorder="1" applyAlignment="1">
      <alignment horizontal="center" vertical="center" wrapText="1"/>
    </xf>
    <xf numFmtId="0" fontId="10" fillId="4" borderId="21" xfId="0" applyFont="1" applyFill="1" applyBorder="1" applyAlignment="1">
      <alignment horizontal="center" vertical="center" wrapText="1"/>
    </xf>
    <xf numFmtId="0" fontId="10" fillId="4" borderId="23" xfId="0" applyFont="1" applyFill="1" applyBorder="1" applyAlignment="1">
      <alignment horizontal="center" vertical="center" wrapText="1"/>
    </xf>
    <xf numFmtId="49" fontId="10" fillId="4" borderId="29" xfId="0" applyNumberFormat="1" applyFont="1" applyFill="1" applyBorder="1" applyAlignment="1">
      <alignment horizontal="center" vertical="center" wrapText="1"/>
    </xf>
    <xf numFmtId="0" fontId="10" fillId="4" borderId="30" xfId="0" applyFont="1" applyFill="1" applyBorder="1" applyAlignment="1">
      <alignment horizontal="center" vertical="center" wrapText="1"/>
    </xf>
    <xf numFmtId="0" fontId="13" fillId="0" borderId="0" xfId="0" applyFont="1"/>
    <xf numFmtId="0" fontId="5" fillId="2" borderId="0" xfId="0" applyFont="1" applyFill="1" applyAlignment="1">
      <alignment horizontal="center" vertical="center" wrapText="1"/>
    </xf>
    <xf numFmtId="49" fontId="10" fillId="4" borderId="9" xfId="0" applyNumberFormat="1" applyFont="1" applyFill="1" applyBorder="1" applyAlignment="1">
      <alignment horizontal="center" vertical="center" wrapText="1"/>
    </xf>
    <xf numFmtId="49" fontId="10" fillId="4" borderId="6" xfId="0" applyNumberFormat="1" applyFont="1" applyFill="1" applyBorder="1" applyAlignment="1">
      <alignment horizontal="center" vertical="center" wrapText="1"/>
    </xf>
    <xf numFmtId="49" fontId="10" fillId="4" borderId="18" xfId="0" applyNumberFormat="1" applyFont="1" applyFill="1" applyBorder="1" applyAlignment="1">
      <alignment horizontal="center" vertical="center" wrapText="1"/>
    </xf>
    <xf numFmtId="49" fontId="10" fillId="4" borderId="34" xfId="0" applyNumberFormat="1" applyFont="1" applyFill="1" applyBorder="1" applyAlignment="1">
      <alignment horizontal="center" vertical="center" wrapText="1"/>
    </xf>
    <xf numFmtId="0" fontId="7" fillId="0" borderId="15" xfId="0" applyFont="1" applyBorder="1" applyAlignment="1">
      <alignment horizontal="center" vertical="center"/>
    </xf>
    <xf numFmtId="0" fontId="7" fillId="0" borderId="51" xfId="0" applyFont="1" applyBorder="1" applyAlignment="1">
      <alignment horizontal="center" vertical="center"/>
    </xf>
    <xf numFmtId="49" fontId="10" fillId="4" borderId="52" xfId="0" applyNumberFormat="1" applyFont="1" applyFill="1" applyBorder="1" applyAlignment="1">
      <alignment horizontal="center" vertical="center" wrapText="1"/>
    </xf>
    <xf numFmtId="49" fontId="10" fillId="4" borderId="50" xfId="0" applyNumberFormat="1" applyFont="1" applyFill="1" applyBorder="1" applyAlignment="1">
      <alignment horizontal="center" vertical="center" wrapText="1"/>
    </xf>
    <xf numFmtId="49" fontId="10" fillId="4" borderId="44" xfId="0" applyNumberFormat="1" applyFont="1" applyFill="1" applyBorder="1" applyAlignment="1">
      <alignment horizontal="center" vertical="center" wrapText="1"/>
    </xf>
    <xf numFmtId="0" fontId="7" fillId="0" borderId="4" xfId="0" applyFont="1" applyBorder="1" applyAlignment="1">
      <alignment vertical="center"/>
    </xf>
    <xf numFmtId="49" fontId="10" fillId="4" borderId="8" xfId="0" applyNumberFormat="1" applyFont="1" applyFill="1" applyBorder="1" applyAlignment="1">
      <alignment horizontal="center" vertical="center" wrapText="1"/>
    </xf>
    <xf numFmtId="49" fontId="10" fillId="4" borderId="17" xfId="0" applyNumberFormat="1" applyFont="1" applyFill="1" applyBorder="1" applyAlignment="1">
      <alignment horizontal="center" vertical="center" wrapText="1"/>
    </xf>
    <xf numFmtId="49" fontId="10" fillId="4" borderId="33" xfId="0" applyNumberFormat="1" applyFont="1" applyFill="1" applyBorder="1" applyAlignment="1">
      <alignment horizontal="center" vertical="center" wrapText="1"/>
    </xf>
    <xf numFmtId="0" fontId="4" fillId="0" borderId="0" xfId="3"/>
    <xf numFmtId="0" fontId="18" fillId="0" borderId="14" xfId="3" applyFont="1" applyBorder="1"/>
    <xf numFmtId="0" fontId="18" fillId="0" borderId="13" xfId="3" applyFont="1" applyBorder="1"/>
    <xf numFmtId="0" fontId="18" fillId="0" borderId="12" xfId="3" applyFont="1" applyBorder="1"/>
    <xf numFmtId="0" fontId="18" fillId="0" borderId="5" xfId="3" applyFont="1" applyBorder="1"/>
    <xf numFmtId="0" fontId="18" fillId="0" borderId="0" xfId="3" applyFont="1"/>
    <xf numFmtId="0" fontId="18" fillId="0" borderId="4" xfId="3" applyFont="1" applyBorder="1"/>
    <xf numFmtId="0" fontId="18" fillId="0" borderId="3" xfId="3" applyFont="1" applyBorder="1"/>
    <xf numFmtId="0" fontId="18" fillId="0" borderId="2" xfId="3" applyFont="1" applyBorder="1"/>
    <xf numFmtId="0" fontId="18" fillId="0" borderId="1" xfId="3" applyFont="1" applyBorder="1"/>
    <xf numFmtId="0" fontId="18" fillId="0" borderId="44" xfId="3" applyFont="1" applyBorder="1" applyAlignment="1">
      <alignment horizontal="center" vertical="center" wrapText="1"/>
    </xf>
    <xf numFmtId="0" fontId="18" fillId="4" borderId="44" xfId="3" applyFont="1" applyFill="1" applyBorder="1" applyAlignment="1">
      <alignment horizontal="left" vertical="center" wrapText="1"/>
    </xf>
    <xf numFmtId="0" fontId="18" fillId="0" borderId="54" xfId="3" applyFont="1" applyBorder="1" applyAlignment="1">
      <alignment horizontal="center" vertical="center" wrapText="1"/>
    </xf>
    <xf numFmtId="0" fontId="18" fillId="0" borderId="55" xfId="3" applyFont="1" applyBorder="1" applyAlignment="1">
      <alignment horizontal="center" vertical="center" wrapText="1"/>
    </xf>
    <xf numFmtId="2" fontId="18" fillId="0" borderId="55" xfId="3" applyNumberFormat="1" applyFont="1" applyBorder="1" applyAlignment="1">
      <alignment horizontal="center" vertical="center" wrapText="1"/>
    </xf>
    <xf numFmtId="0" fontId="18" fillId="0" borderId="53" xfId="3" applyFont="1" applyBorder="1" applyAlignment="1">
      <alignment horizontal="center" vertical="center" wrapText="1"/>
    </xf>
    <xf numFmtId="0" fontId="19" fillId="0" borderId="50" xfId="3" applyFont="1" applyBorder="1"/>
    <xf numFmtId="0" fontId="20" fillId="0" borderId="56" xfId="3" applyFont="1" applyBorder="1"/>
    <xf numFmtId="0" fontId="18" fillId="0" borderId="50" xfId="3" applyFont="1" applyBorder="1" applyAlignment="1">
      <alignment horizontal="center" vertical="center" wrapText="1"/>
    </xf>
    <xf numFmtId="0" fontId="19" fillId="0" borderId="57" xfId="3" applyFont="1" applyBorder="1"/>
    <xf numFmtId="0" fontId="20" fillId="0" borderId="58" xfId="3" applyFont="1" applyBorder="1"/>
    <xf numFmtId="0" fontId="21" fillId="0" borderId="55" xfId="3" applyFont="1" applyBorder="1" applyAlignment="1">
      <alignment horizontal="center" vertical="center" wrapText="1"/>
    </xf>
    <xf numFmtId="0" fontId="21" fillId="0" borderId="50" xfId="3" applyFont="1" applyBorder="1" applyAlignment="1">
      <alignment horizontal="center" vertical="center" wrapText="1"/>
    </xf>
    <xf numFmtId="2" fontId="21" fillId="0" borderId="55" xfId="3" applyNumberFormat="1" applyFont="1" applyBorder="1" applyAlignment="1">
      <alignment horizontal="center" vertical="center" wrapText="1"/>
    </xf>
    <xf numFmtId="0" fontId="21" fillId="0" borderId="53" xfId="3" applyFont="1" applyBorder="1" applyAlignment="1">
      <alignment horizontal="center" vertical="center" wrapText="1"/>
    </xf>
    <xf numFmtId="0" fontId="21" fillId="0" borderId="57" xfId="3" applyFont="1" applyBorder="1"/>
    <xf numFmtId="0" fontId="22" fillId="0" borderId="58" xfId="3" applyFont="1" applyBorder="1"/>
    <xf numFmtId="2" fontId="18" fillId="0" borderId="50" xfId="3" applyNumberFormat="1" applyFont="1" applyBorder="1" applyAlignment="1">
      <alignment horizontal="center" vertical="center" wrapText="1"/>
    </xf>
    <xf numFmtId="0" fontId="18" fillId="4" borderId="53" xfId="3" applyFont="1" applyFill="1" applyBorder="1" applyAlignment="1">
      <alignment horizontal="center" vertical="center" wrapText="1"/>
    </xf>
    <xf numFmtId="2" fontId="18" fillId="4" borderId="53" xfId="3" applyNumberFormat="1" applyFont="1" applyFill="1" applyBorder="1" applyAlignment="1">
      <alignment horizontal="center" vertical="center" wrapText="1"/>
    </xf>
    <xf numFmtId="0" fontId="20" fillId="0" borderId="59" xfId="3" applyFont="1" applyBorder="1"/>
    <xf numFmtId="0" fontId="23" fillId="3" borderId="7" xfId="3" applyFont="1" applyFill="1" applyBorder="1" applyAlignment="1">
      <alignment horizontal="center" vertical="center" wrapText="1"/>
    </xf>
    <xf numFmtId="0" fontId="23" fillId="3" borderId="6" xfId="3" applyFont="1" applyFill="1" applyBorder="1" applyAlignment="1">
      <alignment horizontal="center" vertical="center" wrapText="1"/>
    </xf>
    <xf numFmtId="0" fontId="23" fillId="3" borderId="15" xfId="3" applyFont="1" applyFill="1" applyBorder="1" applyAlignment="1">
      <alignment horizontal="center" vertical="center" wrapText="1"/>
    </xf>
    <xf numFmtId="0" fontId="23" fillId="3" borderId="55" xfId="3" applyFont="1" applyFill="1" applyBorder="1" applyAlignment="1">
      <alignment horizontal="center" vertical="center" wrapText="1"/>
    </xf>
    <xf numFmtId="0" fontId="23" fillId="3" borderId="61" xfId="3" applyFont="1" applyFill="1" applyBorder="1" applyAlignment="1">
      <alignment horizontal="center" vertical="center" wrapText="1"/>
    </xf>
    <xf numFmtId="0" fontId="23" fillId="3" borderId="64" xfId="3" applyFont="1" applyFill="1" applyBorder="1" applyAlignment="1">
      <alignment horizontal="center" vertical="center" wrapText="1"/>
    </xf>
    <xf numFmtId="0" fontId="5" fillId="2" borderId="5" xfId="3" applyFont="1" applyFill="1" applyBorder="1" applyAlignment="1">
      <alignment horizontal="center" vertical="center" wrapText="1"/>
    </xf>
    <xf numFmtId="0" fontId="5" fillId="2" borderId="0" xfId="3" applyFont="1" applyFill="1" applyAlignment="1">
      <alignment horizontal="center" vertical="center" wrapText="1"/>
    </xf>
    <xf numFmtId="0" fontId="5" fillId="2" borderId="24" xfId="3" applyFont="1" applyFill="1" applyBorder="1" applyAlignment="1">
      <alignment horizontal="center" vertical="center" wrapText="1"/>
    </xf>
    <xf numFmtId="0" fontId="5" fillId="2" borderId="12" xfId="3" applyFont="1" applyFill="1" applyBorder="1" applyAlignment="1">
      <alignment horizontal="center" vertical="center" wrapText="1"/>
    </xf>
    <xf numFmtId="0" fontId="5" fillId="0" borderId="14" xfId="3" applyFont="1" applyBorder="1" applyAlignment="1">
      <alignment horizontal="center" vertical="center" wrapText="1"/>
    </xf>
    <xf numFmtId="0" fontId="5" fillId="0" borderId="12" xfId="3" applyFont="1" applyBorder="1" applyAlignment="1">
      <alignment horizontal="center" vertical="center" wrapText="1"/>
    </xf>
    <xf numFmtId="0" fontId="5" fillId="2" borderId="37" xfId="3" applyFont="1" applyFill="1" applyBorder="1" applyAlignment="1">
      <alignment horizontal="center" vertical="center" wrapText="1"/>
    </xf>
    <xf numFmtId="0" fontId="5" fillId="2" borderId="9" xfId="3" applyFont="1" applyFill="1" applyBorder="1" applyAlignment="1">
      <alignment horizontal="center" vertical="center" wrapText="1"/>
    </xf>
    <xf numFmtId="0" fontId="4" fillId="2" borderId="9" xfId="3" applyFill="1" applyBorder="1"/>
    <xf numFmtId="0" fontId="6" fillId="2" borderId="9" xfId="3" applyFont="1" applyFill="1" applyBorder="1" applyAlignment="1">
      <alignment horizontal="left"/>
    </xf>
    <xf numFmtId="14" fontId="6" fillId="2" borderId="9" xfId="3" applyNumberFormat="1" applyFont="1" applyFill="1" applyBorder="1" applyAlignment="1">
      <alignment horizontal="left"/>
    </xf>
    <xf numFmtId="0" fontId="9" fillId="2" borderId="27" xfId="3" applyFont="1" applyFill="1" applyBorder="1" applyAlignment="1">
      <alignment horizontal="left"/>
    </xf>
    <xf numFmtId="0" fontId="9" fillId="2" borderId="8" xfId="3" applyFont="1" applyFill="1" applyBorder="1" applyAlignment="1">
      <alignment horizontal="left"/>
    </xf>
    <xf numFmtId="0" fontId="5" fillId="0" borderId="5" xfId="3" applyFont="1" applyBorder="1" applyAlignment="1">
      <alignment horizontal="center" vertical="center" wrapText="1"/>
    </xf>
    <xf numFmtId="0" fontId="5" fillId="0" borderId="4" xfId="3" applyFont="1" applyBorder="1" applyAlignment="1">
      <alignment horizontal="center" vertical="center" wrapText="1"/>
    </xf>
    <xf numFmtId="0" fontId="6" fillId="2" borderId="9" xfId="3" applyFont="1" applyFill="1" applyBorder="1"/>
    <xf numFmtId="0" fontId="5" fillId="2" borderId="3" xfId="3" applyFont="1" applyFill="1" applyBorder="1" applyAlignment="1">
      <alignment horizontal="center" vertical="center" wrapText="1"/>
    </xf>
    <xf numFmtId="0" fontId="5" fillId="2" borderId="2" xfId="3" applyFont="1" applyFill="1" applyBorder="1" applyAlignment="1">
      <alignment horizontal="center" vertical="center" wrapText="1"/>
    </xf>
    <xf numFmtId="0" fontId="5" fillId="2" borderId="31" xfId="3" applyFont="1" applyFill="1" applyBorder="1" applyAlignment="1">
      <alignment horizontal="left" wrapText="1"/>
    </xf>
    <xf numFmtId="0" fontId="5" fillId="2" borderId="1" xfId="3" applyFont="1" applyFill="1" applyBorder="1" applyAlignment="1">
      <alignment horizontal="left" wrapText="1"/>
    </xf>
    <xf numFmtId="0" fontId="5" fillId="0" borderId="3" xfId="3" applyFont="1" applyBorder="1" applyAlignment="1">
      <alignment horizontal="center" vertical="center" wrapText="1"/>
    </xf>
    <xf numFmtId="0" fontId="5" fillId="0" borderId="1" xfId="3" applyFont="1" applyBorder="1" applyAlignment="1">
      <alignment horizontal="center" vertical="center" wrapText="1"/>
    </xf>
    <xf numFmtId="0" fontId="24" fillId="0" borderId="0" xfId="3" applyFont="1"/>
    <xf numFmtId="0" fontId="23" fillId="3" borderId="69" xfId="3" applyFont="1" applyFill="1" applyBorder="1" applyAlignment="1">
      <alignment horizontal="center" vertical="center" wrapText="1"/>
    </xf>
    <xf numFmtId="0" fontId="23" fillId="3" borderId="70" xfId="3" applyFont="1" applyFill="1" applyBorder="1" applyAlignment="1">
      <alignment horizontal="center" vertical="center" wrapText="1"/>
    </xf>
    <xf numFmtId="0" fontId="5" fillId="0" borderId="0" xfId="3" applyFont="1" applyAlignment="1">
      <alignment horizontal="center" vertical="center" wrapText="1"/>
    </xf>
    <xf numFmtId="0" fontId="5" fillId="2" borderId="81" xfId="3" applyFont="1" applyFill="1" applyBorder="1" applyAlignment="1">
      <alignment horizontal="center" vertical="center" wrapText="1"/>
    </xf>
    <xf numFmtId="0" fontId="5" fillId="2" borderId="57" xfId="3" applyFont="1" applyFill="1" applyBorder="1" applyAlignment="1">
      <alignment horizontal="center" vertical="center" wrapText="1"/>
    </xf>
    <xf numFmtId="0" fontId="6" fillId="2" borderId="57" xfId="3" applyFont="1" applyFill="1" applyBorder="1" applyAlignment="1">
      <alignment horizontal="left"/>
    </xf>
    <xf numFmtId="0" fontId="9" fillId="2" borderId="82" xfId="3" applyFont="1" applyFill="1" applyBorder="1" applyAlignment="1">
      <alignment horizontal="left"/>
    </xf>
    <xf numFmtId="0" fontId="5" fillId="2" borderId="83" xfId="3" applyFont="1" applyFill="1" applyBorder="1" applyAlignment="1">
      <alignment horizontal="center" vertical="center" wrapText="1"/>
    </xf>
    <xf numFmtId="0" fontId="23" fillId="2" borderId="57" xfId="3" applyFont="1" applyFill="1" applyBorder="1" applyAlignment="1" applyProtection="1">
      <alignment horizontal="left"/>
      <protection locked="0"/>
    </xf>
    <xf numFmtId="0" fontId="5" fillId="2" borderId="84" xfId="3" applyFont="1" applyFill="1" applyBorder="1" applyAlignment="1">
      <alignment horizontal="center" vertical="center" wrapText="1"/>
    </xf>
    <xf numFmtId="0" fontId="9" fillId="2" borderId="27" xfId="3" applyFont="1" applyFill="1" applyBorder="1"/>
    <xf numFmtId="0" fontId="5" fillId="2" borderId="8" xfId="3" applyFont="1" applyFill="1" applyBorder="1" applyAlignment="1">
      <alignment horizontal="center" vertical="center" wrapText="1"/>
    </xf>
    <xf numFmtId="0" fontId="5" fillId="0" borderId="2" xfId="3" applyFont="1" applyBorder="1" applyAlignment="1">
      <alignment horizontal="center" vertical="center" wrapText="1"/>
    </xf>
    <xf numFmtId="0" fontId="5" fillId="2" borderId="13" xfId="3" applyFont="1" applyFill="1" applyBorder="1" applyAlignment="1">
      <alignment horizontal="center" vertical="center" wrapText="1"/>
    </xf>
    <xf numFmtId="0" fontId="6" fillId="2" borderId="43" xfId="3" applyFont="1" applyFill="1" applyBorder="1" applyAlignment="1">
      <alignment horizontal="left"/>
    </xf>
    <xf numFmtId="0" fontId="6" fillId="2" borderId="37" xfId="3" applyFont="1" applyFill="1" applyBorder="1"/>
    <xf numFmtId="0" fontId="5" fillId="2" borderId="1" xfId="3" applyFont="1" applyFill="1" applyBorder="1" applyAlignment="1">
      <alignment horizontal="center" vertical="center" wrapText="1"/>
    </xf>
    <xf numFmtId="0" fontId="25" fillId="0" borderId="0" xfId="4" applyFont="1"/>
    <xf numFmtId="0" fontId="25" fillId="0" borderId="0" xfId="4" applyFont="1" applyAlignment="1">
      <alignment horizontal="center" vertical="center"/>
    </xf>
    <xf numFmtId="1" fontId="25" fillId="0" borderId="0" xfId="4" applyNumberFormat="1" applyFont="1"/>
    <xf numFmtId="0" fontId="25" fillId="0" borderId="0" xfId="4" applyFont="1" applyAlignment="1" applyProtection="1">
      <alignment horizontal="center" vertical="center"/>
      <protection locked="0"/>
    </xf>
    <xf numFmtId="0" fontId="25" fillId="0" borderId="0" xfId="4" applyFont="1" applyProtection="1">
      <protection locked="0"/>
    </xf>
    <xf numFmtId="1" fontId="25" fillId="0" borderId="0" xfId="4" applyNumberFormat="1" applyFont="1" applyProtection="1">
      <protection locked="0"/>
    </xf>
    <xf numFmtId="0" fontId="3" fillId="0" borderId="0" xfId="4" applyAlignment="1" applyProtection="1">
      <alignment wrapText="1"/>
      <protection locked="0"/>
    </xf>
    <xf numFmtId="0" fontId="19" fillId="4" borderId="48" xfId="4" applyFont="1" applyFill="1" applyBorder="1" applyAlignment="1" applyProtection="1">
      <alignment horizontal="center" vertical="center" wrapText="1"/>
      <protection locked="0"/>
    </xf>
    <xf numFmtId="0" fontId="19" fillId="4" borderId="55" xfId="4" applyFont="1" applyFill="1" applyBorder="1" applyAlignment="1" applyProtection="1">
      <alignment horizontal="center" vertical="center" wrapText="1"/>
      <protection locked="0"/>
    </xf>
    <xf numFmtId="164" fontId="19" fillId="4" borderId="55" xfId="4" applyNumberFormat="1" applyFont="1" applyFill="1" applyBorder="1" applyAlignment="1" applyProtection="1">
      <alignment horizontal="center" vertical="center" wrapText="1"/>
      <protection locked="0"/>
    </xf>
    <xf numFmtId="0" fontId="19" fillId="4" borderId="87" xfId="4" applyFont="1" applyFill="1" applyBorder="1" applyAlignment="1" applyProtection="1">
      <alignment horizontal="center" vertical="center" wrapText="1"/>
      <protection locked="0"/>
    </xf>
    <xf numFmtId="0" fontId="19" fillId="3" borderId="7" xfId="4" applyFont="1" applyFill="1" applyBorder="1" applyAlignment="1" applyProtection="1">
      <alignment horizontal="left" vertical="center" wrapText="1"/>
      <protection locked="0"/>
    </xf>
    <xf numFmtId="0" fontId="19" fillId="3" borderId="6" xfId="4" applyFont="1" applyFill="1" applyBorder="1" applyAlignment="1" applyProtection="1">
      <alignment horizontal="left" vertical="center" wrapText="1"/>
      <protection locked="0"/>
    </xf>
    <xf numFmtId="0" fontId="23" fillId="3" borderId="15" xfId="4" applyFont="1" applyFill="1" applyBorder="1" applyAlignment="1" applyProtection="1">
      <alignment horizontal="left" vertical="center"/>
      <protection locked="0"/>
    </xf>
    <xf numFmtId="0" fontId="20" fillId="3" borderId="5" xfId="4" applyFont="1" applyFill="1" applyBorder="1" applyAlignment="1" applyProtection="1">
      <alignment wrapText="1"/>
      <protection locked="0"/>
    </xf>
    <xf numFmtId="0" fontId="20" fillId="3" borderId="86" xfId="4" applyFont="1" applyFill="1" applyBorder="1" applyAlignment="1" applyProtection="1">
      <alignment wrapText="1"/>
      <protection locked="0"/>
    </xf>
    <xf numFmtId="0" fontId="20" fillId="3" borderId="53" xfId="4" applyFont="1" applyFill="1" applyBorder="1" applyAlignment="1" applyProtection="1">
      <alignment horizontal="center" vertical="center" wrapText="1"/>
      <protection locked="0"/>
    </xf>
    <xf numFmtId="0" fontId="23" fillId="3" borderId="50" xfId="4" applyFont="1" applyFill="1" applyBorder="1" applyAlignment="1" applyProtection="1">
      <alignment horizontal="center" vertical="center" wrapText="1"/>
      <protection locked="0"/>
    </xf>
    <xf numFmtId="0" fontId="23" fillId="3" borderId="53" xfId="4" applyFont="1" applyFill="1" applyBorder="1" applyAlignment="1" applyProtection="1">
      <alignment horizontal="center" vertical="center" wrapText="1"/>
      <protection locked="0"/>
    </xf>
    <xf numFmtId="0" fontId="20" fillId="3" borderId="3" xfId="4" applyFont="1" applyFill="1" applyBorder="1" applyAlignment="1" applyProtection="1">
      <alignment wrapText="1"/>
      <protection locked="0"/>
    </xf>
    <xf numFmtId="0" fontId="23" fillId="3" borderId="47" xfId="4" applyFont="1" applyFill="1" applyBorder="1" applyAlignment="1" applyProtection="1">
      <alignment horizontal="left" vertical="center"/>
      <protection locked="0"/>
    </xf>
    <xf numFmtId="0" fontId="23" fillId="3" borderId="64" xfId="4" applyFont="1" applyFill="1" applyBorder="1" applyAlignment="1" applyProtection="1">
      <alignment horizontal="center" vertical="center" wrapText="1"/>
      <protection locked="0"/>
    </xf>
    <xf numFmtId="0" fontId="23" fillId="3" borderId="52" xfId="4" applyFont="1" applyFill="1" applyBorder="1" applyAlignment="1" applyProtection="1">
      <alignment horizontal="center" vertical="center" wrapText="1"/>
      <protection locked="0"/>
    </xf>
    <xf numFmtId="0" fontId="20" fillId="3" borderId="52" xfId="4" applyFont="1" applyFill="1" applyBorder="1" applyAlignment="1" applyProtection="1">
      <alignment horizontal="center" vertical="center" wrapText="1"/>
      <protection locked="0"/>
    </xf>
    <xf numFmtId="0" fontId="23" fillId="3" borderId="40" xfId="4" applyFont="1" applyFill="1" applyBorder="1" applyAlignment="1" applyProtection="1">
      <alignment horizontal="center" vertical="center" wrapText="1"/>
      <protection locked="0"/>
    </xf>
    <xf numFmtId="0" fontId="23" fillId="3" borderId="88" xfId="4" applyFont="1" applyFill="1" applyBorder="1" applyAlignment="1" applyProtection="1">
      <alignment horizontal="center" vertical="center" wrapText="1"/>
      <protection locked="0"/>
    </xf>
    <xf numFmtId="0" fontId="25" fillId="4" borderId="50" xfId="4" applyFont="1" applyFill="1" applyBorder="1"/>
    <xf numFmtId="0" fontId="25" fillId="4" borderId="0" xfId="4" applyFont="1" applyFill="1"/>
    <xf numFmtId="0" fontId="25" fillId="4" borderId="0" xfId="4" applyFont="1" applyFill="1" applyProtection="1">
      <protection locked="0"/>
    </xf>
    <xf numFmtId="0" fontId="19" fillId="4" borderId="16" xfId="4" applyFont="1" applyFill="1" applyBorder="1" applyAlignment="1" applyProtection="1">
      <alignment horizontal="center" vertical="center" wrapText="1"/>
      <protection locked="0"/>
    </xf>
    <xf numFmtId="0" fontId="19" fillId="4" borderId="50" xfId="4" applyFont="1" applyFill="1" applyBorder="1" applyAlignment="1" applyProtection="1">
      <alignment horizontal="center" vertical="center" wrapText="1"/>
      <protection locked="0"/>
    </xf>
    <xf numFmtId="2" fontId="19" fillId="4" borderId="50" xfId="4" applyNumberFormat="1" applyFont="1" applyFill="1" applyBorder="1" applyAlignment="1" applyProtection="1">
      <alignment horizontal="center" vertical="center" wrapText="1"/>
      <protection locked="0"/>
    </xf>
    <xf numFmtId="1" fontId="19" fillId="4" borderId="50" xfId="4" applyNumberFormat="1" applyFont="1" applyFill="1" applyBorder="1" applyAlignment="1" applyProtection="1">
      <alignment horizontal="center" vertical="center" wrapText="1"/>
      <protection locked="0"/>
    </xf>
    <xf numFmtId="0" fontId="19" fillId="4" borderId="53" xfId="4" applyFont="1" applyFill="1" applyBorder="1" applyAlignment="1" applyProtection="1">
      <alignment horizontal="center" vertical="center" wrapText="1"/>
      <protection locked="0"/>
    </xf>
    <xf numFmtId="0" fontId="19" fillId="4" borderId="58" xfId="4" applyFont="1" applyFill="1" applyBorder="1" applyAlignment="1" applyProtection="1">
      <alignment horizontal="center" vertical="center" wrapText="1"/>
      <protection locked="0"/>
    </xf>
    <xf numFmtId="0" fontId="23" fillId="3" borderId="19" xfId="4" applyFont="1" applyFill="1" applyBorder="1" applyAlignment="1" applyProtection="1">
      <alignment horizontal="center" vertical="center" wrapText="1"/>
      <protection locked="0"/>
    </xf>
    <xf numFmtId="0" fontId="20" fillId="3" borderId="50" xfId="4" applyFont="1" applyFill="1" applyBorder="1" applyAlignment="1" applyProtection="1">
      <alignment horizontal="center" vertical="center" wrapText="1"/>
      <protection locked="0"/>
    </xf>
    <xf numFmtId="0" fontId="23" fillId="3" borderId="55" xfId="4" applyFont="1" applyFill="1" applyBorder="1" applyAlignment="1" applyProtection="1">
      <alignment horizontal="center" vertical="center" wrapText="1"/>
      <protection locked="0"/>
    </xf>
    <xf numFmtId="1" fontId="23" fillId="3" borderId="55" xfId="4" applyNumberFormat="1" applyFont="1" applyFill="1" applyBorder="1" applyAlignment="1" applyProtection="1">
      <alignment horizontal="center" vertical="center" wrapText="1"/>
      <protection locked="0"/>
    </xf>
    <xf numFmtId="0" fontId="23" fillId="3" borderId="61" xfId="4" applyFont="1" applyFill="1" applyBorder="1" applyAlignment="1" applyProtection="1">
      <alignment horizontal="center" vertical="center" wrapText="1"/>
      <protection locked="0"/>
    </xf>
    <xf numFmtId="0" fontId="23" fillId="3" borderId="89" xfId="4" applyFont="1" applyFill="1" applyBorder="1" applyAlignment="1" applyProtection="1">
      <alignment horizontal="center" vertical="center" wrapText="1"/>
      <protection locked="0"/>
    </xf>
    <xf numFmtId="0" fontId="23" fillId="3" borderId="45" xfId="4" applyFont="1" applyFill="1" applyBorder="1" applyAlignment="1" applyProtection="1">
      <alignment horizontal="center" vertical="center" wrapText="1"/>
      <protection locked="0"/>
    </xf>
    <xf numFmtId="1" fontId="23" fillId="3" borderId="52" xfId="4" applyNumberFormat="1" applyFont="1" applyFill="1" applyBorder="1" applyAlignment="1" applyProtection="1">
      <alignment horizontal="center" vertical="center" wrapText="1"/>
      <protection locked="0"/>
    </xf>
    <xf numFmtId="0" fontId="3" fillId="0" borderId="0" xfId="4"/>
    <xf numFmtId="0" fontId="3" fillId="0" borderId="0" xfId="4" applyProtection="1">
      <protection locked="0"/>
    </xf>
    <xf numFmtId="0" fontId="5" fillId="2" borderId="14" xfId="4" applyFont="1" applyFill="1" applyBorder="1" applyAlignment="1" applyProtection="1">
      <alignment horizontal="center" vertical="center" wrapText="1"/>
      <protection locked="0"/>
    </xf>
    <xf numFmtId="0" fontId="5" fillId="2" borderId="13" xfId="4" applyFont="1" applyFill="1" applyBorder="1" applyAlignment="1" applyProtection="1">
      <alignment horizontal="center" vertical="center" wrapText="1"/>
      <protection locked="0"/>
    </xf>
    <xf numFmtId="0" fontId="5" fillId="2" borderId="0" xfId="4" applyFont="1" applyFill="1" applyAlignment="1" applyProtection="1">
      <alignment horizontal="center" vertical="center" wrapText="1"/>
      <protection locked="0"/>
    </xf>
    <xf numFmtId="0" fontId="5" fillId="2" borderId="12" xfId="4" applyFont="1" applyFill="1" applyBorder="1" applyAlignment="1" applyProtection="1">
      <alignment horizontal="center" vertical="center" wrapText="1"/>
      <protection locked="0"/>
    </xf>
    <xf numFmtId="0" fontId="5" fillId="2" borderId="5" xfId="4" applyFont="1" applyFill="1" applyBorder="1" applyAlignment="1" applyProtection="1">
      <alignment horizontal="center" vertical="center" wrapText="1"/>
      <protection locked="0"/>
    </xf>
    <xf numFmtId="0" fontId="3" fillId="2" borderId="0" xfId="4" applyFill="1" applyProtection="1">
      <protection locked="0"/>
    </xf>
    <xf numFmtId="0" fontId="6" fillId="2" borderId="0" xfId="4" applyFont="1" applyFill="1" applyAlignment="1" applyProtection="1">
      <alignment horizontal="left"/>
      <protection locked="0"/>
    </xf>
    <xf numFmtId="0" fontId="9" fillId="2" borderId="0" xfId="4" applyFont="1" applyFill="1" applyAlignment="1" applyProtection="1">
      <alignment horizontal="left"/>
      <protection locked="0"/>
    </xf>
    <xf numFmtId="0" fontId="3" fillId="0" borderId="0" xfId="4" applyAlignment="1" applyProtection="1">
      <alignment horizontal="center" vertical="center" wrapText="1"/>
      <protection locked="0"/>
    </xf>
    <xf numFmtId="0" fontId="6" fillId="2" borderId="0" xfId="4" applyFont="1" applyFill="1" applyProtection="1">
      <protection locked="0"/>
    </xf>
    <xf numFmtId="0" fontId="9" fillId="2" borderId="0" xfId="4" applyFont="1" applyFill="1" applyProtection="1">
      <protection locked="0"/>
    </xf>
    <xf numFmtId="0" fontId="17" fillId="4" borderId="28" xfId="4" applyFont="1" applyFill="1" applyBorder="1" applyAlignment="1" applyProtection="1">
      <alignment horizontal="center" wrapText="1"/>
      <protection locked="0"/>
    </xf>
    <xf numFmtId="0" fontId="17" fillId="4" borderId="50" xfId="4" applyFont="1" applyFill="1" applyBorder="1" applyAlignment="1" applyProtection="1">
      <alignment horizontal="center" wrapText="1"/>
      <protection locked="0"/>
    </xf>
    <xf numFmtId="0" fontId="17" fillId="4" borderId="56" xfId="4" applyFont="1" applyFill="1" applyBorder="1" applyAlignment="1" applyProtection="1">
      <alignment horizontal="center" wrapText="1"/>
      <protection locked="0"/>
    </xf>
    <xf numFmtId="0" fontId="28" fillId="3" borderId="23" xfId="4" applyFont="1" applyFill="1" applyBorder="1" applyAlignment="1" applyProtection="1">
      <alignment horizontal="center" vertical="center" wrapText="1"/>
      <protection locked="0"/>
    </xf>
    <xf numFmtId="0" fontId="28" fillId="3" borderId="52" xfId="4" applyFont="1" applyFill="1" applyBorder="1" applyAlignment="1" applyProtection="1">
      <alignment horizontal="center" vertical="center" wrapText="1"/>
      <protection locked="0"/>
    </xf>
    <xf numFmtId="0" fontId="28" fillId="3" borderId="59" xfId="4" applyFont="1" applyFill="1" applyBorder="1" applyAlignment="1" applyProtection="1">
      <alignment horizontal="center" vertical="center" wrapText="1"/>
      <protection locked="0"/>
    </xf>
    <xf numFmtId="0" fontId="3" fillId="4" borderId="0" xfId="4" applyFill="1" applyAlignment="1" applyProtection="1">
      <alignment horizontal="center" vertical="center" wrapText="1"/>
      <protection locked="0"/>
    </xf>
    <xf numFmtId="0" fontId="3" fillId="4" borderId="0" xfId="4" applyFill="1" applyAlignment="1" applyProtection="1">
      <alignment wrapText="1"/>
      <protection locked="0"/>
    </xf>
    <xf numFmtId="0" fontId="5" fillId="4" borderId="0" xfId="4" applyFont="1" applyFill="1" applyAlignment="1" applyProtection="1">
      <alignment wrapText="1"/>
      <protection locked="0"/>
    </xf>
    <xf numFmtId="0" fontId="17" fillId="4" borderId="50" xfId="4" applyFont="1" applyFill="1" applyBorder="1"/>
    <xf numFmtId="0" fontId="17" fillId="4" borderId="0" xfId="4" applyFont="1" applyFill="1"/>
    <xf numFmtId="0" fontId="17" fillId="4" borderId="0" xfId="4" applyFont="1" applyFill="1" applyProtection="1">
      <protection locked="0"/>
    </xf>
    <xf numFmtId="0" fontId="17" fillId="4" borderId="5" xfId="4" applyFont="1" applyFill="1" applyBorder="1" applyAlignment="1" applyProtection="1">
      <alignment horizontal="center" vertical="center"/>
      <protection locked="0"/>
    </xf>
    <xf numFmtId="49" fontId="17" fillId="4" borderId="86" xfId="4" applyNumberFormat="1" applyFont="1" applyFill="1" applyBorder="1" applyAlignment="1" applyProtection="1">
      <alignment horizontal="left" vertical="center"/>
      <protection locked="0"/>
    </xf>
    <xf numFmtId="0" fontId="17" fillId="4" borderId="55" xfId="4" applyFont="1" applyFill="1" applyBorder="1" applyAlignment="1" applyProtection="1">
      <alignment horizontal="center" vertical="center" wrapText="1"/>
      <protection locked="0"/>
    </xf>
    <xf numFmtId="0" fontId="17" fillId="4" borderId="63" xfId="4" applyFont="1" applyFill="1" applyBorder="1" applyAlignment="1" applyProtection="1">
      <alignment horizontal="center" vertical="center" wrapText="1"/>
      <protection locked="0"/>
    </xf>
    <xf numFmtId="0" fontId="16" fillId="3" borderId="5" xfId="4" applyFont="1" applyFill="1" applyBorder="1" applyAlignment="1" applyProtection="1">
      <alignment wrapText="1"/>
      <protection locked="0"/>
    </xf>
    <xf numFmtId="0" fontId="16" fillId="3" borderId="86" xfId="4" applyFont="1" applyFill="1" applyBorder="1" applyAlignment="1" applyProtection="1">
      <alignment wrapText="1"/>
      <protection locked="0"/>
    </xf>
    <xf numFmtId="0" fontId="16" fillId="3" borderId="53" xfId="4" applyFont="1" applyFill="1" applyBorder="1" applyAlignment="1" applyProtection="1">
      <alignment horizontal="center" vertical="center" wrapText="1"/>
      <protection locked="0"/>
    </xf>
    <xf numFmtId="0" fontId="28" fillId="3" borderId="50" xfId="4" applyFont="1" applyFill="1" applyBorder="1" applyAlignment="1" applyProtection="1">
      <alignment horizontal="center" vertical="center" wrapText="1"/>
      <protection locked="0"/>
    </xf>
    <xf numFmtId="0" fontId="28" fillId="3" borderId="53" xfId="4" applyFont="1" applyFill="1" applyBorder="1" applyAlignment="1" applyProtection="1">
      <alignment horizontal="center" vertical="center" wrapText="1"/>
      <protection locked="0"/>
    </xf>
    <xf numFmtId="0" fontId="16" fillId="3" borderId="3" xfId="4" applyFont="1" applyFill="1" applyBorder="1" applyAlignment="1" applyProtection="1">
      <alignment wrapText="1"/>
      <protection locked="0"/>
    </xf>
    <xf numFmtId="0" fontId="28" fillId="3" borderId="47" xfId="4" applyFont="1" applyFill="1" applyBorder="1" applyAlignment="1" applyProtection="1">
      <alignment horizontal="left" vertical="center"/>
      <protection locked="0"/>
    </xf>
    <xf numFmtId="0" fontId="28" fillId="3" borderId="64" xfId="4" applyFont="1" applyFill="1" applyBorder="1" applyAlignment="1" applyProtection="1">
      <alignment horizontal="center" vertical="center" wrapText="1"/>
      <protection locked="0"/>
    </xf>
    <xf numFmtId="0" fontId="16" fillId="3" borderId="52" xfId="4" applyFont="1" applyFill="1" applyBorder="1" applyAlignment="1" applyProtection="1">
      <alignment horizontal="center" vertical="center" wrapText="1"/>
      <protection locked="0"/>
    </xf>
    <xf numFmtId="0" fontId="28" fillId="3" borderId="40" xfId="4" applyFont="1" applyFill="1" applyBorder="1" applyAlignment="1" applyProtection="1">
      <alignment horizontal="center" vertical="center" wrapText="1"/>
      <protection locked="0"/>
    </xf>
    <xf numFmtId="0" fontId="17" fillId="4" borderId="28" xfId="4" applyFont="1" applyFill="1" applyBorder="1" applyAlignment="1" applyProtection="1">
      <alignment horizontal="center" vertical="center" wrapText="1"/>
      <protection locked="0"/>
    </xf>
    <xf numFmtId="0" fontId="17" fillId="4" borderId="50" xfId="4" applyFont="1" applyFill="1" applyBorder="1" applyAlignment="1" applyProtection="1">
      <alignment horizontal="center" vertical="center" wrapText="1"/>
      <protection locked="0"/>
    </xf>
    <xf numFmtId="164" fontId="17" fillId="4" borderId="53" xfId="4" applyNumberFormat="1" applyFont="1" applyFill="1" applyBorder="1" applyAlignment="1" applyProtection="1">
      <alignment horizontal="center" vertical="center" wrapText="1"/>
      <protection locked="0"/>
    </xf>
    <xf numFmtId="1" fontId="17" fillId="4" borderId="50" xfId="4" applyNumberFormat="1" applyFont="1" applyFill="1" applyBorder="1" applyAlignment="1" applyProtection="1">
      <alignment horizontal="center" vertical="center" wrapText="1"/>
      <protection locked="0"/>
    </xf>
    <xf numFmtId="0" fontId="17" fillId="4" borderId="53" xfId="4" applyFont="1" applyFill="1" applyBorder="1" applyAlignment="1" applyProtection="1">
      <alignment horizontal="center" vertical="center" wrapText="1"/>
      <protection locked="0"/>
    </xf>
    <xf numFmtId="0" fontId="17" fillId="4" borderId="56" xfId="4" applyFont="1" applyFill="1" applyBorder="1" applyAlignment="1" applyProtection="1">
      <alignment horizontal="center" vertical="center" wrapText="1"/>
      <protection locked="0"/>
    </xf>
    <xf numFmtId="0" fontId="25" fillId="4" borderId="28" xfId="4" applyFont="1" applyFill="1" applyBorder="1" applyAlignment="1" applyProtection="1">
      <alignment horizontal="center" vertical="center" wrapText="1"/>
      <protection locked="0"/>
    </xf>
    <xf numFmtId="0" fontId="25" fillId="4" borderId="50" xfId="4" applyFont="1" applyFill="1" applyBorder="1" applyAlignment="1" applyProtection="1">
      <alignment horizontal="center" vertical="center" wrapText="1"/>
      <protection locked="0"/>
    </xf>
    <xf numFmtId="0" fontId="25" fillId="4" borderId="50" xfId="4" applyFont="1" applyFill="1" applyBorder="1" applyAlignment="1" applyProtection="1">
      <alignment wrapText="1"/>
      <protection locked="0"/>
    </xf>
    <xf numFmtId="164" fontId="25" fillId="4" borderId="53" xfId="4" applyNumberFormat="1" applyFont="1" applyFill="1" applyBorder="1" applyAlignment="1" applyProtection="1">
      <alignment horizontal="center" vertical="center" wrapText="1"/>
      <protection locked="0"/>
    </xf>
    <xf numFmtId="1" fontId="25" fillId="4" borderId="50" xfId="4" applyNumberFormat="1" applyFont="1" applyFill="1" applyBorder="1" applyAlignment="1" applyProtection="1">
      <alignment horizontal="center" vertical="center" wrapText="1"/>
      <protection locked="0"/>
    </xf>
    <xf numFmtId="0" fontId="25" fillId="4" borderId="53" xfId="4" applyFont="1" applyFill="1" applyBorder="1" applyAlignment="1" applyProtection="1">
      <alignment horizontal="center" vertical="center" wrapText="1"/>
      <protection locked="0"/>
    </xf>
    <xf numFmtId="0" fontId="25" fillId="4" borderId="56" xfId="4" applyFont="1" applyFill="1" applyBorder="1" applyAlignment="1" applyProtection="1">
      <alignment horizontal="center" vertical="center" wrapText="1"/>
      <protection locked="0"/>
    </xf>
    <xf numFmtId="0" fontId="3" fillId="4" borderId="50" xfId="4" applyFill="1" applyBorder="1" applyAlignment="1" applyProtection="1">
      <alignment horizontal="center" vertical="center" wrapText="1"/>
      <protection locked="0"/>
    </xf>
    <xf numFmtId="0" fontId="17" fillId="4" borderId="50" xfId="4" applyFont="1" applyFill="1" applyBorder="1" applyAlignment="1" applyProtection="1">
      <alignment wrapText="1"/>
      <protection locked="0"/>
    </xf>
    <xf numFmtId="0" fontId="17" fillId="4" borderId="58" xfId="4" applyFont="1" applyFill="1" applyBorder="1" applyAlignment="1" applyProtection="1">
      <alignment horizontal="center" vertical="center" wrapText="1"/>
      <protection locked="0"/>
    </xf>
    <xf numFmtId="0" fontId="3" fillId="4" borderId="53" xfId="4" applyFill="1" applyBorder="1" applyAlignment="1" applyProtection="1">
      <alignment horizontal="center" vertical="center" wrapText="1"/>
      <protection locked="0"/>
    </xf>
    <xf numFmtId="0" fontId="17" fillId="4" borderId="16" xfId="4" applyFont="1" applyFill="1" applyBorder="1" applyAlignment="1" applyProtection="1">
      <alignment horizontal="center" vertical="center" wrapText="1"/>
      <protection locked="0"/>
    </xf>
    <xf numFmtId="0" fontId="29" fillId="3" borderId="7" xfId="4" applyFont="1" applyFill="1" applyBorder="1" applyAlignment="1" applyProtection="1">
      <alignment horizontal="left" vertical="center" wrapText="1"/>
      <protection locked="0"/>
    </xf>
    <xf numFmtId="0" fontId="29" fillId="3" borderId="6" xfId="4" applyFont="1" applyFill="1" applyBorder="1" applyAlignment="1" applyProtection="1">
      <alignment horizontal="left" vertical="center" wrapText="1"/>
      <protection locked="0"/>
    </xf>
    <xf numFmtId="0" fontId="6" fillId="3" borderId="15" xfId="4" applyFont="1" applyFill="1" applyBorder="1" applyAlignment="1" applyProtection="1">
      <alignment horizontal="left" vertical="center" wrapText="1"/>
      <protection locked="0"/>
    </xf>
    <xf numFmtId="0" fontId="17" fillId="4" borderId="0" xfId="4" applyFont="1" applyFill="1" applyAlignment="1" applyProtection="1">
      <alignment horizontal="center" wrapText="1"/>
      <protection locked="0"/>
    </xf>
    <xf numFmtId="0" fontId="17" fillId="4" borderId="0" xfId="4" applyFont="1" applyFill="1" applyAlignment="1" applyProtection="1">
      <alignment horizontal="left"/>
      <protection locked="0"/>
    </xf>
    <xf numFmtId="0" fontId="29" fillId="0" borderId="0" xfId="4" applyFont="1" applyAlignment="1" applyProtection="1">
      <alignment horizontal="center" vertical="center" wrapText="1"/>
      <protection locked="0"/>
    </xf>
    <xf numFmtId="0" fontId="29" fillId="0" borderId="0" xfId="4" applyFont="1" applyAlignment="1" applyProtection="1">
      <alignment wrapText="1"/>
      <protection locked="0"/>
    </xf>
    <xf numFmtId="0" fontId="30" fillId="4" borderId="28" xfId="4" applyFont="1" applyFill="1" applyBorder="1" applyAlignment="1" applyProtection="1">
      <alignment horizontal="center" wrapText="1"/>
      <protection locked="0"/>
    </xf>
    <xf numFmtId="0" fontId="30" fillId="4" borderId="50" xfId="4" applyFont="1" applyFill="1" applyBorder="1" applyAlignment="1" applyProtection="1">
      <alignment horizontal="center" wrapText="1"/>
      <protection locked="0"/>
    </xf>
    <xf numFmtId="0" fontId="30" fillId="4" borderId="56" xfId="4" applyFont="1" applyFill="1" applyBorder="1" applyAlignment="1" applyProtection="1">
      <alignment horizontal="center" wrapText="1"/>
      <protection locked="0"/>
    </xf>
    <xf numFmtId="0" fontId="30" fillId="0" borderId="0" xfId="4" applyFont="1"/>
    <xf numFmtId="0" fontId="29" fillId="4" borderId="0" xfId="4" applyFont="1" applyFill="1" applyAlignment="1" applyProtection="1">
      <alignment horizontal="center" vertical="center" wrapText="1"/>
      <protection locked="0"/>
    </xf>
    <xf numFmtId="0" fontId="29" fillId="4" borderId="0" xfId="4" applyFont="1" applyFill="1" applyAlignment="1" applyProtection="1">
      <alignment wrapText="1"/>
      <protection locked="0"/>
    </xf>
    <xf numFmtId="0" fontId="6" fillId="3" borderId="23" xfId="4" applyFont="1" applyFill="1" applyBorder="1" applyAlignment="1" applyProtection="1">
      <alignment horizontal="center" vertical="center" wrapText="1"/>
      <protection locked="0"/>
    </xf>
    <xf numFmtId="0" fontId="6" fillId="3" borderId="52" xfId="4" applyFont="1" applyFill="1" applyBorder="1" applyAlignment="1" applyProtection="1">
      <alignment horizontal="center" vertical="center" wrapText="1"/>
      <protection locked="0"/>
    </xf>
    <xf numFmtId="0" fontId="6" fillId="3" borderId="59" xfId="4" applyFont="1" applyFill="1" applyBorder="1" applyAlignment="1" applyProtection="1">
      <alignment horizontal="center" vertical="center" wrapText="1"/>
      <protection locked="0"/>
    </xf>
    <xf numFmtId="0" fontId="30" fillId="4" borderId="5" xfId="4" applyFont="1" applyFill="1" applyBorder="1" applyAlignment="1" applyProtection="1">
      <alignment horizontal="center" vertical="center"/>
      <protection locked="0"/>
    </xf>
    <xf numFmtId="0" fontId="31" fillId="4" borderId="86" xfId="4" applyFont="1" applyFill="1" applyBorder="1" applyAlignment="1" applyProtection="1">
      <alignment horizontal="left" vertical="center"/>
      <protection locked="0"/>
    </xf>
    <xf numFmtId="0" fontId="30" fillId="4" borderId="55" xfId="4" applyFont="1" applyFill="1" applyBorder="1" applyAlignment="1" applyProtection="1">
      <alignment horizontal="center" vertical="center" wrapText="1"/>
      <protection locked="0"/>
    </xf>
    <xf numFmtId="0" fontId="30" fillId="4" borderId="63" xfId="4" applyFont="1" applyFill="1" applyBorder="1" applyAlignment="1" applyProtection="1">
      <alignment horizontal="center" vertical="center" wrapText="1"/>
      <protection locked="0"/>
    </xf>
    <xf numFmtId="0" fontId="32" fillId="3" borderId="5" xfId="4" applyFont="1" applyFill="1" applyBorder="1" applyAlignment="1" applyProtection="1">
      <alignment wrapText="1"/>
      <protection locked="0"/>
    </xf>
    <xf numFmtId="0" fontId="32" fillId="3" borderId="86" xfId="4" applyFont="1" applyFill="1" applyBorder="1" applyAlignment="1" applyProtection="1">
      <alignment wrapText="1"/>
      <protection locked="0"/>
    </xf>
    <xf numFmtId="0" fontId="32" fillId="3" borderId="53" xfId="4" applyFont="1" applyFill="1" applyBorder="1" applyAlignment="1" applyProtection="1">
      <alignment horizontal="center" vertical="center" wrapText="1"/>
      <protection locked="0"/>
    </xf>
    <xf numFmtId="0" fontId="6" fillId="3" borderId="50" xfId="4" applyFont="1" applyFill="1" applyBorder="1" applyAlignment="1" applyProtection="1">
      <alignment horizontal="center" vertical="center" wrapText="1"/>
      <protection locked="0"/>
    </xf>
    <xf numFmtId="0" fontId="6" fillId="3" borderId="53" xfId="4" applyFont="1" applyFill="1" applyBorder="1" applyAlignment="1" applyProtection="1">
      <alignment horizontal="center" vertical="center" wrapText="1"/>
      <protection locked="0"/>
    </xf>
    <xf numFmtId="0" fontId="32" fillId="3" borderId="3" xfId="4" applyFont="1" applyFill="1" applyBorder="1" applyAlignment="1" applyProtection="1">
      <alignment wrapText="1"/>
      <protection locked="0"/>
    </xf>
    <xf numFmtId="0" fontId="6" fillId="3" borderId="47" xfId="4" applyFont="1" applyFill="1" applyBorder="1" applyAlignment="1" applyProtection="1">
      <alignment horizontal="left" vertical="center"/>
      <protection locked="0"/>
    </xf>
    <xf numFmtId="0" fontId="6" fillId="3" borderId="64" xfId="4" applyFont="1" applyFill="1" applyBorder="1" applyAlignment="1" applyProtection="1">
      <alignment horizontal="center" vertical="center" wrapText="1"/>
      <protection locked="0"/>
    </xf>
    <xf numFmtId="0" fontId="32" fillId="3" borderId="52" xfId="4" applyFont="1" applyFill="1" applyBorder="1" applyAlignment="1" applyProtection="1">
      <alignment horizontal="center" vertical="center" wrapText="1"/>
      <protection locked="0"/>
    </xf>
    <xf numFmtId="0" fontId="6" fillId="3" borderId="40" xfId="4" applyFont="1" applyFill="1" applyBorder="1" applyAlignment="1" applyProtection="1">
      <alignment horizontal="center" vertical="center" wrapText="1"/>
      <protection locked="0"/>
    </xf>
    <xf numFmtId="0" fontId="6" fillId="3" borderId="88" xfId="4" applyFont="1" applyFill="1" applyBorder="1" applyAlignment="1" applyProtection="1">
      <alignment horizontal="center" vertical="center" wrapText="1"/>
      <protection locked="0"/>
    </xf>
    <xf numFmtId="0" fontId="30" fillId="4" borderId="60" xfId="4" applyFont="1" applyFill="1" applyBorder="1" applyAlignment="1" applyProtection="1">
      <alignment horizontal="center" vertical="center" wrapText="1"/>
      <protection locked="0"/>
    </xf>
    <xf numFmtId="0" fontId="30" fillId="4" borderId="55" xfId="4" applyFont="1" applyFill="1" applyBorder="1" applyAlignment="1" applyProtection="1">
      <alignment horizontal="center" vertical="top" wrapText="1"/>
      <protection locked="0"/>
    </xf>
    <xf numFmtId="0" fontId="30" fillId="4" borderId="61" xfId="4" applyFont="1" applyFill="1" applyBorder="1" applyAlignment="1" applyProtection="1">
      <alignment horizontal="center" vertical="center" wrapText="1"/>
      <protection locked="0"/>
    </xf>
    <xf numFmtId="0" fontId="30" fillId="4" borderId="89" xfId="4" applyFont="1" applyFill="1" applyBorder="1" applyAlignment="1" applyProtection="1">
      <alignment horizontal="center" vertical="center" wrapText="1"/>
      <protection locked="0"/>
    </xf>
    <xf numFmtId="0" fontId="30" fillId="4" borderId="28" xfId="4" applyFont="1" applyFill="1" applyBorder="1" applyAlignment="1" applyProtection="1">
      <alignment horizontal="center" vertical="center" wrapText="1"/>
      <protection locked="0"/>
    </xf>
    <xf numFmtId="0" fontId="29" fillId="4" borderId="53" xfId="4" applyFont="1" applyFill="1" applyBorder="1" applyAlignment="1" applyProtection="1">
      <alignment horizontal="center" vertical="center" wrapText="1"/>
      <protection locked="0"/>
    </xf>
    <xf numFmtId="0" fontId="30" fillId="4" borderId="50" xfId="4" applyFont="1" applyFill="1" applyBorder="1" applyAlignment="1" applyProtection="1">
      <alignment horizontal="center" vertical="center" wrapText="1"/>
      <protection locked="0"/>
    </xf>
    <xf numFmtId="0" fontId="30" fillId="4" borderId="53" xfId="4" applyFont="1" applyFill="1" applyBorder="1" applyAlignment="1" applyProtection="1">
      <alignment horizontal="center" vertical="center" wrapText="1"/>
      <protection locked="0"/>
    </xf>
    <xf numFmtId="0" fontId="30" fillId="4" borderId="50" xfId="4" applyFont="1" applyFill="1" applyBorder="1" applyAlignment="1" applyProtection="1">
      <alignment horizontal="center" vertical="top" wrapText="1"/>
      <protection locked="0"/>
    </xf>
    <xf numFmtId="2" fontId="30" fillId="4" borderId="53" xfId="4" applyNumberFormat="1" applyFont="1" applyFill="1" applyBorder="1" applyAlignment="1" applyProtection="1">
      <alignment horizontal="center" vertical="center" wrapText="1"/>
      <protection locked="0"/>
    </xf>
    <xf numFmtId="0" fontId="30" fillId="4" borderId="58" xfId="4" applyFont="1" applyFill="1" applyBorder="1" applyAlignment="1" applyProtection="1">
      <alignment horizontal="center" vertical="center" wrapText="1"/>
      <protection locked="0"/>
    </xf>
    <xf numFmtId="0" fontId="30" fillId="4" borderId="16" xfId="4" applyFont="1" applyFill="1" applyBorder="1" applyAlignment="1" applyProtection="1">
      <alignment horizontal="center" vertical="center" wrapText="1"/>
      <protection locked="0"/>
    </xf>
    <xf numFmtId="0" fontId="29" fillId="4" borderId="16" xfId="4" applyFont="1" applyFill="1" applyBorder="1" applyAlignment="1" applyProtection="1">
      <alignment horizontal="center" vertical="center" wrapText="1"/>
      <protection locked="0"/>
    </xf>
    <xf numFmtId="0" fontId="6" fillId="3" borderId="19" xfId="4" applyFont="1" applyFill="1" applyBorder="1" applyAlignment="1" applyProtection="1">
      <alignment horizontal="center" vertical="center" wrapText="1"/>
      <protection locked="0"/>
    </xf>
    <xf numFmtId="0" fontId="32" fillId="3" borderId="50" xfId="4" applyFont="1" applyFill="1" applyBorder="1" applyAlignment="1" applyProtection="1">
      <alignment horizontal="center" vertical="center" wrapText="1"/>
      <protection locked="0"/>
    </xf>
    <xf numFmtId="0" fontId="6" fillId="3" borderId="55" xfId="4" applyFont="1" applyFill="1" applyBorder="1" applyAlignment="1" applyProtection="1">
      <alignment horizontal="center" vertical="center" wrapText="1"/>
      <protection locked="0"/>
    </xf>
    <xf numFmtId="0" fontId="6" fillId="3" borderId="61" xfId="4" applyFont="1" applyFill="1" applyBorder="1" applyAlignment="1" applyProtection="1">
      <alignment horizontal="center" vertical="center" wrapText="1"/>
      <protection locked="0"/>
    </xf>
    <xf numFmtId="0" fontId="6" fillId="3" borderId="89" xfId="4" applyFont="1" applyFill="1" applyBorder="1" applyAlignment="1" applyProtection="1">
      <alignment horizontal="center" vertical="center" wrapText="1"/>
      <protection locked="0"/>
    </xf>
    <xf numFmtId="0" fontId="6" fillId="3" borderId="45" xfId="4" applyFont="1" applyFill="1" applyBorder="1" applyAlignment="1" applyProtection="1">
      <alignment horizontal="center" vertical="center" wrapText="1"/>
      <protection locked="0"/>
    </xf>
    <xf numFmtId="0" fontId="4" fillId="0" borderId="14" xfId="3" applyBorder="1"/>
    <xf numFmtId="0" fontId="4" fillId="0" borderId="13" xfId="3" applyBorder="1"/>
    <xf numFmtId="0" fontId="4" fillId="0" borderId="12" xfId="3" applyBorder="1"/>
    <xf numFmtId="0" fontId="4" fillId="0" borderId="5" xfId="3" applyBorder="1"/>
    <xf numFmtId="0" fontId="4" fillId="0" borderId="4" xfId="3" applyBorder="1"/>
    <xf numFmtId="0" fontId="4" fillId="0" borderId="3" xfId="3" applyBorder="1"/>
    <xf numFmtId="0" fontId="4" fillId="0" borderId="2" xfId="3" applyBorder="1"/>
    <xf numFmtId="0" fontId="5" fillId="0" borderId="1" xfId="3" applyFont="1" applyBorder="1"/>
    <xf numFmtId="0" fontId="5" fillId="0" borderId="44" xfId="3" applyFont="1" applyBorder="1" applyAlignment="1">
      <alignment horizontal="center" vertical="center" wrapText="1"/>
    </xf>
    <xf numFmtId="0" fontId="5" fillId="4" borderId="44" xfId="3" applyFont="1" applyFill="1" applyBorder="1" applyAlignment="1">
      <alignment horizontal="center" vertical="center" wrapText="1"/>
    </xf>
    <xf numFmtId="0" fontId="5" fillId="4" borderId="54" xfId="3" applyFont="1" applyFill="1" applyBorder="1" applyAlignment="1">
      <alignment horizontal="center" vertical="center" wrapText="1"/>
    </xf>
    <xf numFmtId="0" fontId="5" fillId="0" borderId="50" xfId="3" applyFont="1" applyBorder="1" applyAlignment="1">
      <alignment horizontal="left" vertical="center" wrapText="1"/>
    </xf>
    <xf numFmtId="0" fontId="5" fillId="0" borderId="50" xfId="3" applyFont="1" applyBorder="1" applyAlignment="1">
      <alignment horizontal="center" vertical="center" wrapText="1"/>
    </xf>
    <xf numFmtId="0" fontId="5" fillId="4" borderId="53" xfId="3" applyFont="1" applyFill="1" applyBorder="1" applyAlignment="1">
      <alignment horizontal="center" vertical="center" wrapText="1"/>
    </xf>
    <xf numFmtId="0" fontId="5" fillId="4" borderId="50" xfId="3" applyFont="1" applyFill="1" applyBorder="1" applyAlignment="1">
      <alignment horizontal="center" vertical="center" wrapText="1"/>
    </xf>
    <xf numFmtId="0" fontId="5" fillId="4" borderId="56" xfId="3" applyFont="1" applyFill="1" applyBorder="1" applyAlignment="1">
      <alignment horizontal="center" vertical="center" wrapText="1"/>
    </xf>
    <xf numFmtId="0" fontId="5" fillId="0" borderId="53" xfId="3" applyFont="1" applyBorder="1" applyAlignment="1">
      <alignment horizontal="center" vertical="center" wrapText="1"/>
    </xf>
    <xf numFmtId="0" fontId="5" fillId="4" borderId="50" xfId="3" applyFont="1" applyFill="1" applyBorder="1" applyAlignment="1">
      <alignment horizontal="left" vertical="center" wrapText="1"/>
    </xf>
    <xf numFmtId="0" fontId="5" fillId="4" borderId="58" xfId="3" applyFont="1" applyFill="1" applyBorder="1" applyAlignment="1">
      <alignment horizontal="center" vertical="center" wrapText="1"/>
    </xf>
    <xf numFmtId="0" fontId="28" fillId="3" borderId="61" xfId="3" applyFont="1" applyFill="1" applyBorder="1" applyAlignment="1">
      <alignment horizontal="center" vertical="center" wrapText="1"/>
    </xf>
    <xf numFmtId="0" fontId="28" fillId="3" borderId="64" xfId="3" applyFont="1" applyFill="1" applyBorder="1" applyAlignment="1">
      <alignment horizontal="center" vertical="center" wrapText="1"/>
    </xf>
    <xf numFmtId="0" fontId="5" fillId="2" borderId="26" xfId="3" applyFont="1" applyFill="1" applyBorder="1" applyAlignment="1">
      <alignment horizontal="center" vertical="center" wrapText="1"/>
    </xf>
    <xf numFmtId="0" fontId="5" fillId="2" borderId="34" xfId="3" applyFont="1" applyFill="1" applyBorder="1" applyAlignment="1">
      <alignment horizontal="center" vertical="center" wrapText="1"/>
    </xf>
    <xf numFmtId="0" fontId="5" fillId="2" borderId="29" xfId="3" applyFont="1" applyFill="1" applyBorder="1" applyAlignment="1">
      <alignment horizontal="center" vertical="center" wrapText="1"/>
    </xf>
    <xf numFmtId="0" fontId="6" fillId="2" borderId="36" xfId="3" applyFont="1" applyFill="1" applyBorder="1" applyAlignment="1">
      <alignment horizontal="left"/>
    </xf>
    <xf numFmtId="0" fontId="6" fillId="2" borderId="36" xfId="3" applyFont="1" applyFill="1" applyBorder="1"/>
    <xf numFmtId="0" fontId="5" fillId="2" borderId="41" xfId="3" applyFont="1" applyFill="1" applyBorder="1" applyAlignment="1">
      <alignment horizontal="center" vertical="center" wrapText="1"/>
    </xf>
    <xf numFmtId="0" fontId="5" fillId="2" borderId="18" xfId="3" applyFont="1" applyFill="1" applyBorder="1" applyAlignment="1">
      <alignment horizontal="center" vertical="center" wrapText="1"/>
    </xf>
    <xf numFmtId="0" fontId="5" fillId="2" borderId="22" xfId="3" applyFont="1" applyFill="1" applyBorder="1" applyAlignment="1">
      <alignment horizontal="center" vertical="center" wrapText="1"/>
    </xf>
    <xf numFmtId="0" fontId="5" fillId="0" borderId="4" xfId="3" applyFont="1" applyBorder="1"/>
    <xf numFmtId="0" fontId="5" fillId="4" borderId="61" xfId="3" applyFont="1" applyFill="1" applyBorder="1" applyAlignment="1">
      <alignment horizontal="center" vertical="center" wrapText="1"/>
    </xf>
    <xf numFmtId="1" fontId="5" fillId="4" borderId="53" xfId="3" applyNumberFormat="1" applyFont="1" applyFill="1" applyBorder="1" applyAlignment="1">
      <alignment horizontal="center" vertical="center" wrapText="1"/>
    </xf>
    <xf numFmtId="0" fontId="5" fillId="0" borderId="57" xfId="3" applyFont="1" applyBorder="1" applyAlignment="1">
      <alignment horizontal="center"/>
    </xf>
    <xf numFmtId="0" fontId="5" fillId="0" borderId="58" xfId="3" applyFont="1" applyBorder="1" applyAlignment="1">
      <alignment horizontal="center"/>
    </xf>
    <xf numFmtId="0" fontId="6" fillId="3" borderId="44" xfId="3" applyFont="1" applyFill="1" applyBorder="1" applyAlignment="1">
      <alignment horizontal="center" vertical="center" wrapText="1"/>
    </xf>
    <xf numFmtId="0" fontId="5" fillId="2" borderId="32" xfId="3" applyFont="1" applyFill="1" applyBorder="1" applyAlignment="1">
      <alignment horizontal="center" vertical="center" wrapText="1"/>
    </xf>
    <xf numFmtId="0" fontId="5" fillId="2" borderId="4" xfId="3" applyFont="1" applyFill="1" applyBorder="1" applyAlignment="1">
      <alignment horizontal="center" vertical="center" wrapText="1"/>
    </xf>
    <xf numFmtId="0" fontId="5" fillId="2" borderId="49" xfId="3" applyFont="1" applyFill="1" applyBorder="1" applyAlignment="1">
      <alignment horizontal="center" vertical="center" wrapText="1"/>
    </xf>
    <xf numFmtId="0" fontId="5" fillId="2" borderId="11" xfId="3" applyFont="1" applyFill="1" applyBorder="1" applyAlignment="1">
      <alignment horizontal="center" vertical="center" wrapText="1"/>
    </xf>
    <xf numFmtId="0" fontId="4" fillId="2" borderId="11" xfId="3" applyFill="1" applyBorder="1"/>
    <xf numFmtId="14" fontId="6" fillId="2" borderId="11" xfId="3" applyNumberFormat="1" applyFont="1" applyFill="1" applyBorder="1" applyAlignment="1">
      <alignment horizontal="left"/>
    </xf>
    <xf numFmtId="14" fontId="11" fillId="2" borderId="11" xfId="3" applyNumberFormat="1" applyFont="1" applyFill="1" applyBorder="1" applyAlignment="1">
      <alignment horizontal="left"/>
    </xf>
    <xf numFmtId="0" fontId="5" fillId="2" borderId="87" xfId="3" applyFont="1" applyFill="1" applyBorder="1" applyAlignment="1">
      <alignment horizontal="center" vertical="center" wrapText="1"/>
    </xf>
    <xf numFmtId="0" fontId="9" fillId="2" borderId="10" xfId="3" applyFont="1" applyFill="1" applyBorder="1" applyAlignment="1">
      <alignment horizontal="left"/>
    </xf>
    <xf numFmtId="0" fontId="11" fillId="2" borderId="9" xfId="3" applyFont="1" applyFill="1" applyBorder="1" applyAlignment="1">
      <alignment horizontal="left"/>
    </xf>
    <xf numFmtId="0" fontId="5" fillId="2" borderId="27" xfId="3" applyFont="1" applyFill="1" applyBorder="1" applyAlignment="1">
      <alignment horizontal="center" vertical="center" wrapText="1"/>
    </xf>
    <xf numFmtId="0" fontId="11" fillId="2" borderId="36" xfId="3" applyFont="1" applyFill="1" applyBorder="1"/>
    <xf numFmtId="0" fontId="9" fillId="2" borderId="8" xfId="3" applyFont="1" applyFill="1" applyBorder="1"/>
    <xf numFmtId="0" fontId="5" fillId="2" borderId="31" xfId="3" applyFont="1" applyFill="1" applyBorder="1" applyAlignment="1">
      <alignment horizontal="center" vertical="center" wrapText="1"/>
    </xf>
    <xf numFmtId="1" fontId="5" fillId="0" borderId="53" xfId="3" applyNumberFormat="1" applyFont="1" applyBorder="1" applyAlignment="1">
      <alignment horizontal="center" vertical="center" wrapText="1"/>
    </xf>
    <xf numFmtId="0" fontId="38" fillId="0" borderId="53" xfId="3" applyFont="1" applyBorder="1" applyAlignment="1">
      <alignment horizontal="center" vertical="center" wrapText="1"/>
    </xf>
    <xf numFmtId="0" fontId="5" fillId="7" borderId="53" xfId="3" applyFont="1" applyFill="1" applyBorder="1" applyAlignment="1">
      <alignment horizontal="center" vertical="center" wrapText="1"/>
    </xf>
    <xf numFmtId="1" fontId="5" fillId="7" borderId="53" xfId="3" applyNumberFormat="1" applyFont="1" applyFill="1" applyBorder="1" applyAlignment="1">
      <alignment horizontal="center" vertical="center" wrapText="1"/>
    </xf>
    <xf numFmtId="0" fontId="5" fillId="7" borderId="57" xfId="3" applyFont="1" applyFill="1" applyBorder="1" applyAlignment="1">
      <alignment horizontal="center"/>
    </xf>
    <xf numFmtId="0" fontId="5" fillId="7" borderId="58" xfId="3" applyFont="1" applyFill="1" applyBorder="1" applyAlignment="1">
      <alignment horizontal="center"/>
    </xf>
    <xf numFmtId="0" fontId="5" fillId="2" borderId="14" xfId="3" applyFont="1" applyFill="1" applyBorder="1" applyAlignment="1">
      <alignment horizontal="center" vertical="center" wrapText="1"/>
    </xf>
    <xf numFmtId="14" fontId="6" fillId="2" borderId="0" xfId="3" applyNumberFormat="1" applyFont="1" applyFill="1" applyAlignment="1">
      <alignment horizontal="left"/>
    </xf>
    <xf numFmtId="0" fontId="11" fillId="2" borderId="0" xfId="3" applyFont="1" applyFill="1"/>
    <xf numFmtId="0" fontId="9" fillId="2" borderId="0" xfId="3" applyFont="1" applyFill="1" applyAlignment="1">
      <alignment horizontal="left"/>
    </xf>
    <xf numFmtId="0" fontId="9" fillId="2" borderId="4" xfId="3" applyFont="1" applyFill="1" applyBorder="1" applyAlignment="1">
      <alignment horizontal="left"/>
    </xf>
    <xf numFmtId="0" fontId="6" fillId="2" borderId="0" xfId="3" applyFont="1" applyFill="1" applyAlignment="1">
      <alignment horizontal="left"/>
    </xf>
    <xf numFmtId="0" fontId="6" fillId="2" borderId="0" xfId="3" applyFont="1" applyFill="1"/>
    <xf numFmtId="0" fontId="9" fillId="2" borderId="0" xfId="3" applyFont="1" applyFill="1"/>
    <xf numFmtId="0" fontId="9" fillId="2" borderId="4" xfId="3" applyFont="1" applyFill="1" applyBorder="1"/>
    <xf numFmtId="0" fontId="5" fillId="0" borderId="58" xfId="3" applyFont="1" applyBorder="1" applyAlignment="1">
      <alignment horizontal="center" vertical="center" wrapText="1"/>
    </xf>
    <xf numFmtId="0" fontId="5" fillId="0" borderId="56" xfId="3" applyFont="1" applyBorder="1" applyAlignment="1">
      <alignment horizontal="center" vertical="center" wrapText="1"/>
    </xf>
    <xf numFmtId="0" fontId="5" fillId="0" borderId="53" xfId="3" applyFont="1" applyBorder="1" applyAlignment="1">
      <alignment horizontal="left" vertical="center" wrapText="1"/>
    </xf>
    <xf numFmtId="0" fontId="28" fillId="3" borderId="7" xfId="3" applyFont="1" applyFill="1" applyBorder="1" applyAlignment="1">
      <alignment horizontal="center" vertical="center" wrapText="1"/>
    </xf>
    <xf numFmtId="0" fontId="28" fillId="3" borderId="6" xfId="3" applyFont="1" applyFill="1" applyBorder="1" applyAlignment="1">
      <alignment horizontal="center" vertical="center" wrapText="1"/>
    </xf>
    <xf numFmtId="0" fontId="7" fillId="3" borderId="6" xfId="3" applyFont="1" applyFill="1" applyBorder="1" applyAlignment="1">
      <alignment horizontal="center" vertical="center" wrapText="1"/>
    </xf>
    <xf numFmtId="0" fontId="28" fillId="3" borderId="15" xfId="3" applyFont="1" applyFill="1" applyBorder="1" applyAlignment="1">
      <alignment horizontal="center" vertical="center" wrapText="1"/>
    </xf>
    <xf numFmtId="0" fontId="28" fillId="3" borderId="62" xfId="3" applyFont="1" applyFill="1" applyBorder="1" applyAlignment="1">
      <alignment horizontal="center" vertical="center" wrapText="1"/>
    </xf>
    <xf numFmtId="0" fontId="5" fillId="2" borderId="25" xfId="3" applyFont="1" applyFill="1" applyBorder="1" applyAlignment="1">
      <alignment horizontal="center" vertical="center" wrapText="1"/>
    </xf>
    <xf numFmtId="0" fontId="5" fillId="2" borderId="33" xfId="3" applyFont="1" applyFill="1" applyBorder="1" applyAlignment="1">
      <alignment horizontal="center" vertical="center" wrapText="1"/>
    </xf>
    <xf numFmtId="0" fontId="11" fillId="2" borderId="36" xfId="3" applyFont="1" applyFill="1" applyBorder="1" applyAlignment="1">
      <alignment horizontal="left"/>
    </xf>
    <xf numFmtId="0" fontId="9" fillId="2" borderId="9" xfId="3" applyFont="1" applyFill="1" applyBorder="1" applyAlignment="1">
      <alignment horizontal="left"/>
    </xf>
    <xf numFmtId="0" fontId="9" fillId="2" borderId="9" xfId="3" applyFont="1" applyFill="1" applyBorder="1"/>
    <xf numFmtId="0" fontId="5" fillId="2" borderId="40" xfId="3" applyFont="1" applyFill="1" applyBorder="1" applyAlignment="1">
      <alignment horizontal="center" vertical="center" wrapText="1"/>
    </xf>
    <xf numFmtId="0" fontId="5" fillId="2" borderId="17" xfId="3" applyFont="1" applyFill="1" applyBorder="1" applyAlignment="1">
      <alignment horizontal="center" vertical="center" wrapText="1"/>
    </xf>
    <xf numFmtId="0" fontId="7" fillId="3" borderId="7" xfId="3" applyFont="1" applyFill="1" applyBorder="1" applyAlignment="1">
      <alignment horizontal="center" vertical="center" wrapText="1"/>
    </xf>
    <xf numFmtId="0" fontId="28" fillId="3" borderId="55" xfId="3" applyFont="1" applyFill="1" applyBorder="1" applyAlignment="1">
      <alignment horizontal="center" vertical="center" wrapText="1"/>
    </xf>
    <xf numFmtId="0" fontId="36" fillId="0" borderId="4" xfId="3" applyFont="1" applyBorder="1"/>
    <xf numFmtId="0" fontId="11" fillId="2" borderId="48" xfId="3" applyFont="1" applyFill="1" applyBorder="1"/>
    <xf numFmtId="0" fontId="24" fillId="0" borderId="14" xfId="3" applyFont="1" applyBorder="1"/>
    <xf numFmtId="0" fontId="24" fillId="0" borderId="13" xfId="3" applyFont="1" applyBorder="1"/>
    <xf numFmtId="0" fontId="24" fillId="0" borderId="12" xfId="3" applyFont="1" applyBorder="1"/>
    <xf numFmtId="0" fontId="24" fillId="0" borderId="5" xfId="3" applyFont="1" applyBorder="1"/>
    <xf numFmtId="0" fontId="39" fillId="0" borderId="4" xfId="3" applyFont="1" applyBorder="1"/>
    <xf numFmtId="0" fontId="24" fillId="0" borderId="3" xfId="3" applyFont="1" applyBorder="1"/>
    <xf numFmtId="0" fontId="24" fillId="0" borderId="2" xfId="3" applyFont="1" applyBorder="1"/>
    <xf numFmtId="0" fontId="24" fillId="0" borderId="1" xfId="3" applyFont="1" applyBorder="1"/>
    <xf numFmtId="0" fontId="24" fillId="0" borderId="44" xfId="3" applyFont="1" applyBorder="1" applyAlignment="1">
      <alignment horizontal="left" vertical="center" wrapText="1"/>
    </xf>
    <xf numFmtId="0" fontId="24" fillId="0" borderId="44" xfId="3" applyFont="1" applyBorder="1" applyAlignment="1">
      <alignment horizontal="center" vertical="center" wrapText="1"/>
    </xf>
    <xf numFmtId="0" fontId="24" fillId="4" borderId="44" xfId="3" applyFont="1" applyFill="1" applyBorder="1" applyAlignment="1">
      <alignment horizontal="center" vertical="center" wrapText="1"/>
    </xf>
    <xf numFmtId="0" fontId="24" fillId="4" borderId="54" xfId="3" applyFont="1" applyFill="1" applyBorder="1" applyAlignment="1">
      <alignment horizontal="center" vertical="center" wrapText="1"/>
    </xf>
    <xf numFmtId="0" fontId="39" fillId="0" borderId="93" xfId="3" applyFont="1" applyBorder="1" applyAlignment="1">
      <alignment horizontal="left" vertical="center" wrapText="1"/>
    </xf>
    <xf numFmtId="0" fontId="39" fillId="4" borderId="50" xfId="3" applyFont="1" applyFill="1" applyBorder="1" applyAlignment="1">
      <alignment horizontal="center" vertical="center" wrapText="1"/>
    </xf>
    <xf numFmtId="0" fontId="39" fillId="4" borderId="53" xfId="3" applyFont="1" applyFill="1" applyBorder="1" applyAlignment="1">
      <alignment horizontal="center" vertical="center" wrapText="1"/>
    </xf>
    <xf numFmtId="0" fontId="39" fillId="4" borderId="93" xfId="3" applyFont="1" applyFill="1" applyBorder="1" applyAlignment="1">
      <alignment horizontal="center" vertical="center" wrapText="1"/>
    </xf>
    <xf numFmtId="3" fontId="39" fillId="4" borderId="53" xfId="3" applyNumberFormat="1" applyFont="1" applyFill="1" applyBorder="1" applyAlignment="1">
      <alignment horizontal="center" vertical="center" wrapText="1"/>
    </xf>
    <xf numFmtId="0" fontId="39" fillId="0" borderId="53" xfId="3" applyFont="1" applyBorder="1" applyAlignment="1">
      <alignment horizontal="center" vertical="center" wrapText="1"/>
    </xf>
    <xf numFmtId="0" fontId="39" fillId="0" borderId="93" xfId="3" applyFont="1" applyBorder="1" applyAlignment="1">
      <alignment horizontal="center" vertical="center" wrapText="1"/>
    </xf>
    <xf numFmtId="0" fontId="39" fillId="4" borderId="58" xfId="3" applyFont="1" applyFill="1" applyBorder="1" applyAlignment="1">
      <alignment horizontal="center" vertical="center" wrapText="1"/>
    </xf>
    <xf numFmtId="3" fontId="39" fillId="4" borderId="93" xfId="3" applyNumberFormat="1" applyFont="1" applyFill="1" applyBorder="1" applyAlignment="1">
      <alignment horizontal="center" vertical="center" wrapText="1"/>
    </xf>
    <xf numFmtId="0" fontId="39" fillId="4" borderId="94" xfId="3" applyFont="1" applyFill="1" applyBorder="1" applyAlignment="1">
      <alignment horizontal="center" vertical="center" wrapText="1"/>
    </xf>
    <xf numFmtId="3" fontId="39" fillId="0" borderId="93" xfId="3" applyNumberFormat="1" applyFont="1" applyBorder="1" applyAlignment="1">
      <alignment horizontal="center" vertical="center" wrapText="1"/>
    </xf>
    <xf numFmtId="0" fontId="24" fillId="8" borderId="95" xfId="3" applyFont="1" applyFill="1" applyBorder="1" applyAlignment="1">
      <alignment horizontal="center" vertical="center" wrapText="1"/>
    </xf>
    <xf numFmtId="0" fontId="5" fillId="2" borderId="6" xfId="3" applyFont="1" applyFill="1" applyBorder="1" applyAlignment="1">
      <alignment horizontal="center" vertical="center" wrapText="1"/>
    </xf>
    <xf numFmtId="0" fontId="5" fillId="2" borderId="20" xfId="3" applyFont="1" applyFill="1" applyBorder="1" applyAlignment="1">
      <alignment horizontal="center" vertical="center" wrapText="1"/>
    </xf>
    <xf numFmtId="0" fontId="5" fillId="0" borderId="6" xfId="3" applyFont="1" applyBorder="1" applyAlignment="1">
      <alignment horizontal="center" vertical="center" wrapText="1"/>
    </xf>
    <xf numFmtId="0" fontId="5" fillId="0" borderId="15" xfId="3" applyFont="1" applyBorder="1" applyAlignment="1">
      <alignment horizontal="center" vertical="center" wrapText="1"/>
    </xf>
    <xf numFmtId="0" fontId="6" fillId="2" borderId="11" xfId="3" applyFont="1" applyFill="1" applyBorder="1" applyAlignment="1">
      <alignment horizontal="left"/>
    </xf>
    <xf numFmtId="0" fontId="11" fillId="2" borderId="11" xfId="3" applyFont="1" applyFill="1" applyBorder="1" applyAlignment="1">
      <alignment horizontal="left"/>
    </xf>
    <xf numFmtId="0" fontId="11" fillId="2" borderId="57" xfId="3" applyFont="1" applyFill="1" applyBorder="1"/>
    <xf numFmtId="0" fontId="5" fillId="2" borderId="43" xfId="3" applyFont="1" applyFill="1" applyBorder="1" applyAlignment="1">
      <alignment horizontal="center" vertical="center" wrapText="1"/>
    </xf>
    <xf numFmtId="0" fontId="4" fillId="2" borderId="57" xfId="3" applyFill="1" applyBorder="1"/>
    <xf numFmtId="0" fontId="6" fillId="2" borderId="57" xfId="3" applyFont="1" applyFill="1" applyBorder="1"/>
    <xf numFmtId="0" fontId="5" fillId="2" borderId="82" xfId="3" applyFont="1" applyFill="1" applyBorder="1" applyAlignment="1">
      <alignment horizontal="center" vertical="center" wrapText="1"/>
    </xf>
    <xf numFmtId="0" fontId="9" fillId="2" borderId="83" xfId="3" applyFont="1" applyFill="1" applyBorder="1"/>
    <xf numFmtId="0" fontId="24" fillId="0" borderId="4" xfId="3" applyFont="1" applyBorder="1"/>
    <xf numFmtId="0" fontId="24" fillId="0" borderId="62" xfId="3" applyFont="1" applyBorder="1" applyAlignment="1">
      <alignment horizontal="center" vertical="center" wrapText="1"/>
    </xf>
    <xf numFmtId="0" fontId="24" fillId="0" borderId="95" xfId="3" applyFont="1" applyBorder="1" applyAlignment="1">
      <alignment horizontal="center" vertical="center" wrapText="1"/>
    </xf>
    <xf numFmtId="0" fontId="24" fillId="4" borderId="62" xfId="3" applyFont="1" applyFill="1" applyBorder="1" applyAlignment="1">
      <alignment horizontal="center" vertical="center" wrapText="1"/>
    </xf>
    <xf numFmtId="0" fontId="24" fillId="4" borderId="67" xfId="3" applyFont="1" applyFill="1" applyBorder="1" applyAlignment="1">
      <alignment horizontal="center" vertical="center" wrapText="1"/>
    </xf>
    <xf numFmtId="0" fontId="24" fillId="4" borderId="105" xfId="3" applyFont="1" applyFill="1" applyBorder="1" applyAlignment="1">
      <alignment horizontal="center" vertical="center" wrapText="1"/>
    </xf>
    <xf numFmtId="0" fontId="24" fillId="4" borderId="97" xfId="3" applyFont="1" applyFill="1" applyBorder="1" applyAlignment="1">
      <alignment horizontal="center" vertical="center" wrapText="1"/>
    </xf>
    <xf numFmtId="3" fontId="24" fillId="4" borderId="105" xfId="3" applyNumberFormat="1" applyFont="1" applyFill="1" applyBorder="1" applyAlignment="1">
      <alignment horizontal="center" vertical="center" wrapText="1"/>
    </xf>
    <xf numFmtId="0" fontId="24" fillId="0" borderId="105" xfId="3" applyFont="1" applyBorder="1" applyAlignment="1">
      <alignment horizontal="center" vertical="center" wrapText="1"/>
    </xf>
    <xf numFmtId="0" fontId="24" fillId="4" borderId="106" xfId="3" applyFont="1" applyFill="1" applyBorder="1" applyAlignment="1">
      <alignment horizontal="center" vertical="center" wrapText="1"/>
    </xf>
    <xf numFmtId="0" fontId="24" fillId="0" borderId="106" xfId="3" applyFont="1" applyBorder="1" applyAlignment="1">
      <alignment horizontal="center" vertical="center" wrapText="1"/>
    </xf>
    <xf numFmtId="0" fontId="6" fillId="3" borderId="95" xfId="3" applyFont="1" applyFill="1" applyBorder="1" applyAlignment="1">
      <alignment horizontal="center" vertical="center" wrapText="1"/>
    </xf>
    <xf numFmtId="0" fontId="6" fillId="3" borderId="61" xfId="3" applyFont="1" applyFill="1" applyBorder="1" applyAlignment="1">
      <alignment horizontal="center" vertical="center" wrapText="1"/>
    </xf>
    <xf numFmtId="0" fontId="6" fillId="3" borderId="64" xfId="3" applyFont="1" applyFill="1" applyBorder="1" applyAlignment="1">
      <alignment horizontal="center" vertical="center" wrapText="1"/>
    </xf>
    <xf numFmtId="0" fontId="5" fillId="2" borderId="7" xfId="3" applyFont="1" applyFill="1" applyBorder="1" applyAlignment="1">
      <alignment horizontal="center" vertical="center" wrapText="1"/>
    </xf>
    <xf numFmtId="0" fontId="9" fillId="2" borderId="87" xfId="3" applyFont="1" applyFill="1" applyBorder="1" applyAlignment="1">
      <alignment horizontal="right"/>
    </xf>
    <xf numFmtId="0" fontId="9" fillId="2" borderId="27" xfId="3" applyFont="1" applyFill="1" applyBorder="1" applyAlignment="1">
      <alignment horizontal="right"/>
    </xf>
    <xf numFmtId="0" fontId="6" fillId="2" borderId="42" xfId="3" applyFont="1" applyFill="1" applyBorder="1"/>
    <xf numFmtId="0" fontId="9" fillId="2" borderId="82" xfId="3" applyFont="1" applyFill="1" applyBorder="1" applyAlignment="1">
      <alignment horizontal="right"/>
    </xf>
    <xf numFmtId="0" fontId="24" fillId="4" borderId="50" xfId="3" applyFont="1" applyFill="1" applyBorder="1" applyAlignment="1">
      <alignment horizontal="left" vertical="center" wrapText="1"/>
    </xf>
    <xf numFmtId="0" fontId="24" fillId="4" borderId="53" xfId="3" applyFont="1" applyFill="1" applyBorder="1" applyAlignment="1">
      <alignment horizontal="center" vertical="center" wrapText="1"/>
    </xf>
    <xf numFmtId="0" fontId="24" fillId="0" borderId="53" xfId="3" applyFont="1" applyBorder="1" applyAlignment="1">
      <alignment horizontal="center" vertical="center" wrapText="1"/>
    </xf>
    <xf numFmtId="0" fontId="24" fillId="0" borderId="53" xfId="3" applyFont="1" applyBorder="1" applyAlignment="1">
      <alignment horizontal="left" vertical="center" wrapText="1"/>
    </xf>
    <xf numFmtId="0" fontId="24" fillId="4" borderId="58" xfId="3" applyFont="1" applyFill="1" applyBorder="1" applyAlignment="1">
      <alignment horizontal="center" vertical="center" wrapText="1"/>
    </xf>
    <xf numFmtId="0" fontId="39" fillId="0" borderId="53" xfId="3" applyFont="1" applyBorder="1" applyAlignment="1">
      <alignment horizontal="left" vertical="center" wrapText="1"/>
    </xf>
    <xf numFmtId="0" fontId="39" fillId="0" borderId="50" xfId="3" applyFont="1" applyBorder="1" applyAlignment="1">
      <alignment horizontal="center" vertical="center" wrapText="1"/>
    </xf>
    <xf numFmtId="0" fontId="39" fillId="0" borderId="50" xfId="3" applyFont="1" applyBorder="1" applyAlignment="1">
      <alignment horizontal="left" vertical="center" wrapText="1"/>
    </xf>
    <xf numFmtId="0" fontId="39" fillId="4" borderId="56" xfId="3" applyFont="1" applyFill="1" applyBorder="1" applyAlignment="1">
      <alignment horizontal="center" vertical="center" wrapText="1"/>
    </xf>
    <xf numFmtId="0" fontId="39" fillId="4" borderId="52" xfId="3" applyFont="1" applyFill="1" applyBorder="1" applyAlignment="1">
      <alignment horizontal="center" vertical="center" wrapText="1"/>
    </xf>
    <xf numFmtId="0" fontId="39" fillId="0" borderId="52" xfId="3" applyFont="1" applyBorder="1" applyAlignment="1">
      <alignment horizontal="center" vertical="center" wrapText="1"/>
    </xf>
    <xf numFmtId="0" fontId="39" fillId="0" borderId="52" xfId="3" applyFont="1" applyBorder="1" applyAlignment="1">
      <alignment horizontal="left" vertical="center" wrapText="1"/>
    </xf>
    <xf numFmtId="0" fontId="39" fillId="4" borderId="59" xfId="3" applyFont="1" applyFill="1" applyBorder="1" applyAlignment="1">
      <alignment horizontal="center" vertical="center" wrapText="1"/>
    </xf>
    <xf numFmtId="0" fontId="24" fillId="0" borderId="6" xfId="3" applyFont="1" applyBorder="1" applyAlignment="1">
      <alignment horizontal="center" vertical="center" wrapText="1"/>
    </xf>
    <xf numFmtId="0" fontId="24" fillId="0" borderId="15" xfId="3" applyFont="1" applyBorder="1" applyAlignment="1">
      <alignment horizontal="center" vertical="center" wrapText="1"/>
    </xf>
    <xf numFmtId="0" fontId="24" fillId="2" borderId="0" xfId="3" applyFont="1" applyFill="1" applyAlignment="1">
      <alignment horizontal="left"/>
    </xf>
    <xf numFmtId="14" fontId="11" fillId="2" borderId="0" xfId="3" applyNumberFormat="1" applyFont="1" applyFill="1" applyAlignment="1">
      <alignment horizontal="left"/>
    </xf>
    <xf numFmtId="0" fontId="11" fillId="2" borderId="0" xfId="3" applyFont="1" applyFill="1" applyAlignment="1">
      <alignment horizontal="left"/>
    </xf>
    <xf numFmtId="0" fontId="24" fillId="2" borderId="0" xfId="3" applyFont="1" applyFill="1"/>
    <xf numFmtId="0" fontId="24" fillId="4" borderId="44" xfId="3" applyFont="1" applyFill="1" applyBorder="1" applyAlignment="1">
      <alignment horizontal="left" vertical="center" wrapText="1"/>
    </xf>
    <xf numFmtId="0" fontId="24" fillId="0" borderId="50" xfId="3" applyFont="1" applyBorder="1" applyAlignment="1">
      <alignment horizontal="center" vertical="center" wrapText="1"/>
    </xf>
    <xf numFmtId="0" fontId="24" fillId="4" borderId="50" xfId="3" applyFont="1" applyFill="1" applyBorder="1" applyAlignment="1">
      <alignment horizontal="center" vertical="center" wrapText="1"/>
    </xf>
    <xf numFmtId="0" fontId="24" fillId="4" borderId="56" xfId="3" applyFont="1" applyFill="1" applyBorder="1" applyAlignment="1">
      <alignment horizontal="center" vertical="center" wrapText="1"/>
    </xf>
    <xf numFmtId="0" fontId="24" fillId="0" borderId="50" xfId="3" applyFont="1" applyBorder="1" applyAlignment="1">
      <alignment horizontal="left" vertical="center" wrapText="1"/>
    </xf>
    <xf numFmtId="0" fontId="6" fillId="3" borderId="7" xfId="3" applyFont="1" applyFill="1" applyBorder="1" applyAlignment="1">
      <alignment horizontal="center" vertical="center" wrapText="1"/>
    </xf>
    <xf numFmtId="0" fontId="6" fillId="3" borderId="6" xfId="3" applyFont="1" applyFill="1" applyBorder="1" applyAlignment="1">
      <alignment horizontal="center" vertical="center" wrapText="1"/>
    </xf>
    <xf numFmtId="0" fontId="6" fillId="3" borderId="15" xfId="3" applyFont="1" applyFill="1" applyBorder="1" applyAlignment="1">
      <alignment horizontal="center" vertical="center" wrapText="1"/>
    </xf>
    <xf numFmtId="0" fontId="6" fillId="3" borderId="55" xfId="3" applyFont="1" applyFill="1" applyBorder="1" applyAlignment="1">
      <alignment horizontal="center" vertical="center" wrapText="1"/>
    </xf>
    <xf numFmtId="0" fontId="11" fillId="2" borderId="9" xfId="3" applyFont="1" applyFill="1" applyBorder="1"/>
    <xf numFmtId="16" fontId="39" fillId="4" borderId="52" xfId="3" applyNumberFormat="1" applyFont="1" applyFill="1" applyBorder="1" applyAlignment="1">
      <alignment horizontal="center" vertical="center" wrapText="1"/>
    </xf>
    <xf numFmtId="0" fontId="24" fillId="2" borderId="9" xfId="3" applyFont="1" applyFill="1" applyBorder="1" applyAlignment="1">
      <alignment horizontal="left"/>
    </xf>
    <xf numFmtId="0" fontId="24" fillId="2" borderId="9" xfId="3" applyFont="1" applyFill="1" applyBorder="1"/>
    <xf numFmtId="0" fontId="11" fillId="0" borderId="53" xfId="3" applyFont="1" applyBorder="1" applyAlignment="1">
      <alignment horizontal="center" vertical="center" wrapText="1"/>
    </xf>
    <xf numFmtId="3" fontId="24" fillId="0" borderId="53" xfId="3" applyNumberFormat="1" applyFont="1" applyBorder="1" applyAlignment="1">
      <alignment horizontal="center" vertical="center" wrapText="1"/>
    </xf>
    <xf numFmtId="3" fontId="24" fillId="4" borderId="53" xfId="3" applyNumberFormat="1" applyFont="1" applyFill="1" applyBorder="1" applyAlignment="1">
      <alignment horizontal="center" vertical="center" wrapText="1"/>
    </xf>
    <xf numFmtId="0" fontId="24" fillId="3" borderId="6" xfId="3" applyFont="1" applyFill="1" applyBorder="1" applyAlignment="1">
      <alignment horizontal="center" vertical="center" wrapText="1"/>
    </xf>
    <xf numFmtId="0" fontId="24" fillId="3" borderId="15" xfId="3" applyFont="1" applyFill="1" applyBorder="1" applyAlignment="1">
      <alignment horizontal="center" vertical="center" wrapText="1"/>
    </xf>
    <xf numFmtId="0" fontId="24" fillId="4" borderId="46" xfId="3" applyFont="1" applyFill="1" applyBorder="1" applyAlignment="1">
      <alignment horizontal="center" vertical="center" wrapText="1"/>
    </xf>
    <xf numFmtId="49" fontId="24" fillId="4" borderId="24" xfId="3" applyNumberFormat="1" applyFont="1" applyFill="1" applyBorder="1" applyAlignment="1">
      <alignment horizontal="center" vertical="center" wrapText="1"/>
    </xf>
    <xf numFmtId="0" fontId="24" fillId="0" borderId="26" xfId="3" applyFont="1" applyBorder="1" applyAlignment="1">
      <alignment horizontal="center" vertical="center"/>
    </xf>
    <xf numFmtId="0" fontId="24" fillId="0" borderId="25" xfId="3" applyFont="1" applyBorder="1" applyAlignment="1">
      <alignment horizontal="center" vertical="center"/>
    </xf>
    <xf numFmtId="0" fontId="24" fillId="0" borderId="24" xfId="3" applyFont="1" applyBorder="1" applyAlignment="1">
      <alignment horizontal="right" vertical="center"/>
    </xf>
    <xf numFmtId="0" fontId="24" fillId="0" borderId="12" xfId="3" applyFont="1" applyBorder="1" applyAlignment="1">
      <alignment vertical="center"/>
    </xf>
    <xf numFmtId="0" fontId="24" fillId="4" borderId="16" xfId="3" applyFont="1" applyFill="1" applyBorder="1" applyAlignment="1">
      <alignment horizontal="center" vertical="center" wrapText="1"/>
    </xf>
    <xf numFmtId="49" fontId="24" fillId="4" borderId="82" xfId="3" applyNumberFormat="1" applyFont="1" applyFill="1" applyBorder="1" applyAlignment="1">
      <alignment horizontal="center" vertical="center" wrapText="1"/>
    </xf>
    <xf numFmtId="0" fontId="24" fillId="0" borderId="37" xfId="3" applyFont="1" applyBorder="1" applyAlignment="1">
      <alignment horizontal="center" vertical="center"/>
    </xf>
    <xf numFmtId="0" fontId="24" fillId="0" borderId="36" xfId="3" applyFont="1" applyBorder="1" applyAlignment="1">
      <alignment horizontal="center" vertical="center"/>
    </xf>
    <xf numFmtId="0" fontId="24" fillId="0" borderId="0" xfId="3" applyFont="1" applyAlignment="1">
      <alignment horizontal="right" vertical="center"/>
    </xf>
    <xf numFmtId="0" fontId="24" fillId="0" borderId="4" xfId="3" applyFont="1" applyBorder="1" applyAlignment="1">
      <alignment vertical="center"/>
    </xf>
    <xf numFmtId="0" fontId="24" fillId="4" borderId="23" xfId="3" applyFont="1" applyFill="1" applyBorder="1" applyAlignment="1">
      <alignment horizontal="center" vertical="center" wrapText="1"/>
    </xf>
    <xf numFmtId="49" fontId="24" fillId="4" borderId="22" xfId="3" applyNumberFormat="1" applyFont="1" applyFill="1" applyBorder="1" applyAlignment="1">
      <alignment horizontal="center" vertical="center" wrapText="1"/>
    </xf>
    <xf numFmtId="0" fontId="24" fillId="0" borderId="41" xfId="3" applyFont="1" applyBorder="1" applyAlignment="1">
      <alignment horizontal="center" vertical="center"/>
    </xf>
    <xf numFmtId="0" fontId="24" fillId="0" borderId="40" xfId="3" applyFont="1" applyBorder="1" applyAlignment="1">
      <alignment horizontal="center" vertical="center"/>
    </xf>
    <xf numFmtId="0" fontId="24" fillId="0" borderId="31" xfId="3" applyFont="1" applyBorder="1" applyAlignment="1">
      <alignment vertical="center"/>
    </xf>
    <xf numFmtId="0" fontId="24" fillId="0" borderId="1" xfId="3" applyFont="1" applyBorder="1" applyAlignment="1">
      <alignment vertical="center"/>
    </xf>
    <xf numFmtId="0" fontId="24" fillId="4" borderId="30" xfId="3" applyFont="1" applyFill="1" applyBorder="1" applyAlignment="1">
      <alignment horizontal="center" vertical="center" wrapText="1"/>
    </xf>
    <xf numFmtId="49" fontId="24" fillId="4" borderId="29" xfId="3" applyNumberFormat="1" applyFont="1" applyFill="1" applyBorder="1" applyAlignment="1">
      <alignment horizontal="center" vertical="center" wrapText="1"/>
    </xf>
    <xf numFmtId="0" fontId="24" fillId="0" borderId="13" xfId="3" applyFont="1" applyBorder="1" applyAlignment="1">
      <alignment vertical="center"/>
    </xf>
    <xf numFmtId="0" fontId="24" fillId="0" borderId="2" xfId="3" applyFont="1" applyBorder="1" applyAlignment="1">
      <alignment vertical="center"/>
    </xf>
    <xf numFmtId="49" fontId="24" fillId="4" borderId="27" xfId="3" applyNumberFormat="1" applyFont="1" applyFill="1" applyBorder="1" applyAlignment="1">
      <alignment horizontal="center" vertical="center" wrapText="1"/>
    </xf>
    <xf numFmtId="0" fontId="24" fillId="0" borderId="32" xfId="3" applyFont="1" applyBorder="1" applyAlignment="1">
      <alignment horizontal="right" vertical="center"/>
    </xf>
    <xf numFmtId="0" fontId="24" fillId="0" borderId="31" xfId="3" applyFont="1" applyBorder="1" applyAlignment="1">
      <alignment horizontal="right" vertical="center"/>
    </xf>
    <xf numFmtId="0" fontId="24" fillId="4" borderId="19" xfId="3" applyFont="1" applyFill="1" applyBorder="1" applyAlignment="1">
      <alignment horizontal="center" vertical="center" wrapText="1"/>
    </xf>
    <xf numFmtId="49" fontId="24" fillId="4" borderId="32" xfId="3" applyNumberFormat="1" applyFont="1" applyFill="1" applyBorder="1" applyAlignment="1">
      <alignment horizontal="center" vertical="center" wrapText="1"/>
    </xf>
    <xf numFmtId="0" fontId="24" fillId="0" borderId="5" xfId="3" applyFont="1" applyBorder="1" applyAlignment="1">
      <alignment horizontal="center" vertical="center"/>
    </xf>
    <xf numFmtId="0" fontId="24" fillId="0" borderId="86" xfId="3" applyFont="1" applyBorder="1" applyAlignment="1">
      <alignment horizontal="center" vertical="center"/>
    </xf>
    <xf numFmtId="0" fontId="24" fillId="4" borderId="28" xfId="3" applyFont="1" applyFill="1" applyBorder="1" applyAlignment="1">
      <alignment horizontal="center" vertical="center" wrapText="1"/>
    </xf>
    <xf numFmtId="0" fontId="24" fillId="4" borderId="60" xfId="3" applyFont="1" applyFill="1" applyBorder="1" applyAlignment="1">
      <alignment horizontal="center" vertical="center" wrapText="1"/>
    </xf>
    <xf numFmtId="49" fontId="24" fillId="4" borderId="87" xfId="3" applyNumberFormat="1" applyFont="1" applyFill="1" applyBorder="1" applyAlignment="1">
      <alignment horizontal="center" vertical="center" wrapText="1"/>
    </xf>
    <xf numFmtId="49" fontId="24" fillId="4" borderId="54" xfId="3" applyNumberFormat="1" applyFont="1" applyFill="1" applyBorder="1" applyAlignment="1">
      <alignment horizontal="center" vertical="center" wrapText="1"/>
    </xf>
    <xf numFmtId="49" fontId="24" fillId="4" borderId="56" xfId="3" applyNumberFormat="1" applyFont="1" applyFill="1" applyBorder="1" applyAlignment="1">
      <alignment horizontal="center" vertical="center" wrapText="1"/>
    </xf>
    <xf numFmtId="0" fontId="24" fillId="0" borderId="32" xfId="3" applyFont="1" applyBorder="1" applyAlignment="1">
      <alignment vertical="center"/>
    </xf>
    <xf numFmtId="49" fontId="24" fillId="4" borderId="59" xfId="3" applyNumberFormat="1" applyFont="1" applyFill="1" applyBorder="1" applyAlignment="1">
      <alignment horizontal="center" vertical="center" wrapText="1"/>
    </xf>
    <xf numFmtId="0" fontId="24" fillId="0" borderId="11" xfId="3" applyFont="1" applyBorder="1" applyAlignment="1">
      <alignment vertical="center"/>
    </xf>
    <xf numFmtId="0" fontId="24" fillId="0" borderId="10" xfId="3" applyFont="1" applyBorder="1" applyAlignment="1">
      <alignment vertical="center"/>
    </xf>
    <xf numFmtId="0" fontId="24" fillId="0" borderId="9" xfId="3" applyFont="1" applyBorder="1" applyAlignment="1">
      <alignment vertical="center"/>
    </xf>
    <xf numFmtId="0" fontId="24" fillId="0" borderId="8" xfId="3" applyFont="1" applyBorder="1" applyAlignment="1">
      <alignment vertical="center"/>
    </xf>
    <xf numFmtId="0" fontId="24" fillId="4" borderId="43" xfId="3" applyFont="1" applyFill="1" applyBorder="1" applyAlignment="1">
      <alignment horizontal="center" vertical="center" wrapText="1"/>
    </xf>
    <xf numFmtId="0" fontId="24" fillId="4" borderId="42" xfId="3" applyFont="1" applyFill="1" applyBorder="1" applyAlignment="1">
      <alignment horizontal="center" vertical="center" wrapText="1"/>
    </xf>
    <xf numFmtId="0" fontId="24" fillId="0" borderId="57" xfId="3" applyFont="1" applyBorder="1" applyAlignment="1">
      <alignment vertical="center"/>
    </xf>
    <xf numFmtId="0" fontId="24" fillId="0" borderId="83" xfId="3" applyFont="1" applyBorder="1" applyAlignment="1">
      <alignment vertical="center"/>
    </xf>
    <xf numFmtId="0" fontId="24" fillId="0" borderId="18" xfId="3" applyFont="1" applyBorder="1" applyAlignment="1">
      <alignment vertical="center"/>
    </xf>
    <xf numFmtId="0" fontId="24" fillId="0" borderId="17" xfId="3" applyFont="1" applyBorder="1" applyAlignment="1">
      <alignment vertical="center"/>
    </xf>
    <xf numFmtId="0" fontId="5" fillId="4" borderId="44" xfId="3" applyFont="1" applyFill="1" applyBorder="1" applyAlignment="1">
      <alignment horizontal="left" vertical="center" wrapText="1"/>
    </xf>
    <xf numFmtId="49" fontId="5" fillId="0" borderId="50" xfId="3" applyNumberFormat="1" applyFont="1" applyBorder="1" applyAlignment="1">
      <alignment horizontal="center" vertical="center" wrapText="1"/>
    </xf>
    <xf numFmtId="164" fontId="5" fillId="0" borderId="50" xfId="3" applyNumberFormat="1" applyFont="1" applyBorder="1" applyAlignment="1">
      <alignment horizontal="center" vertical="center" wrapText="1"/>
    </xf>
    <xf numFmtId="0" fontId="28" fillId="0" borderId="53" xfId="3" applyFont="1" applyBorder="1" applyAlignment="1">
      <alignment horizontal="center" vertical="center" wrapText="1"/>
    </xf>
    <xf numFmtId="0" fontId="47" fillId="0" borderId="0" xfId="3" applyFont="1"/>
    <xf numFmtId="0" fontId="47" fillId="0" borderId="0" xfId="3" applyFont="1" applyAlignment="1">
      <alignment horizontal="left"/>
    </xf>
    <xf numFmtId="49" fontId="47" fillId="0" borderId="0" xfId="3" applyNumberFormat="1" applyFont="1"/>
    <xf numFmtId="0" fontId="47" fillId="0" borderId="50" xfId="3" applyFont="1" applyBorder="1" applyAlignment="1" applyProtection="1">
      <alignment horizontal="center" vertical="center" wrapText="1"/>
      <protection locked="0"/>
    </xf>
    <xf numFmtId="0" fontId="47" fillId="0" borderId="0" xfId="3" applyFont="1" applyAlignment="1">
      <alignment vertical="top"/>
    </xf>
    <xf numFmtId="0" fontId="47" fillId="0" borderId="0" xfId="3" applyFont="1" applyAlignment="1">
      <alignment horizontal="left" vertical="top"/>
    </xf>
    <xf numFmtId="49" fontId="47" fillId="0" borderId="0" xfId="3" applyNumberFormat="1" applyFont="1" applyAlignment="1">
      <alignment vertical="top"/>
    </xf>
    <xf numFmtId="0" fontId="47" fillId="0" borderId="0" xfId="3" applyFont="1" applyAlignment="1" applyProtection="1">
      <alignment vertical="top"/>
      <protection locked="0"/>
    </xf>
    <xf numFmtId="0" fontId="47" fillId="0" borderId="0" xfId="3" applyFont="1" applyAlignment="1" applyProtection="1">
      <alignment horizontal="left" vertical="top"/>
      <protection locked="0"/>
    </xf>
    <xf numFmtId="49" fontId="47" fillId="0" borderId="0" xfId="3" applyNumberFormat="1" applyFont="1" applyAlignment="1" applyProtection="1">
      <alignment vertical="top"/>
      <protection locked="0"/>
    </xf>
    <xf numFmtId="0" fontId="24" fillId="0" borderId="65" xfId="3" applyFont="1" applyBorder="1" applyAlignment="1" applyProtection="1">
      <alignment horizontal="center" vertical="center" wrapText="1"/>
      <protection locked="0"/>
    </xf>
    <xf numFmtId="0" fontId="24" fillId="0" borderId="14" xfId="3" applyFont="1" applyBorder="1" applyAlignment="1" applyProtection="1">
      <alignment horizontal="center" vertical="center" wrapText="1"/>
      <protection locked="0"/>
    </xf>
    <xf numFmtId="0" fontId="24" fillId="0" borderId="46" xfId="3" applyFont="1" applyBorder="1" applyAlignment="1" applyProtection="1">
      <alignment horizontal="center" vertical="center" wrapText="1"/>
      <protection locked="0"/>
    </xf>
    <xf numFmtId="0" fontId="24" fillId="0" borderId="62" xfId="3" applyFont="1" applyBorder="1" applyAlignment="1" applyProtection="1">
      <alignment horizontal="center" vertical="center" wrapText="1"/>
      <protection locked="0"/>
    </xf>
    <xf numFmtId="0" fontId="24" fillId="0" borderId="67" xfId="3" applyFont="1" applyBorder="1" applyAlignment="1" applyProtection="1">
      <alignment horizontal="center" vertical="center" wrapText="1"/>
      <protection locked="0"/>
    </xf>
    <xf numFmtId="0" fontId="24" fillId="0" borderId="12" xfId="3" applyFont="1" applyBorder="1" applyAlignment="1" applyProtection="1">
      <alignment horizontal="center" vertical="center" wrapText="1"/>
      <protection locked="0"/>
    </xf>
    <xf numFmtId="0" fontId="24" fillId="0" borderId="65" xfId="4" applyFont="1" applyBorder="1" applyAlignment="1">
      <alignment horizontal="left" vertical="center" wrapText="1"/>
    </xf>
    <xf numFmtId="0" fontId="24" fillId="0" borderId="65" xfId="4" applyFont="1" applyBorder="1" applyAlignment="1">
      <alignment horizontal="center" vertical="center" wrapText="1"/>
    </xf>
    <xf numFmtId="0" fontId="24" fillId="0" borderId="108" xfId="3" applyFont="1" applyBorder="1" applyAlignment="1" applyProtection="1">
      <alignment horizontal="center" vertical="center" wrapText="1"/>
      <protection locked="0"/>
    </xf>
    <xf numFmtId="0" fontId="24" fillId="0" borderId="43" xfId="3" applyFont="1" applyBorder="1" applyAlignment="1" applyProtection="1">
      <alignment horizontal="center" vertical="center" wrapText="1"/>
      <protection locked="0"/>
    </xf>
    <xf numFmtId="0" fontId="24" fillId="0" borderId="28" xfId="3" applyFont="1" applyBorder="1" applyAlignment="1" applyProtection="1">
      <alignment horizontal="center" vertical="center" wrapText="1"/>
      <protection locked="0"/>
    </xf>
    <xf numFmtId="0" fontId="24" fillId="0" borderId="50" xfId="3" applyFont="1" applyBorder="1" applyAlignment="1" applyProtection="1">
      <alignment horizontal="center" vertical="center" wrapText="1"/>
      <protection locked="0"/>
    </xf>
    <xf numFmtId="0" fontId="24" fillId="0" borderId="56" xfId="3" applyFont="1" applyBorder="1" applyAlignment="1" applyProtection="1">
      <alignment horizontal="center" vertical="center" wrapText="1"/>
      <protection locked="0"/>
    </xf>
    <xf numFmtId="0" fontId="24" fillId="0" borderId="82" xfId="3" applyFont="1" applyBorder="1" applyAlignment="1" applyProtection="1">
      <alignment horizontal="center" vertical="center" wrapText="1"/>
      <protection locked="0"/>
    </xf>
    <xf numFmtId="0" fontId="24" fillId="0" borderId="90" xfId="3" applyFont="1" applyBorder="1" applyAlignment="1" applyProtection="1">
      <alignment horizontal="center" vertical="center" wrapText="1"/>
      <protection locked="0"/>
    </xf>
    <xf numFmtId="0" fontId="24" fillId="0" borderId="58" xfId="3" applyFont="1" applyBorder="1" applyAlignment="1" applyProtection="1">
      <alignment horizontal="center" vertical="center" wrapText="1"/>
      <protection locked="0"/>
    </xf>
    <xf numFmtId="0" fontId="24" fillId="0" borderId="109" xfId="4" applyFont="1" applyBorder="1" applyAlignment="1">
      <alignment horizontal="left" vertical="center" wrapText="1"/>
    </xf>
    <xf numFmtId="0" fontId="24" fillId="0" borderId="109" xfId="4" applyFont="1" applyBorder="1" applyAlignment="1">
      <alignment horizontal="center" vertical="center" wrapText="1"/>
    </xf>
    <xf numFmtId="0" fontId="24" fillId="0" borderId="110" xfId="3" applyFont="1" applyBorder="1" applyAlignment="1" applyProtection="1">
      <alignment horizontal="center" vertical="center" wrapText="1"/>
      <protection locked="0"/>
    </xf>
    <xf numFmtId="0" fontId="24" fillId="0" borderId="91" xfId="3" applyFont="1" applyBorder="1" applyAlignment="1" applyProtection="1">
      <alignment horizontal="center" vertical="center" wrapText="1"/>
      <protection locked="0"/>
    </xf>
    <xf numFmtId="0" fontId="48" fillId="0" borderId="0" xfId="3" applyFont="1" applyAlignment="1" applyProtection="1">
      <alignment vertical="top"/>
      <protection locked="0"/>
    </xf>
    <xf numFmtId="0" fontId="48" fillId="0" borderId="0" xfId="3" applyFont="1"/>
    <xf numFmtId="0" fontId="39" fillId="0" borderId="108" xfId="3" applyFont="1" applyBorder="1" applyAlignment="1" applyProtection="1">
      <alignment horizontal="center" vertical="center" wrapText="1"/>
      <protection locked="0"/>
    </xf>
    <xf numFmtId="0" fontId="39" fillId="0" borderId="43" xfId="3" applyFont="1" applyBorder="1" applyAlignment="1" applyProtection="1">
      <alignment horizontal="center" vertical="center" wrapText="1"/>
      <protection locked="0"/>
    </xf>
    <xf numFmtId="0" fontId="39" fillId="0" borderId="57" xfId="3" applyFont="1" applyBorder="1" applyAlignment="1" applyProtection="1">
      <alignment horizontal="center" vertical="center" wrapText="1"/>
      <protection locked="0"/>
    </xf>
    <xf numFmtId="0" fontId="39" fillId="0" borderId="28" xfId="3" applyFont="1" applyBorder="1" applyAlignment="1" applyProtection="1">
      <alignment horizontal="center" vertical="center" wrapText="1"/>
      <protection locked="0"/>
    </xf>
    <xf numFmtId="0" fontId="39" fillId="0" borderId="50" xfId="3" applyFont="1" applyBorder="1" applyAlignment="1" applyProtection="1">
      <alignment horizontal="center" vertical="center" wrapText="1"/>
      <protection locked="0"/>
    </xf>
    <xf numFmtId="0" fontId="39" fillId="0" borderId="56" xfId="3" applyFont="1" applyBorder="1" applyAlignment="1" applyProtection="1">
      <alignment horizontal="center" vertical="center" wrapText="1"/>
      <protection locked="0"/>
    </xf>
    <xf numFmtId="0" fontId="39" fillId="0" borderId="110" xfId="3" applyFont="1" applyBorder="1" applyAlignment="1" applyProtection="1">
      <alignment horizontal="center" vertical="center" wrapText="1"/>
      <protection locked="0"/>
    </xf>
    <xf numFmtId="0" fontId="39" fillId="0" borderId="91" xfId="3" applyFont="1" applyBorder="1" applyAlignment="1" applyProtection="1">
      <alignment horizontal="center" vertical="center" wrapText="1"/>
      <protection locked="0"/>
    </xf>
    <xf numFmtId="0" fontId="39" fillId="0" borderId="58" xfId="3" applyFont="1" applyBorder="1" applyAlignment="1" applyProtection="1">
      <alignment horizontal="center" vertical="center" wrapText="1"/>
      <protection locked="0"/>
    </xf>
    <xf numFmtId="0" fontId="39" fillId="0" borderId="109" xfId="4" applyFont="1" applyBorder="1" applyAlignment="1">
      <alignment horizontal="left" vertical="center" wrapText="1"/>
    </xf>
    <xf numFmtId="0" fontId="39" fillId="0" borderId="109" xfId="4" applyFont="1" applyBorder="1" applyAlignment="1">
      <alignment horizontal="center" vertical="center" wrapText="1"/>
    </xf>
    <xf numFmtId="0" fontId="37" fillId="0" borderId="43" xfId="4" applyFont="1" applyBorder="1" applyAlignment="1">
      <alignment horizontal="left" vertical="center" wrapText="1"/>
    </xf>
    <xf numFmtId="0" fontId="30" fillId="0" borderId="108" xfId="4" applyFont="1" applyBorder="1" applyAlignment="1">
      <alignment horizontal="center" vertical="center" wrapText="1"/>
    </xf>
    <xf numFmtId="0" fontId="37" fillId="0" borderId="57" xfId="4" applyFont="1" applyBorder="1" applyAlignment="1">
      <alignment horizontal="left" vertical="center" wrapText="1"/>
    </xf>
    <xf numFmtId="0" fontId="37" fillId="0" borderId="16" xfId="4" applyFont="1" applyBorder="1" applyAlignment="1">
      <alignment horizontal="left" vertical="center" wrapText="1"/>
    </xf>
    <xf numFmtId="0" fontId="30" fillId="0" borderId="57" xfId="4" applyFont="1" applyBorder="1" applyAlignment="1">
      <alignment horizontal="center" vertical="center" wrapText="1"/>
    </xf>
    <xf numFmtId="0" fontId="30" fillId="0" borderId="57" xfId="4" applyFont="1" applyBorder="1" applyAlignment="1">
      <alignment horizontal="left" vertical="center" wrapText="1"/>
    </xf>
    <xf numFmtId="0" fontId="37" fillId="0" borderId="37" xfId="4" applyFont="1" applyBorder="1" applyAlignment="1">
      <alignment horizontal="left" vertical="center" wrapText="1"/>
    </xf>
    <xf numFmtId="0" fontId="30" fillId="0" borderId="91" xfId="4" applyFont="1" applyBorder="1" applyAlignment="1">
      <alignment horizontal="center" vertical="center" wrapText="1"/>
    </xf>
    <xf numFmtId="0" fontId="37" fillId="0" borderId="28" xfId="4" applyFont="1" applyBorder="1" applyAlignment="1">
      <alignment horizontal="left" vertical="center" wrapText="1"/>
    </xf>
    <xf numFmtId="0" fontId="39" fillId="0" borderId="9" xfId="3" applyFont="1" applyBorder="1" applyAlignment="1" applyProtection="1">
      <alignment horizontal="center" vertical="center" wrapText="1"/>
      <protection locked="0"/>
    </xf>
    <xf numFmtId="0" fontId="39" fillId="0" borderId="108" xfId="5" applyFont="1" applyFill="1" applyBorder="1" applyAlignment="1" applyProtection="1">
      <alignment horizontal="center" vertical="center" wrapText="1"/>
      <protection locked="0"/>
    </xf>
    <xf numFmtId="0" fontId="39" fillId="0" borderId="16" xfId="3" applyFont="1" applyBorder="1" applyAlignment="1" applyProtection="1">
      <alignment horizontal="center" vertical="center" wrapText="1"/>
      <protection locked="0"/>
    </xf>
    <xf numFmtId="0" fontId="39" fillId="0" borderId="53" xfId="3" applyFont="1" applyBorder="1" applyAlignment="1" applyProtection="1">
      <alignment horizontal="center" vertical="center" wrapText="1"/>
      <protection locked="0"/>
    </xf>
    <xf numFmtId="0" fontId="39" fillId="0" borderId="82" xfId="3" applyFont="1" applyBorder="1" applyAlignment="1" applyProtection="1">
      <alignment horizontal="center" vertical="center" wrapText="1"/>
      <protection locked="0"/>
    </xf>
    <xf numFmtId="0" fontId="39" fillId="0" borderId="108" xfId="4" applyFont="1" applyBorder="1" applyAlignment="1">
      <alignment horizontal="left" vertical="center" wrapText="1"/>
    </xf>
    <xf numFmtId="0" fontId="39" fillId="0" borderId="108" xfId="4" applyFont="1" applyBorder="1" applyAlignment="1">
      <alignment horizontal="center" vertical="center" wrapText="1"/>
    </xf>
    <xf numFmtId="0" fontId="24" fillId="0" borderId="111" xfId="3" applyFont="1" applyBorder="1" applyAlignment="1" applyProtection="1">
      <alignment horizontal="center" vertical="center" wrapText="1"/>
      <protection locked="0"/>
    </xf>
    <xf numFmtId="0" fontId="24" fillId="0" borderId="8" xfId="3" applyFont="1" applyBorder="1" applyAlignment="1" applyProtection="1">
      <alignment horizontal="center" vertical="center" wrapText="1"/>
      <protection locked="0"/>
    </xf>
    <xf numFmtId="0" fontId="24" fillId="0" borderId="109" xfId="3" applyFont="1" applyBorder="1" applyAlignment="1" applyProtection="1">
      <alignment horizontal="center" vertical="center" wrapText="1"/>
      <protection locked="0"/>
    </xf>
    <xf numFmtId="0" fontId="30" fillId="0" borderId="92" xfId="4" applyFont="1" applyBorder="1" applyAlignment="1">
      <alignment horizontal="center" vertical="center" wrapText="1"/>
    </xf>
    <xf numFmtId="0" fontId="24" fillId="0" borderId="41" xfId="3" applyFont="1" applyBorder="1" applyAlignment="1" applyProtection="1">
      <alignment horizontal="center" vertical="center" wrapText="1"/>
      <protection locked="0"/>
    </xf>
    <xf numFmtId="0" fontId="24" fillId="0" borderId="23" xfId="3" applyFont="1" applyBorder="1" applyAlignment="1" applyProtection="1">
      <alignment horizontal="center" vertical="center" wrapText="1"/>
      <protection locked="0"/>
    </xf>
    <xf numFmtId="0" fontId="24" fillId="0" borderId="52" xfId="3" applyFont="1" applyBorder="1" applyAlignment="1" applyProtection="1">
      <alignment horizontal="center" vertical="center" wrapText="1"/>
      <protection locked="0"/>
    </xf>
    <xf numFmtId="0" fontId="24" fillId="0" borderId="59" xfId="3" applyFont="1" applyBorder="1" applyAlignment="1" applyProtection="1">
      <alignment horizontal="center" vertical="center" wrapText="1"/>
      <protection locked="0"/>
    </xf>
    <xf numFmtId="0" fontId="24" fillId="0" borderId="92" xfId="3" applyFont="1" applyBorder="1" applyAlignment="1" applyProtection="1">
      <alignment horizontal="center" vertical="center" wrapText="1"/>
      <protection locked="0"/>
    </xf>
    <xf numFmtId="0" fontId="24" fillId="0" borderId="17" xfId="3" applyFont="1" applyBorder="1" applyAlignment="1" applyProtection="1">
      <alignment horizontal="center" vertical="center" wrapText="1"/>
      <protection locked="0"/>
    </xf>
    <xf numFmtId="0" fontId="24" fillId="0" borderId="92" xfId="4" applyFont="1" applyBorder="1" applyAlignment="1">
      <alignment horizontal="left" vertical="center" wrapText="1"/>
    </xf>
    <xf numFmtId="0" fontId="24" fillId="0" borderId="92" xfId="4" applyFont="1" applyBorder="1" applyAlignment="1">
      <alignment horizontal="center" vertical="center" wrapText="1"/>
    </xf>
    <xf numFmtId="0" fontId="6" fillId="10" borderId="5" xfId="3" applyFont="1" applyFill="1" applyBorder="1" applyAlignment="1">
      <alignment horizontal="center" vertical="center" wrapText="1"/>
    </xf>
    <xf numFmtId="0" fontId="6" fillId="10" borderId="61" xfId="3" applyFont="1" applyFill="1" applyBorder="1" applyAlignment="1">
      <alignment horizontal="center" vertical="center" wrapText="1"/>
    </xf>
    <xf numFmtId="49" fontId="6" fillId="10" borderId="61" xfId="3" applyNumberFormat="1" applyFont="1" applyFill="1" applyBorder="1" applyAlignment="1">
      <alignment horizontal="center" vertical="center" wrapText="1"/>
    </xf>
    <xf numFmtId="0" fontId="6" fillId="10" borderId="86" xfId="3" applyFont="1" applyFill="1" applyBorder="1" applyAlignment="1">
      <alignment horizontal="center" vertical="center" wrapText="1"/>
    </xf>
    <xf numFmtId="0" fontId="6" fillId="10" borderId="4" xfId="3" applyFont="1" applyFill="1" applyBorder="1" applyAlignment="1">
      <alignment horizontal="center" vertical="center" wrapText="1"/>
    </xf>
    <xf numFmtId="0" fontId="50" fillId="0" borderId="0" xfId="4" applyFont="1"/>
    <xf numFmtId="0" fontId="47" fillId="2" borderId="26" xfId="4" applyFont="1" applyFill="1" applyBorder="1" applyAlignment="1">
      <alignment horizontal="center" vertical="center" wrapText="1"/>
    </xf>
    <xf numFmtId="0" fontId="47" fillId="2" borderId="34" xfId="4" applyFont="1" applyFill="1" applyBorder="1" applyAlignment="1">
      <alignment horizontal="center" vertical="center" wrapText="1"/>
    </xf>
    <xf numFmtId="0" fontId="51" fillId="2" borderId="34" xfId="4" applyFont="1" applyFill="1" applyBorder="1" applyAlignment="1">
      <alignment horizontal="center" vertical="center"/>
    </xf>
    <xf numFmtId="0" fontId="47" fillId="2" borderId="37" xfId="4" applyFont="1" applyFill="1" applyBorder="1" applyAlignment="1">
      <alignment horizontal="center" vertical="center" wrapText="1"/>
    </xf>
    <xf numFmtId="0" fontId="47" fillId="2" borderId="9" xfId="4" applyFont="1" applyFill="1" applyBorder="1" applyAlignment="1">
      <alignment horizontal="center" vertical="center" wrapText="1"/>
    </xf>
    <xf numFmtId="0" fontId="51" fillId="2" borderId="9" xfId="4" applyFont="1" applyFill="1" applyBorder="1" applyAlignment="1">
      <alignment horizontal="left" vertical="top"/>
    </xf>
    <xf numFmtId="0" fontId="47" fillId="2" borderId="9" xfId="4" applyFont="1" applyFill="1" applyBorder="1" applyAlignment="1">
      <alignment horizontal="left" vertical="top" wrapText="1"/>
    </xf>
    <xf numFmtId="0" fontId="51" fillId="2" borderId="11" xfId="4" applyFont="1" applyFill="1" applyBorder="1" applyAlignment="1">
      <alignment horizontal="left" vertical="top"/>
    </xf>
    <xf numFmtId="0" fontId="6" fillId="2" borderId="11" xfId="4" applyFont="1" applyFill="1" applyBorder="1" applyAlignment="1">
      <alignment horizontal="left" vertical="top"/>
    </xf>
    <xf numFmtId="0" fontId="52" fillId="2" borderId="87" xfId="4" applyFont="1" applyFill="1" applyBorder="1" applyAlignment="1">
      <alignment horizontal="left" vertical="top"/>
    </xf>
    <xf numFmtId="0" fontId="11" fillId="2" borderId="9" xfId="4" applyFont="1" applyFill="1" applyBorder="1" applyAlignment="1">
      <alignment horizontal="left" vertical="top"/>
    </xf>
    <xf numFmtId="0" fontId="52" fillId="2" borderId="27" xfId="4" applyFont="1" applyFill="1" applyBorder="1" applyAlignment="1">
      <alignment horizontal="left" vertical="top"/>
    </xf>
    <xf numFmtId="0" fontId="6" fillId="2" borderId="9" xfId="4" applyFont="1" applyFill="1" applyBorder="1" applyAlignment="1">
      <alignment horizontal="left" vertical="top"/>
    </xf>
    <xf numFmtId="0" fontId="47" fillId="2" borderId="41" xfId="4" applyFont="1" applyFill="1" applyBorder="1" applyAlignment="1">
      <alignment horizontal="center" vertical="center" wrapText="1"/>
    </xf>
    <xf numFmtId="0" fontId="47" fillId="2" borderId="18" xfId="4" applyFont="1" applyFill="1" applyBorder="1" applyAlignment="1">
      <alignment horizontal="center" vertical="center" wrapText="1"/>
    </xf>
    <xf numFmtId="0" fontId="47" fillId="2" borderId="18" xfId="4" applyFont="1" applyFill="1" applyBorder="1" applyAlignment="1">
      <alignment horizontal="left" vertical="top" wrapText="1"/>
    </xf>
    <xf numFmtId="0" fontId="51" fillId="2" borderId="18" xfId="4" applyFont="1" applyFill="1" applyBorder="1" applyAlignment="1">
      <alignment horizontal="left" vertical="top"/>
    </xf>
    <xf numFmtId="0" fontId="6" fillId="2" borderId="18" xfId="4" applyFont="1" applyFill="1" applyBorder="1" applyAlignment="1">
      <alignment horizontal="left" vertical="top"/>
    </xf>
    <xf numFmtId="0" fontId="52" fillId="2" borderId="22" xfId="4" applyFont="1" applyFill="1" applyBorder="1" applyAlignment="1">
      <alignment horizontal="left" vertical="top"/>
    </xf>
    <xf numFmtId="0" fontId="39" fillId="0" borderId="12" xfId="3" applyFont="1" applyBorder="1"/>
    <xf numFmtId="49" fontId="24" fillId="4" borderId="53" xfId="3" applyNumberFormat="1" applyFont="1" applyFill="1" applyBorder="1" applyAlignment="1">
      <alignment horizontal="center" vertical="center" wrapText="1"/>
    </xf>
    <xf numFmtId="0" fontId="4" fillId="2" borderId="27" xfId="3" applyFill="1" applyBorder="1"/>
    <xf numFmtId="0" fontId="9" fillId="2" borderId="56" xfId="3" applyFont="1" applyFill="1" applyBorder="1"/>
    <xf numFmtId="0" fontId="24" fillId="0" borderId="56" xfId="3" applyFont="1" applyBorder="1" applyAlignment="1">
      <alignment horizontal="center" vertical="center" wrapText="1"/>
    </xf>
    <xf numFmtId="0" fontId="24" fillId="4" borderId="29" xfId="3" applyFont="1" applyFill="1" applyBorder="1" applyAlignment="1">
      <alignment horizontal="left" vertical="center" wrapText="1"/>
    </xf>
    <xf numFmtId="2" fontId="24" fillId="0" borderId="50" xfId="3" applyNumberFormat="1" applyFont="1" applyBorder="1" applyAlignment="1">
      <alignment horizontal="center" vertical="center" wrapText="1"/>
    </xf>
    <xf numFmtId="0" fontId="55" fillId="0" borderId="27" xfId="3" applyFont="1" applyBorder="1"/>
    <xf numFmtId="2" fontId="39" fillId="0" borderId="50" xfId="3" applyNumberFormat="1" applyFont="1" applyBorder="1" applyAlignment="1">
      <alignment horizontal="center" vertical="center" wrapText="1"/>
    </xf>
    <xf numFmtId="0" fontId="39" fillId="0" borderId="58" xfId="3" applyFont="1" applyBorder="1" applyAlignment="1">
      <alignment horizontal="center" vertical="center" wrapText="1"/>
    </xf>
    <xf numFmtId="164" fontId="39" fillId="0" borderId="53" xfId="3" applyNumberFormat="1" applyFont="1" applyBorder="1" applyAlignment="1">
      <alignment horizontal="center" vertical="center" wrapText="1"/>
    </xf>
    <xf numFmtId="0" fontId="39" fillId="0" borderId="56" xfId="3" applyFont="1" applyBorder="1" applyAlignment="1">
      <alignment horizontal="center" vertical="center" wrapText="1"/>
    </xf>
    <xf numFmtId="0" fontId="24" fillId="4" borderId="52" xfId="3" applyFont="1" applyFill="1" applyBorder="1" applyAlignment="1">
      <alignment horizontal="center" vertical="center" wrapText="1"/>
    </xf>
    <xf numFmtId="0" fontId="24" fillId="0" borderId="52" xfId="3" applyFont="1" applyBorder="1" applyAlignment="1">
      <alignment horizontal="center" vertical="center" wrapText="1"/>
    </xf>
    <xf numFmtId="0" fontId="24" fillId="0" borderId="52" xfId="3" applyFont="1" applyBorder="1" applyAlignment="1">
      <alignment horizontal="left" vertical="center" wrapText="1"/>
    </xf>
    <xf numFmtId="0" fontId="24" fillId="4" borderId="59" xfId="3" applyFont="1" applyFill="1" applyBorder="1" applyAlignment="1">
      <alignment horizontal="center" vertical="center" wrapText="1"/>
    </xf>
    <xf numFmtId="0" fontId="4" fillId="2" borderId="0" xfId="3" applyFill="1"/>
    <xf numFmtId="165" fontId="5" fillId="0" borderId="53" xfId="3" applyNumberFormat="1" applyFont="1" applyBorder="1" applyAlignment="1">
      <alignment horizontal="center" vertical="center" wrapText="1"/>
    </xf>
    <xf numFmtId="3" fontId="5" fillId="0" borderId="53" xfId="3" applyNumberFormat="1" applyFont="1" applyBorder="1" applyAlignment="1">
      <alignment horizontal="center" vertical="center" wrapText="1"/>
    </xf>
    <xf numFmtId="2" fontId="5" fillId="0" borderId="53" xfId="3" applyNumberFormat="1" applyFont="1" applyBorder="1" applyAlignment="1">
      <alignment horizontal="center" vertical="center" wrapText="1"/>
    </xf>
    <xf numFmtId="0" fontId="57" fillId="0" borderId="50" xfId="3" applyFont="1" applyBorder="1" applyAlignment="1">
      <alignment horizontal="left" vertical="center" wrapText="1"/>
    </xf>
    <xf numFmtId="0" fontId="5" fillId="0" borderId="55" xfId="3" applyFont="1" applyBorder="1" applyAlignment="1">
      <alignment horizontal="center" vertical="center" wrapText="1"/>
    </xf>
    <xf numFmtId="0" fontId="58" fillId="0" borderId="50" xfId="3" applyFont="1" applyBorder="1" applyAlignment="1">
      <alignment horizontal="left" vertical="center" wrapText="1"/>
    </xf>
    <xf numFmtId="0" fontId="5" fillId="0" borderId="61" xfId="3" applyFont="1" applyBorder="1" applyAlignment="1">
      <alignment horizontal="center" vertical="center" wrapText="1"/>
    </xf>
    <xf numFmtId="0" fontId="5" fillId="0" borderId="64" xfId="3" applyFont="1" applyBorder="1" applyAlignment="1">
      <alignment horizontal="center" vertical="center" wrapText="1"/>
    </xf>
    <xf numFmtId="1" fontId="30" fillId="4" borderId="53" xfId="4" applyNumberFormat="1" applyFont="1" applyFill="1" applyBorder="1" applyAlignment="1" applyProtection="1">
      <alignment horizontal="center" vertical="center" wrapText="1"/>
      <protection locked="0"/>
    </xf>
    <xf numFmtId="0" fontId="30" fillId="4" borderId="32" xfId="4" applyFont="1" applyFill="1" applyBorder="1" applyAlignment="1" applyProtection="1">
      <alignment horizontal="center" vertical="center" wrapText="1"/>
      <protection locked="0"/>
    </xf>
    <xf numFmtId="164" fontId="30" fillId="4" borderId="61" xfId="4" applyNumberFormat="1" applyFont="1" applyFill="1" applyBorder="1" applyAlignment="1" applyProtection="1">
      <alignment horizontal="center" vertical="center" wrapText="1"/>
      <protection locked="0"/>
    </xf>
    <xf numFmtId="49" fontId="30" fillId="4" borderId="53" xfId="4" applyNumberFormat="1" applyFont="1" applyFill="1" applyBorder="1" applyAlignment="1" applyProtection="1">
      <alignment horizontal="left" vertical="center"/>
      <protection locked="0"/>
    </xf>
    <xf numFmtId="0" fontId="30" fillId="4" borderId="86" xfId="4" applyFont="1" applyFill="1" applyBorder="1" applyAlignment="1" applyProtection="1">
      <alignment horizontal="center" vertical="center"/>
      <protection locked="0"/>
    </xf>
    <xf numFmtId="0" fontId="24" fillId="0" borderId="52" xfId="1" applyFont="1" applyFill="1" applyBorder="1" applyAlignment="1">
      <alignment horizontal="center" vertical="center" wrapText="1"/>
    </xf>
    <xf numFmtId="0" fontId="30" fillId="4" borderId="67" xfId="1" applyFont="1" applyFill="1" applyBorder="1" applyAlignment="1">
      <alignment horizontal="center" vertical="center" wrapText="1"/>
    </xf>
    <xf numFmtId="0" fontId="30" fillId="4" borderId="62" xfId="1" applyFont="1" applyFill="1" applyBorder="1" applyAlignment="1">
      <alignment horizontal="center" vertical="center" wrapText="1"/>
    </xf>
    <xf numFmtId="0" fontId="30" fillId="4" borderId="66" xfId="1" applyFont="1" applyFill="1" applyBorder="1" applyAlignment="1">
      <alignment horizontal="center" vertical="center" wrapText="1"/>
    </xf>
    <xf numFmtId="0" fontId="24" fillId="0" borderId="24" xfId="3" applyFont="1" applyBorder="1"/>
    <xf numFmtId="49" fontId="10" fillId="4" borderId="59" xfId="0" applyNumberFormat="1" applyFont="1" applyFill="1" applyBorder="1" applyAlignment="1">
      <alignment horizontal="center" vertical="center" wrapText="1"/>
    </xf>
    <xf numFmtId="49" fontId="10" fillId="4" borderId="56" xfId="0" applyNumberFormat="1" applyFont="1" applyFill="1" applyBorder="1" applyAlignment="1">
      <alignment horizontal="center" vertical="center" wrapText="1"/>
    </xf>
    <xf numFmtId="0" fontId="10" fillId="4" borderId="60" xfId="0" applyFont="1" applyFill="1" applyBorder="1" applyAlignment="1">
      <alignment horizontal="center" vertical="center" wrapText="1"/>
    </xf>
    <xf numFmtId="49" fontId="10" fillId="4" borderId="63" xfId="0" applyNumberFormat="1" applyFont="1" applyFill="1" applyBorder="1" applyAlignment="1">
      <alignment horizontal="center" vertical="center" wrapText="1"/>
    </xf>
    <xf numFmtId="49" fontId="10" fillId="4" borderId="87" xfId="0" applyNumberFormat="1" applyFont="1" applyFill="1" applyBorder="1" applyAlignment="1">
      <alignment horizontal="center" vertical="center" wrapText="1"/>
    </xf>
    <xf numFmtId="49" fontId="10" fillId="4" borderId="4" xfId="0" applyNumberFormat="1" applyFont="1" applyFill="1" applyBorder="1" applyAlignment="1">
      <alignment horizontal="center" vertical="center" wrapText="1"/>
    </xf>
    <xf numFmtId="0" fontId="0" fillId="0" borderId="23" xfId="0" applyBorder="1" applyAlignment="1">
      <alignment horizontal="center" vertical="center" wrapText="1"/>
    </xf>
    <xf numFmtId="0" fontId="0" fillId="0" borderId="28" xfId="0" applyBorder="1" applyAlignment="1">
      <alignment horizontal="center" vertical="center" wrapText="1"/>
    </xf>
    <xf numFmtId="0" fontId="0" fillId="0" borderId="30" xfId="0" applyBorder="1" applyAlignment="1">
      <alignment horizontal="center" vertical="center" wrapText="1"/>
    </xf>
    <xf numFmtId="0" fontId="2" fillId="0" borderId="0" xfId="6"/>
    <xf numFmtId="0" fontId="63" fillId="0" borderId="7" xfId="6" applyFont="1" applyBorder="1" applyAlignment="1">
      <alignment vertical="center" wrapText="1"/>
    </xf>
    <xf numFmtId="0" fontId="16" fillId="0" borderId="118" xfId="6" applyFont="1" applyBorder="1" applyAlignment="1">
      <alignment horizontal="left" vertical="center"/>
    </xf>
    <xf numFmtId="0" fontId="16" fillId="0" borderId="119" xfId="6" applyFont="1" applyBorder="1" applyAlignment="1">
      <alignment horizontal="left" vertical="center"/>
    </xf>
    <xf numFmtId="0" fontId="16" fillId="0" borderId="0" xfId="6" applyFont="1"/>
    <xf numFmtId="0" fontId="65" fillId="0" borderId="0" xfId="6" applyFont="1"/>
    <xf numFmtId="0" fontId="67" fillId="0" borderId="0" xfId="6" applyFont="1"/>
    <xf numFmtId="0" fontId="67" fillId="0" borderId="0" xfId="6" applyFont="1" applyAlignment="1">
      <alignment horizontal="left"/>
    </xf>
    <xf numFmtId="0" fontId="16" fillId="0" borderId="59" xfId="6" applyFont="1" applyBorder="1" applyAlignment="1">
      <alignment horizontal="center" vertical="center"/>
    </xf>
    <xf numFmtId="0" fontId="16" fillId="0" borderId="22" xfId="6" applyFont="1" applyBorder="1" applyAlignment="1">
      <alignment horizontal="center" vertical="center"/>
    </xf>
    <xf numFmtId="0" fontId="16" fillId="0" borderId="52" xfId="6" applyFont="1" applyBorder="1" applyAlignment="1">
      <alignment horizontal="center" vertical="center"/>
    </xf>
    <xf numFmtId="0" fontId="16" fillId="0" borderId="23" xfId="6" applyFont="1" applyBorder="1" applyAlignment="1">
      <alignment horizontal="center" vertical="center"/>
    </xf>
    <xf numFmtId="0" fontId="71" fillId="12" borderId="54" xfId="6" applyFont="1" applyFill="1" applyBorder="1" applyAlignment="1">
      <alignment horizontal="center" vertical="center"/>
    </xf>
    <xf numFmtId="0" fontId="71" fillId="11" borderId="44" xfId="6" applyFont="1" applyFill="1" applyBorder="1" applyAlignment="1">
      <alignment horizontal="center" vertical="center"/>
    </xf>
    <xf numFmtId="0" fontId="71" fillId="0" borderId="44" xfId="6" applyFont="1" applyBorder="1" applyAlignment="1">
      <alignment horizontal="center" vertical="center"/>
    </xf>
    <xf numFmtId="0" fontId="71" fillId="13" borderId="44" xfId="6" applyFont="1" applyFill="1" applyBorder="1" applyAlignment="1">
      <alignment horizontal="center" vertical="center"/>
    </xf>
    <xf numFmtId="0" fontId="71" fillId="11" borderId="30" xfId="6" applyFont="1" applyFill="1" applyBorder="1" applyAlignment="1">
      <alignment horizontal="center" vertical="center"/>
    </xf>
    <xf numFmtId="0" fontId="71" fillId="13" borderId="30" xfId="6" applyFont="1" applyFill="1" applyBorder="1" applyAlignment="1">
      <alignment horizontal="center" vertical="center"/>
    </xf>
    <xf numFmtId="0" fontId="2" fillId="0" borderId="5" xfId="6" applyBorder="1" applyAlignment="1">
      <alignment horizontal="center"/>
    </xf>
    <xf numFmtId="0" fontId="2" fillId="0" borderId="117" xfId="6" applyBorder="1" applyAlignment="1">
      <alignment horizontal="center" vertical="center"/>
    </xf>
    <xf numFmtId="0" fontId="2" fillId="0" borderId="115" xfId="6" applyBorder="1"/>
    <xf numFmtId="0" fontId="2" fillId="0" borderId="124" xfId="6" applyBorder="1"/>
    <xf numFmtId="0" fontId="2" fillId="8" borderId="116" xfId="6" applyFill="1" applyBorder="1" applyAlignment="1">
      <alignment horizontal="center" vertical="center"/>
    </xf>
    <xf numFmtId="0" fontId="2" fillId="0" borderId="125" xfId="6" applyBorder="1"/>
    <xf numFmtId="0" fontId="2" fillId="0" borderId="116" xfId="6" applyBorder="1" applyAlignment="1">
      <alignment horizontal="center" vertical="center"/>
    </xf>
    <xf numFmtId="0" fontId="62" fillId="0" borderId="0" xfId="6" applyFont="1"/>
    <xf numFmtId="0" fontId="16" fillId="14" borderId="115" xfId="6" applyFont="1" applyFill="1" applyBorder="1"/>
    <xf numFmtId="0" fontId="16" fillId="15" borderId="115" xfId="6" applyFont="1" applyFill="1" applyBorder="1"/>
    <xf numFmtId="49" fontId="2" fillId="0" borderId="124" xfId="6" applyNumberFormat="1" applyBorder="1" applyAlignment="1">
      <alignment horizontal="right"/>
    </xf>
    <xf numFmtId="0" fontId="62" fillId="0" borderId="116" xfId="6" applyFont="1" applyBorder="1"/>
    <xf numFmtId="0" fontId="73" fillId="0" borderId="116" xfId="6" applyFont="1" applyBorder="1"/>
    <xf numFmtId="0" fontId="2" fillId="0" borderId="118" xfId="6" applyBorder="1"/>
    <xf numFmtId="0" fontId="2" fillId="0" borderId="126" xfId="6" applyBorder="1"/>
    <xf numFmtId="0" fontId="2" fillId="0" borderId="119" xfId="6" applyBorder="1"/>
    <xf numFmtId="0" fontId="2" fillId="8" borderId="119" xfId="6" applyFill="1" applyBorder="1"/>
    <xf numFmtId="0" fontId="2" fillId="0" borderId="127" xfId="6" applyBorder="1"/>
    <xf numFmtId="0" fontId="2" fillId="0" borderId="120" xfId="6" applyBorder="1"/>
    <xf numFmtId="0" fontId="2" fillId="9" borderId="114" xfId="6" applyFill="1" applyBorder="1"/>
    <xf numFmtId="0" fontId="2" fillId="9" borderId="117" xfId="6" applyFill="1" applyBorder="1"/>
    <xf numFmtId="0" fontId="2" fillId="9" borderId="120" xfId="6" applyFill="1" applyBorder="1"/>
    <xf numFmtId="0" fontId="16" fillId="16" borderId="115" xfId="6" applyFont="1" applyFill="1" applyBorder="1"/>
    <xf numFmtId="0" fontId="16" fillId="17" borderId="115" xfId="6" applyFont="1" applyFill="1" applyBorder="1"/>
    <xf numFmtId="0" fontId="16" fillId="18" borderId="115" xfId="6" applyFont="1" applyFill="1" applyBorder="1"/>
    <xf numFmtId="49" fontId="6" fillId="2" borderId="0" xfId="4" applyNumberFormat="1" applyFont="1" applyFill="1" applyAlignment="1" applyProtection="1">
      <alignment horizontal="left"/>
      <protection locked="0"/>
    </xf>
    <xf numFmtId="0" fontId="16" fillId="9" borderId="23" xfId="6" applyFont="1" applyFill="1" applyBorder="1" applyAlignment="1">
      <alignment horizontal="center" vertical="center"/>
    </xf>
    <xf numFmtId="0" fontId="1" fillId="9" borderId="28" xfId="6" applyFont="1" applyFill="1" applyBorder="1" applyAlignment="1">
      <alignment horizontal="center" vertical="center"/>
    </xf>
    <xf numFmtId="14" fontId="1" fillId="9" borderId="30" xfId="6" applyNumberFormat="1" applyFont="1" applyFill="1" applyBorder="1" applyAlignment="1">
      <alignment horizontal="center"/>
    </xf>
    <xf numFmtId="0" fontId="1" fillId="0" borderId="0" xfId="6" applyFont="1"/>
    <xf numFmtId="0" fontId="1" fillId="0" borderId="0" xfId="6" applyFont="1" applyAlignment="1">
      <alignment horizontal="right"/>
    </xf>
    <xf numFmtId="0" fontId="49" fillId="0" borderId="0" xfId="5" applyFill="1" applyBorder="1"/>
    <xf numFmtId="0" fontId="2" fillId="0" borderId="116" xfId="6" applyBorder="1"/>
    <xf numFmtId="0" fontId="49" fillId="0" borderId="116" xfId="5" applyFill="1" applyBorder="1"/>
    <xf numFmtId="0" fontId="76" fillId="0" borderId="115" xfId="0" applyFont="1" applyBorder="1"/>
    <xf numFmtId="0" fontId="16" fillId="7" borderId="131" xfId="6" applyFont="1" applyFill="1" applyBorder="1"/>
    <xf numFmtId="0" fontId="49" fillId="0" borderId="116" xfId="5" applyBorder="1"/>
    <xf numFmtId="0" fontId="2" fillId="0" borderId="121" xfId="6" applyBorder="1" applyAlignment="1">
      <alignment horizontal="center"/>
    </xf>
    <xf numFmtId="0" fontId="2" fillId="0" borderId="122" xfId="6" applyBorder="1" applyAlignment="1">
      <alignment horizontal="center"/>
    </xf>
    <xf numFmtId="0" fontId="2" fillId="0" borderId="123" xfId="6" applyBorder="1" applyAlignment="1">
      <alignment horizontal="center"/>
    </xf>
    <xf numFmtId="0" fontId="67" fillId="0" borderId="0" xfId="6" applyFont="1" applyAlignment="1">
      <alignment horizontal="left"/>
    </xf>
    <xf numFmtId="0" fontId="2" fillId="0" borderId="128" xfId="6" applyBorder="1" applyAlignment="1">
      <alignment horizontal="center"/>
    </xf>
    <xf numFmtId="0" fontId="2" fillId="0" borderId="129" xfId="6" applyBorder="1" applyAlignment="1">
      <alignment horizontal="center"/>
    </xf>
    <xf numFmtId="0" fontId="2" fillId="0" borderId="130" xfId="6" applyBorder="1" applyAlignment="1">
      <alignment horizontal="center"/>
    </xf>
    <xf numFmtId="0" fontId="16" fillId="0" borderId="33" xfId="6" applyFont="1" applyBorder="1" applyAlignment="1">
      <alignment horizontal="left"/>
    </xf>
    <xf numFmtId="0" fontId="16" fillId="0" borderId="29" xfId="6" applyFont="1" applyBorder="1" applyAlignment="1">
      <alignment horizontal="left"/>
    </xf>
    <xf numFmtId="0" fontId="63" fillId="0" borderId="15" xfId="6" applyFont="1" applyBorder="1" applyAlignment="1">
      <alignment horizontal="center" vertical="center" wrapText="1"/>
    </xf>
    <xf numFmtId="0" fontId="63" fillId="0" borderId="6" xfId="6" applyFont="1" applyBorder="1" applyAlignment="1">
      <alignment horizontal="center" vertical="center" wrapText="1"/>
    </xf>
    <xf numFmtId="0" fontId="16" fillId="0" borderId="17" xfId="6" applyFont="1" applyBorder="1" applyAlignment="1">
      <alignment horizontal="left"/>
    </xf>
    <xf numFmtId="0" fontId="16" fillId="0" borderId="22" xfId="6" applyFont="1" applyBorder="1" applyAlignment="1">
      <alignment horizontal="left"/>
    </xf>
    <xf numFmtId="0" fontId="16" fillId="0" borderId="112" xfId="6" applyFont="1" applyBorder="1" applyAlignment="1">
      <alignment horizontal="left" vertical="center"/>
    </xf>
    <xf numFmtId="0" fontId="16" fillId="0" borderId="113" xfId="6" applyFont="1" applyBorder="1" applyAlignment="1">
      <alignment horizontal="left" vertical="center"/>
    </xf>
    <xf numFmtId="0" fontId="16" fillId="0" borderId="8" xfId="6" applyFont="1" applyBorder="1" applyAlignment="1">
      <alignment horizontal="left"/>
    </xf>
    <xf numFmtId="0" fontId="16" fillId="0" borderId="27" xfId="6" applyFont="1" applyBorder="1" applyAlignment="1">
      <alignment horizontal="left"/>
    </xf>
    <xf numFmtId="0" fontId="16" fillId="0" borderId="115" xfId="6" applyFont="1" applyBorder="1" applyAlignment="1">
      <alignment horizontal="left" vertical="center"/>
    </xf>
    <xf numFmtId="0" fontId="16" fillId="0" borderId="116" xfId="6" applyFont="1" applyBorder="1" applyAlignment="1">
      <alignment horizontal="left" vertical="center"/>
    </xf>
    <xf numFmtId="0" fontId="4" fillId="0" borderId="1" xfId="0" applyFont="1" applyBorder="1" applyAlignment="1">
      <alignment horizontal="left" vertical="top" wrapText="1"/>
    </xf>
    <xf numFmtId="0" fontId="4" fillId="0" borderId="4" xfId="0" applyFont="1" applyBorder="1" applyAlignment="1">
      <alignment horizontal="left" vertical="top" wrapText="1"/>
    </xf>
    <xf numFmtId="0" fontId="4" fillId="0" borderId="40" xfId="0" applyFont="1" applyBorder="1" applyAlignment="1">
      <alignment horizontal="center" vertical="center"/>
    </xf>
    <xf numFmtId="0" fontId="4" fillId="0" borderId="41" xfId="0" applyFont="1" applyBorder="1" applyAlignment="1">
      <alignment horizontal="center" vertical="center"/>
    </xf>
    <xf numFmtId="0" fontId="4" fillId="0" borderId="36" xfId="0" applyFont="1" applyBorder="1" applyAlignment="1">
      <alignment horizontal="center" vertical="center"/>
    </xf>
    <xf numFmtId="0" fontId="4" fillId="0" borderId="37" xfId="0" applyFont="1" applyBorder="1" applyAlignment="1">
      <alignment horizontal="center" vertical="center"/>
    </xf>
    <xf numFmtId="0" fontId="4" fillId="0" borderId="1" xfId="0" applyFont="1" applyBorder="1" applyAlignment="1">
      <alignment vertical="center"/>
    </xf>
    <xf numFmtId="0" fontId="4" fillId="0" borderId="31" xfId="0" applyFont="1" applyBorder="1" applyAlignment="1">
      <alignment vertical="center"/>
    </xf>
    <xf numFmtId="0" fontId="4" fillId="0" borderId="25" xfId="0" applyFont="1" applyBorder="1" applyAlignment="1">
      <alignment horizontal="center" vertical="center"/>
    </xf>
    <xf numFmtId="0" fontId="4" fillId="0" borderId="26" xfId="0" applyFont="1" applyBorder="1" applyAlignment="1">
      <alignment horizontal="center" vertical="center"/>
    </xf>
    <xf numFmtId="0" fontId="4" fillId="0" borderId="18" xfId="0" applyFont="1" applyBorder="1" applyAlignment="1">
      <alignment horizontal="center" vertical="center"/>
    </xf>
    <xf numFmtId="0" fontId="4" fillId="0" borderId="9" xfId="0" applyFont="1" applyBorder="1" applyAlignment="1">
      <alignment horizontal="center" vertical="center"/>
    </xf>
    <xf numFmtId="0" fontId="4" fillId="0" borderId="44" xfId="0" applyFont="1" applyBorder="1" applyAlignment="1">
      <alignment horizontal="center" vertical="center"/>
    </xf>
    <xf numFmtId="0" fontId="4" fillId="0" borderId="50" xfId="0" applyFont="1" applyBorder="1" applyAlignment="1">
      <alignment horizontal="center" vertical="center"/>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7" fillId="3" borderId="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4" fillId="4" borderId="41" xfId="0" applyFont="1" applyFill="1" applyBorder="1" applyAlignment="1">
      <alignment horizontal="center" vertical="center" wrapText="1"/>
    </xf>
    <xf numFmtId="0" fontId="4" fillId="4" borderId="36" xfId="0" applyFont="1" applyFill="1" applyBorder="1" applyAlignment="1">
      <alignment horizontal="center" vertical="center" wrapText="1"/>
    </xf>
    <xf numFmtId="0" fontId="4" fillId="4" borderId="37" xfId="0" applyFont="1" applyFill="1" applyBorder="1" applyAlignment="1">
      <alignment horizontal="center" vertical="center" wrapText="1"/>
    </xf>
    <xf numFmtId="0" fontId="4" fillId="0" borderId="35" xfId="0" applyFont="1" applyBorder="1" applyAlignment="1">
      <alignment horizontal="center" vertical="center"/>
    </xf>
    <xf numFmtId="0" fontId="4" fillId="0" borderId="7" xfId="0" applyFont="1" applyBorder="1" applyAlignment="1">
      <alignment horizontal="center" vertical="center"/>
    </xf>
    <xf numFmtId="0" fontId="4" fillId="4" borderId="42"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7" fillId="3" borderId="1"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7" fillId="3" borderId="4" xfId="0" applyFont="1" applyFill="1" applyBorder="1" applyAlignment="1">
      <alignment horizontal="left" vertical="center" wrapText="1"/>
    </xf>
    <xf numFmtId="0" fontId="7" fillId="3" borderId="0" xfId="0" applyFont="1" applyFill="1" applyAlignment="1">
      <alignment horizontal="left" vertical="center" wrapText="1"/>
    </xf>
    <xf numFmtId="0" fontId="7" fillId="3" borderId="5" xfId="0" applyFont="1" applyFill="1" applyBorder="1" applyAlignment="1">
      <alignment horizontal="left" vertical="center" wrapText="1"/>
    </xf>
    <xf numFmtId="0" fontId="7" fillId="3" borderId="12" xfId="0" applyFont="1" applyFill="1" applyBorder="1" applyAlignment="1">
      <alignment horizontal="left" vertical="center" wrapText="1"/>
    </xf>
    <xf numFmtId="0" fontId="7" fillId="3" borderId="13" xfId="0" applyFont="1" applyFill="1" applyBorder="1" applyAlignment="1">
      <alignment horizontal="left" vertical="center" wrapText="1"/>
    </xf>
    <xf numFmtId="0" fontId="7" fillId="3" borderId="14" xfId="0" applyFont="1" applyFill="1" applyBorder="1" applyAlignment="1">
      <alignment horizontal="left" vertical="center" wrapText="1"/>
    </xf>
    <xf numFmtId="0" fontId="7" fillId="3" borderId="45" xfId="0" applyFont="1" applyFill="1" applyBorder="1" applyAlignment="1">
      <alignment horizontal="center" vertical="center" wrapText="1"/>
    </xf>
    <xf numFmtId="0" fontId="7" fillId="3" borderId="19" xfId="0" applyFont="1" applyFill="1" applyBorder="1" applyAlignment="1">
      <alignment horizontal="center" vertical="center" wrapText="1"/>
    </xf>
    <xf numFmtId="0" fontId="7" fillId="3" borderId="46" xfId="0" applyFont="1" applyFill="1" applyBorder="1" applyAlignment="1">
      <alignment horizontal="center" vertical="center" wrapText="1"/>
    </xf>
    <xf numFmtId="0" fontId="4" fillId="4" borderId="47"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49" fontId="10" fillId="4" borderId="8" xfId="0" applyNumberFormat="1" applyFont="1" applyFill="1" applyBorder="1" applyAlignment="1">
      <alignment horizontal="center" vertical="center" wrapText="1"/>
    </xf>
    <xf numFmtId="0" fontId="0" fillId="0" borderId="27" xfId="0" applyBorder="1" applyAlignment="1">
      <alignment horizontal="center" vertical="center" wrapText="1"/>
    </xf>
    <xf numFmtId="49" fontId="10" fillId="4" borderId="33" xfId="0" applyNumberFormat="1" applyFont="1" applyFill="1" applyBorder="1" applyAlignment="1">
      <alignment horizontal="center" vertical="center" wrapText="1"/>
    </xf>
    <xf numFmtId="0" fontId="0" fillId="0" borderId="29" xfId="0" applyBorder="1" applyAlignment="1">
      <alignment horizontal="center" vertical="center" wrapText="1"/>
    </xf>
    <xf numFmtId="49" fontId="10" fillId="4" borderId="17" xfId="0" applyNumberFormat="1" applyFont="1" applyFill="1" applyBorder="1" applyAlignment="1">
      <alignment horizontal="center" vertical="center" wrapText="1"/>
    </xf>
    <xf numFmtId="0" fontId="0" fillId="0" borderId="22" xfId="0" applyBorder="1" applyAlignment="1">
      <alignment horizontal="center" vertical="center" wrapText="1"/>
    </xf>
    <xf numFmtId="49" fontId="10" fillId="0" borderId="15" xfId="0" applyNumberFormat="1" applyFont="1" applyBorder="1" applyAlignment="1">
      <alignment horizontal="center" vertical="center" wrapText="1"/>
    </xf>
    <xf numFmtId="0" fontId="0" fillId="0" borderId="20" xfId="0" applyBorder="1" applyAlignment="1">
      <alignment horizontal="center" vertical="center" wrapText="1"/>
    </xf>
    <xf numFmtId="0" fontId="7" fillId="3" borderId="1" xfId="0" applyFont="1" applyFill="1" applyBorder="1" applyAlignment="1">
      <alignment horizontal="center" vertical="center" wrapText="1"/>
    </xf>
    <xf numFmtId="0" fontId="0" fillId="0" borderId="31" xfId="0" applyBorder="1" applyAlignment="1">
      <alignment horizontal="center" vertical="center" wrapText="1"/>
    </xf>
    <xf numFmtId="0" fontId="7" fillId="3" borderId="4" xfId="0" applyFont="1" applyFill="1" applyBorder="1" applyAlignment="1">
      <alignment horizontal="center" vertical="center" wrapText="1"/>
    </xf>
    <xf numFmtId="0" fontId="0" fillId="0" borderId="32" xfId="0" applyBorder="1" applyAlignment="1">
      <alignment horizontal="center" vertical="center" wrapText="1"/>
    </xf>
    <xf numFmtId="0" fontId="7" fillId="3" borderId="12" xfId="0" applyFont="1" applyFill="1" applyBorder="1" applyAlignment="1">
      <alignment horizontal="center" vertical="center" wrapText="1"/>
    </xf>
    <xf numFmtId="0" fontId="0" fillId="0" borderId="24" xfId="0" applyBorder="1" applyAlignment="1">
      <alignment horizontal="center" vertical="center" wrapText="1"/>
    </xf>
    <xf numFmtId="0" fontId="4" fillId="0" borderId="36" xfId="0" applyFont="1" applyBorder="1" applyAlignment="1">
      <alignment horizontal="center" vertical="center" wrapText="1"/>
    </xf>
    <xf numFmtId="0" fontId="4" fillId="0" borderId="37" xfId="0" applyFont="1" applyBorder="1" applyAlignment="1">
      <alignment horizontal="center" vertical="center" wrapText="1"/>
    </xf>
    <xf numFmtId="0" fontId="4" fillId="4" borderId="48" xfId="0" applyFont="1" applyFill="1" applyBorder="1" applyAlignment="1">
      <alignment horizontal="center" vertical="center" wrapText="1"/>
    </xf>
    <xf numFmtId="0" fontId="4" fillId="4" borderId="49" xfId="0" applyFont="1" applyFill="1" applyBorder="1" applyAlignment="1">
      <alignment horizontal="center" vertical="center" wrapText="1"/>
    </xf>
    <xf numFmtId="0" fontId="23" fillId="3" borderId="52" xfId="3" applyFont="1" applyFill="1" applyBorder="1" applyAlignment="1">
      <alignment horizontal="center" vertical="center" wrapText="1"/>
    </xf>
    <xf numFmtId="0" fontId="23" fillId="3" borderId="50" xfId="3" applyFont="1" applyFill="1" applyBorder="1" applyAlignment="1">
      <alignment horizontal="center" vertical="center" wrapText="1"/>
    </xf>
    <xf numFmtId="0" fontId="23" fillId="3" borderId="55" xfId="3" applyFont="1" applyFill="1" applyBorder="1" applyAlignment="1">
      <alignment horizontal="center" vertical="center" wrapText="1"/>
    </xf>
    <xf numFmtId="0" fontId="18" fillId="0" borderId="53" xfId="3" applyFont="1" applyBorder="1" applyAlignment="1">
      <alignment horizontal="left" vertical="center" wrapText="1"/>
    </xf>
    <xf numFmtId="0" fontId="18" fillId="0" borderId="16" xfId="3" applyFont="1" applyBorder="1" applyAlignment="1">
      <alignment horizontal="left" vertical="center" wrapText="1"/>
    </xf>
    <xf numFmtId="0" fontId="5" fillId="0" borderId="38" xfId="3" applyFont="1" applyBorder="1" applyAlignment="1">
      <alignment horizontal="center" vertical="center" wrapText="1"/>
    </xf>
    <xf numFmtId="0" fontId="5" fillId="0" borderId="39" xfId="3" applyFont="1" applyBorder="1" applyAlignment="1">
      <alignment horizontal="center" vertical="center" wrapText="1"/>
    </xf>
    <xf numFmtId="0" fontId="5" fillId="0" borderId="65" xfId="3" applyFont="1" applyBorder="1" applyAlignment="1">
      <alignment horizontal="center" vertical="center" wrapText="1"/>
    </xf>
    <xf numFmtId="0" fontId="23" fillId="3" borderId="59" xfId="3" applyFont="1" applyFill="1" applyBorder="1" applyAlignment="1">
      <alignment horizontal="center" vertical="center" wrapText="1"/>
    </xf>
    <xf numFmtId="0" fontId="23" fillId="3" borderId="56" xfId="3" applyFont="1" applyFill="1" applyBorder="1" applyAlignment="1">
      <alignment horizontal="center" vertical="center" wrapText="1"/>
    </xf>
    <xf numFmtId="0" fontId="23" fillId="3" borderId="63" xfId="3" applyFont="1" applyFill="1" applyBorder="1" applyAlignment="1">
      <alignment horizontal="center" vertical="center" wrapText="1"/>
    </xf>
    <xf numFmtId="0" fontId="23" fillId="3" borderId="64" xfId="3" applyFont="1" applyFill="1" applyBorder="1" applyAlignment="1">
      <alignment horizontal="center" vertical="center" wrapText="1"/>
    </xf>
    <xf numFmtId="0" fontId="23" fillId="3" borderId="61" xfId="3" applyFont="1" applyFill="1" applyBorder="1" applyAlignment="1">
      <alignment horizontal="center" vertical="center" wrapText="1"/>
    </xf>
    <xf numFmtId="0" fontId="23" fillId="3" borderId="62" xfId="3" applyFont="1" applyFill="1" applyBorder="1" applyAlignment="1">
      <alignment horizontal="center" vertical="center" wrapText="1"/>
    </xf>
    <xf numFmtId="0" fontId="18" fillId="0" borderId="36" xfId="3" applyFont="1" applyBorder="1" applyAlignment="1">
      <alignment horizontal="left" vertical="center" wrapText="1"/>
    </xf>
    <xf numFmtId="0" fontId="18" fillId="0" borderId="9" xfId="3" applyFont="1" applyBorder="1" applyAlignment="1">
      <alignment horizontal="left" vertical="center" wrapText="1"/>
    </xf>
    <xf numFmtId="0" fontId="18" fillId="0" borderId="37" xfId="3" applyFont="1" applyBorder="1" applyAlignment="1">
      <alignment horizontal="left" vertical="center" wrapText="1"/>
    </xf>
    <xf numFmtId="0" fontId="23" fillId="3" borderId="23" xfId="3" applyFont="1" applyFill="1" applyBorder="1" applyAlignment="1">
      <alignment horizontal="center" vertical="center" wrapText="1"/>
    </xf>
    <xf numFmtId="0" fontId="23" fillId="3" borderId="28" xfId="3" applyFont="1" applyFill="1" applyBorder="1" applyAlignment="1">
      <alignment horizontal="center" vertical="center" wrapText="1"/>
    </xf>
    <xf numFmtId="0" fontId="23" fillId="3" borderId="60" xfId="3" applyFont="1" applyFill="1" applyBorder="1" applyAlignment="1">
      <alignment horizontal="center" vertical="center" wrapText="1"/>
    </xf>
    <xf numFmtId="0" fontId="21" fillId="0" borderId="53" xfId="3" applyFont="1" applyBorder="1" applyAlignment="1">
      <alignment horizontal="left" vertical="center" wrapText="1"/>
    </xf>
    <xf numFmtId="0" fontId="21" fillId="0" borderId="16" xfId="3" applyFont="1" applyBorder="1" applyAlignment="1">
      <alignment horizontal="left" vertical="center" wrapText="1"/>
    </xf>
    <xf numFmtId="0" fontId="30" fillId="4" borderId="62" xfId="1" applyFont="1" applyFill="1" applyBorder="1" applyAlignment="1">
      <alignment horizontal="left" vertical="center" wrapText="1"/>
    </xf>
    <xf numFmtId="0" fontId="30" fillId="4" borderId="46" xfId="1" applyFont="1" applyFill="1" applyBorder="1" applyAlignment="1">
      <alignment horizontal="left" vertical="center" wrapText="1"/>
    </xf>
    <xf numFmtId="0" fontId="23" fillId="3" borderId="77" xfId="3" applyFont="1" applyFill="1" applyBorder="1" applyAlignment="1">
      <alignment horizontal="center" vertical="center" wrapText="1"/>
    </xf>
    <xf numFmtId="0" fontId="23" fillId="3" borderId="78" xfId="3" applyFont="1" applyFill="1" applyBorder="1" applyAlignment="1">
      <alignment horizontal="center" vertical="center" wrapText="1"/>
    </xf>
    <xf numFmtId="0" fontId="23" fillId="3" borderId="73" xfId="3" applyFont="1" applyFill="1" applyBorder="1" applyAlignment="1">
      <alignment horizontal="center" vertical="center" wrapText="1"/>
    </xf>
    <xf numFmtId="0" fontId="23" fillId="3" borderId="74" xfId="3" applyFont="1" applyFill="1" applyBorder="1" applyAlignment="1">
      <alignment horizontal="center" vertical="center" wrapText="1"/>
    </xf>
    <xf numFmtId="0" fontId="23" fillId="3" borderId="69" xfId="3" applyFont="1" applyFill="1" applyBorder="1" applyAlignment="1">
      <alignment horizontal="center" vertical="center" wrapText="1"/>
    </xf>
    <xf numFmtId="0" fontId="5" fillId="0" borderId="85" xfId="3" applyFont="1" applyBorder="1" applyAlignment="1">
      <alignment horizontal="center" vertical="center" wrapText="1"/>
    </xf>
    <xf numFmtId="0" fontId="5" fillId="0" borderId="80" xfId="3" applyFont="1" applyBorder="1" applyAlignment="1">
      <alignment horizontal="center" vertical="center" wrapText="1"/>
    </xf>
    <xf numFmtId="0" fontId="24" fillId="4" borderId="52" xfId="3" applyFont="1" applyFill="1" applyBorder="1" applyAlignment="1">
      <alignment horizontal="center" vertical="center" wrapText="1"/>
    </xf>
    <xf numFmtId="0" fontId="24" fillId="4" borderId="52" xfId="3" applyFont="1" applyFill="1" applyBorder="1" applyAlignment="1">
      <alignment horizontal="left" vertical="center" wrapText="1"/>
    </xf>
    <xf numFmtId="0" fontId="24" fillId="4" borderId="23" xfId="3" applyFont="1" applyFill="1" applyBorder="1" applyAlignment="1">
      <alignment horizontal="left" vertical="center" wrapText="1"/>
    </xf>
    <xf numFmtId="0" fontId="23" fillId="3" borderId="76" xfId="3" applyFont="1" applyFill="1" applyBorder="1" applyAlignment="1">
      <alignment horizontal="center" vertical="center" wrapText="1"/>
    </xf>
    <xf numFmtId="0" fontId="23" fillId="3" borderId="72" xfId="3" applyFont="1" applyFill="1" applyBorder="1" applyAlignment="1">
      <alignment horizontal="center" vertical="center" wrapText="1"/>
    </xf>
    <xf numFmtId="0" fontId="23" fillId="3" borderId="68" xfId="3" applyFont="1" applyFill="1" applyBorder="1" applyAlignment="1">
      <alignment horizontal="center" vertical="center" wrapText="1"/>
    </xf>
    <xf numFmtId="0" fontId="23" fillId="3" borderId="70" xfId="3" applyFont="1" applyFill="1" applyBorder="1" applyAlignment="1">
      <alignment horizontal="center" vertical="center" wrapText="1"/>
    </xf>
    <xf numFmtId="0" fontId="23" fillId="0" borderId="4" xfId="3" applyFont="1" applyBorder="1" applyAlignment="1">
      <alignment horizontal="left"/>
    </xf>
    <xf numFmtId="0" fontId="23" fillId="0" borderId="0" xfId="3" applyFont="1" applyAlignment="1">
      <alignment horizontal="left"/>
    </xf>
    <xf numFmtId="0" fontId="18" fillId="0" borderId="0" xfId="3" applyFont="1" applyAlignment="1">
      <alignment horizontal="left"/>
    </xf>
    <xf numFmtId="0" fontId="18" fillId="0" borderId="5" xfId="3" applyFont="1" applyBorder="1" applyAlignment="1">
      <alignment horizontal="left"/>
    </xf>
    <xf numFmtId="0" fontId="23" fillId="3" borderId="79" xfId="3" applyFont="1" applyFill="1" applyBorder="1" applyAlignment="1">
      <alignment horizontal="center" vertical="center" wrapText="1"/>
    </xf>
    <xf numFmtId="0" fontId="23" fillId="3" borderId="75" xfId="3" applyFont="1" applyFill="1" applyBorder="1" applyAlignment="1">
      <alignment horizontal="center" vertical="center" wrapText="1"/>
    </xf>
    <xf numFmtId="0" fontId="23" fillId="3" borderId="71" xfId="3" applyFont="1" applyFill="1" applyBorder="1" applyAlignment="1">
      <alignment horizontal="center" vertical="center" wrapText="1"/>
    </xf>
    <xf numFmtId="0" fontId="24" fillId="0" borderId="50" xfId="3" applyFont="1" applyBorder="1" applyAlignment="1">
      <alignment horizontal="left" vertical="center" wrapText="1"/>
    </xf>
    <xf numFmtId="0" fontId="24" fillId="0" borderId="28" xfId="3" applyFont="1" applyBorder="1" applyAlignment="1">
      <alignment horizontal="left" vertical="center" wrapText="1"/>
    </xf>
    <xf numFmtId="0" fontId="24" fillId="0" borderId="50" xfId="3" applyFont="1" applyBorder="1" applyAlignment="1">
      <alignment horizontal="center" vertical="center" wrapText="1"/>
    </xf>
    <xf numFmtId="0" fontId="24" fillId="0" borderId="44" xfId="3" applyFont="1" applyBorder="1" applyAlignment="1">
      <alignment horizontal="center" vertical="center" wrapText="1"/>
    </xf>
    <xf numFmtId="0" fontId="24" fillId="0" borderId="44" xfId="3" applyFont="1" applyBorder="1" applyAlignment="1">
      <alignment horizontal="left" vertical="center" wrapText="1"/>
    </xf>
    <xf numFmtId="0" fontId="24" fillId="0" borderId="30" xfId="3" applyFont="1" applyBorder="1" applyAlignment="1">
      <alignment horizontal="left" vertical="center" wrapText="1"/>
    </xf>
    <xf numFmtId="0" fontId="6" fillId="3" borderId="52" xfId="3" applyFont="1" applyFill="1" applyBorder="1" applyAlignment="1">
      <alignment horizontal="center" vertical="center" wrapText="1"/>
    </xf>
    <xf numFmtId="0" fontId="6" fillId="3" borderId="50" xfId="3" applyFont="1" applyFill="1" applyBorder="1" applyAlignment="1">
      <alignment horizontal="center" vertical="center" wrapText="1"/>
    </xf>
    <xf numFmtId="0" fontId="6" fillId="3" borderId="44" xfId="3" applyFont="1" applyFill="1" applyBorder="1" applyAlignment="1">
      <alignment horizontal="center" vertical="center" wrapText="1"/>
    </xf>
    <xf numFmtId="0" fontId="6" fillId="3" borderId="23" xfId="3" applyFont="1" applyFill="1" applyBorder="1" applyAlignment="1">
      <alignment horizontal="center" vertical="center" wrapText="1"/>
    </xf>
    <xf numFmtId="0" fontId="6" fillId="3" borderId="28" xfId="3" applyFont="1" applyFill="1" applyBorder="1" applyAlignment="1">
      <alignment horizontal="center" vertical="center" wrapText="1"/>
    </xf>
    <xf numFmtId="0" fontId="6" fillId="3" borderId="30" xfId="3" applyFont="1" applyFill="1" applyBorder="1" applyAlignment="1">
      <alignment horizontal="center" vertical="center" wrapText="1"/>
    </xf>
    <xf numFmtId="0" fontId="39" fillId="4" borderId="50" xfId="3" applyFont="1" applyFill="1" applyBorder="1" applyAlignment="1">
      <alignment horizontal="left" vertical="center" wrapText="1"/>
    </xf>
    <xf numFmtId="0" fontId="39" fillId="4" borderId="28" xfId="3" applyFont="1" applyFill="1" applyBorder="1" applyAlignment="1">
      <alignment horizontal="left" vertical="center" wrapText="1"/>
    </xf>
    <xf numFmtId="0" fontId="24" fillId="4" borderId="50" xfId="3" applyFont="1" applyFill="1" applyBorder="1" applyAlignment="1">
      <alignment horizontal="left" vertical="center" wrapText="1"/>
    </xf>
    <xf numFmtId="0" fontId="24" fillId="4" borderId="28" xfId="3" applyFont="1" applyFill="1" applyBorder="1" applyAlignment="1">
      <alignment horizontal="left" vertical="center" wrapText="1"/>
    </xf>
    <xf numFmtId="0" fontId="6" fillId="3" borderId="59" xfId="3" applyFont="1" applyFill="1" applyBorder="1" applyAlignment="1">
      <alignment horizontal="center" vertical="center" wrapText="1"/>
    </xf>
    <xf numFmtId="0" fontId="6" fillId="3" borderId="56" xfId="3" applyFont="1" applyFill="1" applyBorder="1" applyAlignment="1">
      <alignment horizontal="center" vertical="center" wrapText="1"/>
    </xf>
    <xf numFmtId="0" fontId="6" fillId="3" borderId="54" xfId="3" applyFont="1" applyFill="1" applyBorder="1" applyAlignment="1">
      <alignment horizontal="center" vertical="center" wrapText="1"/>
    </xf>
    <xf numFmtId="0" fontId="24" fillId="4" borderId="53" xfId="3" applyFont="1" applyFill="1" applyBorder="1" applyAlignment="1">
      <alignment horizontal="left" vertical="center" wrapText="1"/>
    </xf>
    <xf numFmtId="0" fontId="24" fillId="4" borderId="16" xfId="3" applyFont="1" applyFill="1" applyBorder="1" applyAlignment="1">
      <alignment horizontal="left" vertical="center" wrapText="1"/>
    </xf>
    <xf numFmtId="0" fontId="24" fillId="4" borderId="53" xfId="3" applyFont="1" applyFill="1" applyBorder="1" applyAlignment="1">
      <alignment horizontal="center" vertical="center" wrapText="1"/>
    </xf>
    <xf numFmtId="0" fontId="6" fillId="3" borderId="64" xfId="3" applyFont="1" applyFill="1" applyBorder="1" applyAlignment="1">
      <alignment horizontal="center" vertical="center" wrapText="1"/>
    </xf>
    <xf numFmtId="0" fontId="6" fillId="3" borderId="61" xfId="3" applyFont="1" applyFill="1" applyBorder="1" applyAlignment="1">
      <alignment horizontal="center" vertical="center" wrapText="1"/>
    </xf>
    <xf numFmtId="0" fontId="24" fillId="3" borderId="6" xfId="3" applyFont="1" applyFill="1" applyBorder="1" applyAlignment="1">
      <alignment horizontal="center" vertical="center" wrapText="1"/>
    </xf>
    <xf numFmtId="0" fontId="24" fillId="3" borderId="6" xfId="3" applyFont="1" applyFill="1" applyBorder="1" applyAlignment="1">
      <alignment horizontal="left" vertical="center" wrapText="1"/>
    </xf>
    <xf numFmtId="0" fontId="24" fillId="3" borderId="7" xfId="3" applyFont="1" applyFill="1" applyBorder="1" applyAlignment="1">
      <alignment horizontal="left" vertical="center" wrapText="1"/>
    </xf>
    <xf numFmtId="0" fontId="4" fillId="0" borderId="25" xfId="3" applyBorder="1" applyAlignment="1">
      <alignment horizontal="center"/>
    </xf>
    <xf numFmtId="0" fontId="4" fillId="0" borderId="34" xfId="3" applyBorder="1" applyAlignment="1">
      <alignment horizontal="center"/>
    </xf>
    <xf numFmtId="0" fontId="4" fillId="0" borderId="26" xfId="3" applyBorder="1" applyAlignment="1">
      <alignment horizontal="center"/>
    </xf>
    <xf numFmtId="0" fontId="5" fillId="0" borderId="40" xfId="3" applyFont="1" applyBorder="1" applyAlignment="1">
      <alignment horizontal="left"/>
    </xf>
    <xf numFmtId="0" fontId="5" fillId="0" borderId="18" xfId="3" applyFont="1" applyBorder="1" applyAlignment="1">
      <alignment horizontal="left"/>
    </xf>
    <xf numFmtId="0" fontId="5" fillId="0" borderId="41" xfId="3" applyFont="1" applyBorder="1" applyAlignment="1">
      <alignment horizontal="left"/>
    </xf>
    <xf numFmtId="0" fontId="5" fillId="0" borderId="36" xfId="3" applyFont="1" applyBorder="1" applyAlignment="1">
      <alignment horizontal="left"/>
    </xf>
    <xf numFmtId="0" fontId="5" fillId="0" borderId="9" xfId="3" applyFont="1" applyBorder="1" applyAlignment="1">
      <alignment horizontal="left"/>
    </xf>
    <xf numFmtId="0" fontId="5" fillId="0" borderId="37" xfId="3" applyFont="1" applyBorder="1" applyAlignment="1">
      <alignment horizontal="left"/>
    </xf>
    <xf numFmtId="0" fontId="6" fillId="3" borderId="92" xfId="3" applyFont="1" applyFill="1" applyBorder="1" applyAlignment="1">
      <alignment horizontal="center" vertical="center" wrapText="1"/>
    </xf>
    <xf numFmtId="0" fontId="6" fillId="3" borderId="91" xfId="3" applyFont="1" applyFill="1" applyBorder="1" applyAlignment="1">
      <alignment horizontal="center" vertical="center" wrapText="1"/>
    </xf>
    <xf numFmtId="0" fontId="6" fillId="3" borderId="90" xfId="3" applyFont="1" applyFill="1" applyBorder="1" applyAlignment="1">
      <alignment horizontal="center" vertical="center" wrapText="1"/>
    </xf>
    <xf numFmtId="0" fontId="5" fillId="0" borderId="1" xfId="3" applyFont="1" applyBorder="1" applyAlignment="1">
      <alignment horizontal="center" vertical="center" wrapText="1"/>
    </xf>
    <xf numFmtId="0" fontId="5" fillId="0" borderId="3" xfId="3" applyFont="1" applyBorder="1" applyAlignment="1">
      <alignment horizontal="center" vertical="center" wrapText="1"/>
    </xf>
    <xf numFmtId="0" fontId="5" fillId="0" borderId="4" xfId="3" applyFont="1" applyBorder="1" applyAlignment="1">
      <alignment horizontal="center" vertical="center" wrapText="1"/>
    </xf>
    <xf numFmtId="0" fontId="5" fillId="0" borderId="5" xfId="3" applyFont="1" applyBorder="1" applyAlignment="1">
      <alignment horizontal="center" vertical="center" wrapText="1"/>
    </xf>
    <xf numFmtId="0" fontId="5" fillId="0" borderId="12" xfId="3" applyFont="1" applyBorder="1" applyAlignment="1">
      <alignment horizontal="center" vertical="center" wrapText="1"/>
    </xf>
    <xf numFmtId="0" fontId="5" fillId="0" borderId="14" xfId="3" applyFont="1" applyBorder="1" applyAlignment="1">
      <alignment horizontal="center" vertical="center" wrapText="1"/>
    </xf>
    <xf numFmtId="0" fontId="37" fillId="6" borderId="18" xfId="2" applyFont="1" applyBorder="1" applyAlignment="1">
      <alignment horizontal="center" vertical="center" wrapText="1"/>
    </xf>
    <xf numFmtId="0" fontId="37" fillId="6" borderId="9" xfId="2" applyFont="1" applyBorder="1" applyAlignment="1">
      <alignment horizontal="center" vertical="center" wrapText="1"/>
    </xf>
    <xf numFmtId="0" fontId="37" fillId="6" borderId="34" xfId="2" applyFont="1" applyBorder="1" applyAlignment="1">
      <alignment horizontal="center" vertical="center" wrapText="1"/>
    </xf>
    <xf numFmtId="0" fontId="6" fillId="3" borderId="2" xfId="3" applyFont="1" applyFill="1" applyBorder="1" applyAlignment="1">
      <alignment horizontal="center" vertical="center" wrapText="1"/>
    </xf>
    <xf numFmtId="0" fontId="6" fillId="3" borderId="0" xfId="3" applyFont="1" applyFill="1" applyAlignment="1">
      <alignment horizontal="center" vertical="center" wrapText="1"/>
    </xf>
    <xf numFmtId="0" fontId="6" fillId="3" borderId="13" xfId="3" applyFont="1" applyFill="1" applyBorder="1" applyAlignment="1">
      <alignment horizontal="center" vertical="center" wrapText="1"/>
    </xf>
    <xf numFmtId="0" fontId="5" fillId="0" borderId="42" xfId="3" applyFont="1" applyBorder="1" applyAlignment="1">
      <alignment horizontal="left"/>
    </xf>
    <xf numFmtId="0" fontId="5" fillId="0" borderId="57" xfId="3" applyFont="1" applyBorder="1" applyAlignment="1">
      <alignment horizontal="left"/>
    </xf>
    <xf numFmtId="0" fontId="5" fillId="0" borderId="43" xfId="3" applyFont="1" applyBorder="1" applyAlignment="1">
      <alignment horizontal="left"/>
    </xf>
    <xf numFmtId="0" fontId="6" fillId="2" borderId="38" xfId="3" applyFont="1" applyFill="1" applyBorder="1" applyAlignment="1">
      <alignment horizontal="center" vertical="center" wrapText="1"/>
    </xf>
    <xf numFmtId="0" fontId="4" fillId="0" borderId="39" xfId="3" applyBorder="1" applyAlignment="1">
      <alignment horizontal="center" vertical="center" wrapText="1"/>
    </xf>
    <xf numFmtId="0" fontId="4" fillId="0" borderId="65" xfId="3" applyBorder="1" applyAlignment="1">
      <alignment horizontal="center" vertical="center" wrapText="1"/>
    </xf>
    <xf numFmtId="0" fontId="6" fillId="2" borderId="59" xfId="3" applyFont="1" applyFill="1" applyBorder="1" applyAlignment="1">
      <alignment horizontal="center" vertical="center" wrapText="1"/>
    </xf>
    <xf numFmtId="0" fontId="6" fillId="2" borderId="52" xfId="3" applyFont="1" applyFill="1" applyBorder="1" applyAlignment="1">
      <alignment horizontal="center" vertical="center" wrapText="1"/>
    </xf>
    <xf numFmtId="0" fontId="6" fillId="2" borderId="23" xfId="3" applyFont="1" applyFill="1" applyBorder="1" applyAlignment="1">
      <alignment horizontal="center" vertical="center" wrapText="1"/>
    </xf>
    <xf numFmtId="0" fontId="6" fillId="2" borderId="56" xfId="3" applyFont="1" applyFill="1" applyBorder="1" applyAlignment="1">
      <alignment horizontal="center" vertical="center" wrapText="1"/>
    </xf>
    <xf numFmtId="0" fontId="6" fillId="2" borderId="50" xfId="3" applyFont="1" applyFill="1" applyBorder="1" applyAlignment="1">
      <alignment horizontal="center" vertical="center" wrapText="1"/>
    </xf>
    <xf numFmtId="0" fontId="6" fillId="2" borderId="28" xfId="3" applyFont="1" applyFill="1" applyBorder="1" applyAlignment="1">
      <alignment horizontal="center" vertical="center" wrapText="1"/>
    </xf>
    <xf numFmtId="0" fontId="6" fillId="2" borderId="54" xfId="3" applyFont="1" applyFill="1" applyBorder="1" applyAlignment="1">
      <alignment horizontal="center" vertical="center" wrapText="1"/>
    </xf>
    <xf numFmtId="0" fontId="6" fillId="2" borderId="44" xfId="3" applyFont="1" applyFill="1" applyBorder="1" applyAlignment="1">
      <alignment horizontal="center" vertical="center" wrapText="1"/>
    </xf>
    <xf numFmtId="0" fontId="6" fillId="2" borderId="30" xfId="3" applyFont="1" applyFill="1" applyBorder="1" applyAlignment="1">
      <alignment horizontal="center" vertical="center" wrapText="1"/>
    </xf>
    <xf numFmtId="0" fontId="6" fillId="2" borderId="92" xfId="3" applyFont="1" applyFill="1" applyBorder="1" applyAlignment="1">
      <alignment horizontal="center" vertical="center" wrapText="1"/>
    </xf>
    <xf numFmtId="0" fontId="6" fillId="2" borderId="91" xfId="3" applyFont="1" applyFill="1" applyBorder="1" applyAlignment="1">
      <alignment horizontal="center" vertical="center" wrapText="1"/>
    </xf>
    <xf numFmtId="0" fontId="6" fillId="2" borderId="90" xfId="3" applyFont="1" applyFill="1" applyBorder="1" applyAlignment="1">
      <alignment horizontal="center" vertical="center" wrapText="1"/>
    </xf>
    <xf numFmtId="0" fontId="5" fillId="7" borderId="36" xfId="3" applyFont="1" applyFill="1" applyBorder="1" applyAlignment="1">
      <alignment horizontal="left"/>
    </xf>
    <xf numFmtId="0" fontId="5" fillId="7" borderId="9" xfId="3" applyFont="1" applyFill="1" applyBorder="1" applyAlignment="1">
      <alignment horizontal="left"/>
    </xf>
    <xf numFmtId="0" fontId="5" fillId="7" borderId="37" xfId="3" applyFont="1" applyFill="1" applyBorder="1" applyAlignment="1">
      <alignment horizontal="left"/>
    </xf>
    <xf numFmtId="0" fontId="6" fillId="2" borderId="39" xfId="3" applyFont="1" applyFill="1" applyBorder="1" applyAlignment="1">
      <alignment horizontal="center" vertical="center" wrapText="1"/>
    </xf>
    <xf numFmtId="0" fontId="6" fillId="2" borderId="65" xfId="3" applyFont="1" applyFill="1" applyBorder="1" applyAlignment="1">
      <alignment horizontal="center" vertical="center" wrapText="1"/>
    </xf>
    <xf numFmtId="0" fontId="6" fillId="0" borderId="15" xfId="3" applyFont="1" applyBorder="1" applyAlignment="1">
      <alignment horizontal="center" vertical="center" wrapText="1"/>
    </xf>
    <xf numFmtId="0" fontId="6" fillId="0" borderId="6" xfId="3" applyFont="1" applyBorder="1" applyAlignment="1">
      <alignment horizontal="center" vertical="center" wrapText="1"/>
    </xf>
    <xf numFmtId="0" fontId="6" fillId="0" borderId="7" xfId="3" applyFont="1" applyBorder="1" applyAlignment="1">
      <alignment horizontal="center" vertical="center" wrapText="1"/>
    </xf>
    <xf numFmtId="0" fontId="37" fillId="2" borderId="18" xfId="2" applyFont="1" applyFill="1" applyBorder="1" applyAlignment="1">
      <alignment horizontal="center" vertical="center" wrapText="1"/>
    </xf>
    <xf numFmtId="0" fontId="37" fillId="2" borderId="9" xfId="2" applyFont="1" applyFill="1" applyBorder="1" applyAlignment="1">
      <alignment horizontal="center" vertical="center" wrapText="1"/>
    </xf>
    <xf numFmtId="0" fontId="37" fillId="2" borderId="34" xfId="2" applyFont="1" applyFill="1" applyBorder="1" applyAlignment="1">
      <alignment horizontal="center" vertical="center" wrapText="1"/>
    </xf>
    <xf numFmtId="0" fontId="5" fillId="0" borderId="44" xfId="3" applyFont="1" applyBorder="1" applyAlignment="1">
      <alignment horizontal="left" vertical="center" wrapText="1"/>
    </xf>
    <xf numFmtId="0" fontId="5" fillId="0" borderId="30" xfId="3" applyFont="1" applyBorder="1" applyAlignment="1">
      <alignment horizontal="left" vertical="center" wrapText="1"/>
    </xf>
    <xf numFmtId="0" fontId="5" fillId="4" borderId="53" xfId="3" applyFont="1" applyFill="1" applyBorder="1" applyAlignment="1">
      <alignment horizontal="left" vertical="center" wrapText="1"/>
    </xf>
    <xf numFmtId="0" fontId="5" fillId="4" borderId="16" xfId="3" applyFont="1" applyFill="1" applyBorder="1" applyAlignment="1">
      <alignment horizontal="left" vertical="center" wrapText="1"/>
    </xf>
    <xf numFmtId="0" fontId="28" fillId="3" borderId="59" xfId="3" applyFont="1" applyFill="1" applyBorder="1" applyAlignment="1">
      <alignment horizontal="center" vertical="center" wrapText="1"/>
    </xf>
    <xf numFmtId="0" fontId="28" fillId="3" borderId="56" xfId="3" applyFont="1" applyFill="1" applyBorder="1" applyAlignment="1">
      <alignment horizontal="center" vertical="center" wrapText="1"/>
    </xf>
    <xf numFmtId="0" fontId="28" fillId="3" borderId="63" xfId="3" applyFont="1" applyFill="1" applyBorder="1" applyAlignment="1">
      <alignment horizontal="center" vertical="center" wrapText="1"/>
    </xf>
    <xf numFmtId="0" fontId="28" fillId="3" borderId="52" xfId="3" applyFont="1" applyFill="1" applyBorder="1" applyAlignment="1">
      <alignment horizontal="center" vertical="center" wrapText="1"/>
    </xf>
    <xf numFmtId="0" fontId="7" fillId="3" borderId="50" xfId="3" applyFont="1" applyFill="1" applyBorder="1" applyAlignment="1">
      <alignment horizontal="center" vertical="center" wrapText="1"/>
    </xf>
    <xf numFmtId="0" fontId="7" fillId="3" borderId="55" xfId="3" applyFont="1" applyFill="1" applyBorder="1" applyAlignment="1">
      <alignment horizontal="center" vertical="center" wrapText="1"/>
    </xf>
    <xf numFmtId="0" fontId="7" fillId="3" borderId="52" xfId="3" applyFont="1" applyFill="1" applyBorder="1" applyAlignment="1">
      <alignment horizontal="center" vertical="center" wrapText="1"/>
    </xf>
    <xf numFmtId="0" fontId="7" fillId="3" borderId="23" xfId="3" applyFont="1" applyFill="1" applyBorder="1" applyAlignment="1">
      <alignment horizontal="center" vertical="center" wrapText="1"/>
    </xf>
    <xf numFmtId="0" fontId="28" fillId="3" borderId="50" xfId="3" applyFont="1" applyFill="1" applyBorder="1" applyAlignment="1">
      <alignment horizontal="center" vertical="center" wrapText="1"/>
    </xf>
    <xf numFmtId="0" fontId="7" fillId="3" borderId="28" xfId="3" applyFont="1" applyFill="1" applyBorder="1" applyAlignment="1">
      <alignment horizontal="center" vertical="center" wrapText="1"/>
    </xf>
    <xf numFmtId="0" fontId="28" fillId="3" borderId="55" xfId="3" applyFont="1" applyFill="1" applyBorder="1" applyAlignment="1">
      <alignment horizontal="center" vertical="center" wrapText="1"/>
    </xf>
    <xf numFmtId="0" fontId="7" fillId="3" borderId="60" xfId="3" applyFont="1" applyFill="1" applyBorder="1" applyAlignment="1">
      <alignment horizontal="center" vertical="center" wrapText="1"/>
    </xf>
    <xf numFmtId="0" fontId="28" fillId="3" borderId="64" xfId="3" applyFont="1" applyFill="1" applyBorder="1" applyAlignment="1">
      <alignment horizontal="center" vertical="center" wrapText="1"/>
    </xf>
    <xf numFmtId="0" fontId="28" fillId="3" borderId="61" xfId="3" applyFont="1" applyFill="1" applyBorder="1" applyAlignment="1">
      <alignment horizontal="center" vertical="center" wrapText="1"/>
    </xf>
    <xf numFmtId="0" fontId="28" fillId="3" borderId="62" xfId="3" applyFont="1" applyFill="1" applyBorder="1" applyAlignment="1">
      <alignment horizontal="center" vertical="center" wrapText="1"/>
    </xf>
    <xf numFmtId="0" fontId="4" fillId="0" borderId="40" xfId="3" applyBorder="1" applyAlignment="1">
      <alignment horizontal="center"/>
    </xf>
    <xf numFmtId="0" fontId="4" fillId="0" borderId="18" xfId="3" applyBorder="1" applyAlignment="1">
      <alignment horizontal="center"/>
    </xf>
    <xf numFmtId="0" fontId="4" fillId="0" borderId="41" xfId="3" applyBorder="1" applyAlignment="1">
      <alignment horizontal="center"/>
    </xf>
    <xf numFmtId="0" fontId="4" fillId="0" borderId="36" xfId="3" applyBorder="1" applyAlignment="1">
      <alignment horizontal="center"/>
    </xf>
    <xf numFmtId="0" fontId="4" fillId="0" borderId="9" xfId="3" applyBorder="1" applyAlignment="1">
      <alignment horizontal="center"/>
    </xf>
    <xf numFmtId="0" fontId="4" fillId="0" borderId="37" xfId="3" applyBorder="1" applyAlignment="1">
      <alignment horizontal="center"/>
    </xf>
    <xf numFmtId="0" fontId="28" fillId="3" borderId="88" xfId="3" applyFont="1" applyFill="1" applyBorder="1" applyAlignment="1">
      <alignment horizontal="center" vertical="center" wrapText="1"/>
    </xf>
    <xf numFmtId="0" fontId="28" fillId="3" borderId="89" xfId="3" applyFont="1" applyFill="1" applyBorder="1" applyAlignment="1">
      <alignment horizontal="center" vertical="center" wrapText="1"/>
    </xf>
    <xf numFmtId="0" fontId="28" fillId="3" borderId="67" xfId="3" applyFont="1" applyFill="1" applyBorder="1" applyAlignment="1">
      <alignment horizontal="center" vertical="center" wrapText="1"/>
    </xf>
    <xf numFmtId="0" fontId="28" fillId="0" borderId="15" xfId="3" applyFont="1" applyBorder="1" applyAlignment="1">
      <alignment horizontal="center" vertical="center" wrapText="1"/>
    </xf>
    <xf numFmtId="0" fontId="28" fillId="0" borderId="6" xfId="3" applyFont="1" applyBorder="1" applyAlignment="1">
      <alignment horizontal="center" vertical="center" wrapText="1"/>
    </xf>
    <xf numFmtId="0" fontId="28" fillId="0" borderId="7" xfId="3" applyFont="1" applyBorder="1" applyAlignment="1">
      <alignment horizontal="center" vertical="center" wrapText="1"/>
    </xf>
    <xf numFmtId="0" fontId="5" fillId="0" borderId="50" xfId="3" applyFont="1" applyBorder="1" applyAlignment="1">
      <alignment horizontal="left" vertical="center" wrapText="1"/>
    </xf>
    <xf numFmtId="0" fontId="5" fillId="0" borderId="28" xfId="3" applyFont="1" applyBorder="1" applyAlignment="1">
      <alignment horizontal="left" vertical="center" wrapText="1"/>
    </xf>
    <xf numFmtId="0" fontId="5" fillId="0" borderId="53" xfId="3" applyFont="1" applyBorder="1" applyAlignment="1">
      <alignment horizontal="left" vertical="center" wrapText="1"/>
    </xf>
    <xf numFmtId="0" fontId="5" fillId="0" borderId="16" xfId="3" applyFont="1" applyBorder="1" applyAlignment="1">
      <alignment horizontal="left" vertical="center" wrapText="1"/>
    </xf>
    <xf numFmtId="0" fontId="28" fillId="3" borderId="47" xfId="3" applyFont="1" applyFill="1" applyBorder="1" applyAlignment="1">
      <alignment horizontal="center" vertical="center" wrapText="1"/>
    </xf>
    <xf numFmtId="0" fontId="28" fillId="3" borderId="2" xfId="3" applyFont="1" applyFill="1" applyBorder="1" applyAlignment="1">
      <alignment horizontal="center" vertical="center" wrapText="1"/>
    </xf>
    <xf numFmtId="0" fontId="28" fillId="3" borderId="3" xfId="3" applyFont="1" applyFill="1" applyBorder="1" applyAlignment="1">
      <alignment horizontal="center" vertical="center" wrapText="1"/>
    </xf>
    <xf numFmtId="0" fontId="28" fillId="3" borderId="86" xfId="3" applyFont="1" applyFill="1" applyBorder="1" applyAlignment="1">
      <alignment horizontal="center" vertical="center" wrapText="1"/>
    </xf>
    <xf numFmtId="0" fontId="28" fillId="3" borderId="0" xfId="3" applyFont="1" applyFill="1" applyAlignment="1">
      <alignment horizontal="center" vertical="center" wrapText="1"/>
    </xf>
    <xf numFmtId="0" fontId="28" fillId="3" borderId="5" xfId="3" applyFont="1" applyFill="1" applyBorder="1" applyAlignment="1">
      <alignment horizontal="center" vertical="center" wrapText="1"/>
    </xf>
    <xf numFmtId="0" fontId="28" fillId="3" borderId="66" xfId="3" applyFont="1" applyFill="1" applyBorder="1" applyAlignment="1">
      <alignment horizontal="center" vertical="center" wrapText="1"/>
    </xf>
    <xf numFmtId="0" fontId="28" fillId="3" borderId="13" xfId="3" applyFont="1" applyFill="1" applyBorder="1" applyAlignment="1">
      <alignment horizontal="center" vertical="center" wrapText="1"/>
    </xf>
    <xf numFmtId="0" fontId="28" fillId="3" borderId="14" xfId="3" applyFont="1" applyFill="1" applyBorder="1" applyAlignment="1">
      <alignment horizontal="center" vertical="center" wrapText="1"/>
    </xf>
    <xf numFmtId="0" fontId="39" fillId="0" borderId="53" xfId="3" applyFont="1" applyBorder="1" applyAlignment="1">
      <alignment horizontal="left" vertical="center" wrapText="1"/>
    </xf>
    <xf numFmtId="0" fontId="39" fillId="0" borderId="16" xfId="3" applyFont="1" applyBorder="1" applyAlignment="1">
      <alignment horizontal="left" vertical="center" wrapText="1"/>
    </xf>
    <xf numFmtId="0" fontId="28" fillId="3" borderId="31" xfId="3" applyFont="1" applyFill="1" applyBorder="1" applyAlignment="1">
      <alignment horizontal="center" vertical="center" wrapText="1"/>
    </xf>
    <xf numFmtId="0" fontId="28" fillId="3" borderId="32" xfId="3" applyFont="1" applyFill="1" applyBorder="1" applyAlignment="1">
      <alignment horizontal="center" vertical="center" wrapText="1"/>
    </xf>
    <xf numFmtId="0" fontId="28" fillId="3" borderId="24" xfId="3" applyFont="1" applyFill="1" applyBorder="1" applyAlignment="1">
      <alignment horizontal="center" vertical="center" wrapText="1"/>
    </xf>
    <xf numFmtId="0" fontId="28" fillId="3" borderId="23" xfId="3" applyFont="1" applyFill="1" applyBorder="1" applyAlignment="1">
      <alignment horizontal="center" vertical="center" wrapText="1"/>
    </xf>
    <xf numFmtId="0" fontId="28" fillId="3" borderId="28" xfId="3" applyFont="1" applyFill="1" applyBorder="1" applyAlignment="1">
      <alignment horizontal="center" vertical="center" wrapText="1"/>
    </xf>
    <xf numFmtId="0" fontId="28" fillId="3" borderId="44" xfId="3" applyFont="1" applyFill="1" applyBorder="1" applyAlignment="1">
      <alignment horizontal="center" vertical="center" wrapText="1"/>
    </xf>
    <xf numFmtId="0" fontId="28" fillId="3" borderId="30" xfId="3" applyFont="1" applyFill="1" applyBorder="1" applyAlignment="1">
      <alignment horizontal="center" vertical="center" wrapText="1"/>
    </xf>
    <xf numFmtId="0" fontId="24" fillId="0" borderId="53" xfId="3" applyFont="1" applyBorder="1" applyAlignment="1">
      <alignment horizontal="left" vertical="center" wrapText="1"/>
    </xf>
    <xf numFmtId="0" fontId="24" fillId="0" borderId="16" xfId="3" applyFont="1" applyBorder="1" applyAlignment="1">
      <alignment horizontal="left" vertical="center" wrapText="1"/>
    </xf>
    <xf numFmtId="0" fontId="24" fillId="0" borderId="36" xfId="3" applyFont="1" applyBorder="1" applyAlignment="1">
      <alignment horizontal="center" vertical="center"/>
    </xf>
    <xf numFmtId="0" fontId="24" fillId="0" borderId="37" xfId="3" applyFont="1" applyBorder="1" applyAlignment="1">
      <alignment horizontal="center" vertical="center"/>
    </xf>
    <xf numFmtId="0" fontId="6" fillId="0" borderId="15" xfId="3" applyFont="1" applyBorder="1" applyAlignment="1">
      <alignment horizontal="left" vertical="center"/>
    </xf>
    <xf numFmtId="0" fontId="6" fillId="0" borderId="6" xfId="3" applyFont="1" applyBorder="1" applyAlignment="1">
      <alignment horizontal="left" vertical="center"/>
    </xf>
    <xf numFmtId="0" fontId="6" fillId="0" borderId="7" xfId="3" applyFont="1" applyBorder="1" applyAlignment="1">
      <alignment horizontal="left" vertical="center"/>
    </xf>
    <xf numFmtId="0" fontId="24" fillId="0" borderId="1" xfId="3" applyFont="1" applyBorder="1" applyAlignment="1">
      <alignment horizontal="left" vertical="top" wrapText="1"/>
    </xf>
    <xf numFmtId="0" fontId="24" fillId="0" borderId="4" xfId="3" applyFont="1" applyBorder="1" applyAlignment="1">
      <alignment horizontal="left" vertical="top" wrapText="1"/>
    </xf>
    <xf numFmtId="0" fontId="24" fillId="0" borderId="48" xfId="3" applyFont="1" applyBorder="1" applyAlignment="1">
      <alignment horizontal="center" vertical="center"/>
    </xf>
    <xf numFmtId="0" fontId="24" fillId="0" borderId="49" xfId="3" applyFont="1" applyBorder="1" applyAlignment="1">
      <alignment horizontal="center" vertical="center"/>
    </xf>
    <xf numFmtId="0" fontId="23" fillId="3" borderId="6" xfId="3" applyFont="1" applyFill="1" applyBorder="1" applyAlignment="1">
      <alignment horizontal="center" vertical="center" wrapText="1"/>
    </xf>
    <xf numFmtId="0" fontId="24" fillId="4" borderId="40" xfId="3" applyFont="1" applyFill="1" applyBorder="1" applyAlignment="1">
      <alignment horizontal="center" vertical="center" wrapText="1"/>
    </xf>
    <xf numFmtId="0" fontId="24" fillId="4" borderId="41" xfId="3" applyFont="1" applyFill="1" applyBorder="1" applyAlignment="1">
      <alignment horizontal="center" vertical="center" wrapText="1"/>
    </xf>
    <xf numFmtId="0" fontId="24" fillId="4" borderId="36" xfId="3" applyFont="1" applyFill="1" applyBorder="1" applyAlignment="1">
      <alignment horizontal="center" vertical="center" wrapText="1"/>
    </xf>
    <xf numFmtId="0" fontId="24" fillId="4" borderId="37" xfId="3" applyFont="1" applyFill="1" applyBorder="1" applyAlignment="1">
      <alignment horizontal="center" vertical="center" wrapText="1"/>
    </xf>
    <xf numFmtId="0" fontId="23" fillId="3" borderId="31" xfId="3" applyFont="1" applyFill="1" applyBorder="1" applyAlignment="1">
      <alignment horizontal="center" vertical="center" wrapText="1"/>
    </xf>
    <xf numFmtId="0" fontId="23" fillId="3" borderId="32" xfId="3" applyFont="1" applyFill="1" applyBorder="1" applyAlignment="1">
      <alignment horizontal="center" vertical="center" wrapText="1"/>
    </xf>
    <xf numFmtId="0" fontId="23" fillId="3" borderId="24" xfId="3" applyFont="1" applyFill="1" applyBorder="1" applyAlignment="1">
      <alignment horizontal="center" vertical="center" wrapText="1"/>
    </xf>
    <xf numFmtId="0" fontId="24" fillId="4" borderId="48" xfId="3" applyFont="1" applyFill="1" applyBorder="1" applyAlignment="1">
      <alignment horizontal="center" vertical="center" wrapText="1"/>
    </xf>
    <xf numFmtId="0" fontId="24" fillId="4" borderId="49" xfId="3" applyFont="1" applyFill="1" applyBorder="1" applyAlignment="1">
      <alignment horizontal="center" vertical="center" wrapText="1"/>
    </xf>
    <xf numFmtId="0" fontId="24" fillId="0" borderId="1" xfId="3" applyFont="1" applyBorder="1" applyAlignment="1">
      <alignment vertical="center"/>
    </xf>
    <xf numFmtId="0" fontId="24" fillId="0" borderId="31" xfId="3" applyFont="1" applyBorder="1" applyAlignment="1">
      <alignment vertical="center"/>
    </xf>
    <xf numFmtId="0" fontId="23" fillId="3" borderId="1" xfId="3" applyFont="1" applyFill="1" applyBorder="1" applyAlignment="1">
      <alignment horizontal="left" vertical="center" wrapText="1"/>
    </xf>
    <xf numFmtId="0" fontId="23" fillId="3" borderId="2" xfId="3" applyFont="1" applyFill="1" applyBorder="1" applyAlignment="1">
      <alignment horizontal="left" vertical="center" wrapText="1"/>
    </xf>
    <xf numFmtId="0" fontId="23" fillId="3" borderId="3" xfId="3" applyFont="1" applyFill="1" applyBorder="1" applyAlignment="1">
      <alignment horizontal="left" vertical="center" wrapText="1"/>
    </xf>
    <xf numFmtId="0" fontId="23" fillId="3" borderId="4" xfId="3" applyFont="1" applyFill="1" applyBorder="1" applyAlignment="1">
      <alignment horizontal="left" vertical="center" wrapText="1"/>
    </xf>
    <xf numFmtId="0" fontId="23" fillId="3" borderId="0" xfId="3" applyFont="1" applyFill="1" applyAlignment="1">
      <alignment horizontal="left" vertical="center" wrapText="1"/>
    </xf>
    <xf numFmtId="0" fontId="23" fillId="3" borderId="5" xfId="3" applyFont="1" applyFill="1" applyBorder="1" applyAlignment="1">
      <alignment horizontal="left" vertical="center" wrapText="1"/>
    </xf>
    <xf numFmtId="0" fontId="23" fillId="3" borderId="12" xfId="3" applyFont="1" applyFill="1" applyBorder="1" applyAlignment="1">
      <alignment horizontal="left" vertical="center" wrapText="1"/>
    </xf>
    <xf numFmtId="0" fontId="23" fillId="3" borderId="13" xfId="3" applyFont="1" applyFill="1" applyBorder="1" applyAlignment="1">
      <alignment horizontal="left" vertical="center" wrapText="1"/>
    </xf>
    <xf numFmtId="0" fontId="23" fillId="3" borderId="14" xfId="3" applyFont="1" applyFill="1" applyBorder="1" applyAlignment="1">
      <alignment horizontal="left" vertical="center" wrapText="1"/>
    </xf>
    <xf numFmtId="0" fontId="23" fillId="3" borderId="45" xfId="3" applyFont="1" applyFill="1" applyBorder="1" applyAlignment="1">
      <alignment horizontal="center" vertical="center" wrapText="1"/>
    </xf>
    <xf numFmtId="0" fontId="23" fillId="3" borderId="19" xfId="3" applyFont="1" applyFill="1" applyBorder="1" applyAlignment="1">
      <alignment horizontal="center" vertical="center" wrapText="1"/>
    </xf>
    <xf numFmtId="0" fontId="23" fillId="3" borderId="46" xfId="3" applyFont="1" applyFill="1" applyBorder="1" applyAlignment="1">
      <alignment horizontal="center" vertical="center" wrapText="1"/>
    </xf>
    <xf numFmtId="0" fontId="24" fillId="0" borderId="40" xfId="3" applyFont="1" applyBorder="1" applyAlignment="1">
      <alignment horizontal="center" vertical="center"/>
    </xf>
    <xf numFmtId="0" fontId="24" fillId="0" borderId="41" xfId="3" applyFont="1" applyBorder="1" applyAlignment="1">
      <alignment horizontal="center" vertical="center"/>
    </xf>
    <xf numFmtId="0" fontId="24" fillId="4" borderId="45" xfId="3" applyFont="1" applyFill="1" applyBorder="1" applyAlignment="1">
      <alignment horizontal="center" vertical="center" wrapText="1"/>
    </xf>
    <xf numFmtId="0" fontId="24" fillId="0" borderId="19" xfId="3" applyFont="1" applyBorder="1" applyAlignment="1">
      <alignment horizontal="center" vertical="center" wrapText="1"/>
    </xf>
    <xf numFmtId="0" fontId="24" fillId="0" borderId="46" xfId="3" applyFont="1" applyBorder="1" applyAlignment="1">
      <alignment horizontal="center" vertical="center" wrapText="1"/>
    </xf>
    <xf numFmtId="0" fontId="24" fillId="0" borderId="25" xfId="3" applyFont="1" applyBorder="1" applyAlignment="1">
      <alignment horizontal="center" vertical="center"/>
    </xf>
    <xf numFmtId="0" fontId="24" fillId="0" borderId="26" xfId="3" applyFont="1" applyBorder="1" applyAlignment="1">
      <alignment horizontal="center" vertical="center"/>
    </xf>
    <xf numFmtId="0" fontId="6" fillId="3" borderId="6" xfId="3" applyFont="1" applyFill="1" applyBorder="1" applyAlignment="1">
      <alignment horizontal="center" vertical="center" wrapText="1"/>
    </xf>
    <xf numFmtId="0" fontId="6" fillId="3" borderId="45" xfId="3" applyFont="1" applyFill="1" applyBorder="1" applyAlignment="1">
      <alignment horizontal="center" vertical="center" wrapText="1"/>
    </xf>
    <xf numFmtId="0" fontId="6" fillId="3" borderId="19" xfId="3" applyFont="1" applyFill="1" applyBorder="1" applyAlignment="1">
      <alignment horizontal="center" vertical="center" wrapText="1"/>
    </xf>
    <xf numFmtId="0" fontId="6" fillId="3" borderId="46" xfId="3" applyFont="1" applyFill="1" applyBorder="1" applyAlignment="1">
      <alignment horizontal="center" vertical="center" wrapText="1"/>
    </xf>
    <xf numFmtId="0" fontId="6" fillId="3" borderId="31" xfId="3" applyFont="1" applyFill="1" applyBorder="1" applyAlignment="1">
      <alignment horizontal="center" vertical="center" wrapText="1"/>
    </xf>
    <xf numFmtId="0" fontId="6" fillId="3" borderId="32" xfId="3" applyFont="1" applyFill="1" applyBorder="1" applyAlignment="1">
      <alignment horizontal="center" vertical="center" wrapText="1"/>
    </xf>
    <xf numFmtId="0" fontId="6" fillId="3" borderId="24" xfId="3" applyFont="1" applyFill="1" applyBorder="1" applyAlignment="1">
      <alignment horizontal="center" vertical="center" wrapText="1"/>
    </xf>
    <xf numFmtId="0" fontId="6" fillId="3" borderId="1" xfId="3" applyFont="1" applyFill="1" applyBorder="1" applyAlignment="1">
      <alignment horizontal="left" vertical="center" wrapText="1"/>
    </xf>
    <xf numFmtId="0" fontId="6" fillId="3" borderId="2" xfId="3" applyFont="1" applyFill="1" applyBorder="1" applyAlignment="1">
      <alignment horizontal="left" vertical="center" wrapText="1"/>
    </xf>
    <xf numFmtId="0" fontId="6" fillId="3" borderId="3" xfId="3" applyFont="1" applyFill="1" applyBorder="1" applyAlignment="1">
      <alignment horizontal="left" vertical="center" wrapText="1"/>
    </xf>
    <xf numFmtId="0" fontId="6" fillId="3" borderId="4" xfId="3" applyFont="1" applyFill="1" applyBorder="1" applyAlignment="1">
      <alignment horizontal="left" vertical="center" wrapText="1"/>
    </xf>
    <xf numFmtId="0" fontId="6" fillId="3" borderId="0" xfId="3" applyFont="1" applyFill="1" applyAlignment="1">
      <alignment horizontal="left" vertical="center" wrapText="1"/>
    </xf>
    <xf numFmtId="0" fontId="6" fillId="3" borderId="5" xfId="3" applyFont="1" applyFill="1" applyBorder="1" applyAlignment="1">
      <alignment horizontal="left" vertical="center" wrapText="1"/>
    </xf>
    <xf numFmtId="0" fontId="6" fillId="3" borderId="12" xfId="3" applyFont="1" applyFill="1" applyBorder="1" applyAlignment="1">
      <alignment horizontal="left" vertical="center" wrapText="1"/>
    </xf>
    <xf numFmtId="0" fontId="6" fillId="3" borderId="13" xfId="3" applyFont="1" applyFill="1" applyBorder="1" applyAlignment="1">
      <alignment horizontal="left" vertical="center" wrapText="1"/>
    </xf>
    <xf numFmtId="0" fontId="6" fillId="3" borderId="14" xfId="3" applyFont="1" applyFill="1" applyBorder="1" applyAlignment="1">
      <alignment horizontal="left" vertical="center" wrapText="1"/>
    </xf>
    <xf numFmtId="0" fontId="23" fillId="3" borderId="40" xfId="4" applyFont="1" applyFill="1" applyBorder="1" applyAlignment="1" applyProtection="1">
      <alignment horizontal="center" vertical="center" wrapText="1"/>
      <protection locked="0"/>
    </xf>
    <xf numFmtId="0" fontId="19" fillId="0" borderId="18" xfId="4" applyFont="1" applyBorder="1" applyAlignment="1" applyProtection="1">
      <alignment horizontal="center" vertical="center" wrapText="1"/>
      <protection locked="0"/>
    </xf>
    <xf numFmtId="0" fontId="19" fillId="0" borderId="22" xfId="4" applyFont="1" applyBorder="1" applyAlignment="1" applyProtection="1">
      <alignment horizontal="center" vertical="center" wrapText="1"/>
      <protection locked="0"/>
    </xf>
    <xf numFmtId="0" fontId="23" fillId="3" borderId="48" xfId="4" applyFont="1" applyFill="1" applyBorder="1" applyAlignment="1" applyProtection="1">
      <alignment horizontal="center" vertical="center" wrapText="1"/>
      <protection locked="0"/>
    </xf>
    <xf numFmtId="0" fontId="19" fillId="0" borderId="11" xfId="4" applyFont="1" applyBorder="1" applyAlignment="1" applyProtection="1">
      <alignment horizontal="center" vertical="center" wrapText="1"/>
      <protection locked="0"/>
    </xf>
    <xf numFmtId="0" fontId="19" fillId="0" borderId="87" xfId="4" applyFont="1" applyBorder="1" applyAlignment="1" applyProtection="1">
      <alignment horizontal="center" vertical="center" wrapText="1"/>
      <protection locked="0"/>
    </xf>
    <xf numFmtId="0" fontId="23" fillId="3" borderId="52" xfId="4" applyFont="1" applyFill="1" applyBorder="1" applyAlignment="1" applyProtection="1">
      <alignment horizontal="center" vertical="center" wrapText="1"/>
      <protection locked="0"/>
    </xf>
    <xf numFmtId="0" fontId="19" fillId="0" borderId="52" xfId="4" applyFont="1" applyBorder="1" applyAlignment="1" applyProtection="1">
      <alignment horizontal="center" vertical="center" wrapText="1"/>
      <protection locked="0"/>
    </xf>
    <xf numFmtId="0" fontId="25" fillId="0" borderId="0" xfId="4" applyFont="1" applyAlignment="1" applyProtection="1">
      <alignment horizontal="center"/>
      <protection locked="0"/>
    </xf>
    <xf numFmtId="0" fontId="5" fillId="0" borderId="38" xfId="4" applyFont="1" applyBorder="1" applyAlignment="1" applyProtection="1">
      <alignment horizontal="center" vertical="center" wrapText="1"/>
      <protection locked="0"/>
    </xf>
    <xf numFmtId="0" fontId="3" fillId="0" borderId="39" xfId="4" applyBorder="1" applyAlignment="1">
      <alignment horizontal="center" vertical="center" wrapText="1"/>
    </xf>
    <xf numFmtId="0" fontId="3" fillId="0" borderId="65" xfId="4" applyBorder="1" applyAlignment="1">
      <alignment horizontal="center" vertical="center" wrapText="1"/>
    </xf>
    <xf numFmtId="0" fontId="23" fillId="3" borderId="64" xfId="4" applyFont="1" applyFill="1" applyBorder="1" applyAlignment="1" applyProtection="1">
      <alignment horizontal="center" vertical="center" wrapText="1"/>
      <protection locked="0"/>
    </xf>
    <xf numFmtId="0" fontId="20" fillId="0" borderId="53" xfId="4" applyFont="1" applyBorder="1" applyAlignment="1" applyProtection="1">
      <alignment horizontal="center" vertical="center" wrapText="1"/>
      <protection locked="0"/>
    </xf>
    <xf numFmtId="0" fontId="3" fillId="0" borderId="4" xfId="4" applyBorder="1" applyAlignment="1" applyProtection="1">
      <alignment horizontal="center" vertical="center" wrapText="1"/>
      <protection locked="0"/>
    </xf>
    <xf numFmtId="0" fontId="3" fillId="0" borderId="0" xfId="4" applyAlignment="1" applyProtection="1">
      <alignment horizontal="center" vertical="center" wrapText="1"/>
      <protection locked="0"/>
    </xf>
    <xf numFmtId="0" fontId="3" fillId="0" borderId="5" xfId="4" applyBorder="1" applyAlignment="1" applyProtection="1">
      <alignment horizontal="center" vertical="center" wrapText="1"/>
      <protection locked="0"/>
    </xf>
    <xf numFmtId="0" fontId="3" fillId="0" borderId="12" xfId="4" applyBorder="1" applyAlignment="1" applyProtection="1">
      <alignment horizontal="center" vertical="center" wrapText="1"/>
      <protection locked="0"/>
    </xf>
    <xf numFmtId="0" fontId="3" fillId="0" borderId="13" xfId="4" applyBorder="1" applyAlignment="1" applyProtection="1">
      <alignment horizontal="center" vertical="center" wrapText="1"/>
      <protection locked="0"/>
    </xf>
    <xf numFmtId="0" fontId="3" fillId="0" borderId="14" xfId="4" applyBorder="1" applyAlignment="1" applyProtection="1">
      <alignment horizontal="center" vertical="center" wrapText="1"/>
      <protection locked="0"/>
    </xf>
    <xf numFmtId="0" fontId="23" fillId="3" borderId="88" xfId="4" applyFont="1" applyFill="1" applyBorder="1" applyAlignment="1" applyProtection="1">
      <alignment horizontal="center" vertical="center" wrapText="1"/>
      <protection locked="0"/>
    </xf>
    <xf numFmtId="0" fontId="20" fillId="0" borderId="58" xfId="4" applyFont="1" applyBorder="1" applyAlignment="1" applyProtection="1">
      <alignment horizontal="center" vertical="center" wrapText="1"/>
      <protection locked="0"/>
    </xf>
    <xf numFmtId="0" fontId="6" fillId="3" borderId="40" xfId="4" applyFont="1" applyFill="1" applyBorder="1" applyAlignment="1" applyProtection="1">
      <alignment horizontal="center" vertical="center" wrapText="1"/>
      <protection locked="0"/>
    </xf>
    <xf numFmtId="0" fontId="29" fillId="0" borderId="18" xfId="4" applyFont="1" applyBorder="1" applyAlignment="1" applyProtection="1">
      <alignment horizontal="center" vertical="center" wrapText="1"/>
      <protection locked="0"/>
    </xf>
    <xf numFmtId="0" fontId="29" fillId="0" borderId="22" xfId="4" applyFont="1" applyBorder="1" applyAlignment="1" applyProtection="1">
      <alignment horizontal="center" vertical="center" wrapText="1"/>
      <protection locked="0"/>
    </xf>
    <xf numFmtId="0" fontId="6" fillId="3" borderId="48" xfId="4" applyFont="1" applyFill="1" applyBorder="1" applyAlignment="1" applyProtection="1">
      <alignment horizontal="center" vertical="center" wrapText="1"/>
      <protection locked="0"/>
    </xf>
    <xf numFmtId="0" fontId="29" fillId="0" borderId="11" xfId="4" applyFont="1" applyBorder="1" applyAlignment="1" applyProtection="1">
      <alignment horizontal="center" vertical="center" wrapText="1"/>
      <protection locked="0"/>
    </xf>
    <xf numFmtId="0" fontId="29" fillId="0" borderId="87" xfId="4" applyFont="1" applyBorder="1" applyAlignment="1" applyProtection="1">
      <alignment horizontal="center" vertical="center" wrapText="1"/>
      <protection locked="0"/>
    </xf>
    <xf numFmtId="0" fontId="6" fillId="3" borderId="52" xfId="4" applyFont="1" applyFill="1" applyBorder="1" applyAlignment="1" applyProtection="1">
      <alignment horizontal="center" vertical="center" wrapText="1"/>
      <protection locked="0"/>
    </xf>
    <xf numFmtId="0" fontId="29" fillId="0" borderId="52" xfId="4" applyFont="1" applyBorder="1" applyAlignment="1" applyProtection="1">
      <alignment horizontal="center" vertical="center" wrapText="1"/>
      <protection locked="0"/>
    </xf>
    <xf numFmtId="0" fontId="6" fillId="3" borderId="64" xfId="4" applyFont="1" applyFill="1" applyBorder="1" applyAlignment="1" applyProtection="1">
      <alignment horizontal="center" vertical="center" wrapText="1"/>
      <protection locked="0"/>
    </xf>
    <xf numFmtId="0" fontId="32" fillId="0" borderId="53" xfId="4" applyFont="1" applyBorder="1" applyAlignment="1" applyProtection="1">
      <alignment horizontal="center" vertical="center" wrapText="1"/>
      <protection locked="0"/>
    </xf>
    <xf numFmtId="0" fontId="6" fillId="3" borderId="88" xfId="4" applyFont="1" applyFill="1" applyBorder="1" applyAlignment="1" applyProtection="1">
      <alignment horizontal="center" vertical="center" wrapText="1"/>
      <protection locked="0"/>
    </xf>
    <xf numFmtId="0" fontId="32" fillId="0" borderId="58" xfId="4" applyFont="1" applyBorder="1" applyAlignment="1" applyProtection="1">
      <alignment horizontal="center" vertical="center" wrapText="1"/>
      <protection locked="0"/>
    </xf>
    <xf numFmtId="0" fontId="28" fillId="3" borderId="64" xfId="4" applyFont="1" applyFill="1" applyBorder="1" applyAlignment="1" applyProtection="1">
      <alignment horizontal="center" vertical="center" wrapText="1"/>
      <protection locked="0"/>
    </xf>
    <xf numFmtId="0" fontId="16" fillId="0" borderId="53" xfId="4" applyFont="1" applyBorder="1" applyAlignment="1" applyProtection="1">
      <alignment horizontal="center" vertical="center" wrapText="1"/>
      <protection locked="0"/>
    </xf>
    <xf numFmtId="0" fontId="28" fillId="3" borderId="88" xfId="4" applyFont="1" applyFill="1" applyBorder="1" applyAlignment="1" applyProtection="1">
      <alignment horizontal="center" vertical="center" wrapText="1"/>
      <protection locked="0"/>
    </xf>
    <xf numFmtId="0" fontId="16" fillId="0" borderId="58" xfId="4" applyFont="1" applyBorder="1" applyAlignment="1" applyProtection="1">
      <alignment horizontal="center" vertical="center" wrapText="1"/>
      <protection locked="0"/>
    </xf>
    <xf numFmtId="0" fontId="24" fillId="8" borderId="99" xfId="3" applyFont="1" applyFill="1" applyBorder="1" applyAlignment="1">
      <alignment horizontal="center" vertical="center" wrapText="1"/>
    </xf>
    <xf numFmtId="0" fontId="24" fillId="8" borderId="97" xfId="3" applyFont="1" applyFill="1" applyBorder="1" applyAlignment="1">
      <alignment horizontal="center" vertical="center" wrapText="1"/>
    </xf>
    <xf numFmtId="0" fontId="24" fillId="8" borderId="95" xfId="3" applyFont="1" applyFill="1" applyBorder="1" applyAlignment="1">
      <alignment horizontal="center" vertical="center" wrapText="1"/>
    </xf>
    <xf numFmtId="0" fontId="24" fillId="8" borderId="100" xfId="3" applyFont="1" applyFill="1" applyBorder="1" applyAlignment="1">
      <alignment horizontal="center" vertical="center" wrapText="1"/>
    </xf>
    <xf numFmtId="0" fontId="24" fillId="8" borderId="98" xfId="3" applyFont="1" applyFill="1" applyBorder="1" applyAlignment="1">
      <alignment horizontal="center" vertical="center" wrapText="1"/>
    </xf>
    <xf numFmtId="0" fontId="24" fillId="8" borderId="96" xfId="3" applyFont="1" applyFill="1" applyBorder="1" applyAlignment="1">
      <alignment horizontal="center" vertical="center" wrapText="1"/>
    </xf>
    <xf numFmtId="0" fontId="24" fillId="8" borderId="64" xfId="3" applyFont="1" applyFill="1" applyBorder="1" applyAlignment="1">
      <alignment horizontal="center" vertical="center" wrapText="1"/>
    </xf>
    <xf numFmtId="0" fontId="24" fillId="8" borderId="61" xfId="3" applyFont="1" applyFill="1" applyBorder="1" applyAlignment="1">
      <alignment horizontal="center" vertical="center" wrapText="1"/>
    </xf>
    <xf numFmtId="0" fontId="24" fillId="8" borderId="62" xfId="3" applyFont="1" applyFill="1" applyBorder="1" applyAlignment="1">
      <alignment horizontal="center" vertical="center" wrapText="1"/>
    </xf>
    <xf numFmtId="0" fontId="5" fillId="0" borderId="2" xfId="3" applyFont="1" applyBorder="1" applyAlignment="1">
      <alignment horizontal="center" vertical="center" wrapText="1"/>
    </xf>
    <xf numFmtId="0" fontId="5" fillId="0" borderId="0" xfId="3" applyFont="1" applyAlignment="1">
      <alignment horizontal="center" vertical="center" wrapText="1"/>
    </xf>
    <xf numFmtId="0" fontId="5" fillId="0" borderId="13" xfId="3" applyFont="1" applyBorder="1" applyAlignment="1">
      <alignment horizontal="center" vertical="center" wrapText="1"/>
    </xf>
    <xf numFmtId="0" fontId="6" fillId="3" borderId="99" xfId="3" applyFont="1" applyFill="1" applyBorder="1" applyAlignment="1">
      <alignment horizontal="center" vertical="center" wrapText="1"/>
    </xf>
    <xf numFmtId="0" fontId="6" fillId="3" borderId="97" xfId="3" applyFont="1" applyFill="1" applyBorder="1" applyAlignment="1">
      <alignment horizontal="center" vertical="center" wrapText="1"/>
    </xf>
    <xf numFmtId="0" fontId="6" fillId="3" borderId="95" xfId="3" applyFont="1" applyFill="1" applyBorder="1" applyAlignment="1">
      <alignment horizontal="center" vertical="center" wrapText="1"/>
    </xf>
    <xf numFmtId="0" fontId="6" fillId="3" borderId="62" xfId="3" applyFont="1" applyFill="1" applyBorder="1" applyAlignment="1">
      <alignment horizontal="center" vertical="center" wrapText="1"/>
    </xf>
    <xf numFmtId="0" fontId="24" fillId="0" borderId="95" xfId="3" applyFont="1" applyBorder="1" applyAlignment="1">
      <alignment horizontal="left" vertical="center" wrapText="1"/>
    </xf>
    <xf numFmtId="0" fontId="24" fillId="0" borderId="101" xfId="3" applyFont="1" applyBorder="1" applyAlignment="1">
      <alignment horizontal="left" vertical="center" wrapText="1"/>
    </xf>
    <xf numFmtId="0" fontId="24" fillId="0" borderId="105" xfId="3" applyFont="1" applyBorder="1" applyAlignment="1">
      <alignment horizontal="left" vertical="center" wrapText="1"/>
    </xf>
    <xf numFmtId="0" fontId="24" fillId="0" borderId="107" xfId="3" applyFont="1" applyBorder="1" applyAlignment="1">
      <alignment horizontal="left" vertical="center" wrapText="1"/>
    </xf>
    <xf numFmtId="0" fontId="24" fillId="4" borderId="104" xfId="3" applyFont="1" applyFill="1" applyBorder="1" applyAlignment="1">
      <alignment horizontal="left" vertical="center" wrapText="1"/>
    </xf>
    <xf numFmtId="0" fontId="24" fillId="4" borderId="103" xfId="3" applyFont="1" applyFill="1" applyBorder="1" applyAlignment="1">
      <alignment horizontal="left" vertical="center" wrapText="1"/>
    </xf>
    <xf numFmtId="0" fontId="24" fillId="4" borderId="102" xfId="3" applyFont="1" applyFill="1" applyBorder="1" applyAlignment="1">
      <alignment horizontal="left" vertical="center" wrapText="1"/>
    </xf>
    <xf numFmtId="0" fontId="6" fillId="3" borderId="100" xfId="3" applyFont="1" applyFill="1" applyBorder="1" applyAlignment="1">
      <alignment horizontal="center" vertical="center" wrapText="1"/>
    </xf>
    <xf numFmtId="0" fontId="6" fillId="3" borderId="98" xfId="3" applyFont="1" applyFill="1" applyBorder="1" applyAlignment="1">
      <alignment horizontal="center" vertical="center" wrapText="1"/>
    </xf>
    <xf numFmtId="0" fontId="6" fillId="3" borderId="96" xfId="3" applyFont="1" applyFill="1" applyBorder="1" applyAlignment="1">
      <alignment horizontal="center" vertical="center" wrapText="1"/>
    </xf>
    <xf numFmtId="0" fontId="24" fillId="0" borderId="6" xfId="3" applyFont="1" applyBorder="1" applyAlignment="1">
      <alignment horizontal="left" vertical="center" wrapText="1"/>
    </xf>
    <xf numFmtId="0" fontId="24" fillId="0" borderId="7" xfId="3" applyFont="1" applyBorder="1" applyAlignment="1">
      <alignment horizontal="left" vertical="center" wrapText="1"/>
    </xf>
    <xf numFmtId="0" fontId="39" fillId="4" borderId="52" xfId="3" applyFont="1" applyFill="1" applyBorder="1" applyAlignment="1">
      <alignment horizontal="left" vertical="center" wrapText="1"/>
    </xf>
    <xf numFmtId="0" fontId="39" fillId="4" borderId="23" xfId="3" applyFont="1" applyFill="1" applyBorder="1" applyAlignment="1">
      <alignment horizontal="left" vertical="center" wrapText="1"/>
    </xf>
    <xf numFmtId="0" fontId="7" fillId="3" borderId="61" xfId="3" applyFont="1" applyFill="1" applyBorder="1" applyAlignment="1">
      <alignment horizontal="center" vertical="center" wrapText="1"/>
    </xf>
    <xf numFmtId="0" fontId="4" fillId="0" borderId="61" xfId="3" applyBorder="1" applyAlignment="1">
      <alignment horizontal="center" vertical="center" wrapText="1"/>
    </xf>
    <xf numFmtId="0" fontId="4" fillId="0" borderId="62" xfId="3" applyBorder="1" applyAlignment="1">
      <alignment horizontal="center" vertical="center" wrapText="1"/>
    </xf>
    <xf numFmtId="0" fontId="28" fillId="3" borderId="60" xfId="3" applyFont="1" applyFill="1" applyBorder="1" applyAlignment="1">
      <alignment horizontal="center" vertical="center" wrapText="1"/>
    </xf>
    <xf numFmtId="0" fontId="5" fillId="4" borderId="50" xfId="3" applyFont="1" applyFill="1" applyBorder="1" applyAlignment="1">
      <alignment horizontal="left" vertical="center" wrapText="1"/>
    </xf>
    <xf numFmtId="0" fontId="5" fillId="4" borderId="28" xfId="3" applyFont="1" applyFill="1" applyBorder="1" applyAlignment="1">
      <alignment horizontal="left" vertical="center" wrapText="1"/>
    </xf>
    <xf numFmtId="0" fontId="6" fillId="3" borderId="55" xfId="3" applyFont="1" applyFill="1" applyBorder="1" applyAlignment="1">
      <alignment horizontal="center" vertical="center" wrapText="1"/>
    </xf>
    <xf numFmtId="0" fontId="6" fillId="3" borderId="63" xfId="3" applyFont="1" applyFill="1" applyBorder="1" applyAlignment="1">
      <alignment horizontal="center" vertical="center" wrapText="1"/>
    </xf>
    <xf numFmtId="0" fontId="6" fillId="3" borderId="60" xfId="3" applyFont="1" applyFill="1" applyBorder="1" applyAlignment="1">
      <alignment horizontal="center" vertical="center" wrapText="1"/>
    </xf>
    <xf numFmtId="0" fontId="4" fillId="4" borderId="86"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10" fillId="4" borderId="45" xfId="0" applyFont="1" applyFill="1" applyBorder="1" applyAlignment="1">
      <alignment horizontal="center" vertical="center" wrapText="1"/>
    </xf>
    <xf numFmtId="0" fontId="0" fillId="0" borderId="19" xfId="0" applyBorder="1" applyAlignment="1">
      <alignment horizontal="center" vertical="center" wrapText="1"/>
    </xf>
    <xf numFmtId="0" fontId="0" fillId="0" borderId="46" xfId="0" applyBorder="1" applyAlignment="1">
      <alignment horizontal="center" vertical="center" wrapText="1"/>
    </xf>
    <xf numFmtId="0" fontId="0" fillId="0" borderId="37" xfId="0" applyBorder="1" applyAlignment="1">
      <alignment horizontal="center" vertical="center" wrapText="1"/>
    </xf>
    <xf numFmtId="0" fontId="4" fillId="0" borderId="47" xfId="0" applyFont="1" applyBorder="1" applyAlignment="1">
      <alignment horizontal="center" vertical="center"/>
    </xf>
    <xf numFmtId="0" fontId="0" fillId="0" borderId="2" xfId="0" applyBorder="1" applyAlignment="1">
      <alignment horizontal="center" vertical="center"/>
    </xf>
    <xf numFmtId="0" fontId="74" fillId="0" borderId="38" xfId="4" applyFont="1" applyBorder="1" applyAlignment="1">
      <alignment horizontal="center" vertical="center" wrapText="1"/>
    </xf>
    <xf numFmtId="0" fontId="75" fillId="0" borderId="39" xfId="4" applyFont="1" applyBorder="1" applyAlignment="1">
      <alignment horizontal="center" vertical="center"/>
    </xf>
    <xf numFmtId="0" fontId="75" fillId="0" borderId="65" xfId="4" applyFont="1" applyBorder="1" applyAlignment="1">
      <alignment horizontal="center" vertical="center"/>
    </xf>
    <xf numFmtId="0" fontId="51" fillId="0" borderId="1" xfId="3" applyFont="1" applyBorder="1" applyAlignment="1">
      <alignment horizontal="center" vertical="center"/>
    </xf>
    <xf numFmtId="0" fontId="50" fillId="0" borderId="3" xfId="4" applyFont="1" applyBorder="1" applyAlignment="1">
      <alignment horizontal="center" vertical="center"/>
    </xf>
    <xf numFmtId="0" fontId="50" fillId="0" borderId="4" xfId="4" applyFont="1" applyBorder="1" applyAlignment="1">
      <alignment horizontal="center" vertical="center"/>
    </xf>
    <xf numFmtId="0" fontId="50" fillId="0" borderId="5" xfId="4" applyFont="1" applyBorder="1" applyAlignment="1">
      <alignment horizontal="center" vertical="center"/>
    </xf>
    <xf numFmtId="0" fontId="50" fillId="0" borderId="12" xfId="4" applyFont="1" applyBorder="1" applyAlignment="1">
      <alignment horizontal="center" vertical="center"/>
    </xf>
    <xf numFmtId="0" fontId="50" fillId="0" borderId="14" xfId="4" applyFont="1" applyBorder="1" applyAlignment="1">
      <alignment horizontal="center" vertical="center"/>
    </xf>
    <xf numFmtId="0" fontId="6" fillId="10" borderId="38" xfId="3" applyFont="1" applyFill="1" applyBorder="1" applyAlignment="1">
      <alignment horizontal="center" vertical="center" wrapText="1"/>
    </xf>
    <xf numFmtId="0" fontId="6" fillId="10" borderId="65" xfId="3" applyFont="1" applyFill="1" applyBorder="1" applyAlignment="1">
      <alignment horizontal="center" vertical="center" wrapText="1"/>
    </xf>
    <xf numFmtId="0" fontId="6" fillId="10" borderId="88" xfId="3" applyFont="1" applyFill="1" applyBorder="1" applyAlignment="1">
      <alignment horizontal="center" vertical="center" wrapText="1"/>
    </xf>
    <xf numFmtId="0" fontId="6" fillId="10" borderId="89" xfId="3" applyFont="1" applyFill="1" applyBorder="1" applyAlignment="1">
      <alignment horizontal="center" vertical="center" wrapText="1"/>
    </xf>
    <xf numFmtId="0" fontId="6" fillId="10" borderId="39" xfId="3" applyFont="1" applyFill="1" applyBorder="1" applyAlignment="1">
      <alignment horizontal="center" vertical="center" wrapText="1"/>
    </xf>
    <xf numFmtId="0" fontId="6" fillId="10" borderId="39" xfId="3" applyFont="1" applyFill="1" applyBorder="1" applyAlignment="1">
      <alignment horizontal="center" vertical="center"/>
    </xf>
    <xf numFmtId="0" fontId="30" fillId="0" borderId="39" xfId="4" applyFont="1" applyBorder="1" applyAlignment="1">
      <alignment horizontal="center" vertical="center" wrapText="1"/>
    </xf>
    <xf numFmtId="0" fontId="30" fillId="0" borderId="65" xfId="4" applyFont="1" applyBorder="1" applyAlignment="1">
      <alignment horizontal="center" vertical="center" wrapText="1"/>
    </xf>
    <xf numFmtId="0" fontId="6" fillId="10" borderId="1" xfId="3" applyFont="1" applyFill="1" applyBorder="1" applyAlignment="1">
      <alignment horizontal="center" vertical="center" wrapText="1"/>
    </xf>
    <xf numFmtId="0" fontId="6" fillId="10" borderId="4" xfId="3" applyFont="1" applyFill="1" applyBorder="1" applyAlignment="1">
      <alignment horizontal="center" vertical="center" wrapText="1"/>
    </xf>
    <xf numFmtId="0" fontId="6" fillId="10" borderId="3" xfId="3" applyFont="1" applyFill="1" applyBorder="1" applyAlignment="1">
      <alignment horizontal="center" vertical="center" wrapText="1"/>
    </xf>
    <xf numFmtId="0" fontId="6" fillId="10" borderId="5" xfId="3" applyFont="1" applyFill="1" applyBorder="1" applyAlignment="1">
      <alignment horizontal="center" vertical="center" wrapText="1"/>
    </xf>
    <xf numFmtId="0" fontId="6" fillId="10" borderId="17" xfId="3" applyFont="1" applyFill="1" applyBorder="1" applyAlignment="1">
      <alignment horizontal="center" vertical="center" wrapText="1"/>
    </xf>
    <xf numFmtId="0" fontId="6" fillId="10" borderId="18" xfId="3" applyFont="1" applyFill="1" applyBorder="1" applyAlignment="1">
      <alignment horizontal="center" vertical="center" wrapText="1"/>
    </xf>
    <xf numFmtId="0" fontId="6" fillId="10" borderId="41" xfId="3" applyFont="1" applyFill="1" applyBorder="1" applyAlignment="1">
      <alignment horizontal="center" vertical="center" wrapText="1"/>
    </xf>
    <xf numFmtId="0" fontId="24" fillId="0" borderId="6" xfId="3" applyFont="1" applyBorder="1" applyAlignment="1" applyProtection="1">
      <alignment horizontal="left" vertical="top" wrapText="1"/>
      <protection locked="0"/>
    </xf>
    <xf numFmtId="0" fontId="30" fillId="0" borderId="6" xfId="4" applyFont="1" applyBorder="1" applyAlignment="1">
      <alignment horizontal="left" vertical="top" wrapText="1"/>
    </xf>
    <xf numFmtId="0" fontId="30" fillId="0" borderId="7" xfId="4" applyFont="1" applyBorder="1" applyAlignment="1">
      <alignment horizontal="left" vertical="top" wrapText="1"/>
    </xf>
    <xf numFmtId="0" fontId="6" fillId="9" borderId="15" xfId="3" applyFont="1" applyFill="1" applyBorder="1" applyAlignment="1" applyProtection="1">
      <alignment horizontal="left" vertical="center" wrapText="1"/>
      <protection locked="0"/>
    </xf>
    <xf numFmtId="0" fontId="37" fillId="0" borderId="6" xfId="4" applyFont="1" applyBorder="1" applyAlignment="1">
      <alignment horizontal="left" vertical="center" wrapText="1"/>
    </xf>
    <xf numFmtId="0" fontId="37" fillId="0" borderId="7" xfId="4" applyFont="1" applyBorder="1" applyAlignment="1">
      <alignment horizontal="left" vertical="center" wrapText="1"/>
    </xf>
    <xf numFmtId="0" fontId="6" fillId="9" borderId="1" xfId="3" applyFont="1" applyFill="1" applyBorder="1" applyAlignment="1" applyProtection="1">
      <alignment horizontal="left" vertical="center" wrapText="1"/>
      <protection locked="0"/>
    </xf>
    <xf numFmtId="0" fontId="37" fillId="0" borderId="2" xfId="4" applyFont="1" applyBorder="1" applyAlignment="1">
      <alignment horizontal="left" vertical="center" wrapText="1"/>
    </xf>
    <xf numFmtId="0" fontId="37" fillId="0" borderId="3" xfId="4" applyFont="1" applyBorder="1" applyAlignment="1">
      <alignment horizontal="left" vertical="center" wrapText="1"/>
    </xf>
  </cellXfs>
  <cellStyles count="8">
    <cellStyle name="20% - Accent5" xfId="2" builtinId="46"/>
    <cellStyle name="Good" xfId="1" builtinId="26"/>
    <cellStyle name="Hyperlink" xfId="5" builtinId="8"/>
    <cellStyle name="Hyperlink 2" xfId="7" xr:uid="{00B5587A-CBF8-474D-B5E5-3004A077A360}"/>
    <cellStyle name="Normal" xfId="0" builtinId="0"/>
    <cellStyle name="Normal 2" xfId="3" xr:uid="{FDF08E2E-939C-4F90-934D-612D41A25B14}"/>
    <cellStyle name="Normal 3" xfId="4" xr:uid="{87025A25-D152-42B3-B5BC-8DB139DBC1F0}"/>
    <cellStyle name="Normal 4" xfId="6" xr:uid="{6566FB80-0331-43A7-93B2-8ACBEE804A21}"/>
  </cellStyles>
  <dxfs count="117">
    <dxf>
      <fill>
        <patternFill>
          <bgColor rgb="FFFFFF00"/>
        </patternFill>
      </fill>
    </dxf>
    <dxf>
      <fill>
        <patternFill>
          <bgColor rgb="FFFFFF00"/>
        </patternFill>
      </fill>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0" indent="0" justifyLastLine="0" shrinkToFit="0" readingOrder="0"/>
      <border diagonalUp="0" diagonalDown="0" outline="0">
        <left/>
        <right style="medium">
          <color indexed="64"/>
        </right>
        <top/>
        <bottom/>
      </border>
      <protection locked="0" hidden="0"/>
    </dxf>
    <dxf>
      <font>
        <strike val="0"/>
        <outline val="0"/>
        <shadow val="0"/>
        <u val="none"/>
        <vertAlign val="baseline"/>
        <sz val="10"/>
        <color theme="1"/>
        <name val="Arial"/>
        <family val="2"/>
        <scheme val="none"/>
      </font>
      <numFmt numFmtId="30" formatCode="@"/>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top/>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protection locked="0" hidden="0"/>
    </dxf>
    <dxf>
      <font>
        <strike val="0"/>
        <outline val="0"/>
        <shadow val="0"/>
        <u val="none"/>
        <vertAlign val="baseline"/>
        <sz val="10"/>
        <color theme="1"/>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bottom/>
      </border>
      <protection locked="0" hidden="0"/>
    </dxf>
    <dxf>
      <font>
        <strike val="0"/>
        <outline val="0"/>
        <shadow val="0"/>
        <u val="none"/>
        <vertAlign val="baseline"/>
        <sz val="8"/>
        <name val="Arial"/>
        <family val="2"/>
        <scheme val="none"/>
      </font>
      <fill>
        <patternFill patternType="solid">
          <fgColor indexed="64"/>
          <bgColor theme="0"/>
        </patternFill>
      </fill>
      <alignment horizontal="center" vertical="center" textRotation="0" wrapText="1" indent="0" justifyLastLine="0" shrinkToFit="0" readingOrder="0"/>
      <border diagonalUp="0" diagonalDown="0" outline="0">
        <right style="medium">
          <color indexed="64"/>
        </right>
      </border>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border outline="0">
        <left style="thin">
          <color indexed="64"/>
        </left>
      </border>
      <protection locked="0" hidden="0"/>
    </dxf>
    <dxf>
      <font>
        <strike val="0"/>
        <outline val="0"/>
        <shadow val="0"/>
        <u val="none"/>
        <vertAlign val="baseline"/>
        <sz val="8"/>
        <name val="Arial"/>
        <family val="2"/>
        <scheme val="none"/>
      </font>
      <numFmt numFmtId="164" formatCode="0.0"/>
      <fill>
        <patternFill patternType="solid">
          <fgColor indexed="64"/>
          <bgColor theme="0"/>
        </patternFill>
      </fill>
      <alignment textRotation="0" wrapText="1" justifyLastLine="0" shrinkToFit="0" readingOrder="0"/>
      <border outline="0">
        <left style="thin">
          <color indexed="64"/>
        </left>
      </border>
      <protection locked="0" hidden="0"/>
    </dxf>
    <dxf>
      <font>
        <strike val="0"/>
        <outline val="0"/>
        <shadow val="0"/>
        <u val="none"/>
        <vertAlign val="baseline"/>
        <sz val="8"/>
        <name val="Arial"/>
        <family val="2"/>
        <scheme val="none"/>
      </font>
      <numFmt numFmtId="164" formatCode="0.0"/>
      <fill>
        <patternFill patternType="solid">
          <fgColor indexed="64"/>
          <bgColor theme="0"/>
        </patternFill>
      </fill>
      <alignment textRotation="0" wrapText="1" justifyLastLine="0" shrinkToFit="0" readingOrder="0"/>
      <border outline="0">
        <right style="thin">
          <color indexed="64"/>
        </right>
      </border>
      <protection locked="0" hidden="0"/>
    </dxf>
    <dxf>
      <font>
        <strike val="0"/>
        <outline val="0"/>
        <shadow val="0"/>
        <u val="none"/>
        <vertAlign val="baseline"/>
        <sz val="8"/>
        <name val="Arial"/>
        <family val="2"/>
        <scheme val="none"/>
      </font>
      <numFmt numFmtId="1" formatCode="0"/>
      <fill>
        <patternFill patternType="solid">
          <fgColor indexed="64"/>
          <bgColor theme="0"/>
        </patternFill>
      </fill>
      <alignment textRotation="0" wrapText="1" justifyLastLine="0" shrinkToFit="0" readingOrder="0"/>
      <border outline="0">
        <right style="thin">
          <color indexed="64"/>
        </right>
      </border>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8"/>
        <name val="Arial"/>
        <family val="2"/>
        <scheme val="none"/>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right style="medium">
          <color indexed="64"/>
        </right>
        <top/>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indexed="64"/>
        </left>
        <right/>
        <top/>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medium">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medium">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medium">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medium">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medium">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medium">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border>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protection locked="0" hidden="0"/>
    </dxf>
    <dxf>
      <font>
        <strike val="0"/>
        <outline val="0"/>
        <shadow val="0"/>
        <u val="none"/>
        <vertAlign val="baseline"/>
        <sz val="9"/>
        <color theme="1"/>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bottom/>
      </border>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horizontal="center" vertical="center" textRotation="0" wrapText="1" indent="0" justifyLastLine="0" shrinkToFit="0" readingOrder="0"/>
      <border diagonalUp="0" diagonalDown="0">
        <right style="medium">
          <color indexed="64"/>
        </right>
      </border>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border>
        <left style="thin">
          <color indexed="64"/>
        </left>
      </border>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border>
        <left style="thin">
          <color indexed="64"/>
        </left>
      </border>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border>
        <right style="thin">
          <color indexed="64"/>
        </right>
      </border>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border>
        <right style="thin">
          <color indexed="64"/>
        </right>
      </border>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9"/>
        <name val="Arial"/>
        <family val="2"/>
        <scheme val="none"/>
      </font>
      <numFmt numFmtId="0" formatCode="General"/>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right style="medium">
          <color indexed="64"/>
        </right>
      </border>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numFmt numFmtId="1" formatCode="0"/>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name val="Calibri"/>
        <family val="2"/>
        <scheme val="minor"/>
      </font>
      <fill>
        <patternFill patternType="solid">
          <fgColor indexed="64"/>
          <bgColor theme="0"/>
        </patternFill>
      </fill>
      <alignment textRotation="0" wrapText="1" justifyLastLine="0" shrinkToFit="0" readingOrder="0"/>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bottom/>
      </border>
      <protection locked="0" hidden="0"/>
    </dxf>
    <dxf>
      <font>
        <strike val="0"/>
        <outline val="0"/>
        <shadow val="0"/>
        <u val="none"/>
        <vertAlign val="baseline"/>
        <sz val="10"/>
        <color theme="1"/>
        <name val="Calibri"/>
        <family val="2"/>
        <scheme val="minor"/>
      </font>
      <numFmt numFmtId="30" formatCode="@"/>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medium">
          <color indexed="64"/>
        </bottom>
      </border>
      <protection locked="0" hidden="0"/>
    </dxf>
    <dxf>
      <font>
        <strike val="0"/>
        <outline val="0"/>
        <shadow val="0"/>
        <u val="none"/>
        <vertAlign val="baseline"/>
        <sz val="10"/>
        <color theme="1"/>
        <name val="Calibri"/>
        <family val="2"/>
        <scheme val="minor"/>
      </font>
      <numFmt numFmtId="0" formatCode="General"/>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protection locked="0" hidden="0"/>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protection locked="0" hidden="0"/>
    </dxf>
    <dxf>
      <font>
        <strike val="0"/>
        <outline val="0"/>
        <shadow val="0"/>
        <u val="none"/>
        <vertAlign val="baseline"/>
        <sz val="10"/>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bottom/>
      </border>
      <protection locked="0" hidden="0"/>
    </dxf>
  </dxfs>
  <tableStyles count="0" defaultTableStyle="TableStyleMedium9" defaultPivotStyle="PivotStyleLight16"/>
  <colors>
    <mruColors>
      <color rgb="FFF04893"/>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drawing23.xml.rels><?xml version="1.0" encoding="UTF-8" standalone="yes"?>
<Relationships xmlns="http://schemas.openxmlformats.org/package/2006/relationships"><Relationship Id="rId1" Type="http://schemas.openxmlformats.org/officeDocument/2006/relationships/image" Target="../media/image2.png"/></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s>
</file>

<file path=xl/drawings/_rels/drawing25.xml.rels><?xml version="1.0" encoding="UTF-8" standalone="yes"?>
<Relationships xmlns="http://schemas.openxmlformats.org/package/2006/relationships"><Relationship Id="rId1" Type="http://schemas.openxmlformats.org/officeDocument/2006/relationships/image" Target="../media/image2.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561975</xdr:colOff>
      <xdr:row>0</xdr:row>
      <xdr:rowOff>0</xdr:rowOff>
    </xdr:from>
    <xdr:to>
      <xdr:col>9</xdr:col>
      <xdr:colOff>2505075</xdr:colOff>
      <xdr:row>0</xdr:row>
      <xdr:rowOff>485775</xdr:rowOff>
    </xdr:to>
    <xdr:pic>
      <xdr:nvPicPr>
        <xdr:cNvPr id="4" name="Picture 3">
          <a:extLst>
            <a:ext uri="{FF2B5EF4-FFF2-40B4-BE49-F238E27FC236}">
              <a16:creationId xmlns:a16="http://schemas.microsoft.com/office/drawing/2014/main" id="{BBB377D9-FBDD-D08B-8A6B-7B63261CD27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125075" y="0"/>
          <a:ext cx="1943100" cy="485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471487</xdr:colOff>
      <xdr:row>2</xdr:row>
      <xdr:rowOff>9525</xdr:rowOff>
    </xdr:from>
    <xdr:to>
      <xdr:col>1</xdr:col>
      <xdr:colOff>1109662</xdr:colOff>
      <xdr:row>4</xdr:row>
      <xdr:rowOff>123825</xdr:rowOff>
    </xdr:to>
    <xdr:pic>
      <xdr:nvPicPr>
        <xdr:cNvPr id="19614" name="Picture 2">
          <a:extLst>
            <a:ext uri="{FF2B5EF4-FFF2-40B4-BE49-F238E27FC236}">
              <a16:creationId xmlns:a16="http://schemas.microsoft.com/office/drawing/2014/main" id="{8A1AEC58-C882-6279-2845-51963ED2FD9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471487" y="25717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119062</xdr:colOff>
      <xdr:row>1</xdr:row>
      <xdr:rowOff>152400</xdr:rowOff>
    </xdr:from>
    <xdr:to>
      <xdr:col>1</xdr:col>
      <xdr:colOff>1157287</xdr:colOff>
      <xdr:row>4</xdr:row>
      <xdr:rowOff>104775</xdr:rowOff>
    </xdr:to>
    <xdr:pic>
      <xdr:nvPicPr>
        <xdr:cNvPr id="3" name="Picture 2">
          <a:extLst>
            <a:ext uri="{FF2B5EF4-FFF2-40B4-BE49-F238E27FC236}">
              <a16:creationId xmlns:a16="http://schemas.microsoft.com/office/drawing/2014/main" id="{239169DB-9358-4AA0-90F5-2E32E9A9819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119062</xdr:colOff>
      <xdr:row>1</xdr:row>
      <xdr:rowOff>142875</xdr:rowOff>
    </xdr:from>
    <xdr:to>
      <xdr:col>2</xdr:col>
      <xdr:colOff>33337</xdr:colOff>
      <xdr:row>4</xdr:row>
      <xdr:rowOff>95250</xdr:rowOff>
    </xdr:to>
    <xdr:pic>
      <xdr:nvPicPr>
        <xdr:cNvPr id="3" name="Picture 2">
          <a:extLst>
            <a:ext uri="{FF2B5EF4-FFF2-40B4-BE49-F238E27FC236}">
              <a16:creationId xmlns:a16="http://schemas.microsoft.com/office/drawing/2014/main" id="{AB3842BA-404B-4185-AF82-16DD2A5BFEE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2860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119062</xdr:colOff>
      <xdr:row>2</xdr:row>
      <xdr:rowOff>0</xdr:rowOff>
    </xdr:from>
    <xdr:to>
      <xdr:col>1</xdr:col>
      <xdr:colOff>1157287</xdr:colOff>
      <xdr:row>4</xdr:row>
      <xdr:rowOff>114300</xdr:rowOff>
    </xdr:to>
    <xdr:pic>
      <xdr:nvPicPr>
        <xdr:cNvPr id="3" name="Picture 2">
          <a:extLst>
            <a:ext uri="{FF2B5EF4-FFF2-40B4-BE49-F238E27FC236}">
              <a16:creationId xmlns:a16="http://schemas.microsoft.com/office/drawing/2014/main" id="{C53F063E-C35B-457F-B791-4D6985E5425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119062</xdr:colOff>
      <xdr:row>1</xdr:row>
      <xdr:rowOff>152400</xdr:rowOff>
    </xdr:from>
    <xdr:to>
      <xdr:col>1</xdr:col>
      <xdr:colOff>1204912</xdr:colOff>
      <xdr:row>4</xdr:row>
      <xdr:rowOff>104775</xdr:rowOff>
    </xdr:to>
    <xdr:pic>
      <xdr:nvPicPr>
        <xdr:cNvPr id="3" name="Picture 2">
          <a:extLst>
            <a:ext uri="{FF2B5EF4-FFF2-40B4-BE49-F238E27FC236}">
              <a16:creationId xmlns:a16="http://schemas.microsoft.com/office/drawing/2014/main" id="{2C4DDCF6-D870-47E7-94C5-B5286873DD1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128587</xdr:colOff>
      <xdr:row>2</xdr:row>
      <xdr:rowOff>0</xdr:rowOff>
    </xdr:from>
    <xdr:to>
      <xdr:col>1</xdr:col>
      <xdr:colOff>1214437</xdr:colOff>
      <xdr:row>4</xdr:row>
      <xdr:rowOff>114300</xdr:rowOff>
    </xdr:to>
    <xdr:pic>
      <xdr:nvPicPr>
        <xdr:cNvPr id="3" name="Picture 2">
          <a:extLst>
            <a:ext uri="{FF2B5EF4-FFF2-40B4-BE49-F238E27FC236}">
              <a16:creationId xmlns:a16="http://schemas.microsoft.com/office/drawing/2014/main" id="{A162B2E7-A6C0-444D-9CD9-A8A97D06D51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28587" y="2476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119062</xdr:colOff>
      <xdr:row>2</xdr:row>
      <xdr:rowOff>0</xdr:rowOff>
    </xdr:from>
    <xdr:to>
      <xdr:col>1</xdr:col>
      <xdr:colOff>862012</xdr:colOff>
      <xdr:row>4</xdr:row>
      <xdr:rowOff>114300</xdr:rowOff>
    </xdr:to>
    <xdr:pic>
      <xdr:nvPicPr>
        <xdr:cNvPr id="3" name="Picture 2">
          <a:extLst>
            <a:ext uri="{FF2B5EF4-FFF2-40B4-BE49-F238E27FC236}">
              <a16:creationId xmlns:a16="http://schemas.microsoft.com/office/drawing/2014/main" id="{604C92AD-A9DC-42A0-9C07-8AB7DCF5F66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476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119062</xdr:colOff>
      <xdr:row>1</xdr:row>
      <xdr:rowOff>152400</xdr:rowOff>
    </xdr:from>
    <xdr:to>
      <xdr:col>1</xdr:col>
      <xdr:colOff>1204912</xdr:colOff>
      <xdr:row>4</xdr:row>
      <xdr:rowOff>104775</xdr:rowOff>
    </xdr:to>
    <xdr:pic>
      <xdr:nvPicPr>
        <xdr:cNvPr id="3" name="Picture 2">
          <a:extLst>
            <a:ext uri="{FF2B5EF4-FFF2-40B4-BE49-F238E27FC236}">
              <a16:creationId xmlns:a16="http://schemas.microsoft.com/office/drawing/2014/main" id="{91C465E8-D27A-4FD5-A6FE-7FAAC463555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119062</xdr:colOff>
      <xdr:row>1</xdr:row>
      <xdr:rowOff>152400</xdr:rowOff>
    </xdr:from>
    <xdr:to>
      <xdr:col>1</xdr:col>
      <xdr:colOff>1157287</xdr:colOff>
      <xdr:row>4</xdr:row>
      <xdr:rowOff>104775</xdr:rowOff>
    </xdr:to>
    <xdr:pic>
      <xdr:nvPicPr>
        <xdr:cNvPr id="3" name="Picture 2">
          <a:extLst>
            <a:ext uri="{FF2B5EF4-FFF2-40B4-BE49-F238E27FC236}">
              <a16:creationId xmlns:a16="http://schemas.microsoft.com/office/drawing/2014/main" id="{BCDB2487-2E66-4FE7-9567-E7B16FF96C5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119062</xdr:colOff>
      <xdr:row>2</xdr:row>
      <xdr:rowOff>0</xdr:rowOff>
    </xdr:from>
    <xdr:to>
      <xdr:col>1</xdr:col>
      <xdr:colOff>1223962</xdr:colOff>
      <xdr:row>4</xdr:row>
      <xdr:rowOff>114300</xdr:rowOff>
    </xdr:to>
    <xdr:pic>
      <xdr:nvPicPr>
        <xdr:cNvPr id="3" name="Picture 2">
          <a:extLst>
            <a:ext uri="{FF2B5EF4-FFF2-40B4-BE49-F238E27FC236}">
              <a16:creationId xmlns:a16="http://schemas.microsoft.com/office/drawing/2014/main" id="{E64F1EA6-67A1-4A94-9EB8-8A500340C03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476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119062</xdr:colOff>
      <xdr:row>1</xdr:row>
      <xdr:rowOff>142875</xdr:rowOff>
    </xdr:from>
    <xdr:to>
      <xdr:col>1</xdr:col>
      <xdr:colOff>757237</xdr:colOff>
      <xdr:row>4</xdr:row>
      <xdr:rowOff>95250</xdr:rowOff>
    </xdr:to>
    <xdr:pic>
      <xdr:nvPicPr>
        <xdr:cNvPr id="3" name="Picture 2">
          <a:extLst>
            <a:ext uri="{FF2B5EF4-FFF2-40B4-BE49-F238E27FC236}">
              <a16:creationId xmlns:a16="http://schemas.microsoft.com/office/drawing/2014/main" id="{05B96E4E-1ECC-426D-800F-AFF1160AB6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2860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119062</xdr:colOff>
      <xdr:row>1</xdr:row>
      <xdr:rowOff>142875</xdr:rowOff>
    </xdr:from>
    <xdr:to>
      <xdr:col>1</xdr:col>
      <xdr:colOff>757237</xdr:colOff>
      <xdr:row>4</xdr:row>
      <xdr:rowOff>95250</xdr:rowOff>
    </xdr:to>
    <xdr:pic>
      <xdr:nvPicPr>
        <xdr:cNvPr id="3" name="Picture 2">
          <a:extLst>
            <a:ext uri="{FF2B5EF4-FFF2-40B4-BE49-F238E27FC236}">
              <a16:creationId xmlns:a16="http://schemas.microsoft.com/office/drawing/2014/main" id="{1F4109C8-2D43-404A-ABCA-4C7C6C784E3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2860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119062</xdr:colOff>
      <xdr:row>2</xdr:row>
      <xdr:rowOff>0</xdr:rowOff>
    </xdr:from>
    <xdr:to>
      <xdr:col>1</xdr:col>
      <xdr:colOff>1271587</xdr:colOff>
      <xdr:row>4</xdr:row>
      <xdr:rowOff>57150</xdr:rowOff>
    </xdr:to>
    <xdr:pic>
      <xdr:nvPicPr>
        <xdr:cNvPr id="4" name="Picture 3">
          <a:extLst>
            <a:ext uri="{FF2B5EF4-FFF2-40B4-BE49-F238E27FC236}">
              <a16:creationId xmlns:a16="http://schemas.microsoft.com/office/drawing/2014/main" id="{BF7D71E3-9054-43A8-BEFD-E3285799EA1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38100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119062</xdr:colOff>
      <xdr:row>1</xdr:row>
      <xdr:rowOff>161925</xdr:rowOff>
    </xdr:from>
    <xdr:to>
      <xdr:col>1</xdr:col>
      <xdr:colOff>1271587</xdr:colOff>
      <xdr:row>4</xdr:row>
      <xdr:rowOff>28575</xdr:rowOff>
    </xdr:to>
    <xdr:pic>
      <xdr:nvPicPr>
        <xdr:cNvPr id="4" name="Picture 3">
          <a:extLst>
            <a:ext uri="{FF2B5EF4-FFF2-40B4-BE49-F238E27FC236}">
              <a16:creationId xmlns:a16="http://schemas.microsoft.com/office/drawing/2014/main" id="{94FB250C-2123-4154-AE7A-FB9F63626DE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3524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119062</xdr:colOff>
      <xdr:row>1</xdr:row>
      <xdr:rowOff>152400</xdr:rowOff>
    </xdr:from>
    <xdr:to>
      <xdr:col>1</xdr:col>
      <xdr:colOff>1233487</xdr:colOff>
      <xdr:row>4</xdr:row>
      <xdr:rowOff>104775</xdr:rowOff>
    </xdr:to>
    <xdr:pic>
      <xdr:nvPicPr>
        <xdr:cNvPr id="3" name="Picture 2">
          <a:extLst>
            <a:ext uri="{FF2B5EF4-FFF2-40B4-BE49-F238E27FC236}">
              <a16:creationId xmlns:a16="http://schemas.microsoft.com/office/drawing/2014/main" id="{B3F25F0C-A660-4E75-8893-15664D5A7DD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119062</xdr:colOff>
      <xdr:row>2</xdr:row>
      <xdr:rowOff>0</xdr:rowOff>
    </xdr:from>
    <xdr:to>
      <xdr:col>1</xdr:col>
      <xdr:colOff>1157287</xdr:colOff>
      <xdr:row>4</xdr:row>
      <xdr:rowOff>114300</xdr:rowOff>
    </xdr:to>
    <xdr:pic>
      <xdr:nvPicPr>
        <xdr:cNvPr id="3" name="Picture 2">
          <a:extLst>
            <a:ext uri="{FF2B5EF4-FFF2-40B4-BE49-F238E27FC236}">
              <a16:creationId xmlns:a16="http://schemas.microsoft.com/office/drawing/2014/main" id="{023B3B8C-E3F0-49F2-A96E-BD6078C094D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19062" y="2476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1200150</xdr:colOff>
      <xdr:row>4</xdr:row>
      <xdr:rowOff>114300</xdr:rowOff>
    </xdr:to>
    <xdr:pic>
      <xdr:nvPicPr>
        <xdr:cNvPr id="5" name="Picture 4">
          <a:extLst>
            <a:ext uri="{FF2B5EF4-FFF2-40B4-BE49-F238E27FC236}">
              <a16:creationId xmlns:a16="http://schemas.microsoft.com/office/drawing/2014/main" id="{93DA0A51-F30C-4E50-B350-E24521CA3B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0" y="2476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104775</xdr:colOff>
      <xdr:row>2</xdr:row>
      <xdr:rowOff>47625</xdr:rowOff>
    </xdr:from>
    <xdr:to>
      <xdr:col>1</xdr:col>
      <xdr:colOff>1143000</xdr:colOff>
      <xdr:row>5</xdr:row>
      <xdr:rowOff>0</xdr:rowOff>
    </xdr:to>
    <xdr:pic>
      <xdr:nvPicPr>
        <xdr:cNvPr id="2" name="Picture 1">
          <a:extLst>
            <a:ext uri="{FF2B5EF4-FFF2-40B4-BE49-F238E27FC236}">
              <a16:creationId xmlns:a16="http://schemas.microsoft.com/office/drawing/2014/main" id="{F0B53FAA-9115-467F-9AE2-07EBB0E4DB9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04775" y="29527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219075</xdr:colOff>
      <xdr:row>2</xdr:row>
      <xdr:rowOff>57150</xdr:rowOff>
    </xdr:from>
    <xdr:to>
      <xdr:col>1</xdr:col>
      <xdr:colOff>1257300</xdr:colOff>
      <xdr:row>5</xdr:row>
      <xdr:rowOff>9525</xdr:rowOff>
    </xdr:to>
    <xdr:pic>
      <xdr:nvPicPr>
        <xdr:cNvPr id="2" name="Picture 1">
          <a:extLst>
            <a:ext uri="{FF2B5EF4-FFF2-40B4-BE49-F238E27FC236}">
              <a16:creationId xmlns:a16="http://schemas.microsoft.com/office/drawing/2014/main" id="{7C22389A-AFA2-448E-9582-64FB296571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219075" y="30480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180975</xdr:colOff>
      <xdr:row>2</xdr:row>
      <xdr:rowOff>104775</xdr:rowOff>
    </xdr:from>
    <xdr:to>
      <xdr:col>1</xdr:col>
      <xdr:colOff>1219200</xdr:colOff>
      <xdr:row>5</xdr:row>
      <xdr:rowOff>57150</xdr:rowOff>
    </xdr:to>
    <xdr:pic>
      <xdr:nvPicPr>
        <xdr:cNvPr id="2" name="Picture 1">
          <a:extLst>
            <a:ext uri="{FF2B5EF4-FFF2-40B4-BE49-F238E27FC236}">
              <a16:creationId xmlns:a16="http://schemas.microsoft.com/office/drawing/2014/main" id="{46A381D8-9254-4C89-A216-F7A910952FC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80975" y="3524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161925</xdr:colOff>
      <xdr:row>1</xdr:row>
      <xdr:rowOff>152400</xdr:rowOff>
    </xdr:from>
    <xdr:to>
      <xdr:col>1</xdr:col>
      <xdr:colOff>1200150</xdr:colOff>
      <xdr:row>4</xdr:row>
      <xdr:rowOff>104775</xdr:rowOff>
    </xdr:to>
    <xdr:pic>
      <xdr:nvPicPr>
        <xdr:cNvPr id="2" name="Picture 1">
          <a:extLst>
            <a:ext uri="{FF2B5EF4-FFF2-40B4-BE49-F238E27FC236}">
              <a16:creationId xmlns:a16="http://schemas.microsoft.com/office/drawing/2014/main" id="{0ACB518B-F443-4E7A-A544-75888FBAB98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61925" y="23812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228600</xdr:colOff>
      <xdr:row>1</xdr:row>
      <xdr:rowOff>123825</xdr:rowOff>
    </xdr:from>
    <xdr:to>
      <xdr:col>1</xdr:col>
      <xdr:colOff>1266825</xdr:colOff>
      <xdr:row>4</xdr:row>
      <xdr:rowOff>76200</xdr:rowOff>
    </xdr:to>
    <xdr:pic>
      <xdr:nvPicPr>
        <xdr:cNvPr id="2" name="Picture 1">
          <a:extLst>
            <a:ext uri="{FF2B5EF4-FFF2-40B4-BE49-F238E27FC236}">
              <a16:creationId xmlns:a16="http://schemas.microsoft.com/office/drawing/2014/main" id="{C4CE2610-6342-433A-AD2D-D82681A64B9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228600" y="2095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200025</xdr:colOff>
      <xdr:row>1</xdr:row>
      <xdr:rowOff>95250</xdr:rowOff>
    </xdr:from>
    <xdr:to>
      <xdr:col>1</xdr:col>
      <xdr:colOff>1238250</xdr:colOff>
      <xdr:row>4</xdr:row>
      <xdr:rowOff>47625</xdr:rowOff>
    </xdr:to>
    <xdr:pic>
      <xdr:nvPicPr>
        <xdr:cNvPr id="2" name="Picture 1">
          <a:extLst>
            <a:ext uri="{FF2B5EF4-FFF2-40B4-BE49-F238E27FC236}">
              <a16:creationId xmlns:a16="http://schemas.microsoft.com/office/drawing/2014/main" id="{F5BDEB26-9195-4864-BD02-7B9E6CC5ED3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200025" y="180975"/>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142875</xdr:colOff>
      <xdr:row>1</xdr:row>
      <xdr:rowOff>123825</xdr:rowOff>
    </xdr:from>
    <xdr:to>
      <xdr:col>1</xdr:col>
      <xdr:colOff>1181100</xdr:colOff>
      <xdr:row>4</xdr:row>
      <xdr:rowOff>76200</xdr:rowOff>
    </xdr:to>
    <xdr:pic>
      <xdr:nvPicPr>
        <xdr:cNvPr id="2" name="Picture 1">
          <a:extLst>
            <a:ext uri="{FF2B5EF4-FFF2-40B4-BE49-F238E27FC236}">
              <a16:creationId xmlns:a16="http://schemas.microsoft.com/office/drawing/2014/main" id="{F6C5DF6F-C401-423D-AB51-8DDF15F2D5C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142875" y="209550"/>
          <a:ext cx="1752600"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1</xdr:row>
      <xdr:rowOff>142875</xdr:rowOff>
    </xdr:from>
    <xdr:to>
      <xdr:col>1</xdr:col>
      <xdr:colOff>1276350</xdr:colOff>
      <xdr:row>4</xdr:row>
      <xdr:rowOff>95250</xdr:rowOff>
    </xdr:to>
    <xdr:pic>
      <xdr:nvPicPr>
        <xdr:cNvPr id="3" name="Picture 2">
          <a:extLst>
            <a:ext uri="{FF2B5EF4-FFF2-40B4-BE49-F238E27FC236}">
              <a16:creationId xmlns:a16="http://schemas.microsoft.com/office/drawing/2014/main" id="{6497315B-546D-46FF-956F-C128A4DB98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28600"/>
          <a:ext cx="199072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1276350</xdr:colOff>
      <xdr:row>4</xdr:row>
      <xdr:rowOff>114300</xdr:rowOff>
    </xdr:to>
    <xdr:pic>
      <xdr:nvPicPr>
        <xdr:cNvPr id="3" name="Picture 2">
          <a:extLst>
            <a:ext uri="{FF2B5EF4-FFF2-40B4-BE49-F238E27FC236}">
              <a16:creationId xmlns:a16="http://schemas.microsoft.com/office/drawing/2014/main" id="{E6A36C02-2CA9-4BCC-8C0B-10FC4B9321A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47650"/>
          <a:ext cx="199072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1</xdr:row>
      <xdr:rowOff>152400</xdr:rowOff>
    </xdr:from>
    <xdr:to>
      <xdr:col>1</xdr:col>
      <xdr:colOff>1276350</xdr:colOff>
      <xdr:row>4</xdr:row>
      <xdr:rowOff>104775</xdr:rowOff>
    </xdr:to>
    <xdr:pic>
      <xdr:nvPicPr>
        <xdr:cNvPr id="3" name="Picture 2">
          <a:extLst>
            <a:ext uri="{FF2B5EF4-FFF2-40B4-BE49-F238E27FC236}">
              <a16:creationId xmlns:a16="http://schemas.microsoft.com/office/drawing/2014/main" id="{8BAB907A-A705-4E9A-8597-5CB1128E56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38125"/>
          <a:ext cx="199072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0</xdr:colOff>
      <xdr:row>1</xdr:row>
      <xdr:rowOff>142875</xdr:rowOff>
    </xdr:from>
    <xdr:to>
      <xdr:col>1</xdr:col>
      <xdr:colOff>876300</xdr:colOff>
      <xdr:row>4</xdr:row>
      <xdr:rowOff>95250</xdr:rowOff>
    </xdr:to>
    <xdr:pic>
      <xdr:nvPicPr>
        <xdr:cNvPr id="3" name="Picture 2">
          <a:extLst>
            <a:ext uri="{FF2B5EF4-FFF2-40B4-BE49-F238E27FC236}">
              <a16:creationId xmlns:a16="http://schemas.microsoft.com/office/drawing/2014/main" id="{95C461AD-28F3-4CAC-BAD0-97564D1DFE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28600"/>
          <a:ext cx="199072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0</xdr:colOff>
      <xdr:row>1</xdr:row>
      <xdr:rowOff>180975</xdr:rowOff>
    </xdr:from>
    <xdr:to>
      <xdr:col>1</xdr:col>
      <xdr:colOff>1247775</xdr:colOff>
      <xdr:row>4</xdr:row>
      <xdr:rowOff>47625</xdr:rowOff>
    </xdr:to>
    <xdr:pic>
      <xdr:nvPicPr>
        <xdr:cNvPr id="3" name="Picture 2">
          <a:extLst>
            <a:ext uri="{FF2B5EF4-FFF2-40B4-BE49-F238E27FC236}">
              <a16:creationId xmlns:a16="http://schemas.microsoft.com/office/drawing/2014/main" id="{3C586E9D-EE4E-41D1-90EF-9126EE9310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71475"/>
          <a:ext cx="1990725" cy="438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ites/KeyIS-DesignTeam/Shared%20Documents/Design/1.%20Schedules/DRAFT/KEYIS%20-%20Mechanical%20Equipment%20Schedules%20-%20Clean%20Master.xlsm" TargetMode="External"/><Relationship Id="rId2" Type="http://schemas.openxmlformats.org/officeDocument/2006/relationships/externalLinkPath" Target="https://keyintegratedservicesltd.sharepoint.com/sites/KeyIS-DesignTeam/Shared%20Documents/Design/1.%20Schedules/DRAFT/KEYIS%20-%20Mechanical%20Equipment%20Schedules%20-%20Clean%20Master.xlsm" TargetMode="External"/><Relationship Id="rId1" Type="http://schemas.openxmlformats.org/officeDocument/2006/relationships/externalLinkPath" Target="/sites/KeyIS-DesignTeam/Shared%20Documents/Design/1.%20Schedules/DRAFT/KEYIS%20-%20Mechanical%20Equipment%20Schedules%20-%20Clean%20Mast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6uxtf4ljAUCe8KNhwIvk-GrrWPkYgJ1DoSIHl014c8BIFfTnR7F3RrXBZJFAmY_9" itemId="01GSZR6G6IZJ5KZVLRRRALMIKILOS2AAB3">
      <xxl21:absoluteUrl r:id="rId2"/>
      <xxl21:relativeUrl r:id="rId3"/>
    </xxl21:alternateUrls>
    <sheetNames>
      <sheetName val="PROJECT SUMMARY"/>
      <sheetName val="Gas Meter"/>
      <sheetName val="Gas Proving"/>
      <sheetName val="Water Meters"/>
      <sheetName val="Tanks"/>
      <sheetName val="Showers"/>
      <sheetName val="Boosters"/>
      <sheetName val="Water Heaters"/>
      <sheetName val="Boilers"/>
      <sheetName val="Buffer"/>
      <sheetName val="Steam Generators"/>
      <sheetName val="Pumps"/>
      <sheetName val="Plate Heat Exchangers"/>
      <sheetName val="Pressurisation"/>
      <sheetName val="Radiators"/>
      <sheetName val="Chillers"/>
      <sheetName val="ACU's"/>
      <sheetName val="Chilled Beams"/>
      <sheetName val="Air Handling Unit"/>
      <sheetName val="Close Control AC"/>
      <sheetName val="Fans"/>
      <sheetName val="Air Curtains"/>
      <sheetName val="HRU"/>
      <sheetName val="Grilles - Diffusers"/>
      <sheetName val="Transfer Grilles"/>
      <sheetName val="Attenuators "/>
      <sheetName val="Fire Dampers"/>
      <sheetName val="Commissioning Sets"/>
      <sheetName val="PICV-DPCV"/>
      <sheetName val="Dosing Pot"/>
      <sheetName val="General Valves"/>
    </sheetNames>
    <sheetDataSet>
      <sheetData sheetId="0"/>
      <sheetData sheetId="1">
        <row r="22">
          <cell r="Q22">
            <v>1</v>
          </cell>
        </row>
      </sheetData>
      <sheetData sheetId="2">
        <row r="22">
          <cell r="N22"/>
        </row>
      </sheetData>
      <sheetData sheetId="3">
        <row r="24">
          <cell r="Q24"/>
        </row>
      </sheetData>
      <sheetData sheetId="4">
        <row r="37">
          <cell r="N37"/>
        </row>
      </sheetData>
      <sheetData sheetId="5">
        <row r="30">
          <cell r="T30"/>
        </row>
      </sheetData>
      <sheetData sheetId="6">
        <row r="19">
          <cell r="S19"/>
        </row>
      </sheetData>
      <sheetData sheetId="7">
        <row r="51">
          <cell r="S51"/>
        </row>
      </sheetData>
      <sheetData sheetId="8">
        <row r="22">
          <cell r="Q22"/>
        </row>
      </sheetData>
      <sheetData sheetId="9">
        <row r="18">
          <cell r="T18"/>
        </row>
      </sheetData>
      <sheetData sheetId="10">
        <row r="22">
          <cell r="S22"/>
        </row>
      </sheetData>
      <sheetData sheetId="11"/>
      <sheetData sheetId="12"/>
      <sheetData sheetId="13"/>
      <sheetData sheetId="14"/>
      <sheetData sheetId="15">
        <row r="46">
          <cell r="L46"/>
        </row>
      </sheetData>
      <sheetData sheetId="16">
        <row r="32">
          <cell r="W32"/>
        </row>
      </sheetData>
      <sheetData sheetId="17">
        <row r="41">
          <cell r="S41"/>
        </row>
      </sheetData>
      <sheetData sheetId="18">
        <row r="80">
          <cell r="H80"/>
        </row>
      </sheetData>
      <sheetData sheetId="19"/>
      <sheetData sheetId="20">
        <row r="30">
          <cell r="T30"/>
        </row>
      </sheetData>
      <sheetData sheetId="21">
        <row r="20">
          <cell r="U20"/>
        </row>
      </sheetData>
      <sheetData sheetId="22">
        <row r="31">
          <cell r="X31"/>
        </row>
      </sheetData>
      <sheetData sheetId="23">
        <row r="48">
          <cell r="R48"/>
        </row>
      </sheetData>
      <sheetData sheetId="24">
        <row r="53">
          <cell r="M53"/>
        </row>
      </sheetData>
      <sheetData sheetId="25">
        <row r="39">
          <cell r="U39"/>
        </row>
      </sheetData>
      <sheetData sheetId="26">
        <row r="27">
          <cell r="H27"/>
        </row>
      </sheetData>
      <sheetData sheetId="27">
        <row r="28">
          <cell r="S28"/>
        </row>
      </sheetData>
      <sheetData sheetId="28">
        <row r="32">
          <cell r="U32"/>
        </row>
      </sheetData>
      <sheetData sheetId="29"/>
      <sheetData sheetId="30">
        <row r="41">
          <cell r="F41"/>
        </row>
        <row r="42">
          <cell r="F42"/>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0084B-8713-4517-B44C-82E5A7434C48}" name="Table2" displayName="Table2" ref="A16:Q17" headerRowCount="0" totalsRowShown="0" headerRowDxfId="116" dataDxfId="115" tableBorderDxfId="114">
  <tableColumns count="17">
    <tableColumn id="1" xr3:uid="{00000000-0010-0000-0100-000001000000}" name="Column1" dataDxfId="113"/>
    <tableColumn id="2" xr3:uid="{00000000-0010-0000-0100-000002000000}" name="Column2" dataDxfId="112">
      <calculatedColumnFormula>B11</calculatedColumnFormula>
    </tableColumn>
    <tableColumn id="3" xr3:uid="{00000000-0010-0000-0100-000003000000}" name="Column3" dataDxfId="111"/>
    <tableColumn id="4" xr3:uid="{00000000-0010-0000-0100-000004000000}" name="Column4" dataDxfId="110"/>
    <tableColumn id="5" xr3:uid="{00000000-0010-0000-0100-000005000000}" name="Column5" dataDxfId="109"/>
    <tableColumn id="6" xr3:uid="{00000000-0010-0000-0100-000006000000}" name="Column6" dataDxfId="108"/>
    <tableColumn id="7" xr3:uid="{00000000-0010-0000-0100-000007000000}" name="Column7" dataDxfId="107"/>
    <tableColumn id="8" xr3:uid="{00000000-0010-0000-0100-000008000000}" name="Column8" dataDxfId="106"/>
    <tableColumn id="9" xr3:uid="{00000000-0010-0000-0100-000009000000}" name="Column9" dataDxfId="105"/>
    <tableColumn id="11" xr3:uid="{00000000-0010-0000-0100-00000B000000}" name="Column11" dataDxfId="104"/>
    <tableColumn id="12" xr3:uid="{00000000-0010-0000-0100-00000C000000}" name="Column12" dataDxfId="103"/>
    <tableColumn id="13" xr3:uid="{00000000-0010-0000-0100-00000D000000}" name="Column13" dataDxfId="102"/>
    <tableColumn id="14" xr3:uid="{00000000-0010-0000-0100-00000E000000}" name="Column14" dataDxfId="101"/>
    <tableColumn id="15" xr3:uid="{00000000-0010-0000-0100-00000F000000}" name="Column15" dataDxfId="100"/>
    <tableColumn id="16" xr3:uid="{00000000-0010-0000-0100-000010000000}" name="Column16" dataDxfId="99"/>
    <tableColumn id="17" xr3:uid="{00000000-0010-0000-0100-000011000000}" name="Column17" dataDxfId="98"/>
    <tableColumn id="19" xr3:uid="{00000000-0010-0000-0100-000013000000}" name="Column19" dataDxfId="9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7A708D-1522-413A-9E30-079ABC3AB2C3}" name="Table15" displayName="Table15" ref="A11:Q12" headerRowCount="0" totalsRowShown="0" headerRowDxfId="96" dataDxfId="95">
  <tableColumns count="17">
    <tableColumn id="1" xr3:uid="{F106A1A9-38A0-4089-A3C4-9EDB7E8CA9DF}" name="Column1" dataDxfId="94"/>
    <tableColumn id="2" xr3:uid="{7091B71A-17AD-427B-AEB3-E67ABD152B4A}" name="Column2" dataDxfId="93"/>
    <tableColumn id="3" xr3:uid="{60A20EFD-4E6C-4592-A85D-8CD557855FAD}" name="Column3" dataDxfId="92"/>
    <tableColumn id="5" xr3:uid="{835CDE28-084A-4D7F-A6BA-051850B14A7A}" name="Column5" dataDxfId="91"/>
    <tableColumn id="8" xr3:uid="{8B576522-05C3-4263-BF01-9A54458C2F50}" name="Column8" dataDxfId="90"/>
    <tableColumn id="9" xr3:uid="{313E635F-AB96-4F00-9719-44890BD5D70F}" name="Column9" dataDxfId="89"/>
    <tableColumn id="10" xr3:uid="{87B57CF7-306F-4727-8019-FCE3145B28DE}" name="Column10" dataDxfId="88"/>
    <tableColumn id="11" xr3:uid="{DE2194B2-C706-4ACA-B30B-87FFD32BC484}" name="Column11" dataDxfId="87"/>
    <tableColumn id="12" xr3:uid="{E509AA57-651A-4AA7-BD34-7A2185894DAD}" name="Column12" dataDxfId="86"/>
    <tableColumn id="13" xr3:uid="{58F7851F-A2CD-4D05-A466-AE2BEB07D5EA}" name="Column13" dataDxfId="85"/>
    <tableColumn id="14" xr3:uid="{6AEA1A9B-953D-4F2A-A1EB-5976FD5F7D8A}" name="Column14" dataDxfId="84"/>
    <tableColumn id="15" xr3:uid="{0FBA13F8-BD12-42D2-8735-D75A5A2A4E32}" name="Column15" dataDxfId="83"/>
    <tableColumn id="16" xr3:uid="{FD55C09B-16EB-45FC-B409-930563D6A52A}" name="Column16" dataDxfId="82"/>
    <tableColumn id="17" xr3:uid="{9CCE108E-FDFF-4980-A2E4-7474764C4B64}" name="Column17" dataDxfId="81"/>
    <tableColumn id="18" xr3:uid="{A7F47D55-80AD-406E-A3B7-61E29269A1EE}" name="Column18" dataDxfId="80"/>
    <tableColumn id="19" xr3:uid="{283CDEFB-DCE2-4A02-B7B8-FE563C89E89D}" name="Column19" dataDxfId="79"/>
    <tableColumn id="21" xr3:uid="{C1828CC2-3194-4C53-A08E-76354DE800BC}" name="Column21" dataDxfId="78"/>
  </tableColumns>
  <tableStyleInfo name="TableStyleLight9"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C787C72-DAB9-4D4D-AE3C-5748B7854C55}" name="Table1" displayName="Table1" ref="A11:Q19" headerRowCount="0" totalsRowShown="0" headerRowDxfId="77" dataDxfId="76">
  <tableColumns count="17">
    <tableColumn id="1" xr3:uid="{00000000-0010-0000-0000-000001000000}" name="Column1" dataDxfId="75"/>
    <tableColumn id="2" xr3:uid="{00000000-0010-0000-0000-000002000000}" name="Column2" dataDxfId="74"/>
    <tableColumn id="3" xr3:uid="{00000000-0010-0000-0000-000003000000}" name="Column3" dataDxfId="73"/>
    <tableColumn id="5" xr3:uid="{00000000-0010-0000-0000-000005000000}" name="Column5" dataDxfId="72"/>
    <tableColumn id="8" xr3:uid="{00000000-0010-0000-0000-000008000000}" name="Column8" dataDxfId="71"/>
    <tableColumn id="9" xr3:uid="{00000000-0010-0000-0000-000009000000}" name="Column9" dataDxfId="70"/>
    <tableColumn id="10" xr3:uid="{00000000-0010-0000-0000-00000A000000}" name="Column10" dataDxfId="69">
      <calculatedColumnFormula>Table1[[#This Row],[Column9]]*0.8</calculatedColumnFormula>
    </tableColumn>
    <tableColumn id="11" xr3:uid="{00000000-0010-0000-0000-00000B000000}" name="Column11" dataDxfId="68"/>
    <tableColumn id="12" xr3:uid="{00000000-0010-0000-0000-00000C000000}" name="Column12" dataDxfId="67"/>
    <tableColumn id="13" xr3:uid="{00000000-0010-0000-0000-00000D000000}" name="Column13" dataDxfId="66"/>
    <tableColumn id="14" xr3:uid="{00000000-0010-0000-0000-00000E000000}" name="Column14" dataDxfId="65"/>
    <tableColumn id="15" xr3:uid="{00000000-0010-0000-0000-00000F000000}" name="Column15" dataDxfId="64"/>
    <tableColumn id="16" xr3:uid="{00000000-0010-0000-0000-000010000000}" name="Column16" dataDxfId="63"/>
    <tableColumn id="17" xr3:uid="{00000000-0010-0000-0000-000011000000}" name="Column17" dataDxfId="62"/>
    <tableColumn id="18" xr3:uid="{00000000-0010-0000-0000-000012000000}" name="Column18" dataDxfId="61"/>
    <tableColumn id="19" xr3:uid="{00000000-0010-0000-0000-000013000000}" name="Column19" dataDxfId="60"/>
    <tableColumn id="21" xr3:uid="{00000000-0010-0000-0000-000015000000}" name="Column21" dataDxfId="59"/>
  </tableColumns>
  <tableStyleInfo name="TableStyleLight9"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6006F2-6DB6-497B-84C0-E54AACD950C1}" name="Table25" displayName="Table25" ref="A22:Q22" headerRowCount="0" totalsRowShown="0" headerRowDxfId="58" dataDxfId="57">
  <tableColumns count="17">
    <tableColumn id="1" xr3:uid="{00000000-0010-0000-0100-000001000000}" name="Column1" dataDxfId="56"/>
    <tableColumn id="2" xr3:uid="{00000000-0010-0000-0100-000002000000}" name="Column2" dataDxfId="55"/>
    <tableColumn id="3" xr3:uid="{00000000-0010-0000-0100-000003000000}" name="Column3" dataDxfId="54"/>
    <tableColumn id="4" xr3:uid="{00000000-0010-0000-0100-000004000000}" name="Column4" dataDxfId="53"/>
    <tableColumn id="5" xr3:uid="{00000000-0010-0000-0100-000005000000}" name="Column5" dataDxfId="52"/>
    <tableColumn id="6" xr3:uid="{00000000-0010-0000-0100-000006000000}" name="Column6" dataDxfId="51"/>
    <tableColumn id="7" xr3:uid="{00000000-0010-0000-0100-000007000000}" name="Column7" dataDxfId="50"/>
    <tableColumn id="8" xr3:uid="{00000000-0010-0000-0100-000008000000}" name="Column8" dataDxfId="49"/>
    <tableColumn id="9" xr3:uid="{00000000-0010-0000-0100-000009000000}" name="Column9" dataDxfId="48"/>
    <tableColumn id="11" xr3:uid="{00000000-0010-0000-0100-00000B000000}" name="Column11" dataDxfId="47"/>
    <tableColumn id="12" xr3:uid="{00000000-0010-0000-0100-00000C000000}" name="Column12" dataDxfId="46"/>
    <tableColumn id="13" xr3:uid="{00000000-0010-0000-0100-00000D000000}" name="Column13" dataDxfId="45"/>
    <tableColumn id="14" xr3:uid="{00000000-0010-0000-0100-00000E000000}" name="Column14" dataDxfId="44"/>
    <tableColumn id="15" xr3:uid="{00000000-0010-0000-0100-00000F000000}" name="Column15" dataDxfId="43"/>
    <tableColumn id="16" xr3:uid="{00000000-0010-0000-0100-000010000000}" name="Column16" dataDxfId="42"/>
    <tableColumn id="17" xr3:uid="{00000000-0010-0000-0100-000011000000}" name="Column17" dataDxfId="41"/>
    <tableColumn id="19" xr3:uid="{00000000-0010-0000-0100-000013000000}" name="Column19" dataDxfId="40"/>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DD9BF3D-405E-441C-9576-1BD698414444}" name="Table14" displayName="Table14" ref="A31:Q42" headerRowCount="0" totalsRowShown="0" headerRowDxfId="39" dataDxfId="38">
  <tableColumns count="17">
    <tableColumn id="1" xr3:uid="{EA84E2CB-30E3-4E35-A11D-929854D40D3D}" name="Column1" dataDxfId="37"/>
    <tableColumn id="2" xr3:uid="{CB2BAA47-EF28-4008-BDFC-11BCB492EEB7}" name="Column2" dataDxfId="36"/>
    <tableColumn id="3" xr3:uid="{A415630C-4E46-415C-BBE3-CF827AC5D25A}" name="Column3" dataDxfId="35"/>
    <tableColumn id="5" xr3:uid="{3949C8F5-D80F-4DC7-988F-36693FA21E6C}" name="Column5" dataDxfId="34"/>
    <tableColumn id="8" xr3:uid="{42CD1948-3761-4E18-96D7-3659471AEAFD}" name="Column8" dataDxfId="33"/>
    <tableColumn id="9" xr3:uid="{7DD9A23D-92F9-4A95-A6E6-FD7CEF79CF00}" name="Column9" dataDxfId="32"/>
    <tableColumn id="10" xr3:uid="{5FCD92FE-EE79-47DD-9A72-D3ADDAA60909}" name="Column10" dataDxfId="31"/>
    <tableColumn id="11" xr3:uid="{D5279EB2-7606-406F-B82F-00C54CF08B9A}" name="Column11" dataDxfId="30"/>
    <tableColumn id="12" xr3:uid="{06E21311-2F9E-49D0-B43E-D345470BA1CB}" name="Column12" dataDxfId="29"/>
    <tableColumn id="13" xr3:uid="{78E82113-2569-4250-B819-C472BF6D9996}" name="Column13" dataDxfId="28"/>
    <tableColumn id="14" xr3:uid="{F2EB9D0A-D546-44A5-A424-2EE5EC8552EA}" name="Column14" dataDxfId="27"/>
    <tableColumn id="15" xr3:uid="{139BFF68-C8A0-4972-91DC-2ADB6EC9B38A}" name="Column15" dataDxfId="26"/>
    <tableColumn id="16" xr3:uid="{565DB2D3-3CCD-44CE-B212-AE84CDF55337}" name="Column16" dataDxfId="25"/>
    <tableColumn id="17" xr3:uid="{970EFA20-A4DE-4E9D-8FFA-5A8364F8203A}" name="Column17" dataDxfId="24"/>
    <tableColumn id="18" xr3:uid="{27809A8C-E5BA-4F90-9565-3ED69C9E2459}" name="Column18" dataDxfId="23"/>
    <tableColumn id="19" xr3:uid="{33F8373C-2913-4489-BFAE-3B0EE184BF9D}" name="Column19" dataDxfId="22"/>
    <tableColumn id="21" xr3:uid="{452F6778-F512-4E87-AA2E-42ECC9DDDBAF}" name="Column21" dataDxfId="21"/>
  </tableColumns>
  <tableStyleInfo name="TableStyleLight9"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3805FA1-6104-447C-90CC-D4397D81FD57}" name="Table257" displayName="Table257" ref="A46:Q46" headerRowCount="0" totalsRowShown="0" headerRowDxfId="20" dataDxfId="19">
  <tableColumns count="17">
    <tableColumn id="1" xr3:uid="{4D25A92B-16A9-4F05-AB35-212A3809BFF9}" name="Column1" dataDxfId="18"/>
    <tableColumn id="2" xr3:uid="{F91067C9-E9A4-4E3C-B179-C5F7A2293C9A}" name="Column2" dataDxfId="17"/>
    <tableColumn id="3" xr3:uid="{F47C6895-0F87-4D14-9DC5-0199E8346CCB}" name="Column3" dataDxfId="16"/>
    <tableColumn id="4" xr3:uid="{92057152-1F22-4C8F-B1D1-EC3620B6BFCE}" name="Column4" dataDxfId="15"/>
    <tableColumn id="5" xr3:uid="{6B731D3D-2BD0-432E-BC23-AEFC82446690}" name="Column5" dataDxfId="14"/>
    <tableColumn id="6" xr3:uid="{D90EC074-4E81-4B52-B8C1-42A3317C4A27}" name="Column6" dataDxfId="13"/>
    <tableColumn id="7" xr3:uid="{B8F78261-7D7A-46D6-85FE-A4748B092E0E}" name="Column7" dataDxfId="12"/>
    <tableColumn id="8" xr3:uid="{A73F0EE6-0784-431F-9E72-2FBAD210BC4D}" name="Column8" dataDxfId="11"/>
    <tableColumn id="9" xr3:uid="{40E2ADA7-F7CA-41FE-B0E5-A295A540A9DE}" name="Column9" dataDxfId="10"/>
    <tableColumn id="11" xr3:uid="{7A289A58-81DA-470F-A3F2-434FD90A2571}" name="Column11" dataDxfId="9"/>
    <tableColumn id="12" xr3:uid="{4F96C86E-372E-4AC4-8D81-02D9F2184D69}" name="Column12" dataDxfId="8"/>
    <tableColumn id="13" xr3:uid="{3EEB474D-618E-4127-BE46-9EEA3170C248}" name="Column13" dataDxfId="7"/>
    <tableColumn id="14" xr3:uid="{7E8CD4A2-3C81-4911-B845-F3DF78CC448B}" name="Column14" dataDxfId="6"/>
    <tableColumn id="15" xr3:uid="{81AAFDEC-2429-4CEA-9BBC-FD990A1B1386}" name="Column15" dataDxfId="5"/>
    <tableColumn id="16" xr3:uid="{24E679F9-ECB5-444A-B1B1-591C1F30B655}" name="Column16" dataDxfId="4"/>
    <tableColumn id="17" xr3:uid="{665E091D-FAE6-42A2-A10F-169DBBE5DA6C}" name="Column17" dataDxfId="3"/>
    <tableColumn id="19" xr3:uid="{89E19018-E986-4CCB-B8D7-5073E8ABB204}" name="Column19" dataDxfId="2"/>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4.xml"/><Relationship Id="rId1" Type="http://schemas.openxmlformats.org/officeDocument/2006/relationships/printerSettings" Target="../printerSettings/printerSettings14.bin"/><Relationship Id="rId4" Type="http://schemas.openxmlformats.org/officeDocument/2006/relationships/table" Target="../tables/table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5.xml"/><Relationship Id="rId1" Type="http://schemas.openxmlformats.org/officeDocument/2006/relationships/printerSettings" Target="../printerSettings/printerSettings15.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55FD6-E1FE-4DDE-91F1-AFB0CFC458D9}">
  <sheetPr>
    <tabColor theme="0" tint="-0.14999847407452621"/>
    <pageSetUpPr fitToPage="1"/>
  </sheetPr>
  <dimension ref="A1:L69"/>
  <sheetViews>
    <sheetView showGridLines="0" topLeftCell="A14" zoomScaleNormal="100" zoomScaleSheetLayoutView="100" workbookViewId="0">
      <selection activeCell="D5" sqref="D5"/>
    </sheetView>
  </sheetViews>
  <sheetFormatPr defaultColWidth="8.85546875" defaultRowHeight="15" x14ac:dyDescent="0.25"/>
  <cols>
    <col min="1" max="1" width="3.85546875" style="672" customWidth="1"/>
    <col min="2" max="2" width="24.7109375" style="672" customWidth="1"/>
    <col min="3" max="3" width="7.7109375" style="672" customWidth="1"/>
    <col min="4" max="4" width="35.140625" style="672" customWidth="1"/>
    <col min="5" max="5" width="18.140625" style="672" customWidth="1"/>
    <col min="6" max="6" width="15.7109375" style="672" customWidth="1"/>
    <col min="7" max="9" width="12.7109375" style="672" customWidth="1"/>
    <col min="10" max="10" width="38" style="672" customWidth="1"/>
    <col min="11" max="16384" width="8.85546875" style="672"/>
  </cols>
  <sheetData>
    <row r="1" spans="1:10" ht="44.45" customHeight="1" thickBot="1" x14ac:dyDescent="0.3">
      <c r="B1" s="736" t="s">
        <v>0</v>
      </c>
      <c r="C1" s="737"/>
      <c r="D1" s="737"/>
      <c r="E1" s="737"/>
      <c r="F1" s="737"/>
      <c r="G1" s="737"/>
      <c r="H1" s="737"/>
      <c r="I1" s="737"/>
      <c r="J1" s="673"/>
    </row>
    <row r="2" spans="1:10" ht="15.75" thickBot="1" x14ac:dyDescent="0.3">
      <c r="B2" s="719"/>
      <c r="J2" s="720" t="s">
        <v>1</v>
      </c>
    </row>
    <row r="3" spans="1:10" x14ac:dyDescent="0.25">
      <c r="B3" s="738" t="s">
        <v>2</v>
      </c>
      <c r="C3" s="739"/>
      <c r="D3" s="716"/>
      <c r="G3" s="740" t="s">
        <v>3</v>
      </c>
      <c r="H3" s="741"/>
      <c r="I3" s="709"/>
    </row>
    <row r="4" spans="1:10" x14ac:dyDescent="0.25">
      <c r="B4" s="742" t="s">
        <v>4</v>
      </c>
      <c r="C4" s="743"/>
      <c r="D4" s="717"/>
      <c r="G4" s="744" t="s">
        <v>5</v>
      </c>
      <c r="H4" s="745"/>
      <c r="I4" s="710"/>
    </row>
    <row r="5" spans="1:10" ht="15.75" thickBot="1" x14ac:dyDescent="0.3">
      <c r="B5" s="734" t="s">
        <v>6</v>
      </c>
      <c r="C5" s="735"/>
      <c r="D5" s="718"/>
      <c r="G5" s="674" t="s">
        <v>8</v>
      </c>
      <c r="H5" s="675"/>
      <c r="I5" s="711"/>
    </row>
    <row r="6" spans="1:10" ht="10.15" customHeight="1" x14ac:dyDescent="0.25">
      <c r="B6" s="676"/>
      <c r="C6" s="676"/>
    </row>
    <row r="7" spans="1:10" x14ac:dyDescent="0.25">
      <c r="B7" s="677" t="s">
        <v>9</v>
      </c>
      <c r="C7" s="677"/>
    </row>
    <row r="8" spans="1:10" ht="14.25" customHeight="1" x14ac:dyDescent="0.25">
      <c r="A8" s="672">
        <v>1</v>
      </c>
      <c r="B8" s="678" t="s">
        <v>10</v>
      </c>
      <c r="C8" s="678"/>
    </row>
    <row r="9" spans="1:10" ht="14.25" customHeight="1" x14ac:dyDescent="0.25">
      <c r="A9" s="672">
        <v>2</v>
      </c>
      <c r="B9" s="678" t="s">
        <v>11</v>
      </c>
      <c r="C9" s="678"/>
    </row>
    <row r="10" spans="1:10" ht="14.25" customHeight="1" x14ac:dyDescent="0.25">
      <c r="A10" s="672">
        <v>3</v>
      </c>
      <c r="B10" s="678" t="s">
        <v>12</v>
      </c>
      <c r="C10" s="678"/>
    </row>
    <row r="11" spans="1:10" ht="14.25" customHeight="1" x14ac:dyDescent="0.25">
      <c r="A11" s="672">
        <v>4</v>
      </c>
      <c r="B11" s="678" t="s">
        <v>13</v>
      </c>
      <c r="C11" s="678"/>
    </row>
    <row r="12" spans="1:10" ht="14.25" customHeight="1" x14ac:dyDescent="0.25">
      <c r="A12" s="672">
        <v>5</v>
      </c>
      <c r="B12" s="678" t="s">
        <v>14</v>
      </c>
      <c r="C12" s="678"/>
    </row>
    <row r="13" spans="1:10" ht="14.25" customHeight="1" x14ac:dyDescent="0.25">
      <c r="A13" s="672">
        <v>6</v>
      </c>
      <c r="B13" s="678" t="s">
        <v>15</v>
      </c>
      <c r="C13" s="678"/>
    </row>
    <row r="14" spans="1:10" ht="14.25" customHeight="1" x14ac:dyDescent="0.25">
      <c r="A14" s="672">
        <v>7</v>
      </c>
      <c r="B14" s="730" t="s">
        <v>16</v>
      </c>
      <c r="C14" s="730"/>
      <c r="D14" s="730"/>
      <c r="E14" s="730"/>
      <c r="F14" s="730"/>
      <c r="G14" s="730"/>
      <c r="H14" s="730"/>
      <c r="I14" s="730"/>
      <c r="J14" s="679"/>
    </row>
    <row r="15" spans="1:10" ht="14.25" customHeight="1" x14ac:dyDescent="0.25">
      <c r="A15" s="672">
        <v>8</v>
      </c>
      <c r="B15" s="678" t="s">
        <v>17</v>
      </c>
      <c r="C15" s="678"/>
    </row>
    <row r="16" spans="1:10" ht="14.25" customHeight="1" x14ac:dyDescent="0.25">
      <c r="A16" s="672">
        <v>9</v>
      </c>
      <c r="B16" s="678" t="s">
        <v>18</v>
      </c>
      <c r="C16" s="678"/>
    </row>
    <row r="17" spans="2:12" ht="14.25" customHeight="1" x14ac:dyDescent="0.25">
      <c r="B17" s="678"/>
      <c r="C17" s="678"/>
    </row>
    <row r="18" spans="2:12" ht="15.75" thickBot="1" x14ac:dyDescent="0.3"/>
    <row r="19" spans="2:12" x14ac:dyDescent="0.25">
      <c r="B19" s="680" t="s">
        <v>19</v>
      </c>
      <c r="C19" s="681" t="s">
        <v>20</v>
      </c>
      <c r="D19" s="682" t="s">
        <v>21</v>
      </c>
      <c r="E19" s="682" t="s">
        <v>22</v>
      </c>
      <c r="F19" s="682" t="s">
        <v>23</v>
      </c>
      <c r="G19" s="682" t="s">
        <v>24</v>
      </c>
      <c r="H19" s="682" t="s">
        <v>25</v>
      </c>
      <c r="I19" s="683" t="s">
        <v>26</v>
      </c>
      <c r="J19" s="683" t="s">
        <v>27</v>
      </c>
    </row>
    <row r="20" spans="2:12" ht="15.75" thickBot="1" x14ac:dyDescent="0.3">
      <c r="B20" s="684" t="s">
        <v>28</v>
      </c>
      <c r="C20" s="685" t="s">
        <v>29</v>
      </c>
      <c r="D20" s="686" t="s">
        <v>30</v>
      </c>
      <c r="E20" s="687" t="s">
        <v>31</v>
      </c>
      <c r="F20" s="687" t="s">
        <v>32</v>
      </c>
      <c r="G20" s="687" t="s">
        <v>32</v>
      </c>
      <c r="H20" s="685" t="s">
        <v>29</v>
      </c>
      <c r="I20" s="688" t="s">
        <v>29</v>
      </c>
      <c r="J20" s="689" t="s">
        <v>28</v>
      </c>
    </row>
    <row r="21" spans="2:12" ht="12.75" customHeight="1" x14ac:dyDescent="0.25">
      <c r="B21" s="731"/>
      <c r="C21" s="732"/>
      <c r="D21" s="732"/>
      <c r="E21" s="732"/>
      <c r="F21" s="732"/>
      <c r="G21" s="732"/>
      <c r="H21" s="732"/>
      <c r="I21" s="733"/>
      <c r="J21" s="690"/>
    </row>
    <row r="22" spans="2:12" ht="16.5" customHeight="1" x14ac:dyDescent="0.25">
      <c r="B22" s="699" t="s">
        <v>33</v>
      </c>
      <c r="C22" s="727"/>
      <c r="D22" s="728"/>
      <c r="E22" s="728"/>
      <c r="F22" s="728"/>
      <c r="G22" s="728"/>
      <c r="H22" s="728"/>
      <c r="I22" s="729"/>
      <c r="J22" s="691"/>
    </row>
    <row r="23" spans="2:12" x14ac:dyDescent="0.25">
      <c r="B23" s="724" t="s">
        <v>34</v>
      </c>
      <c r="C23" s="722">
        <f>'[1]Gas Meter'!Q22</f>
        <v>1</v>
      </c>
      <c r="D23" s="723" t="s">
        <v>35</v>
      </c>
      <c r="E23" s="694"/>
      <c r="F23" s="695"/>
      <c r="G23" s="696"/>
      <c r="H23" s="696"/>
      <c r="I23" s="691"/>
      <c r="J23" s="691"/>
    </row>
    <row r="24" spans="2:12" x14ac:dyDescent="0.25">
      <c r="B24" s="724" t="s">
        <v>34</v>
      </c>
      <c r="C24" s="722">
        <f>'[1]Gas Proving'!N22</f>
        <v>0</v>
      </c>
      <c r="D24" s="723" t="s">
        <v>36</v>
      </c>
      <c r="E24" s="694"/>
      <c r="F24" s="695"/>
      <c r="H24" s="696"/>
      <c r="I24" s="691"/>
      <c r="J24" s="691"/>
    </row>
    <row r="25" spans="2:12" x14ac:dyDescent="0.25">
      <c r="B25" s="724" t="s">
        <v>34</v>
      </c>
      <c r="C25" s="722">
        <f>'[1]Water Meters'!Q24</f>
        <v>0</v>
      </c>
      <c r="D25" s="723" t="s">
        <v>37</v>
      </c>
      <c r="E25" s="694"/>
      <c r="F25" s="695"/>
      <c r="G25" s="696"/>
      <c r="H25" s="696"/>
      <c r="I25" s="691"/>
      <c r="J25" s="691"/>
    </row>
    <row r="26" spans="2:12" x14ac:dyDescent="0.25">
      <c r="B26" s="724" t="s">
        <v>34</v>
      </c>
      <c r="C26" s="722">
        <f>[1]Tanks!N37</f>
        <v>0</v>
      </c>
      <c r="D26" s="723" t="s">
        <v>38</v>
      </c>
      <c r="E26" s="694"/>
      <c r="F26" s="695"/>
      <c r="G26" s="696"/>
      <c r="H26" s="696"/>
      <c r="I26" s="691"/>
      <c r="J26" s="691"/>
      <c r="L26" s="697"/>
    </row>
    <row r="27" spans="2:12" x14ac:dyDescent="0.25">
      <c r="B27" s="724" t="s">
        <v>34</v>
      </c>
      <c r="C27" s="722">
        <f>[1]Showers!T30</f>
        <v>0</v>
      </c>
      <c r="D27" s="723" t="s">
        <v>39</v>
      </c>
      <c r="E27" s="694"/>
      <c r="F27" s="695"/>
      <c r="G27" s="696"/>
      <c r="H27" s="696"/>
      <c r="I27" s="691"/>
      <c r="J27" s="691"/>
    </row>
    <row r="28" spans="2:12" x14ac:dyDescent="0.25">
      <c r="B28" s="724" t="s">
        <v>34</v>
      </c>
      <c r="C28" s="722">
        <f>[1]Boosters!S19</f>
        <v>0</v>
      </c>
      <c r="D28" s="723" t="s">
        <v>40</v>
      </c>
      <c r="E28" s="694"/>
      <c r="F28" s="695"/>
      <c r="G28" s="696"/>
      <c r="H28" s="696"/>
      <c r="I28" s="691"/>
      <c r="J28" s="691"/>
    </row>
    <row r="29" spans="2:12" x14ac:dyDescent="0.25">
      <c r="B29" s="724" t="s">
        <v>34</v>
      </c>
      <c r="C29" s="722">
        <f>'[1]Water Heaters'!S51</f>
        <v>0</v>
      </c>
      <c r="D29" s="723" t="s">
        <v>41</v>
      </c>
      <c r="E29" s="694"/>
      <c r="F29" s="695"/>
      <c r="G29" s="696"/>
      <c r="H29" s="696"/>
      <c r="I29" s="691"/>
      <c r="J29" s="691"/>
    </row>
    <row r="30" spans="2:12" x14ac:dyDescent="0.25">
      <c r="B30" s="724" t="s">
        <v>34</v>
      </c>
      <c r="C30" s="722">
        <f>[1]Boilers!Q22</f>
        <v>0</v>
      </c>
      <c r="D30" s="723" t="s">
        <v>42</v>
      </c>
      <c r="E30" s="694"/>
      <c r="F30" s="695"/>
      <c r="G30" s="696"/>
      <c r="H30" s="696"/>
      <c r="I30" s="691"/>
      <c r="J30" s="691"/>
    </row>
    <row r="31" spans="2:12" x14ac:dyDescent="0.25">
      <c r="B31" s="724" t="s">
        <v>34</v>
      </c>
      <c r="C31" s="722">
        <f>[1]Buffer!T18</f>
        <v>0</v>
      </c>
      <c r="D31" s="723" t="s">
        <v>43</v>
      </c>
      <c r="E31" s="694"/>
      <c r="F31" s="695"/>
      <c r="G31" s="696"/>
      <c r="H31" s="696"/>
      <c r="I31" s="691"/>
      <c r="J31" s="691"/>
    </row>
    <row r="32" spans="2:12" x14ac:dyDescent="0.25">
      <c r="B32" s="724" t="s">
        <v>34</v>
      </c>
      <c r="C32" s="722">
        <f>'[1]Steam Generators'!S22</f>
        <v>0</v>
      </c>
      <c r="D32" s="723" t="s">
        <v>44</v>
      </c>
      <c r="E32" s="694"/>
      <c r="F32" s="695"/>
      <c r="G32" s="696"/>
      <c r="H32" s="696"/>
      <c r="I32" s="691"/>
      <c r="J32" s="691"/>
    </row>
    <row r="33" spans="2:12" x14ac:dyDescent="0.25">
      <c r="B33" s="725" t="s">
        <v>45</v>
      </c>
      <c r="C33" s="728"/>
      <c r="D33" s="728"/>
      <c r="E33" s="728"/>
      <c r="F33" s="728"/>
      <c r="G33" s="728"/>
      <c r="H33" s="728"/>
      <c r="I33" s="729"/>
      <c r="J33" s="691"/>
    </row>
    <row r="34" spans="2:12" x14ac:dyDescent="0.25">
      <c r="B34" s="724" t="s">
        <v>34</v>
      </c>
      <c r="C34" s="693">
        <f>[1]Chillers!L46</f>
        <v>0</v>
      </c>
      <c r="D34" s="723" t="s">
        <v>46</v>
      </c>
      <c r="E34" s="694"/>
      <c r="F34" s="695"/>
      <c r="G34" s="696"/>
      <c r="H34" s="696"/>
      <c r="I34" s="691"/>
      <c r="J34" s="691"/>
    </row>
    <row r="35" spans="2:12" x14ac:dyDescent="0.25">
      <c r="B35" s="724" t="s">
        <v>34</v>
      </c>
      <c r="C35" s="693">
        <f>'[1]ACU''s'!W32</f>
        <v>0</v>
      </c>
      <c r="D35" s="723" t="s">
        <v>47</v>
      </c>
      <c r="E35" s="694"/>
      <c r="F35" s="695"/>
      <c r="G35" s="696"/>
      <c r="H35" s="696"/>
      <c r="I35" s="691"/>
      <c r="J35" s="691"/>
    </row>
    <row r="36" spans="2:12" x14ac:dyDescent="0.25">
      <c r="B36" s="724" t="s">
        <v>34</v>
      </c>
      <c r="C36" s="700">
        <f>'[1]Chilled Beams'!S41</f>
        <v>0</v>
      </c>
      <c r="D36" s="723" t="s">
        <v>48</v>
      </c>
      <c r="E36" s="694"/>
      <c r="F36" s="695"/>
      <c r="G36" s="696"/>
      <c r="H36" s="696"/>
      <c r="I36" s="691"/>
      <c r="J36" s="691"/>
      <c r="L36" s="697"/>
    </row>
    <row r="37" spans="2:12" x14ac:dyDescent="0.25">
      <c r="B37" s="724" t="s">
        <v>34</v>
      </c>
      <c r="C37" s="693">
        <f>'[1]Air Handling Unit'!H80</f>
        <v>0</v>
      </c>
      <c r="D37" s="726" t="s">
        <v>49</v>
      </c>
      <c r="E37" s="694"/>
      <c r="F37" s="695"/>
      <c r="G37" s="696"/>
      <c r="H37" s="696"/>
      <c r="I37" s="691"/>
      <c r="J37" s="691"/>
    </row>
    <row r="38" spans="2:12" x14ac:dyDescent="0.25">
      <c r="B38" s="712" t="s">
        <v>50</v>
      </c>
      <c r="C38" s="727"/>
      <c r="D38" s="728"/>
      <c r="E38" s="728"/>
      <c r="F38" s="728"/>
      <c r="G38" s="728"/>
      <c r="H38" s="728"/>
      <c r="I38" s="729"/>
      <c r="J38" s="691"/>
    </row>
    <row r="39" spans="2:12" x14ac:dyDescent="0.25">
      <c r="B39" s="724" t="s">
        <v>34</v>
      </c>
      <c r="C39" s="722">
        <f>[1]Fans!T30</f>
        <v>0</v>
      </c>
      <c r="D39" s="723" t="s">
        <v>51</v>
      </c>
      <c r="E39" s="694"/>
      <c r="F39" s="722"/>
      <c r="G39" s="696"/>
      <c r="H39" s="696"/>
      <c r="I39" s="691"/>
      <c r="J39" s="691"/>
    </row>
    <row r="40" spans="2:12" x14ac:dyDescent="0.25">
      <c r="B40" s="724" t="s">
        <v>34</v>
      </c>
      <c r="C40" s="722">
        <f>'[1]Air Curtains'!U20</f>
        <v>0</v>
      </c>
      <c r="D40" s="723" t="s">
        <v>52</v>
      </c>
      <c r="E40" s="694"/>
      <c r="F40" s="722"/>
      <c r="G40" s="696"/>
      <c r="H40" s="696"/>
      <c r="I40" s="691"/>
      <c r="J40" s="691"/>
    </row>
    <row r="41" spans="2:12" x14ac:dyDescent="0.25">
      <c r="B41" s="724" t="s">
        <v>34</v>
      </c>
      <c r="C41" s="722">
        <f>[1]HRU!X31</f>
        <v>0</v>
      </c>
      <c r="D41" s="723" t="s">
        <v>53</v>
      </c>
      <c r="E41" s="694"/>
      <c r="F41" s="722"/>
      <c r="G41" s="696"/>
      <c r="H41" s="696"/>
      <c r="I41" s="691"/>
      <c r="J41" s="691"/>
    </row>
    <row r="42" spans="2:12" x14ac:dyDescent="0.25">
      <c r="B42" s="724" t="s">
        <v>34</v>
      </c>
      <c r="C42" s="722">
        <f>'[1]Grilles - Diffusers'!R48</f>
        <v>0</v>
      </c>
      <c r="D42" s="723" t="s">
        <v>54</v>
      </c>
      <c r="E42" s="694"/>
      <c r="F42" s="722"/>
      <c r="G42" s="696"/>
      <c r="H42" s="696"/>
      <c r="I42" s="691"/>
      <c r="J42" s="691"/>
    </row>
    <row r="43" spans="2:12" x14ac:dyDescent="0.25">
      <c r="B43" s="724" t="s">
        <v>34</v>
      </c>
      <c r="C43" s="722">
        <f>'[1]Transfer Grilles'!M53</f>
        <v>0</v>
      </c>
      <c r="D43" s="723" t="s">
        <v>55</v>
      </c>
      <c r="E43" s="694"/>
      <c r="F43" s="722"/>
      <c r="G43" s="696"/>
      <c r="H43" s="696"/>
      <c r="I43" s="691"/>
      <c r="J43" s="691"/>
    </row>
    <row r="44" spans="2:12" x14ac:dyDescent="0.25">
      <c r="B44" s="724" t="s">
        <v>34</v>
      </c>
      <c r="C44" s="722">
        <f>'[1]Attenuators '!U39</f>
        <v>0</v>
      </c>
      <c r="D44" s="723" t="s">
        <v>56</v>
      </c>
      <c r="E44" s="694"/>
      <c r="F44" s="722"/>
      <c r="G44" s="696"/>
      <c r="H44" s="696"/>
      <c r="I44" s="691"/>
      <c r="J44" s="691"/>
    </row>
    <row r="45" spans="2:12" x14ac:dyDescent="0.25">
      <c r="B45" s="724" t="s">
        <v>34</v>
      </c>
      <c r="C45" s="722">
        <f>'[1]Fire Dampers'!H27</f>
        <v>0</v>
      </c>
      <c r="D45" s="723" t="s">
        <v>57</v>
      </c>
      <c r="E45" s="694"/>
      <c r="F45" s="722"/>
      <c r="G45" s="696"/>
      <c r="H45" s="696"/>
      <c r="I45" s="691"/>
      <c r="J45" s="691"/>
    </row>
    <row r="46" spans="2:12" x14ac:dyDescent="0.25">
      <c r="B46" s="724" t="s">
        <v>34</v>
      </c>
      <c r="C46" s="722">
        <f>'[1]Fire Dampers'!H28</f>
        <v>0</v>
      </c>
      <c r="D46" s="723" t="s">
        <v>58</v>
      </c>
      <c r="E46" s="694"/>
      <c r="F46" s="722"/>
      <c r="G46" s="696"/>
      <c r="H46" s="696"/>
      <c r="I46" s="691"/>
      <c r="J46" s="691"/>
    </row>
    <row r="47" spans="2:12" x14ac:dyDescent="0.25">
      <c r="B47" s="698" t="s">
        <v>59</v>
      </c>
      <c r="C47" s="727"/>
      <c r="D47" s="728"/>
      <c r="E47" s="728"/>
      <c r="F47" s="728"/>
      <c r="G47" s="728"/>
      <c r="H47" s="728"/>
      <c r="I47" s="729"/>
      <c r="J47" s="691"/>
    </row>
    <row r="48" spans="2:12" x14ac:dyDescent="0.25">
      <c r="B48" s="724" t="s">
        <v>34</v>
      </c>
      <c r="C48" s="722">
        <f>'[1]Commissioning Sets'!S28</f>
        <v>0</v>
      </c>
      <c r="D48" s="723" t="s">
        <v>60</v>
      </c>
      <c r="E48" s="694"/>
      <c r="F48" s="722"/>
      <c r="G48" s="696"/>
      <c r="H48" s="696"/>
      <c r="I48" s="691"/>
      <c r="J48" s="691"/>
    </row>
    <row r="49" spans="2:12" x14ac:dyDescent="0.25">
      <c r="B49" s="724" t="s">
        <v>34</v>
      </c>
      <c r="C49" s="722">
        <f>'[1]PICV-DPCV'!U32</f>
        <v>0</v>
      </c>
      <c r="D49" s="723" t="s">
        <v>61</v>
      </c>
      <c r="E49" s="694"/>
      <c r="F49" s="722"/>
      <c r="G49" s="696"/>
      <c r="H49" s="696"/>
      <c r="I49" s="691"/>
      <c r="J49" s="691"/>
    </row>
    <row r="50" spans="2:12" x14ac:dyDescent="0.25">
      <c r="B50" s="724" t="s">
        <v>34</v>
      </c>
      <c r="C50" s="722">
        <f>'[1]General Valves'!F41</f>
        <v>0</v>
      </c>
      <c r="D50" s="723" t="s">
        <v>62</v>
      </c>
      <c r="E50" s="694"/>
      <c r="F50" s="722"/>
      <c r="G50" s="696"/>
      <c r="H50" s="696"/>
      <c r="I50" s="691"/>
      <c r="J50" s="691"/>
    </row>
    <row r="51" spans="2:12" x14ac:dyDescent="0.25">
      <c r="B51" s="724" t="s">
        <v>34</v>
      </c>
      <c r="C51" s="722">
        <f>'[1]General Valves'!F42</f>
        <v>0</v>
      </c>
      <c r="D51" s="723" t="s">
        <v>63</v>
      </c>
      <c r="E51" s="694"/>
      <c r="F51" s="722"/>
      <c r="G51" s="696"/>
      <c r="H51" s="696"/>
      <c r="I51" s="691"/>
      <c r="J51" s="691"/>
    </row>
    <row r="52" spans="2:12" x14ac:dyDescent="0.25">
      <c r="B52" s="724" t="s">
        <v>34</v>
      </c>
      <c r="C52" s="722">
        <f>'[1]General Valves'!F43</f>
        <v>0</v>
      </c>
      <c r="D52" s="723" t="s">
        <v>64</v>
      </c>
      <c r="E52" s="694"/>
      <c r="F52" s="722"/>
      <c r="G52" s="696"/>
      <c r="H52" s="696"/>
      <c r="I52" s="691"/>
      <c r="J52" s="691"/>
    </row>
    <row r="53" spans="2:12" x14ac:dyDescent="0.25">
      <c r="B53" s="713" t="s">
        <v>65</v>
      </c>
      <c r="C53" s="727"/>
      <c r="D53" s="728"/>
      <c r="E53" s="728"/>
      <c r="F53" s="728"/>
      <c r="G53" s="728"/>
      <c r="H53" s="728"/>
      <c r="I53" s="729"/>
      <c r="J53" s="691"/>
      <c r="L53" s="697"/>
    </row>
    <row r="54" spans="2:12" x14ac:dyDescent="0.25">
      <c r="B54" s="724" t="s">
        <v>34</v>
      </c>
      <c r="C54" s="722">
        <f>'[1]General Valves'!F45</f>
        <v>0</v>
      </c>
      <c r="D54" s="723" t="s">
        <v>66</v>
      </c>
      <c r="E54" s="694"/>
      <c r="F54" s="722"/>
      <c r="G54" s="696"/>
      <c r="H54" s="696"/>
      <c r="I54" s="691"/>
      <c r="J54" s="691"/>
      <c r="L54" s="697"/>
    </row>
    <row r="55" spans="2:12" x14ac:dyDescent="0.25">
      <c r="B55" s="714" t="s">
        <v>67</v>
      </c>
      <c r="C55" s="727"/>
      <c r="D55" s="728"/>
      <c r="E55" s="728"/>
      <c r="F55" s="728"/>
      <c r="G55" s="728"/>
      <c r="H55" s="728"/>
      <c r="I55" s="729"/>
      <c r="J55" s="691"/>
      <c r="L55" s="697"/>
    </row>
    <row r="56" spans="2:12" x14ac:dyDescent="0.25">
      <c r="B56" s="724" t="s">
        <v>34</v>
      </c>
      <c r="C56" s="693">
        <f>'[1]General Valves'!F47</f>
        <v>0</v>
      </c>
      <c r="D56" s="721" t="s">
        <v>68</v>
      </c>
      <c r="E56" s="694" t="s">
        <v>69</v>
      </c>
      <c r="F56" s="695"/>
      <c r="G56" s="696"/>
      <c r="H56" s="696"/>
      <c r="I56" s="691"/>
      <c r="J56" s="691"/>
      <c r="L56" s="697"/>
    </row>
    <row r="57" spans="2:12" x14ac:dyDescent="0.25">
      <c r="B57" s="692"/>
      <c r="C57" s="693"/>
      <c r="D57" s="701"/>
      <c r="E57" s="694"/>
      <c r="F57" s="695"/>
      <c r="G57" s="696"/>
      <c r="H57" s="696"/>
      <c r="I57" s="691"/>
      <c r="J57" s="691"/>
      <c r="L57" s="697"/>
    </row>
    <row r="58" spans="2:12" x14ac:dyDescent="0.25">
      <c r="B58" s="692"/>
      <c r="C58" s="693"/>
      <c r="D58" s="701"/>
      <c r="E58" s="694"/>
      <c r="F58" s="695"/>
      <c r="G58" s="696"/>
      <c r="H58" s="696"/>
      <c r="I58" s="691"/>
      <c r="J58" s="691"/>
      <c r="L58" s="697"/>
    </row>
    <row r="59" spans="2:12" x14ac:dyDescent="0.25">
      <c r="B59" s="692"/>
      <c r="C59" s="693"/>
      <c r="D59" s="701"/>
      <c r="E59" s="694"/>
      <c r="F59" s="695"/>
      <c r="G59" s="696"/>
      <c r="H59" s="696"/>
      <c r="I59" s="691"/>
      <c r="J59" s="691"/>
      <c r="L59" s="697"/>
    </row>
    <row r="60" spans="2:12" x14ac:dyDescent="0.25">
      <c r="B60" s="692"/>
      <c r="C60" s="693"/>
      <c r="D60" s="701"/>
      <c r="E60" s="694"/>
      <c r="F60" s="695"/>
      <c r="G60" s="696"/>
      <c r="H60" s="696"/>
      <c r="I60" s="691"/>
      <c r="J60" s="691"/>
      <c r="L60" s="697"/>
    </row>
    <row r="61" spans="2:12" x14ac:dyDescent="0.25">
      <c r="B61" s="692"/>
      <c r="C61" s="693"/>
      <c r="D61" s="701"/>
      <c r="E61" s="694"/>
      <c r="F61" s="695"/>
      <c r="G61" s="696"/>
      <c r="H61" s="696"/>
      <c r="I61" s="691"/>
      <c r="J61" s="691"/>
      <c r="L61" s="697"/>
    </row>
    <row r="62" spans="2:12" x14ac:dyDescent="0.25">
      <c r="B62" s="692"/>
      <c r="C62" s="693"/>
      <c r="D62" s="701"/>
      <c r="E62" s="694"/>
      <c r="F62" s="695"/>
      <c r="G62" s="696"/>
      <c r="H62" s="696"/>
      <c r="I62" s="691"/>
      <c r="J62" s="691"/>
      <c r="L62" s="697"/>
    </row>
    <row r="63" spans="2:12" x14ac:dyDescent="0.25">
      <c r="B63" s="692"/>
      <c r="C63" s="693"/>
      <c r="D63" s="701"/>
      <c r="E63" s="694"/>
      <c r="F63" s="695"/>
      <c r="G63" s="696"/>
      <c r="H63" s="696"/>
      <c r="I63" s="691"/>
      <c r="J63" s="691"/>
      <c r="L63" s="697"/>
    </row>
    <row r="64" spans="2:12" x14ac:dyDescent="0.25">
      <c r="B64" s="692"/>
      <c r="C64" s="693"/>
      <c r="D64" s="701"/>
      <c r="E64" s="694"/>
      <c r="F64" s="695"/>
      <c r="G64" s="696"/>
      <c r="H64" s="696"/>
      <c r="I64" s="691"/>
      <c r="J64" s="691"/>
      <c r="L64" s="697"/>
    </row>
    <row r="65" spans="2:10" x14ac:dyDescent="0.25">
      <c r="B65" s="692"/>
      <c r="C65" s="693"/>
      <c r="D65" s="702"/>
      <c r="E65" s="694"/>
      <c r="F65" s="695"/>
      <c r="G65" s="696"/>
      <c r="H65" s="696"/>
      <c r="I65" s="691"/>
      <c r="J65" s="691"/>
    </row>
    <row r="66" spans="2:10" x14ac:dyDescent="0.25">
      <c r="B66" s="692"/>
      <c r="C66" s="693"/>
      <c r="D66" s="702"/>
      <c r="E66" s="694"/>
      <c r="F66" s="695"/>
      <c r="G66" s="696"/>
      <c r="H66" s="696"/>
      <c r="I66" s="691"/>
      <c r="J66" s="691"/>
    </row>
    <row r="67" spans="2:10" x14ac:dyDescent="0.25">
      <c r="B67" s="692"/>
      <c r="C67" s="693"/>
      <c r="D67" s="702"/>
      <c r="E67" s="694"/>
      <c r="F67" s="695"/>
      <c r="G67" s="696"/>
      <c r="H67" s="696"/>
      <c r="I67" s="691"/>
      <c r="J67" s="691"/>
    </row>
    <row r="68" spans="2:10" ht="15.75" thickBot="1" x14ac:dyDescent="0.3">
      <c r="B68" s="703"/>
      <c r="C68" s="704"/>
      <c r="D68" s="705"/>
      <c r="E68" s="706"/>
      <c r="F68" s="707"/>
      <c r="G68" s="705"/>
      <c r="H68" s="705"/>
      <c r="I68" s="708"/>
      <c r="J68" s="708"/>
    </row>
    <row r="69" spans="2:10" ht="29.45" customHeight="1" x14ac:dyDescent="0.25"/>
  </sheetData>
  <mergeCells count="14">
    <mergeCell ref="B5:C5"/>
    <mergeCell ref="B1:I1"/>
    <mergeCell ref="B3:C3"/>
    <mergeCell ref="G3:H3"/>
    <mergeCell ref="B4:C4"/>
    <mergeCell ref="G4:H4"/>
    <mergeCell ref="C55:I55"/>
    <mergeCell ref="C53:I53"/>
    <mergeCell ref="C47:I47"/>
    <mergeCell ref="B14:I14"/>
    <mergeCell ref="B21:I21"/>
    <mergeCell ref="C22:I22"/>
    <mergeCell ref="C33:I33"/>
    <mergeCell ref="C38:I38"/>
  </mergeCells>
  <conditionalFormatting sqref="B20 C23:D32 B33:C33 C34:D37 B38:C38 C39:D46 B47:C47 C48:D52 B53:C53 C54:D54 B55:C55 C56:D56 B57:D64 B65:C67 D65:D68">
    <cfRule type="expression" dxfId="1" priority="3">
      <formula>$E20="YES"</formula>
    </cfRule>
  </conditionalFormatting>
  <conditionalFormatting sqref="B22:C22">
    <cfRule type="expression" dxfId="0" priority="1">
      <formula>$E22="YES"</formula>
    </cfRule>
  </conditionalFormatting>
  <dataValidations count="4">
    <dataValidation type="list" allowBlank="1" showInputMessage="1" showErrorMessage="1" sqref="G25:G32 G23:H23 G54 G34:G37 G48:G52 G39:G46 G56:G67" xr:uid="{6496F91A-0EFC-43DD-9821-80E19F7B0F3D}">
      <formula1>"NO,WIP,YES"</formula1>
    </dataValidation>
    <dataValidation type="list" allowBlank="1" showInputMessage="1" showErrorMessage="1" sqref="F23:F32 F54 F34:F37 F48:F52 F39:F46 F56:F67" xr:uid="{94C6B2C9-1222-41BD-A194-2C441DFDE8C8}">
      <formula1>"CONCEPT,PRELIM,DESIGN,TENDER,CONSTRUCTION"</formula1>
    </dataValidation>
    <dataValidation type="list" allowBlank="1" showInputMessage="1" showErrorMessage="1" sqref="E23:E32 E54 E34:E37 E48:E52 E39:E46 E56:E67" xr:uid="{5A726739-6944-490F-90C7-735C95A8C461}">
      <formula1>"YES,NO,N/A"</formula1>
    </dataValidation>
    <dataValidation type="list" allowBlank="1" showInputMessage="1" showErrorMessage="1" sqref="F68" xr:uid="{37FA455C-9101-4F79-B459-B02119F69605}">
      <formula1>"PRELIM,TENDER,CONSTRUCTION"</formula1>
    </dataValidation>
  </dataValidations>
  <hyperlinks>
    <hyperlink ref="D23" location="'AHU'!A1" display="AHU" xr:uid="{F1A9A324-388D-4C1D-96F9-564A68E2A80F}"/>
    <hyperlink ref="D24" location="'Fans'!A1" display="Fans" xr:uid="{DCDC98D7-BFF4-4FFB-A620-73FCCCE73DD3}"/>
    <hyperlink ref="D25" location="'HRU'!A1" display="HRU" xr:uid="{6EA25864-7887-4240-BBE9-8CA4AC516700}"/>
    <hyperlink ref="D26" location="'Attenuator'!A1" display="Attenuator" xr:uid="{460FFC67-2AC3-46D2-A6A4-07DFB7FD5AC4}"/>
    <hyperlink ref="D27" location="'Louvres'!A1" display="Louvres" xr:uid="{2ABDA546-8FE2-48FE-88C9-D0B12EF58198}"/>
    <hyperlink ref="D28" location="'Fire Damper'!A1" display="Fire Damper" xr:uid="{69E49762-6CA9-4ADD-AD65-97F41A9865E4}"/>
    <hyperlink ref="D29" location="'Motorised Damper'!A1" display="Motorised Damper" xr:uid="{327B73AB-A420-404D-A101-4C19BFE5F7AC}"/>
    <hyperlink ref="D30" location="'Roof Terminal'!A1" display="Roof Terminal" xr:uid="{547FE72F-ABAE-46F0-B4AC-04237BD07529}"/>
    <hyperlink ref="D31" location="'Grilles'!A1" display="Grilles" xr:uid="{3589A7CA-FF3D-4225-940E-12272F0C9E8D}"/>
    <hyperlink ref="D32" location="'Air Filter'!A1" display="Air Filter" xr:uid="{AA5F3E39-86DF-4693-A5B1-86B27D090F8E}"/>
    <hyperlink ref="D34" location="'Chiller'!A1" display="Chiller" xr:uid="{4BFA0D5B-7ABB-4146-9E14-9424E4150952}"/>
    <hyperlink ref="D35" location="'Process Chiller'!A1" display="Process Chiller" xr:uid="{B6A52A71-C7A4-40AD-89BB-4C18D4CC1BEE}"/>
    <hyperlink ref="D36" location="'DX'!A1" display="DX" xr:uid="{0B38C33F-FD4B-4760-A768-7A418AB3ACE8}"/>
    <hyperlink ref="D37" location="'VRF'!A1" display="VRF" xr:uid="{EC802C29-F6BB-410B-95ED-4C85CDE6E44E}"/>
    <hyperlink ref="D39" location="'Booster Set'!A1" display="Booster Set" xr:uid="{FE18EB36-33F3-4CB0-84FA-066A8BAA33A4}"/>
    <hyperlink ref="D40" location="'Tank'!A1" display="Tank" xr:uid="{A8F3E4E4-F262-4ABC-8EFD-F527239D16F9}"/>
    <hyperlink ref="D41" location="'CAT 5'!A1" display="CAT 5" xr:uid="{E3819AF3-E7FD-4C2E-BE4D-94182A300434}"/>
    <hyperlink ref="D42" location="'Shower'!A1" display="Shower" xr:uid="{B6AA3A7D-534C-4BB3-BD2F-D2F7E4D275F0}"/>
    <hyperlink ref="D43" location="'Water Heater'!A1" display="Water Heater" xr:uid="{B7E99BEB-0668-492B-AE80-5440B1AFB433}"/>
    <hyperlink ref="D44" location="'Expansion Vessel'!A1" display="Expansion Vessel" xr:uid="{8017F85E-B203-4BCA-9F51-BB783F44A073}"/>
    <hyperlink ref="D45" location="'Electric Water Heater'!A1" display="Electric Water Heater" xr:uid="{D1C8C24D-5F7D-4523-8EBA-B510D19DDF46}"/>
    <hyperlink ref="D46" location="'Meters'!A1" display="Meters" xr:uid="{A3C7EBD5-0AC1-4582-B41A-B4546924EBF1}"/>
    <hyperlink ref="D48" location="'Pumps'!A1" display="Pumps" xr:uid="{B550E72C-6269-4057-AACB-05E1EFB654EC}"/>
    <hyperlink ref="D49" location="'Gas Booster'!A1" display="Gas Booster" xr:uid="{6BDF636D-57C3-463C-B432-21D8AA3C871E}"/>
    <hyperlink ref="D50" location="'Press Unit'!A1" display="Press Unit" xr:uid="{8A6B5188-883F-4DE5-95F0-0408E9B405F4}"/>
    <hyperlink ref="D51" location="'Electric Panel Heater'!A1" display="Electric Panel Heater" xr:uid="{2137FB42-2F87-476A-8B03-74C6B5E01345}"/>
    <hyperlink ref="D52" location="'Heater Battery'!A1" display="Heater Battery" xr:uid="{98CA5531-B99C-4418-9C3B-AEB264A7637F}"/>
    <hyperlink ref="D54" location="'Compressed Air'!A1" display="Compressed Air" xr:uid="{7C4C68D5-11BD-4768-AEBD-C5BB7E6E2EDE}"/>
    <hyperlink ref="D56" location="'Electrical Requirements'!A1" display="Electrical Requirements" xr:uid="{32EC1BC1-B59E-4A0B-987A-391AD33FB32D}"/>
  </hyperlinks>
  <pageMargins left="0.7" right="0.7" top="0.75" bottom="0.75" header="0.3" footer="0.3"/>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F0"/>
    <pageSetUpPr fitToPage="1"/>
  </sheetPr>
  <dimension ref="A1:I74"/>
  <sheetViews>
    <sheetView zoomScaleNormal="100" workbookViewId="0">
      <selection activeCell="G1" sqref="G1:G8"/>
    </sheetView>
  </sheetViews>
  <sheetFormatPr defaultRowHeight="12.75" x14ac:dyDescent="0.2"/>
  <cols>
    <col min="1" max="1" width="16.7109375" customWidth="1"/>
    <col min="2" max="2" width="25.7109375" customWidth="1"/>
    <col min="3" max="3" width="10.7109375" customWidth="1"/>
    <col min="4" max="4" width="13.5703125" customWidth="1"/>
    <col min="5" max="5" width="30" customWidth="1"/>
    <col min="6" max="6" width="26.42578125" customWidth="1"/>
    <col min="7" max="7" width="33.140625" customWidth="1"/>
    <col min="12" max="12" width="12.140625" customWidth="1"/>
  </cols>
  <sheetData>
    <row r="1" spans="1:7" ht="6.75" customHeight="1" x14ac:dyDescent="0.2">
      <c r="A1" s="1"/>
      <c r="B1" s="3"/>
      <c r="C1" s="31"/>
      <c r="D1" s="2"/>
      <c r="E1" s="2"/>
      <c r="F1" s="2"/>
      <c r="G1" s="760"/>
    </row>
    <row r="2" spans="1:7" ht="12.75" customHeight="1" x14ac:dyDescent="0.2">
      <c r="A2" s="4"/>
      <c r="B2" s="5"/>
      <c r="C2" s="32"/>
      <c r="D2" s="33" t="s">
        <v>71</v>
      </c>
      <c r="E2" s="38">
        <f>'PROJECT SUMMARY'!D3</f>
        <v>0</v>
      </c>
      <c r="F2" s="38"/>
      <c r="G2" s="761"/>
    </row>
    <row r="3" spans="1:7" ht="12.75" customHeight="1" x14ac:dyDescent="0.2">
      <c r="A3" s="4"/>
      <c r="B3" s="5"/>
      <c r="C3" s="32"/>
      <c r="D3" s="34" t="s">
        <v>72</v>
      </c>
      <c r="E3" s="35">
        <f>'PROJECT SUMMARY'!D4</f>
        <v>0</v>
      </c>
      <c r="F3" s="35"/>
      <c r="G3" s="761"/>
    </row>
    <row r="4" spans="1:7" ht="12.75" customHeight="1" x14ac:dyDescent="0.2">
      <c r="A4" s="4"/>
      <c r="B4" s="5"/>
      <c r="C4" s="32"/>
      <c r="D4" s="34" t="s">
        <v>73</v>
      </c>
      <c r="E4" s="50" t="s">
        <v>74</v>
      </c>
      <c r="F4" s="50"/>
      <c r="G4" s="761"/>
    </row>
    <row r="5" spans="1:7" ht="12.75" customHeight="1" x14ac:dyDescent="0.2">
      <c r="A5" s="4"/>
      <c r="B5" s="5"/>
      <c r="C5" s="32"/>
      <c r="D5" s="34" t="s">
        <v>75</v>
      </c>
      <c r="E5" s="35" t="str">
        <f>'PROJECT SUMMARY'!B23</f>
        <v>KEY-SH-M-50-XXX</v>
      </c>
      <c r="F5" s="35"/>
      <c r="G5" s="761"/>
    </row>
    <row r="6" spans="1:7" ht="12.75" customHeight="1" x14ac:dyDescent="0.2">
      <c r="A6" s="4"/>
      <c r="B6" s="5"/>
      <c r="C6" s="32"/>
      <c r="D6" s="34" t="s">
        <v>76</v>
      </c>
      <c r="E6" s="35">
        <f>'PROJECT SUMMARY'!C23</f>
        <v>1</v>
      </c>
      <c r="F6" s="35"/>
      <c r="G6" s="761"/>
    </row>
    <row r="7" spans="1:7" ht="12.75" customHeight="1" x14ac:dyDescent="0.2">
      <c r="A7" s="4"/>
      <c r="B7" s="5"/>
      <c r="C7" s="32"/>
      <c r="D7" s="34" t="s">
        <v>77</v>
      </c>
      <c r="E7" s="35">
        <f>'PROJECT SUMMARY'!D5</f>
        <v>0</v>
      </c>
      <c r="F7" s="35"/>
      <c r="G7" s="761"/>
    </row>
    <row r="8" spans="1:7" ht="5.25" customHeight="1" thickBot="1" x14ac:dyDescent="0.25">
      <c r="A8" s="4"/>
      <c r="B8" s="5"/>
      <c r="C8" s="36"/>
      <c r="D8" s="37"/>
      <c r="E8" s="37"/>
      <c r="F8" s="66"/>
      <c r="G8" s="761"/>
    </row>
    <row r="9" spans="1:7" ht="12.75" customHeight="1" x14ac:dyDescent="0.2">
      <c r="A9" s="771" t="s">
        <v>78</v>
      </c>
      <c r="B9" s="772"/>
      <c r="C9" s="772"/>
      <c r="D9" s="773"/>
      <c r="E9" s="796" t="s">
        <v>79</v>
      </c>
      <c r="F9" s="797"/>
      <c r="G9" s="780" t="s">
        <v>80</v>
      </c>
    </row>
    <row r="10" spans="1:7" x14ac:dyDescent="0.2">
      <c r="A10" s="774"/>
      <c r="B10" s="775"/>
      <c r="C10" s="775"/>
      <c r="D10" s="776"/>
      <c r="E10" s="798"/>
      <c r="F10" s="799"/>
      <c r="G10" s="781"/>
    </row>
    <row r="11" spans="1:7" ht="13.5" thickBot="1" x14ac:dyDescent="0.25">
      <c r="A11" s="777"/>
      <c r="B11" s="778"/>
      <c r="C11" s="778"/>
      <c r="D11" s="779"/>
      <c r="E11" s="800"/>
      <c r="F11" s="801"/>
      <c r="G11" s="782"/>
    </row>
    <row r="12" spans="1:7" ht="3.75" customHeight="1" thickBot="1" x14ac:dyDescent="0.25">
      <c r="A12" s="18"/>
      <c r="B12" s="6"/>
      <c r="C12" s="762"/>
      <c r="D12" s="762"/>
      <c r="E12" s="6"/>
      <c r="F12" s="6"/>
      <c r="G12" s="7"/>
    </row>
    <row r="13" spans="1:7" ht="24.75" customHeight="1" x14ac:dyDescent="0.2">
      <c r="A13" s="19" t="s">
        <v>81</v>
      </c>
      <c r="B13" s="20"/>
      <c r="C13" s="763"/>
      <c r="D13" s="764"/>
      <c r="E13" s="792" t="s">
        <v>82</v>
      </c>
      <c r="F13" s="793"/>
      <c r="G13" s="54" t="s">
        <v>83</v>
      </c>
    </row>
    <row r="14" spans="1:7" ht="24.75" customHeight="1" x14ac:dyDescent="0.2">
      <c r="A14" s="8" t="s">
        <v>84</v>
      </c>
      <c r="B14" s="9"/>
      <c r="C14" s="765"/>
      <c r="D14" s="766"/>
      <c r="E14" s="788" t="s">
        <v>85</v>
      </c>
      <c r="F14" s="789"/>
      <c r="G14" s="54"/>
    </row>
    <row r="15" spans="1:7" ht="24.75" customHeight="1" x14ac:dyDescent="0.2">
      <c r="A15" s="8" t="s">
        <v>86</v>
      </c>
      <c r="B15" s="9"/>
      <c r="C15" s="765"/>
      <c r="D15" s="766"/>
      <c r="E15" s="788" t="s">
        <v>87</v>
      </c>
      <c r="F15" s="789"/>
      <c r="G15" s="54"/>
    </row>
    <row r="16" spans="1:7" ht="24.75" customHeight="1" x14ac:dyDescent="0.2">
      <c r="A16" s="8" t="s">
        <v>88</v>
      </c>
      <c r="B16" s="9"/>
      <c r="C16" s="765"/>
      <c r="D16" s="766"/>
      <c r="E16" s="788"/>
      <c r="F16" s="789"/>
      <c r="G16" s="54"/>
    </row>
    <row r="17" spans="1:7" ht="24.75" customHeight="1" thickBot="1" x14ac:dyDescent="0.25">
      <c r="A17" s="12" t="s">
        <v>89</v>
      </c>
      <c r="B17" s="13"/>
      <c r="C17" s="804"/>
      <c r="D17" s="805"/>
      <c r="E17" s="790"/>
      <c r="F17" s="791"/>
      <c r="G17" s="55"/>
    </row>
    <row r="18" spans="1:7" ht="24.75" customHeight="1" thickBot="1" x14ac:dyDescent="0.25">
      <c r="A18" s="47" t="s">
        <v>90</v>
      </c>
      <c r="B18" s="48"/>
      <c r="C18" s="48"/>
      <c r="D18" s="48"/>
      <c r="E18" s="71" t="s">
        <v>91</v>
      </c>
      <c r="F18" s="72" t="s">
        <v>92</v>
      </c>
      <c r="G18" s="49"/>
    </row>
    <row r="19" spans="1:7" ht="24.75" customHeight="1" x14ac:dyDescent="0.2">
      <c r="A19" s="26" t="s">
        <v>93</v>
      </c>
      <c r="B19" s="43" t="s">
        <v>94</v>
      </c>
      <c r="C19" s="783" t="s">
        <v>95</v>
      </c>
      <c r="D19" s="784"/>
      <c r="E19" s="56" t="s">
        <v>96</v>
      </c>
      <c r="F19" s="73"/>
      <c r="G19" s="57" t="s">
        <v>97</v>
      </c>
    </row>
    <row r="20" spans="1:7" ht="24.75" customHeight="1" x14ac:dyDescent="0.2">
      <c r="A20" s="10"/>
      <c r="B20" s="44"/>
      <c r="C20" s="765" t="s">
        <v>98</v>
      </c>
      <c r="D20" s="766"/>
      <c r="E20" s="58" t="s">
        <v>99</v>
      </c>
      <c r="F20" s="74"/>
      <c r="G20" s="57"/>
    </row>
    <row r="21" spans="1:7" ht="24.75" customHeight="1" x14ac:dyDescent="0.2">
      <c r="A21" s="10"/>
      <c r="B21" s="44"/>
      <c r="C21" s="765" t="s">
        <v>100</v>
      </c>
      <c r="D21" s="766"/>
      <c r="E21" s="59" t="s">
        <v>101</v>
      </c>
      <c r="F21" s="74"/>
      <c r="G21" s="57"/>
    </row>
    <row r="22" spans="1:7" ht="24.75" customHeight="1" thickBot="1" x14ac:dyDescent="0.25">
      <c r="A22" s="27"/>
      <c r="B22" s="30"/>
      <c r="C22" s="769" t="s">
        <v>102</v>
      </c>
      <c r="D22" s="770"/>
      <c r="E22" s="58" t="s">
        <v>103</v>
      </c>
      <c r="F22" s="75"/>
      <c r="G22" s="57"/>
    </row>
    <row r="23" spans="1:7" ht="24.75" customHeight="1" thickBot="1" x14ac:dyDescent="0.25">
      <c r="A23" s="24" t="s">
        <v>104</v>
      </c>
      <c r="B23" s="25"/>
      <c r="C23" s="767" t="s">
        <v>105</v>
      </c>
      <c r="D23" s="768" t="s">
        <v>105</v>
      </c>
      <c r="E23" s="60" t="s">
        <v>106</v>
      </c>
      <c r="F23" s="68" t="s">
        <v>106</v>
      </c>
      <c r="G23" s="61" t="s">
        <v>107</v>
      </c>
    </row>
    <row r="24" spans="1:7" ht="24.75" customHeight="1" thickBot="1" x14ac:dyDescent="0.25">
      <c r="A24" s="24" t="s">
        <v>108</v>
      </c>
      <c r="B24" s="25"/>
      <c r="C24" s="767" t="s">
        <v>105</v>
      </c>
      <c r="D24" s="768" t="s">
        <v>105</v>
      </c>
      <c r="E24" s="60" t="s">
        <v>109</v>
      </c>
      <c r="F24" s="68"/>
      <c r="G24" s="61" t="s">
        <v>107</v>
      </c>
    </row>
    <row r="25" spans="1:7" ht="24.75" customHeight="1" x14ac:dyDescent="0.2">
      <c r="A25" s="26" t="s">
        <v>110</v>
      </c>
      <c r="B25" s="43"/>
      <c r="C25" s="748" t="s">
        <v>111</v>
      </c>
      <c r="D25" s="749" t="s">
        <v>105</v>
      </c>
      <c r="E25" s="792"/>
      <c r="F25" s="793"/>
      <c r="G25" s="62"/>
    </row>
    <row r="26" spans="1:7" ht="24.75" customHeight="1" x14ac:dyDescent="0.2">
      <c r="A26" s="10"/>
      <c r="B26" s="44"/>
      <c r="C26" s="750" t="s">
        <v>112</v>
      </c>
      <c r="D26" s="751" t="s">
        <v>105</v>
      </c>
      <c r="E26" s="788"/>
      <c r="F26" s="789"/>
      <c r="G26" s="55"/>
    </row>
    <row r="27" spans="1:7" ht="27.75" customHeight="1" x14ac:dyDescent="0.2">
      <c r="A27" s="10"/>
      <c r="B27" s="44"/>
      <c r="C27" s="802" t="s">
        <v>113</v>
      </c>
      <c r="D27" s="803" t="s">
        <v>105</v>
      </c>
      <c r="E27" s="59"/>
      <c r="F27" s="67"/>
      <c r="G27" s="55"/>
    </row>
    <row r="28" spans="1:7" ht="26.25" customHeight="1" x14ac:dyDescent="0.2">
      <c r="A28" s="10"/>
      <c r="B28" s="44"/>
      <c r="C28" s="802" t="s">
        <v>114</v>
      </c>
      <c r="D28" s="803" t="s">
        <v>105</v>
      </c>
      <c r="E28" s="59"/>
      <c r="F28" s="67"/>
      <c r="G28" s="55"/>
    </row>
    <row r="29" spans="1:7" ht="26.25" customHeight="1" x14ac:dyDescent="0.2">
      <c r="A29" s="10"/>
      <c r="B29" s="44"/>
      <c r="C29" s="802" t="s">
        <v>115</v>
      </c>
      <c r="D29" s="803" t="s">
        <v>105</v>
      </c>
      <c r="E29" s="59"/>
      <c r="F29" s="67"/>
      <c r="G29" s="55" t="s">
        <v>116</v>
      </c>
    </row>
    <row r="30" spans="1:7" ht="27.75" customHeight="1" x14ac:dyDescent="0.2">
      <c r="A30" s="10"/>
      <c r="B30" s="44"/>
      <c r="C30" s="802" t="s">
        <v>115</v>
      </c>
      <c r="D30" s="803" t="s">
        <v>105</v>
      </c>
      <c r="E30" s="59"/>
      <c r="F30" s="67"/>
      <c r="G30" s="55" t="s">
        <v>116</v>
      </c>
    </row>
    <row r="31" spans="1:7" ht="24.75" customHeight="1" thickBot="1" x14ac:dyDescent="0.25">
      <c r="A31" s="27"/>
      <c r="B31" s="51"/>
      <c r="C31" s="754" t="s">
        <v>117</v>
      </c>
      <c r="D31" s="755" t="s">
        <v>105</v>
      </c>
      <c r="E31" s="63"/>
      <c r="F31" s="70"/>
      <c r="G31" s="64" t="s">
        <v>116</v>
      </c>
    </row>
    <row r="32" spans="1:7" ht="24.75" customHeight="1" x14ac:dyDescent="0.2">
      <c r="A32" s="746" t="s">
        <v>64</v>
      </c>
      <c r="B32" s="41" t="s">
        <v>111</v>
      </c>
      <c r="C32" s="748"/>
      <c r="D32" s="749" t="s">
        <v>118</v>
      </c>
      <c r="E32" s="792"/>
      <c r="F32" s="793"/>
      <c r="G32" s="62"/>
    </row>
    <row r="33" spans="1:9" ht="24.75" customHeight="1" x14ac:dyDescent="0.2">
      <c r="A33" s="747"/>
      <c r="B33" s="42" t="s">
        <v>119</v>
      </c>
      <c r="C33" s="750" t="s">
        <v>118</v>
      </c>
      <c r="D33" s="751" t="s">
        <v>118</v>
      </c>
      <c r="E33" s="788"/>
      <c r="F33" s="789"/>
      <c r="G33" s="55" t="s">
        <v>120</v>
      </c>
    </row>
    <row r="34" spans="1:9" ht="51" x14ac:dyDescent="0.25">
      <c r="A34" s="10"/>
      <c r="B34" s="42" t="s">
        <v>121</v>
      </c>
      <c r="C34" s="750" t="s">
        <v>122</v>
      </c>
      <c r="D34" s="751" t="s">
        <v>122</v>
      </c>
      <c r="E34" s="788" t="s">
        <v>123</v>
      </c>
      <c r="F34" s="789"/>
      <c r="G34" s="55" t="s">
        <v>124</v>
      </c>
      <c r="I34" s="65" t="s">
        <v>125</v>
      </c>
    </row>
    <row r="35" spans="1:9" ht="24.75" customHeight="1" x14ac:dyDescent="0.2">
      <c r="A35" s="10"/>
      <c r="B35" s="42" t="s">
        <v>126</v>
      </c>
      <c r="C35" s="750"/>
      <c r="D35" s="751"/>
      <c r="E35" s="788" t="s">
        <v>127</v>
      </c>
      <c r="F35" s="789"/>
      <c r="G35" s="55" t="s">
        <v>128</v>
      </c>
    </row>
    <row r="36" spans="1:9" ht="24.75" customHeight="1" x14ac:dyDescent="0.2">
      <c r="A36" s="10"/>
      <c r="B36" s="42" t="s">
        <v>129</v>
      </c>
      <c r="C36" s="750" t="s">
        <v>130</v>
      </c>
      <c r="D36" s="751" t="s">
        <v>131</v>
      </c>
      <c r="E36" s="788"/>
      <c r="F36" s="789"/>
      <c r="G36" s="55" t="s">
        <v>120</v>
      </c>
    </row>
    <row r="37" spans="1:9" ht="24.75" customHeight="1" x14ac:dyDescent="0.2">
      <c r="A37" s="10"/>
      <c r="B37" s="42" t="s">
        <v>132</v>
      </c>
      <c r="C37" s="750" t="s">
        <v>133</v>
      </c>
      <c r="D37" s="751" t="s">
        <v>122</v>
      </c>
      <c r="E37" s="788"/>
      <c r="F37" s="789"/>
      <c r="G37" s="55" t="s">
        <v>120</v>
      </c>
    </row>
    <row r="38" spans="1:9" ht="24.75" customHeight="1" thickBot="1" x14ac:dyDescent="0.25">
      <c r="A38" s="27"/>
      <c r="B38" s="42"/>
      <c r="C38" s="754"/>
      <c r="D38" s="755"/>
      <c r="E38" s="790"/>
      <c r="F38" s="791"/>
      <c r="G38" s="55"/>
    </row>
    <row r="39" spans="1:9" ht="24.75" customHeight="1" x14ac:dyDescent="0.2">
      <c r="A39" s="26" t="s">
        <v>134</v>
      </c>
      <c r="B39" s="41" t="s">
        <v>135</v>
      </c>
      <c r="C39" s="748" t="s">
        <v>136</v>
      </c>
      <c r="D39" s="749"/>
      <c r="E39" s="56" t="s">
        <v>137</v>
      </c>
      <c r="F39" s="69"/>
      <c r="G39" s="62" t="s">
        <v>138</v>
      </c>
    </row>
    <row r="40" spans="1:9" ht="24.75" customHeight="1" x14ac:dyDescent="0.2">
      <c r="A40" s="10"/>
      <c r="B40" s="42" t="s">
        <v>139</v>
      </c>
      <c r="C40" s="750" t="s">
        <v>140</v>
      </c>
      <c r="D40" s="751" t="s">
        <v>140</v>
      </c>
      <c r="E40" s="59" t="s">
        <v>141</v>
      </c>
      <c r="F40" s="67"/>
      <c r="G40" s="55"/>
    </row>
    <row r="41" spans="1:9" ht="24.75" customHeight="1" x14ac:dyDescent="0.2">
      <c r="A41" s="10"/>
      <c r="B41" s="42" t="s">
        <v>129</v>
      </c>
      <c r="C41" s="750" t="s">
        <v>142</v>
      </c>
      <c r="D41" s="751" t="s">
        <v>142</v>
      </c>
      <c r="E41" s="59"/>
      <c r="F41" s="67"/>
      <c r="G41" s="55"/>
    </row>
    <row r="42" spans="1:9" ht="24.75" customHeight="1" x14ac:dyDescent="0.2">
      <c r="A42" s="10"/>
      <c r="B42" s="42" t="s">
        <v>132</v>
      </c>
      <c r="C42" s="750" t="s">
        <v>133</v>
      </c>
      <c r="D42" s="751" t="s">
        <v>133</v>
      </c>
      <c r="E42" s="59"/>
      <c r="F42" s="67"/>
      <c r="G42" s="55" t="s">
        <v>143</v>
      </c>
    </row>
    <row r="43" spans="1:9" ht="24.75" customHeight="1" x14ac:dyDescent="0.2">
      <c r="A43" s="10"/>
      <c r="B43" s="42" t="s">
        <v>144</v>
      </c>
      <c r="C43" s="750" t="s">
        <v>118</v>
      </c>
      <c r="D43" s="751" t="s">
        <v>118</v>
      </c>
      <c r="E43" s="59"/>
      <c r="F43" s="67"/>
      <c r="G43" s="55" t="s">
        <v>143</v>
      </c>
    </row>
    <row r="44" spans="1:9" ht="24.75" customHeight="1" thickBot="1" x14ac:dyDescent="0.25">
      <c r="A44" s="27"/>
      <c r="B44" s="29" t="s">
        <v>145</v>
      </c>
      <c r="C44" s="39"/>
      <c r="D44" s="40"/>
      <c r="E44" s="63" t="s">
        <v>146</v>
      </c>
      <c r="F44" s="70"/>
      <c r="G44" s="64"/>
    </row>
    <row r="45" spans="1:9" ht="26.25" thickBot="1" x14ac:dyDescent="0.25">
      <c r="A45" s="24" t="s">
        <v>147</v>
      </c>
      <c r="B45" s="28"/>
      <c r="C45" s="767"/>
      <c r="D45" s="768"/>
      <c r="E45" s="60" t="s">
        <v>148</v>
      </c>
      <c r="F45" s="68"/>
      <c r="G45" s="61" t="s">
        <v>149</v>
      </c>
    </row>
    <row r="46" spans="1:9" ht="24.75" customHeight="1" thickBot="1" x14ac:dyDescent="0.25">
      <c r="A46" s="24" t="s">
        <v>108</v>
      </c>
      <c r="B46" s="25"/>
      <c r="C46" s="767" t="s">
        <v>105</v>
      </c>
      <c r="D46" s="768" t="s">
        <v>105</v>
      </c>
      <c r="E46" s="60" t="s">
        <v>150</v>
      </c>
      <c r="F46" s="68"/>
      <c r="G46" s="61" t="s">
        <v>151</v>
      </c>
    </row>
    <row r="47" spans="1:9" ht="24.75" customHeight="1" thickBot="1" x14ac:dyDescent="0.25">
      <c r="A47" s="24" t="s">
        <v>147</v>
      </c>
      <c r="B47" s="28"/>
      <c r="C47" s="767"/>
      <c r="D47" s="768"/>
      <c r="E47" s="60" t="s">
        <v>148</v>
      </c>
      <c r="F47" s="68"/>
      <c r="G47" s="61" t="s">
        <v>149</v>
      </c>
    </row>
    <row r="48" spans="1:9" ht="24.75" customHeight="1" x14ac:dyDescent="0.2">
      <c r="A48" s="746" t="s">
        <v>152</v>
      </c>
      <c r="B48" s="41" t="s">
        <v>111</v>
      </c>
      <c r="C48" s="748"/>
      <c r="D48" s="749" t="s">
        <v>118</v>
      </c>
      <c r="E48" s="792" t="s">
        <v>153</v>
      </c>
      <c r="F48" s="793"/>
      <c r="G48" s="62"/>
    </row>
    <row r="49" spans="1:7" ht="40.15" customHeight="1" x14ac:dyDescent="0.2">
      <c r="A49" s="747"/>
      <c r="B49" s="42" t="s">
        <v>119</v>
      </c>
      <c r="C49" s="750" t="s">
        <v>118</v>
      </c>
      <c r="D49" s="751" t="s">
        <v>118</v>
      </c>
      <c r="E49" s="788"/>
      <c r="F49" s="789"/>
      <c r="G49" s="55" t="s">
        <v>154</v>
      </c>
    </row>
    <row r="50" spans="1:7" ht="51" x14ac:dyDescent="0.2">
      <c r="A50" s="76"/>
      <c r="B50" s="42" t="s">
        <v>121</v>
      </c>
      <c r="C50" s="750" t="s">
        <v>122</v>
      </c>
      <c r="D50" s="751" t="s">
        <v>122</v>
      </c>
      <c r="E50" s="788" t="s">
        <v>155</v>
      </c>
      <c r="F50" s="789"/>
      <c r="G50" s="55" t="s">
        <v>124</v>
      </c>
    </row>
    <row r="51" spans="1:7" ht="24.75" customHeight="1" x14ac:dyDescent="0.2">
      <c r="A51" s="10"/>
      <c r="B51" s="42" t="s">
        <v>156</v>
      </c>
      <c r="C51" s="750"/>
      <c r="D51" s="751"/>
      <c r="E51" s="788" t="s">
        <v>157</v>
      </c>
      <c r="F51" s="789"/>
      <c r="G51" s="55" t="s">
        <v>158</v>
      </c>
    </row>
    <row r="52" spans="1:7" ht="24.75" customHeight="1" x14ac:dyDescent="0.2">
      <c r="A52" s="10"/>
      <c r="B52" s="42" t="s">
        <v>159</v>
      </c>
      <c r="C52" s="750" t="s">
        <v>131</v>
      </c>
      <c r="D52" s="751" t="s">
        <v>131</v>
      </c>
      <c r="E52" s="788"/>
      <c r="F52" s="789"/>
      <c r="G52" s="55" t="s">
        <v>120</v>
      </c>
    </row>
    <row r="53" spans="1:7" ht="24.75" customHeight="1" x14ac:dyDescent="0.2">
      <c r="A53" s="10"/>
      <c r="B53" s="42" t="s">
        <v>160</v>
      </c>
      <c r="C53" s="750" t="s">
        <v>122</v>
      </c>
      <c r="D53" s="751" t="s">
        <v>122</v>
      </c>
      <c r="E53" s="788" t="s">
        <v>161</v>
      </c>
      <c r="F53" s="789"/>
      <c r="G53" s="55"/>
    </row>
    <row r="54" spans="1:7" ht="26.25" thickBot="1" x14ac:dyDescent="0.25">
      <c r="A54" s="27"/>
      <c r="B54" s="29" t="s">
        <v>162</v>
      </c>
      <c r="C54" s="754" t="s">
        <v>163</v>
      </c>
      <c r="D54" s="755" t="s">
        <v>163</v>
      </c>
      <c r="E54" s="790"/>
      <c r="F54" s="791"/>
      <c r="G54" s="55" t="s">
        <v>120</v>
      </c>
    </row>
    <row r="55" spans="1:7" ht="37.5" customHeight="1" thickBot="1" x14ac:dyDescent="0.25">
      <c r="A55" s="785" t="s">
        <v>164</v>
      </c>
      <c r="B55" s="786"/>
      <c r="C55" s="786"/>
      <c r="D55" s="786"/>
      <c r="E55" s="786"/>
      <c r="F55" s="786"/>
      <c r="G55" s="787"/>
    </row>
    <row r="56" spans="1:7" ht="24.75" customHeight="1" thickBot="1" x14ac:dyDescent="0.25">
      <c r="A56" s="24" t="s">
        <v>165</v>
      </c>
      <c r="B56" s="25"/>
      <c r="C56" s="767" t="s">
        <v>166</v>
      </c>
      <c r="D56" s="768" t="s">
        <v>166</v>
      </c>
      <c r="E56" s="794"/>
      <c r="F56" s="795"/>
      <c r="G56" s="61" t="s">
        <v>149</v>
      </c>
    </row>
    <row r="57" spans="1:7" ht="24.75" customHeight="1" x14ac:dyDescent="0.2">
      <c r="A57" s="19" t="s">
        <v>167</v>
      </c>
      <c r="B57" s="20"/>
      <c r="C57" s="748" t="s">
        <v>167</v>
      </c>
      <c r="D57" s="756"/>
      <c r="E57" s="792" t="s">
        <v>168</v>
      </c>
      <c r="F57" s="793"/>
      <c r="G57" s="62" t="s">
        <v>169</v>
      </c>
    </row>
    <row r="58" spans="1:7" ht="24.75" customHeight="1" x14ac:dyDescent="0.2">
      <c r="A58" s="8"/>
      <c r="B58" s="9"/>
      <c r="C58" s="750" t="s">
        <v>170</v>
      </c>
      <c r="D58" s="757"/>
      <c r="E58" s="788" t="s">
        <v>171</v>
      </c>
      <c r="F58" s="789"/>
      <c r="G58" s="55" t="s">
        <v>172</v>
      </c>
    </row>
    <row r="59" spans="1:7" ht="24.75" customHeight="1" x14ac:dyDescent="0.2">
      <c r="A59" s="8"/>
      <c r="B59" s="9"/>
      <c r="C59" s="759" t="s">
        <v>64</v>
      </c>
      <c r="D59" s="750"/>
      <c r="E59" s="788" t="s">
        <v>173</v>
      </c>
      <c r="F59" s="789"/>
      <c r="G59" s="55"/>
    </row>
    <row r="60" spans="1:7" ht="24.75" customHeight="1" thickBot="1" x14ac:dyDescent="0.25">
      <c r="A60" s="45"/>
      <c r="B60" s="46"/>
      <c r="C60" s="758" t="s">
        <v>174</v>
      </c>
      <c r="D60" s="754"/>
      <c r="E60" s="790" t="s">
        <v>175</v>
      </c>
      <c r="F60" s="791"/>
      <c r="G60" s="64" t="s">
        <v>143</v>
      </c>
    </row>
    <row r="61" spans="1:7" x14ac:dyDescent="0.2">
      <c r="A61" s="752" t="s">
        <v>176</v>
      </c>
      <c r="B61" s="753"/>
      <c r="C61" s="748"/>
      <c r="D61" s="749"/>
      <c r="E61" s="792"/>
      <c r="F61" s="793"/>
      <c r="G61" s="62"/>
    </row>
    <row r="62" spans="1:7" ht="24.75" customHeight="1" x14ac:dyDescent="0.2">
      <c r="A62" s="10"/>
      <c r="B62" s="11" t="s">
        <v>177</v>
      </c>
      <c r="C62" s="750" t="s">
        <v>178</v>
      </c>
      <c r="D62" s="751" t="s">
        <v>178</v>
      </c>
      <c r="E62" s="788" t="s">
        <v>179</v>
      </c>
      <c r="F62" s="789"/>
      <c r="G62" s="54" t="s">
        <v>180</v>
      </c>
    </row>
    <row r="63" spans="1:7" ht="24.75" customHeight="1" x14ac:dyDescent="0.2">
      <c r="A63" s="10"/>
      <c r="B63" s="11" t="s">
        <v>181</v>
      </c>
      <c r="C63" s="750" t="s">
        <v>178</v>
      </c>
      <c r="D63" s="751" t="s">
        <v>178</v>
      </c>
      <c r="E63" s="788" t="s">
        <v>182</v>
      </c>
      <c r="F63" s="789"/>
      <c r="G63" s="54" t="s">
        <v>180</v>
      </c>
    </row>
    <row r="64" spans="1:7" ht="24.75" customHeight="1" x14ac:dyDescent="0.2">
      <c r="A64" s="10"/>
      <c r="B64" s="11" t="s">
        <v>183</v>
      </c>
      <c r="C64" s="750" t="s">
        <v>178</v>
      </c>
      <c r="D64" s="751" t="s">
        <v>178</v>
      </c>
      <c r="E64" s="788" t="s">
        <v>182</v>
      </c>
      <c r="F64" s="789"/>
      <c r="G64" s="54" t="s">
        <v>180</v>
      </c>
    </row>
    <row r="65" spans="1:9" ht="24.75" customHeight="1" thickBot="1" x14ac:dyDescent="0.25">
      <c r="A65" s="27"/>
      <c r="B65" s="29" t="s">
        <v>184</v>
      </c>
      <c r="C65" s="754" t="s">
        <v>185</v>
      </c>
      <c r="D65" s="755" t="s">
        <v>185</v>
      </c>
      <c r="E65" s="790"/>
      <c r="F65" s="791"/>
      <c r="G65" s="55" t="s">
        <v>143</v>
      </c>
    </row>
    <row r="66" spans="1:9" ht="24.75" customHeight="1" thickBot="1" x14ac:dyDescent="0.25">
      <c r="A66" s="24" t="s">
        <v>186</v>
      </c>
      <c r="B66" s="25"/>
      <c r="C66" s="767" t="s">
        <v>187</v>
      </c>
      <c r="D66" s="768" t="s">
        <v>105</v>
      </c>
      <c r="E66" s="60"/>
      <c r="F66" s="68"/>
      <c r="G66" s="61" t="s">
        <v>188</v>
      </c>
    </row>
    <row r="67" spans="1:9" x14ac:dyDescent="0.2">
      <c r="A67" s="21" t="s">
        <v>189</v>
      </c>
      <c r="B67" s="22"/>
      <c r="C67" s="22"/>
      <c r="D67" s="22"/>
      <c r="E67" s="22"/>
      <c r="F67" s="22"/>
      <c r="G67" s="23"/>
    </row>
    <row r="68" spans="1:9" x14ac:dyDescent="0.2">
      <c r="A68" s="52" t="s">
        <v>190</v>
      </c>
      <c r="B68" s="14"/>
      <c r="C68" s="14"/>
      <c r="D68" s="14"/>
      <c r="E68" s="14"/>
      <c r="F68" s="14"/>
      <c r="G68" s="15"/>
    </row>
    <row r="69" spans="1:9" x14ac:dyDescent="0.2">
      <c r="A69" s="52" t="s">
        <v>191</v>
      </c>
      <c r="B69" s="14"/>
      <c r="C69" s="14"/>
      <c r="D69" s="14"/>
      <c r="E69" s="14"/>
      <c r="F69" s="14"/>
      <c r="G69" s="15"/>
    </row>
    <row r="70" spans="1:9" ht="15.75" x14ac:dyDescent="0.25">
      <c r="A70" s="52" t="s">
        <v>192</v>
      </c>
      <c r="B70" s="14"/>
      <c r="C70" s="14"/>
      <c r="D70" s="14"/>
      <c r="E70" s="14"/>
      <c r="F70" s="14"/>
      <c r="G70" s="15"/>
      <c r="I70" s="65" t="s">
        <v>193</v>
      </c>
    </row>
    <row r="71" spans="1:9" x14ac:dyDescent="0.2">
      <c r="A71" s="52" t="s">
        <v>194</v>
      </c>
      <c r="B71" s="14"/>
      <c r="C71" s="14"/>
      <c r="D71" s="14"/>
      <c r="E71" s="14"/>
      <c r="F71" s="14"/>
      <c r="G71" s="15"/>
    </row>
    <row r="72" spans="1:9" x14ac:dyDescent="0.2">
      <c r="A72" s="52" t="s">
        <v>195</v>
      </c>
      <c r="B72" s="14"/>
      <c r="C72" s="14"/>
      <c r="D72" s="14"/>
      <c r="E72" s="14"/>
      <c r="F72" s="14"/>
      <c r="G72" s="15"/>
    </row>
    <row r="73" spans="1:9" x14ac:dyDescent="0.2">
      <c r="A73" s="52" t="s">
        <v>196</v>
      </c>
      <c r="B73" s="14"/>
      <c r="C73" s="14"/>
      <c r="D73" s="14"/>
      <c r="E73" s="14"/>
      <c r="F73" s="14"/>
      <c r="G73" s="15"/>
    </row>
    <row r="74" spans="1:9" ht="13.5" thickBot="1" x14ac:dyDescent="0.25">
      <c r="A74" s="53" t="s">
        <v>197</v>
      </c>
      <c r="B74" s="16"/>
      <c r="C74" s="16"/>
      <c r="D74" s="16"/>
      <c r="E74" s="16"/>
      <c r="F74" s="16"/>
      <c r="G74" s="17"/>
    </row>
  </sheetData>
  <mergeCells count="91">
    <mergeCell ref="C37:D37"/>
    <mergeCell ref="C32:D32"/>
    <mergeCell ref="C17:D17"/>
    <mergeCell ref="C27:D27"/>
    <mergeCell ref="C28:D28"/>
    <mergeCell ref="C30:D30"/>
    <mergeCell ref="C31:D31"/>
    <mergeCell ref="C26:D26"/>
    <mergeCell ref="E63:F63"/>
    <mergeCell ref="E50:F50"/>
    <mergeCell ref="E51:F51"/>
    <mergeCell ref="E52:F52"/>
    <mergeCell ref="E32:F32"/>
    <mergeCell ref="E33:F33"/>
    <mergeCell ref="E34:F34"/>
    <mergeCell ref="E35:F35"/>
    <mergeCell ref="E36:F36"/>
    <mergeCell ref="E37:F37"/>
    <mergeCell ref="E38:F38"/>
    <mergeCell ref="E49:F49"/>
    <mergeCell ref="E59:F59"/>
    <mergeCell ref="E60:F60"/>
    <mergeCell ref="E62:F62"/>
    <mergeCell ref="C16:D16"/>
    <mergeCell ref="C53:D53"/>
    <mergeCell ref="E9:F11"/>
    <mergeCell ref="E48:F48"/>
    <mergeCell ref="E25:F25"/>
    <mergeCell ref="E26:F26"/>
    <mergeCell ref="E13:F13"/>
    <mergeCell ref="E14:F14"/>
    <mergeCell ref="E15:F15"/>
    <mergeCell ref="E16:F16"/>
    <mergeCell ref="E17:F17"/>
    <mergeCell ref="C29:D29"/>
    <mergeCell ref="C52:D52"/>
    <mergeCell ref="C38:D38"/>
    <mergeCell ref="C24:D24"/>
    <mergeCell ref="C25:D25"/>
    <mergeCell ref="C66:D66"/>
    <mergeCell ref="C41:D41"/>
    <mergeCell ref="C42:D42"/>
    <mergeCell ref="C54:D54"/>
    <mergeCell ref="C47:D47"/>
    <mergeCell ref="C56:D56"/>
    <mergeCell ref="C46:D46"/>
    <mergeCell ref="A55:G55"/>
    <mergeCell ref="E64:F64"/>
    <mergeCell ref="E65:F65"/>
    <mergeCell ref="E61:F61"/>
    <mergeCell ref="E56:F56"/>
    <mergeCell ref="E53:F53"/>
    <mergeCell ref="E54:F54"/>
    <mergeCell ref="E57:F57"/>
    <mergeCell ref="E58:F58"/>
    <mergeCell ref="G1:G8"/>
    <mergeCell ref="C12:D12"/>
    <mergeCell ref="C13:D13"/>
    <mergeCell ref="C14:D14"/>
    <mergeCell ref="C45:D45"/>
    <mergeCell ref="C43:D43"/>
    <mergeCell ref="C21:D21"/>
    <mergeCell ref="C20:D20"/>
    <mergeCell ref="C22:D22"/>
    <mergeCell ref="C23:D23"/>
    <mergeCell ref="A9:D11"/>
    <mergeCell ref="G9:G11"/>
    <mergeCell ref="C19:D19"/>
    <mergeCell ref="C39:D39"/>
    <mergeCell ref="C40:D40"/>
    <mergeCell ref="C15:D15"/>
    <mergeCell ref="A61:B61"/>
    <mergeCell ref="C65:D65"/>
    <mergeCell ref="C57:D57"/>
    <mergeCell ref="C58:D58"/>
    <mergeCell ref="C61:D61"/>
    <mergeCell ref="C62:D62"/>
    <mergeCell ref="C63:D63"/>
    <mergeCell ref="C64:D64"/>
    <mergeCell ref="C60:D60"/>
    <mergeCell ref="C59:D59"/>
    <mergeCell ref="A32:A33"/>
    <mergeCell ref="C33:D33"/>
    <mergeCell ref="C34:D34"/>
    <mergeCell ref="C35:D35"/>
    <mergeCell ref="C36:D36"/>
    <mergeCell ref="A48:A49"/>
    <mergeCell ref="C48:D48"/>
    <mergeCell ref="C49:D49"/>
    <mergeCell ref="C50:D50"/>
    <mergeCell ref="C51:D51"/>
  </mergeCells>
  <pageMargins left="0.7" right="0.7" top="0.75" bottom="0.75" header="0.3" footer="0.3"/>
  <pageSetup paperSize="9" scale="53"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8F8E5A-F7E4-4D37-AD37-CBDA8147CF53}">
  <sheetPr>
    <tabColor rgb="FF00B0F0"/>
    <pageSetUpPr fitToPage="1"/>
  </sheetPr>
  <dimension ref="A1:T31"/>
  <sheetViews>
    <sheetView zoomScaleNormal="100" workbookViewId="0">
      <selection activeCell="T1" sqref="T1:T8"/>
    </sheetView>
  </sheetViews>
  <sheetFormatPr defaultColWidth="9.140625" defaultRowHeight="12.75" x14ac:dyDescent="0.2"/>
  <cols>
    <col min="1" max="1" width="10.7109375" style="80" customWidth="1"/>
    <col min="2" max="2" width="25.28515625" style="80" customWidth="1"/>
    <col min="3" max="3" width="12.42578125" style="80" customWidth="1"/>
    <col min="4" max="4" width="12.28515625" style="80" customWidth="1"/>
    <col min="5" max="6" width="12.5703125" style="80" customWidth="1"/>
    <col min="7" max="7" width="12.42578125" style="80" customWidth="1"/>
    <col min="8" max="8" width="15.85546875" style="80" customWidth="1"/>
    <col min="9" max="9" width="13" style="80" customWidth="1"/>
    <col min="10" max="13" width="8.28515625" style="80" customWidth="1"/>
    <col min="14" max="14" width="6.140625" style="80" customWidth="1"/>
    <col min="15" max="15" width="6.42578125" style="80" customWidth="1"/>
    <col min="16" max="16" width="5.28515625" style="80" customWidth="1"/>
    <col min="17" max="19" width="9.140625" style="80"/>
    <col min="20" max="20" width="30.28515625" style="80" customWidth="1"/>
    <col min="21" max="16384" width="9.140625" style="80"/>
  </cols>
  <sheetData>
    <row r="1" spans="1:20" ht="6.75" customHeight="1" x14ac:dyDescent="0.2">
      <c r="A1" s="138"/>
      <c r="B1" s="137"/>
      <c r="C1" s="136"/>
      <c r="D1" s="135"/>
      <c r="E1" s="134"/>
      <c r="F1" s="134"/>
      <c r="G1" s="134"/>
      <c r="H1" s="134"/>
      <c r="I1" s="134"/>
      <c r="J1" s="134"/>
      <c r="K1" s="134"/>
      <c r="L1" s="134"/>
      <c r="M1" s="134"/>
      <c r="N1" s="134"/>
      <c r="O1" s="134"/>
      <c r="P1" s="134"/>
      <c r="Q1" s="134"/>
      <c r="R1" s="134"/>
      <c r="S1" s="133"/>
      <c r="T1" s="811"/>
    </row>
    <row r="2" spans="1:20" ht="12.75" customHeight="1" x14ac:dyDescent="0.2">
      <c r="A2" s="131"/>
      <c r="B2" s="130"/>
      <c r="C2" s="129"/>
      <c r="D2" s="128" t="s">
        <v>71</v>
      </c>
      <c r="E2" s="132">
        <f>'PROJECT SUMMARY'!D3</f>
        <v>0</v>
      </c>
      <c r="F2" s="132"/>
      <c r="G2" s="132"/>
      <c r="H2" s="125"/>
      <c r="I2" s="125"/>
      <c r="J2" s="125"/>
      <c r="K2" s="125"/>
      <c r="L2" s="125"/>
      <c r="M2" s="124"/>
      <c r="N2" s="124"/>
      <c r="O2" s="124"/>
      <c r="P2" s="124"/>
      <c r="Q2" s="124"/>
      <c r="R2" s="124"/>
      <c r="S2" s="123"/>
      <c r="T2" s="812"/>
    </row>
    <row r="3" spans="1:20" ht="12.75" customHeight="1" x14ac:dyDescent="0.2">
      <c r="A3" s="131"/>
      <c r="B3" s="130"/>
      <c r="C3" s="129"/>
      <c r="D3" s="128" t="s">
        <v>72</v>
      </c>
      <c r="E3" s="126">
        <f>'PROJECT SUMMARY'!D4</f>
        <v>0</v>
      </c>
      <c r="F3" s="126"/>
      <c r="G3" s="126"/>
      <c r="H3" s="125"/>
      <c r="I3" s="125"/>
      <c r="J3" s="125"/>
      <c r="K3" s="125"/>
      <c r="L3" s="125"/>
      <c r="M3" s="124"/>
      <c r="N3" s="124"/>
      <c r="O3" s="124"/>
      <c r="P3" s="124"/>
      <c r="Q3" s="124"/>
      <c r="R3" s="124"/>
      <c r="S3" s="123"/>
      <c r="T3" s="812"/>
    </row>
    <row r="4" spans="1:20" ht="12.75" customHeight="1" x14ac:dyDescent="0.2">
      <c r="A4" s="131"/>
      <c r="B4" s="130"/>
      <c r="C4" s="129"/>
      <c r="D4" s="128" t="s">
        <v>73</v>
      </c>
      <c r="E4" s="126" t="s">
        <v>198</v>
      </c>
      <c r="F4" s="126"/>
      <c r="G4" s="126"/>
      <c r="H4" s="125"/>
      <c r="I4" s="125"/>
      <c r="J4" s="125"/>
      <c r="K4" s="125"/>
      <c r="L4" s="125"/>
      <c r="M4" s="124"/>
      <c r="N4" s="124"/>
      <c r="O4" s="124"/>
      <c r="P4" s="124"/>
      <c r="Q4" s="124"/>
      <c r="R4" s="124"/>
      <c r="S4" s="123"/>
      <c r="T4" s="812"/>
    </row>
    <row r="5" spans="1:20" ht="12.75" customHeight="1" x14ac:dyDescent="0.2">
      <c r="A5" s="131"/>
      <c r="B5" s="130"/>
      <c r="C5" s="129"/>
      <c r="D5" s="128" t="s">
        <v>75</v>
      </c>
      <c r="E5" s="126" t="str">
        <f>'PROJECT SUMMARY'!B24</f>
        <v>KEY-SH-M-50-XXX</v>
      </c>
      <c r="F5" s="126"/>
      <c r="G5" s="126"/>
      <c r="H5" s="125"/>
      <c r="I5" s="125"/>
      <c r="J5" s="125"/>
      <c r="K5" s="125"/>
      <c r="L5" s="125"/>
      <c r="M5" s="124"/>
      <c r="N5" s="124"/>
      <c r="O5" s="124"/>
      <c r="P5" s="124"/>
      <c r="Q5" s="124"/>
      <c r="R5" s="124"/>
      <c r="S5" s="123"/>
      <c r="T5" s="812"/>
    </row>
    <row r="6" spans="1:20" ht="12.75" customHeight="1" x14ac:dyDescent="0.2">
      <c r="A6" s="131"/>
      <c r="B6" s="130"/>
      <c r="C6" s="129"/>
      <c r="D6" s="128" t="s">
        <v>76</v>
      </c>
      <c r="E6" s="126">
        <f>'PROJECT SUMMARY'!C24</f>
        <v>0</v>
      </c>
      <c r="F6" s="126"/>
      <c r="G6" s="126"/>
      <c r="H6" s="125"/>
      <c r="I6" s="125"/>
      <c r="J6" s="125"/>
      <c r="K6" s="125"/>
      <c r="L6" s="125"/>
      <c r="M6" s="124"/>
      <c r="N6" s="124"/>
      <c r="O6" s="124"/>
      <c r="P6" s="124"/>
      <c r="Q6" s="124"/>
      <c r="R6" s="124"/>
      <c r="S6" s="123"/>
      <c r="T6" s="812"/>
    </row>
    <row r="7" spans="1:20" ht="12.75" customHeight="1" x14ac:dyDescent="0.2">
      <c r="A7" s="131"/>
      <c r="B7" s="130"/>
      <c r="C7" s="129"/>
      <c r="D7" s="128" t="s">
        <v>77</v>
      </c>
      <c r="E7" s="127">
        <f>'PROJECT SUMMARY'!D5</f>
        <v>0</v>
      </c>
      <c r="F7" s="127"/>
      <c r="G7" s="126"/>
      <c r="H7" s="125"/>
      <c r="I7" s="125"/>
      <c r="J7" s="125"/>
      <c r="K7" s="125"/>
      <c r="L7" s="125"/>
      <c r="M7" s="124"/>
      <c r="N7" s="124"/>
      <c r="O7" s="124"/>
      <c r="P7" s="124"/>
      <c r="Q7" s="124"/>
      <c r="R7" s="124"/>
      <c r="S7" s="123"/>
      <c r="T7" s="812"/>
    </row>
    <row r="8" spans="1:20" ht="5.25" customHeight="1" thickBot="1" x14ac:dyDescent="0.25">
      <c r="A8" s="122"/>
      <c r="B8" s="121"/>
      <c r="C8" s="120"/>
      <c r="D8" s="119"/>
      <c r="E8" s="118"/>
      <c r="F8" s="118"/>
      <c r="G8" s="118"/>
      <c r="H8" s="118"/>
      <c r="I8" s="118"/>
      <c r="J8" s="118"/>
      <c r="K8" s="118"/>
      <c r="L8" s="118"/>
      <c r="M8" s="118"/>
      <c r="N8" s="118"/>
      <c r="O8" s="118"/>
      <c r="P8" s="118"/>
      <c r="Q8" s="118"/>
      <c r="R8" s="118"/>
      <c r="S8" s="117"/>
      <c r="T8" s="813"/>
    </row>
    <row r="9" spans="1:20" ht="12.75" customHeight="1" x14ac:dyDescent="0.2">
      <c r="A9" s="814" t="s">
        <v>199</v>
      </c>
      <c r="B9" s="806" t="s">
        <v>200</v>
      </c>
      <c r="C9" s="806" t="s">
        <v>201</v>
      </c>
      <c r="D9" s="806" t="s">
        <v>111</v>
      </c>
      <c r="E9" s="817" t="s">
        <v>202</v>
      </c>
      <c r="F9" s="116" t="s">
        <v>203</v>
      </c>
      <c r="G9" s="817" t="s">
        <v>204</v>
      </c>
      <c r="H9" s="806" t="s">
        <v>205</v>
      </c>
      <c r="I9" s="806" t="s">
        <v>206</v>
      </c>
      <c r="J9" s="806" t="s">
        <v>207</v>
      </c>
      <c r="K9" s="806"/>
      <c r="L9" s="806"/>
      <c r="M9" s="817" t="s">
        <v>208</v>
      </c>
      <c r="N9" s="806" t="s">
        <v>209</v>
      </c>
      <c r="O9" s="806"/>
      <c r="P9" s="806"/>
      <c r="Q9" s="806" t="s">
        <v>210</v>
      </c>
      <c r="R9" s="806"/>
      <c r="S9" s="806"/>
      <c r="T9" s="823"/>
    </row>
    <row r="10" spans="1:20" x14ac:dyDescent="0.2">
      <c r="A10" s="815"/>
      <c r="B10" s="807"/>
      <c r="C10" s="807"/>
      <c r="D10" s="807"/>
      <c r="E10" s="818"/>
      <c r="F10" s="115"/>
      <c r="G10" s="818"/>
      <c r="H10" s="807"/>
      <c r="I10" s="807"/>
      <c r="J10" s="807"/>
      <c r="K10" s="807"/>
      <c r="L10" s="807"/>
      <c r="M10" s="818"/>
      <c r="N10" s="807"/>
      <c r="O10" s="807"/>
      <c r="P10" s="807"/>
      <c r="Q10" s="807"/>
      <c r="R10" s="807"/>
      <c r="S10" s="807"/>
      <c r="T10" s="824"/>
    </row>
    <row r="11" spans="1:20" ht="26.25" thickBot="1" x14ac:dyDescent="0.25">
      <c r="A11" s="816"/>
      <c r="B11" s="808"/>
      <c r="C11" s="808"/>
      <c r="D11" s="808"/>
      <c r="E11" s="819"/>
      <c r="F11" s="115" t="s">
        <v>211</v>
      </c>
      <c r="G11" s="115" t="s">
        <v>212</v>
      </c>
      <c r="H11" s="808"/>
      <c r="I11" s="808"/>
      <c r="J11" s="114" t="s">
        <v>213</v>
      </c>
      <c r="K11" s="114" t="s">
        <v>214</v>
      </c>
      <c r="L11" s="114" t="s">
        <v>215</v>
      </c>
      <c r="M11" s="115" t="s">
        <v>216</v>
      </c>
      <c r="N11" s="114" t="s">
        <v>217</v>
      </c>
      <c r="O11" s="114" t="s">
        <v>218</v>
      </c>
      <c r="P11" s="114" t="s">
        <v>219</v>
      </c>
      <c r="Q11" s="808"/>
      <c r="R11" s="808"/>
      <c r="S11" s="808"/>
      <c r="T11" s="825"/>
    </row>
    <row r="12" spans="1:20" ht="3.75" customHeight="1" thickBot="1" x14ac:dyDescent="0.25">
      <c r="A12" s="113"/>
      <c r="B12" s="112"/>
      <c r="C12" s="112"/>
      <c r="D12" s="112"/>
      <c r="E12" s="112"/>
      <c r="F12" s="112"/>
      <c r="G12" s="112"/>
      <c r="H12" s="112"/>
      <c r="I12" s="112"/>
      <c r="J12" s="112"/>
      <c r="K12" s="112"/>
      <c r="L12" s="112"/>
      <c r="M12" s="112"/>
      <c r="N12" s="112"/>
      <c r="O12" s="112"/>
      <c r="P12" s="112"/>
      <c r="Q12" s="112"/>
      <c r="R12" s="112"/>
      <c r="S12" s="112"/>
      <c r="T12" s="111"/>
    </row>
    <row r="13" spans="1:20" ht="24.95" customHeight="1" x14ac:dyDescent="0.2">
      <c r="A13" s="110" t="s">
        <v>220</v>
      </c>
      <c r="B13" s="99" t="s">
        <v>221</v>
      </c>
      <c r="C13" s="95" t="s">
        <v>222</v>
      </c>
      <c r="D13" s="95" t="s">
        <v>223</v>
      </c>
      <c r="E13" s="95">
        <v>1</v>
      </c>
      <c r="F13" s="109">
        <v>0.44800000000000001</v>
      </c>
      <c r="G13" s="108"/>
      <c r="H13" s="108"/>
      <c r="I13" s="108"/>
      <c r="J13" s="108"/>
      <c r="K13" s="108"/>
      <c r="L13" s="108"/>
      <c r="M13" s="108"/>
      <c r="N13" s="108"/>
      <c r="O13" s="108"/>
      <c r="P13" s="108"/>
      <c r="Q13" s="809" t="s">
        <v>224</v>
      </c>
      <c r="R13" s="809"/>
      <c r="S13" s="809"/>
      <c r="T13" s="810"/>
    </row>
    <row r="14" spans="1:20" ht="24.95" customHeight="1" x14ac:dyDescent="0.2">
      <c r="A14" s="100" t="s">
        <v>225</v>
      </c>
      <c r="B14" s="99" t="s">
        <v>226</v>
      </c>
      <c r="C14" s="95" t="s">
        <v>227</v>
      </c>
      <c r="D14" s="95" t="s">
        <v>223</v>
      </c>
      <c r="E14" s="98">
        <v>1</v>
      </c>
      <c r="F14" s="107">
        <v>0.83299999999999996</v>
      </c>
      <c r="G14" s="98"/>
      <c r="H14" s="98"/>
      <c r="I14" s="98"/>
      <c r="J14" s="98"/>
      <c r="K14" s="98"/>
      <c r="L14" s="98"/>
      <c r="M14" s="98"/>
      <c r="N14" s="98"/>
      <c r="O14" s="98"/>
      <c r="P14" s="98"/>
      <c r="Q14" s="809" t="s">
        <v>224</v>
      </c>
      <c r="R14" s="809"/>
      <c r="S14" s="809"/>
      <c r="T14" s="810"/>
    </row>
    <row r="15" spans="1:20" ht="24.95" customHeight="1" x14ac:dyDescent="0.2">
      <c r="A15" s="100" t="s">
        <v>228</v>
      </c>
      <c r="B15" s="99" t="s">
        <v>229</v>
      </c>
      <c r="C15" s="95" t="s">
        <v>227</v>
      </c>
      <c r="D15" s="95" t="s">
        <v>223</v>
      </c>
      <c r="E15" s="98">
        <v>1</v>
      </c>
      <c r="F15" s="107">
        <v>0.06</v>
      </c>
      <c r="G15" s="98"/>
      <c r="H15" s="98"/>
      <c r="I15" s="98"/>
      <c r="J15" s="98"/>
      <c r="K15" s="98"/>
      <c r="L15" s="98"/>
      <c r="M15" s="98"/>
      <c r="N15" s="98"/>
      <c r="O15" s="98"/>
      <c r="P15" s="98"/>
      <c r="Q15" s="809" t="s">
        <v>224</v>
      </c>
      <c r="R15" s="809"/>
      <c r="S15" s="809"/>
      <c r="T15" s="810"/>
    </row>
    <row r="16" spans="1:20" ht="24.95" customHeight="1" x14ac:dyDescent="0.2">
      <c r="A16" s="106" t="s">
        <v>230</v>
      </c>
      <c r="B16" s="105" t="s">
        <v>231</v>
      </c>
      <c r="C16" s="104" t="s">
        <v>227</v>
      </c>
      <c r="D16" s="104" t="s">
        <v>232</v>
      </c>
      <c r="E16" s="101">
        <v>1</v>
      </c>
      <c r="F16" s="103">
        <v>1.76</v>
      </c>
      <c r="G16" s="101"/>
      <c r="H16" s="102"/>
      <c r="I16" s="101"/>
      <c r="J16" s="101"/>
      <c r="K16" s="101"/>
      <c r="L16" s="101"/>
      <c r="M16" s="101"/>
      <c r="N16" s="101"/>
      <c r="O16" s="101"/>
      <c r="P16" s="101"/>
      <c r="Q16" s="826" t="s">
        <v>233</v>
      </c>
      <c r="R16" s="826"/>
      <c r="S16" s="826"/>
      <c r="T16" s="827"/>
    </row>
    <row r="17" spans="1:20" ht="24.95" customHeight="1" x14ac:dyDescent="0.2">
      <c r="A17" s="100" t="s">
        <v>234</v>
      </c>
      <c r="B17" s="99" t="s">
        <v>231</v>
      </c>
      <c r="C17" s="95" t="s">
        <v>227</v>
      </c>
      <c r="D17" s="95" t="s">
        <v>232</v>
      </c>
      <c r="E17" s="93">
        <v>1</v>
      </c>
      <c r="F17" s="94">
        <v>1.76</v>
      </c>
      <c r="G17" s="93"/>
      <c r="H17" s="93"/>
      <c r="I17" s="93"/>
      <c r="J17" s="93"/>
      <c r="K17" s="93"/>
      <c r="L17" s="93"/>
      <c r="M17" s="93"/>
      <c r="N17" s="93"/>
      <c r="O17" s="93"/>
      <c r="P17" s="93"/>
      <c r="Q17" s="809" t="s">
        <v>235</v>
      </c>
      <c r="R17" s="809"/>
      <c r="S17" s="809"/>
      <c r="T17" s="810"/>
    </row>
    <row r="18" spans="1:20" ht="24.95" customHeight="1" x14ac:dyDescent="0.2">
      <c r="A18" s="100" t="s">
        <v>236</v>
      </c>
      <c r="B18" s="99" t="s">
        <v>231</v>
      </c>
      <c r="C18" s="95" t="s">
        <v>227</v>
      </c>
      <c r="D18" s="95" t="s">
        <v>232</v>
      </c>
      <c r="E18" s="93">
        <v>1</v>
      </c>
      <c r="F18" s="94">
        <v>1.76</v>
      </c>
      <c r="G18" s="93"/>
      <c r="H18" s="93"/>
      <c r="I18" s="93"/>
      <c r="J18" s="93"/>
      <c r="K18" s="93"/>
      <c r="L18" s="93"/>
      <c r="M18" s="93"/>
      <c r="N18" s="93"/>
      <c r="O18" s="93"/>
      <c r="P18" s="93"/>
      <c r="Q18" s="809" t="s">
        <v>235</v>
      </c>
      <c r="R18" s="809"/>
      <c r="S18" s="809"/>
      <c r="T18" s="810"/>
    </row>
    <row r="19" spans="1:20" ht="24.95" customHeight="1" x14ac:dyDescent="0.2">
      <c r="A19" s="97" t="s">
        <v>237</v>
      </c>
      <c r="B19" s="99" t="s">
        <v>231</v>
      </c>
      <c r="C19" s="95" t="s">
        <v>227</v>
      </c>
      <c r="D19" s="95" t="s">
        <v>232</v>
      </c>
      <c r="E19" s="93">
        <v>1</v>
      </c>
      <c r="F19" s="94">
        <v>0.88</v>
      </c>
      <c r="G19" s="93"/>
      <c r="H19" s="93"/>
      <c r="I19" s="93"/>
      <c r="J19" s="93"/>
      <c r="K19" s="93"/>
      <c r="L19" s="93"/>
      <c r="M19" s="93"/>
      <c r="N19" s="93"/>
      <c r="O19" s="93"/>
      <c r="P19" s="93"/>
      <c r="Q19" s="809" t="s">
        <v>235</v>
      </c>
      <c r="R19" s="809"/>
      <c r="S19" s="809"/>
      <c r="T19" s="810"/>
    </row>
    <row r="20" spans="1:20" ht="24.95" customHeight="1" x14ac:dyDescent="0.2">
      <c r="A20" s="97" t="s">
        <v>238</v>
      </c>
      <c r="B20" s="99" t="s">
        <v>239</v>
      </c>
      <c r="C20" s="95" t="s">
        <v>227</v>
      </c>
      <c r="D20" s="95" t="s">
        <v>232</v>
      </c>
      <c r="E20" s="93">
        <v>1</v>
      </c>
      <c r="F20" s="94">
        <v>0.52700000000000002</v>
      </c>
      <c r="G20" s="93"/>
      <c r="H20" s="93"/>
      <c r="I20" s="93"/>
      <c r="J20" s="93"/>
      <c r="K20" s="93"/>
      <c r="L20" s="93"/>
      <c r="M20" s="93"/>
      <c r="N20" s="93"/>
      <c r="O20" s="93"/>
      <c r="P20" s="93"/>
      <c r="Q20" s="809" t="s">
        <v>235</v>
      </c>
      <c r="R20" s="809"/>
      <c r="S20" s="809"/>
      <c r="T20" s="810"/>
    </row>
    <row r="21" spans="1:20" ht="24.95" customHeight="1" x14ac:dyDescent="0.2">
      <c r="A21" s="97" t="s">
        <v>240</v>
      </c>
      <c r="B21" s="99" t="s">
        <v>241</v>
      </c>
      <c r="C21" s="95" t="s">
        <v>227</v>
      </c>
      <c r="D21" s="95" t="s">
        <v>232</v>
      </c>
      <c r="E21" s="93">
        <v>1</v>
      </c>
      <c r="F21" s="94">
        <v>1.07</v>
      </c>
      <c r="G21" s="93"/>
      <c r="H21" s="93"/>
      <c r="I21" s="93"/>
      <c r="J21" s="93"/>
      <c r="K21" s="93"/>
      <c r="L21" s="93"/>
      <c r="M21" s="93"/>
      <c r="N21" s="93"/>
      <c r="O21" s="93"/>
      <c r="P21" s="93"/>
      <c r="Q21" s="809" t="s">
        <v>235</v>
      </c>
      <c r="R21" s="809"/>
      <c r="S21" s="809"/>
      <c r="T21" s="810"/>
    </row>
    <row r="22" spans="1:20" ht="24.95" customHeight="1" x14ac:dyDescent="0.2">
      <c r="A22" s="97" t="s">
        <v>242</v>
      </c>
      <c r="B22" s="96" t="s">
        <v>243</v>
      </c>
      <c r="C22" s="95" t="s">
        <v>227</v>
      </c>
      <c r="D22" s="98" t="s">
        <v>244</v>
      </c>
      <c r="E22" s="93">
        <v>1</v>
      </c>
      <c r="F22" s="94">
        <v>0.315</v>
      </c>
      <c r="G22" s="93"/>
      <c r="H22" s="93"/>
      <c r="I22" s="93"/>
      <c r="J22" s="93"/>
      <c r="K22" s="93"/>
      <c r="L22" s="93"/>
      <c r="M22" s="93"/>
      <c r="N22" s="93"/>
      <c r="O22" s="93"/>
      <c r="P22" s="93"/>
      <c r="Q22" s="820" t="s">
        <v>245</v>
      </c>
      <c r="R22" s="821"/>
      <c r="S22" s="821"/>
      <c r="T22" s="822"/>
    </row>
    <row r="23" spans="1:20" ht="24.95" customHeight="1" x14ac:dyDescent="0.2">
      <c r="A23" s="97" t="s">
        <v>246</v>
      </c>
      <c r="B23" s="96" t="s">
        <v>247</v>
      </c>
      <c r="C23" s="95" t="s">
        <v>227</v>
      </c>
      <c r="D23" s="95" t="s">
        <v>223</v>
      </c>
      <c r="E23" s="93">
        <v>1</v>
      </c>
      <c r="F23" s="94">
        <v>0.02</v>
      </c>
      <c r="G23" s="93"/>
      <c r="H23" s="93"/>
      <c r="I23" s="93"/>
      <c r="J23" s="93"/>
      <c r="K23" s="93"/>
      <c r="L23" s="93"/>
      <c r="M23" s="93"/>
      <c r="N23" s="93"/>
      <c r="O23" s="93"/>
      <c r="P23" s="93"/>
      <c r="Q23" s="809" t="s">
        <v>224</v>
      </c>
      <c r="R23" s="809"/>
      <c r="S23" s="809"/>
      <c r="T23" s="810"/>
    </row>
    <row r="24" spans="1:20" ht="24.95" customHeight="1" x14ac:dyDescent="0.2">
      <c r="A24" s="97"/>
      <c r="B24" s="96"/>
      <c r="C24" s="98"/>
      <c r="D24" s="93"/>
      <c r="E24" s="93"/>
      <c r="F24" s="94"/>
      <c r="G24" s="93"/>
      <c r="H24" s="93"/>
      <c r="I24" s="93"/>
      <c r="J24" s="93"/>
      <c r="K24" s="93"/>
      <c r="L24" s="93"/>
      <c r="M24" s="93"/>
      <c r="N24" s="93"/>
      <c r="O24" s="93"/>
      <c r="P24" s="93"/>
      <c r="Q24" s="809"/>
      <c r="R24" s="809"/>
      <c r="S24" s="809"/>
      <c r="T24" s="810"/>
    </row>
    <row r="25" spans="1:20" ht="24.95" customHeight="1" x14ac:dyDescent="0.2">
      <c r="A25" s="97" t="s">
        <v>248</v>
      </c>
      <c r="B25" s="96" t="s">
        <v>249</v>
      </c>
      <c r="C25" s="95" t="s">
        <v>227</v>
      </c>
      <c r="D25" s="98" t="s">
        <v>223</v>
      </c>
      <c r="E25" s="93">
        <v>1</v>
      </c>
      <c r="F25" s="94">
        <v>0.35</v>
      </c>
      <c r="G25" s="93"/>
      <c r="H25" s="93"/>
      <c r="I25" s="93"/>
      <c r="J25" s="93"/>
      <c r="K25" s="93"/>
      <c r="L25" s="93"/>
      <c r="M25" s="93"/>
      <c r="N25" s="93"/>
      <c r="O25" s="93"/>
      <c r="P25" s="93"/>
      <c r="Q25" s="809" t="s">
        <v>224</v>
      </c>
      <c r="R25" s="809"/>
      <c r="S25" s="809"/>
      <c r="T25" s="810"/>
    </row>
    <row r="26" spans="1:20" ht="24.95" customHeight="1" x14ac:dyDescent="0.2">
      <c r="A26" s="97" t="s">
        <v>250</v>
      </c>
      <c r="B26" s="96" t="s">
        <v>251</v>
      </c>
      <c r="C26" s="95" t="s">
        <v>227</v>
      </c>
      <c r="D26" s="95" t="s">
        <v>223</v>
      </c>
      <c r="E26" s="93">
        <v>1</v>
      </c>
      <c r="F26" s="94">
        <v>0.35</v>
      </c>
      <c r="G26" s="93"/>
      <c r="H26" s="93"/>
      <c r="I26" s="93"/>
      <c r="J26" s="93"/>
      <c r="K26" s="93"/>
      <c r="L26" s="93"/>
      <c r="M26" s="93"/>
      <c r="N26" s="93"/>
      <c r="O26" s="93"/>
      <c r="P26" s="93"/>
      <c r="Q26" s="809" t="s">
        <v>224</v>
      </c>
      <c r="R26" s="809"/>
      <c r="S26" s="809"/>
      <c r="T26" s="810"/>
    </row>
    <row r="27" spans="1:20" ht="20.100000000000001" customHeight="1" thickBot="1" x14ac:dyDescent="0.25">
      <c r="A27" s="92"/>
      <c r="B27" s="91"/>
      <c r="C27" s="90"/>
      <c r="D27" s="90"/>
      <c r="E27" s="90"/>
      <c r="F27" s="90"/>
      <c r="G27" s="90"/>
      <c r="H27" s="90"/>
      <c r="I27" s="90"/>
      <c r="J27" s="90"/>
      <c r="K27" s="90"/>
      <c r="L27" s="90"/>
      <c r="M27" s="90"/>
      <c r="N27" s="90"/>
      <c r="O27" s="90"/>
      <c r="P27" s="90"/>
      <c r="Q27" s="809"/>
      <c r="R27" s="809"/>
      <c r="S27" s="809"/>
      <c r="T27" s="810"/>
    </row>
    <row r="28" spans="1:20" x14ac:dyDescent="0.2">
      <c r="A28" s="89" t="s">
        <v>189</v>
      </c>
      <c r="B28" s="88"/>
      <c r="C28" s="88"/>
      <c r="D28" s="88"/>
      <c r="E28" s="88"/>
      <c r="F28" s="88"/>
      <c r="G28" s="88"/>
      <c r="H28" s="88"/>
      <c r="I28" s="88"/>
      <c r="J28" s="88"/>
      <c r="K28" s="88"/>
      <c r="L28" s="88"/>
      <c r="M28" s="88"/>
      <c r="N28" s="88"/>
      <c r="O28" s="88"/>
      <c r="P28" s="88"/>
      <c r="Q28" s="88"/>
      <c r="R28" s="88"/>
      <c r="S28" s="88"/>
      <c r="T28" s="87"/>
    </row>
    <row r="29" spans="1:20" x14ac:dyDescent="0.2">
      <c r="A29" s="86" t="s">
        <v>252</v>
      </c>
      <c r="B29" s="85"/>
      <c r="C29" s="85"/>
      <c r="D29" s="85"/>
      <c r="E29" s="85"/>
      <c r="F29" s="85"/>
      <c r="G29" s="85"/>
      <c r="H29" s="85"/>
      <c r="I29" s="85"/>
      <c r="J29" s="85"/>
      <c r="K29" s="85"/>
      <c r="L29" s="85"/>
      <c r="M29" s="85"/>
      <c r="N29" s="85"/>
      <c r="O29" s="85"/>
      <c r="P29" s="85"/>
      <c r="Q29" s="85"/>
      <c r="R29" s="85"/>
      <c r="S29" s="85"/>
      <c r="T29" s="84"/>
    </row>
    <row r="30" spans="1:20" x14ac:dyDescent="0.2">
      <c r="A30" s="86"/>
      <c r="B30" s="85"/>
      <c r="C30" s="85"/>
      <c r="D30" s="85"/>
      <c r="E30" s="85"/>
      <c r="F30" s="85"/>
      <c r="G30" s="85"/>
      <c r="H30" s="85"/>
      <c r="I30" s="85"/>
      <c r="J30" s="85"/>
      <c r="K30" s="85"/>
      <c r="L30" s="85"/>
      <c r="M30" s="85"/>
      <c r="N30" s="85"/>
      <c r="O30" s="85"/>
      <c r="P30" s="85"/>
      <c r="Q30" s="85"/>
      <c r="R30" s="85"/>
      <c r="S30" s="85"/>
      <c r="T30" s="84"/>
    </row>
    <row r="31" spans="1:20" ht="13.5" thickBot="1" x14ac:dyDescent="0.25">
      <c r="A31" s="83"/>
      <c r="B31" s="82"/>
      <c r="C31" s="82"/>
      <c r="D31" s="82"/>
      <c r="E31" s="82"/>
      <c r="F31" s="82"/>
      <c r="G31" s="82"/>
      <c r="H31" s="82"/>
      <c r="I31" s="82"/>
      <c r="J31" s="82"/>
      <c r="K31" s="82"/>
      <c r="L31" s="82"/>
      <c r="M31" s="82"/>
      <c r="N31" s="82"/>
      <c r="O31" s="82"/>
      <c r="P31" s="82"/>
      <c r="Q31" s="82"/>
      <c r="R31" s="82"/>
      <c r="S31" s="82"/>
      <c r="T31" s="81"/>
    </row>
  </sheetData>
  <mergeCells count="28">
    <mergeCell ref="Q27:T27"/>
    <mergeCell ref="N9:P10"/>
    <mergeCell ref="Q9:T11"/>
    <mergeCell ref="Q13:T13"/>
    <mergeCell ref="Q14:T14"/>
    <mergeCell ref="Q15:T15"/>
    <mergeCell ref="Q16:T16"/>
    <mergeCell ref="Q20:T20"/>
    <mergeCell ref="Q21:T21"/>
    <mergeCell ref="Q25:T25"/>
    <mergeCell ref="Q26:T26"/>
    <mergeCell ref="Q24:T24"/>
    <mergeCell ref="J9:L10"/>
    <mergeCell ref="I9:I11"/>
    <mergeCell ref="Q23:T23"/>
    <mergeCell ref="T1:T8"/>
    <mergeCell ref="A9:A11"/>
    <mergeCell ref="B9:B11"/>
    <mergeCell ref="C9:C11"/>
    <mergeCell ref="D9:D11"/>
    <mergeCell ref="H9:H11"/>
    <mergeCell ref="M9:M10"/>
    <mergeCell ref="E9:E11"/>
    <mergeCell ref="G9:G10"/>
    <mergeCell ref="Q17:T17"/>
    <mergeCell ref="Q19:T19"/>
    <mergeCell ref="Q18:T18"/>
    <mergeCell ref="Q22:T22"/>
  </mergeCells>
  <pageMargins left="0.7" right="0.7" top="0.75" bottom="0.75" header="0.3" footer="0.3"/>
  <pageSetup paperSize="9" scale="63"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9BA71-A7C3-44F1-BDD2-AD1DDE4D3B64}">
  <sheetPr>
    <tabColor rgb="FF00B0F0"/>
    <pageSetUpPr fitToPage="1"/>
  </sheetPr>
  <dimension ref="A1:S19"/>
  <sheetViews>
    <sheetView zoomScaleNormal="100" workbookViewId="0">
      <selection activeCell="S1" sqref="S1:S8"/>
    </sheetView>
  </sheetViews>
  <sheetFormatPr defaultColWidth="9.140625" defaultRowHeight="12.75" x14ac:dyDescent="0.2"/>
  <cols>
    <col min="1" max="1" width="12.140625" style="80" customWidth="1"/>
    <col min="2" max="2" width="15.42578125" style="80" customWidth="1"/>
    <col min="3" max="3" width="10.140625" style="80" customWidth="1"/>
    <col min="4" max="4" width="10.7109375" style="80" customWidth="1"/>
    <col min="5" max="5" width="12.42578125" style="80" customWidth="1"/>
    <col min="6" max="6" width="17.7109375" style="80" customWidth="1"/>
    <col min="7" max="7" width="12.7109375" style="80" customWidth="1"/>
    <col min="8" max="9" width="13.140625" style="80" customWidth="1"/>
    <col min="10" max="10" width="9.7109375" style="80" customWidth="1"/>
    <col min="11" max="11" width="6.140625" style="80" customWidth="1"/>
    <col min="12" max="12" width="6.42578125" style="80" customWidth="1"/>
    <col min="13" max="13" width="4.42578125" style="80" customWidth="1"/>
    <col min="14" max="14" width="2" style="80" customWidth="1"/>
    <col min="15" max="18" width="9.140625" style="80"/>
    <col min="19" max="19" width="29" style="80" customWidth="1"/>
    <col min="20" max="16384" width="9.140625" style="80"/>
  </cols>
  <sheetData>
    <row r="1" spans="1:19" ht="6.75" customHeight="1" x14ac:dyDescent="0.2">
      <c r="A1" s="138"/>
      <c r="B1" s="152"/>
      <c r="C1" s="137"/>
      <c r="D1" s="134"/>
      <c r="E1" s="134"/>
      <c r="F1" s="134"/>
      <c r="G1" s="134"/>
      <c r="H1" s="134"/>
      <c r="I1" s="134"/>
      <c r="J1" s="134"/>
      <c r="K1" s="134"/>
      <c r="L1" s="134"/>
      <c r="M1" s="134"/>
      <c r="N1" s="134"/>
      <c r="O1" s="134"/>
      <c r="P1" s="134"/>
      <c r="Q1" s="134"/>
      <c r="R1" s="134"/>
      <c r="S1" s="835"/>
    </row>
    <row r="2" spans="1:19" ht="12.75" customHeight="1" x14ac:dyDescent="0.2">
      <c r="A2" s="131"/>
      <c r="B2" s="142"/>
      <c r="C2" s="130"/>
      <c r="D2" s="151"/>
      <c r="E2" s="150" t="s">
        <v>71</v>
      </c>
      <c r="F2" s="132">
        <f>'PROJECT SUMMARY'!D5</f>
        <v>0</v>
      </c>
      <c r="G2" s="132"/>
      <c r="H2" s="132"/>
      <c r="I2" s="132"/>
      <c r="J2" s="124"/>
      <c r="K2" s="124"/>
      <c r="L2" s="124"/>
      <c r="M2" s="124"/>
      <c r="N2" s="124"/>
      <c r="O2" s="124"/>
      <c r="P2" s="124"/>
      <c r="Q2" s="124"/>
      <c r="R2" s="149"/>
      <c r="S2" s="836"/>
    </row>
    <row r="3" spans="1:19" ht="12.75" customHeight="1" x14ac:dyDescent="0.2">
      <c r="A3" s="131"/>
      <c r="B3" s="142"/>
      <c r="C3" s="130"/>
      <c r="D3" s="147"/>
      <c r="E3" s="146" t="s">
        <v>72</v>
      </c>
      <c r="F3" s="148">
        <f>'PROJECT SUMMARY'!D4</f>
        <v>0</v>
      </c>
      <c r="G3" s="148"/>
      <c r="H3" s="148"/>
      <c r="I3" s="148"/>
      <c r="J3" s="144"/>
      <c r="K3" s="144"/>
      <c r="L3" s="144"/>
      <c r="M3" s="144"/>
      <c r="N3" s="144"/>
      <c r="O3" s="144"/>
      <c r="P3" s="144"/>
      <c r="Q3" s="144"/>
      <c r="R3" s="143"/>
      <c r="S3" s="836"/>
    </row>
    <row r="4" spans="1:19" ht="12.75" customHeight="1" x14ac:dyDescent="0.2">
      <c r="A4" s="131"/>
      <c r="B4" s="142"/>
      <c r="C4" s="130"/>
      <c r="D4" s="147"/>
      <c r="E4" s="146" t="s">
        <v>73</v>
      </c>
      <c r="F4" s="145" t="s">
        <v>253</v>
      </c>
      <c r="G4" s="145"/>
      <c r="H4" s="145"/>
      <c r="I4" s="145"/>
      <c r="J4" s="144"/>
      <c r="K4" s="144"/>
      <c r="L4" s="144"/>
      <c r="M4" s="144"/>
      <c r="N4" s="144"/>
      <c r="O4" s="144"/>
      <c r="P4" s="144"/>
      <c r="Q4" s="144"/>
      <c r="R4" s="143"/>
      <c r="S4" s="836"/>
    </row>
    <row r="5" spans="1:19" ht="12.75" customHeight="1" x14ac:dyDescent="0.2">
      <c r="A5" s="131"/>
      <c r="B5" s="142"/>
      <c r="C5" s="130"/>
      <c r="D5" s="147"/>
      <c r="E5" s="146" t="s">
        <v>75</v>
      </c>
      <c r="F5" s="145" t="str">
        <f>'PROJECT SUMMARY'!B25</f>
        <v>KEY-SH-M-50-XXX</v>
      </c>
      <c r="G5" s="145"/>
      <c r="H5" s="145"/>
      <c r="I5" s="145"/>
      <c r="J5" s="144"/>
      <c r="K5" s="144"/>
      <c r="L5" s="144"/>
      <c r="M5" s="144"/>
      <c r="N5" s="144"/>
      <c r="O5" s="144"/>
      <c r="P5" s="144"/>
      <c r="Q5" s="144"/>
      <c r="R5" s="143"/>
      <c r="S5" s="836"/>
    </row>
    <row r="6" spans="1:19" ht="12.75" customHeight="1" x14ac:dyDescent="0.2">
      <c r="A6" s="131"/>
      <c r="B6" s="142"/>
      <c r="C6" s="130"/>
      <c r="D6" s="147"/>
      <c r="E6" s="146" t="s">
        <v>76</v>
      </c>
      <c r="F6" s="145">
        <f>'PROJECT SUMMARY'!C25</f>
        <v>0</v>
      </c>
      <c r="G6" s="145"/>
      <c r="H6" s="145"/>
      <c r="I6" s="145"/>
      <c r="J6" s="144"/>
      <c r="K6" s="144"/>
      <c r="L6" s="144"/>
      <c r="M6" s="144"/>
      <c r="N6" s="144"/>
      <c r="O6" s="144"/>
      <c r="P6" s="144"/>
      <c r="Q6" s="144"/>
      <c r="R6" s="143"/>
      <c r="S6" s="836"/>
    </row>
    <row r="7" spans="1:19" ht="12.75" customHeight="1" x14ac:dyDescent="0.2">
      <c r="A7" s="131"/>
      <c r="B7" s="142"/>
      <c r="C7" s="130"/>
      <c r="D7" s="147"/>
      <c r="E7" s="146" t="s">
        <v>77</v>
      </c>
      <c r="F7" s="145">
        <f>'PROJECT SUMMARY'!D5</f>
        <v>0</v>
      </c>
      <c r="G7" s="145"/>
      <c r="H7" s="145"/>
      <c r="I7" s="145"/>
      <c r="J7" s="144"/>
      <c r="K7" s="144"/>
      <c r="L7" s="144"/>
      <c r="M7" s="144"/>
      <c r="N7" s="144"/>
      <c r="O7" s="144"/>
      <c r="P7" s="144"/>
      <c r="Q7" s="144"/>
      <c r="R7" s="143"/>
      <c r="S7" s="836"/>
    </row>
    <row r="8" spans="1:19" ht="5.25" customHeight="1" thickBot="1" x14ac:dyDescent="0.25">
      <c r="A8" s="131"/>
      <c r="B8" s="142"/>
      <c r="C8" s="130"/>
      <c r="D8" s="118"/>
      <c r="E8" s="118"/>
      <c r="F8" s="118"/>
      <c r="G8" s="118"/>
      <c r="H8" s="118"/>
      <c r="I8" s="118"/>
      <c r="J8" s="118"/>
      <c r="K8" s="118"/>
      <c r="L8" s="118"/>
      <c r="M8" s="118"/>
      <c r="N8" s="118"/>
      <c r="O8" s="118"/>
      <c r="P8" s="118"/>
      <c r="Q8" s="118"/>
      <c r="R8" s="118"/>
      <c r="S8" s="836"/>
    </row>
    <row r="9" spans="1:19" s="139" customFormat="1" ht="12.75" customHeight="1" x14ac:dyDescent="0.2">
      <c r="A9" s="848" t="s">
        <v>199</v>
      </c>
      <c r="B9" s="830" t="s">
        <v>200</v>
      </c>
      <c r="C9" s="830" t="s">
        <v>111</v>
      </c>
      <c r="D9" s="830" t="s">
        <v>254</v>
      </c>
      <c r="E9" s="830" t="s">
        <v>204</v>
      </c>
      <c r="F9" s="830" t="s">
        <v>205</v>
      </c>
      <c r="G9" s="830" t="s">
        <v>255</v>
      </c>
      <c r="H9" s="830" t="s">
        <v>256</v>
      </c>
      <c r="I9" s="830" t="s">
        <v>257</v>
      </c>
      <c r="J9" s="831" t="s">
        <v>208</v>
      </c>
      <c r="K9" s="830" t="s">
        <v>209</v>
      </c>
      <c r="L9" s="830"/>
      <c r="M9" s="830"/>
      <c r="N9" s="831"/>
      <c r="O9" s="830" t="s">
        <v>258</v>
      </c>
      <c r="P9" s="830"/>
      <c r="Q9" s="830"/>
      <c r="R9" s="830"/>
      <c r="S9" s="840"/>
    </row>
    <row r="10" spans="1:19" s="139" customFormat="1" ht="12" x14ac:dyDescent="0.2">
      <c r="A10" s="849"/>
      <c r="B10" s="832"/>
      <c r="C10" s="832"/>
      <c r="D10" s="832"/>
      <c r="E10" s="832"/>
      <c r="F10" s="832"/>
      <c r="G10" s="832"/>
      <c r="H10" s="832"/>
      <c r="I10" s="832"/>
      <c r="J10" s="833"/>
      <c r="K10" s="832"/>
      <c r="L10" s="832"/>
      <c r="M10" s="832"/>
      <c r="N10" s="833"/>
      <c r="O10" s="832"/>
      <c r="P10" s="832"/>
      <c r="Q10" s="832"/>
      <c r="R10" s="832"/>
      <c r="S10" s="841"/>
    </row>
    <row r="11" spans="1:19" s="139" customFormat="1" ht="26.25" thickBot="1" x14ac:dyDescent="0.25">
      <c r="A11" s="850"/>
      <c r="B11" s="834"/>
      <c r="C11" s="834"/>
      <c r="D11" s="140" t="s">
        <v>211</v>
      </c>
      <c r="E11" s="140" t="s">
        <v>212</v>
      </c>
      <c r="F11" s="834"/>
      <c r="G11" s="834"/>
      <c r="H11" s="834"/>
      <c r="I11" s="834"/>
      <c r="J11" s="141" t="s">
        <v>216</v>
      </c>
      <c r="K11" s="140" t="s">
        <v>217</v>
      </c>
      <c r="L11" s="140" t="s">
        <v>218</v>
      </c>
      <c r="M11" s="834" t="s">
        <v>219</v>
      </c>
      <c r="N11" s="843"/>
      <c r="O11" s="834"/>
      <c r="P11" s="834"/>
      <c r="Q11" s="834"/>
      <c r="R11" s="834"/>
      <c r="S11" s="842"/>
    </row>
    <row r="12" spans="1:19" s="139" customFormat="1" ht="13.5" thickBot="1" x14ac:dyDescent="0.25">
      <c r="A12" s="844" t="s">
        <v>259</v>
      </c>
      <c r="B12" s="845"/>
      <c r="C12" s="845"/>
      <c r="D12" s="845"/>
      <c r="E12" s="845"/>
      <c r="F12" s="845"/>
      <c r="G12" s="845"/>
      <c r="H12" s="845"/>
      <c r="I12" s="845"/>
      <c r="J12" s="845"/>
      <c r="K12" s="845"/>
      <c r="L12" s="845"/>
      <c r="M12" s="845"/>
      <c r="N12" s="845"/>
      <c r="O12" s="845"/>
      <c r="P12" s="845"/>
      <c r="Q12" s="845"/>
      <c r="R12" s="846"/>
      <c r="S12" s="847"/>
    </row>
    <row r="13" spans="1:19" s="139" customFormat="1" ht="25.5" customHeight="1" x14ac:dyDescent="0.2">
      <c r="A13" s="643" t="s">
        <v>260</v>
      </c>
      <c r="B13" s="641" t="s">
        <v>261</v>
      </c>
      <c r="C13" s="641" t="s">
        <v>37</v>
      </c>
      <c r="D13" s="640">
        <v>0.44</v>
      </c>
      <c r="E13" s="640">
        <v>125</v>
      </c>
      <c r="F13" s="658"/>
      <c r="G13" s="658"/>
      <c r="H13" s="658"/>
      <c r="I13" s="658"/>
      <c r="J13" s="640"/>
      <c r="K13" s="640"/>
      <c r="L13" s="640"/>
      <c r="M13" s="837"/>
      <c r="N13" s="837"/>
      <c r="O13" s="838" t="s">
        <v>262</v>
      </c>
      <c r="P13" s="838"/>
      <c r="Q13" s="838"/>
      <c r="R13" s="838"/>
      <c r="S13" s="839"/>
    </row>
    <row r="14" spans="1:19" s="139" customFormat="1" ht="21" customHeight="1" thickBot="1" x14ac:dyDescent="0.25">
      <c r="A14" s="659"/>
      <c r="B14" s="660"/>
      <c r="C14" s="660"/>
      <c r="D14" s="660"/>
      <c r="E14" s="660"/>
      <c r="F14" s="660"/>
      <c r="G14" s="660"/>
      <c r="H14" s="660"/>
      <c r="I14" s="660"/>
      <c r="J14" s="660"/>
      <c r="K14" s="660"/>
      <c r="L14" s="660"/>
      <c r="M14" s="661"/>
      <c r="N14" s="662"/>
      <c r="O14" s="828"/>
      <c r="P14" s="828"/>
      <c r="Q14" s="828"/>
      <c r="R14" s="828"/>
      <c r="S14" s="829"/>
    </row>
    <row r="15" spans="1:19" s="139" customFormat="1" ht="12" x14ac:dyDescent="0.2">
      <c r="A15" s="397" t="s">
        <v>189</v>
      </c>
      <c r="B15" s="396"/>
      <c r="C15" s="396"/>
      <c r="D15" s="396"/>
      <c r="E15" s="396"/>
      <c r="F15" s="396"/>
      <c r="G15" s="396"/>
      <c r="H15" s="396"/>
      <c r="I15" s="396"/>
      <c r="J15" s="396"/>
      <c r="K15" s="396"/>
      <c r="L15" s="396"/>
      <c r="M15" s="396"/>
      <c r="N15" s="396"/>
      <c r="O15" s="396"/>
      <c r="P15" s="396"/>
      <c r="Q15" s="396"/>
      <c r="R15" s="396"/>
      <c r="S15" s="395"/>
    </row>
    <row r="16" spans="1:19" s="139" customFormat="1" ht="12" x14ac:dyDescent="0.2">
      <c r="A16" s="426" t="s">
        <v>263</v>
      </c>
      <c r="S16" s="393"/>
    </row>
    <row r="17" spans="1:19" s="139" customFormat="1" ht="12" x14ac:dyDescent="0.2">
      <c r="A17" s="426" t="s">
        <v>264</v>
      </c>
      <c r="S17" s="393"/>
    </row>
    <row r="18" spans="1:19" s="139" customFormat="1" thickBot="1" x14ac:dyDescent="0.25">
      <c r="A18" s="392" t="s">
        <v>265</v>
      </c>
      <c r="B18" s="391"/>
      <c r="C18" s="391"/>
      <c r="D18" s="391"/>
      <c r="E18" s="391"/>
      <c r="F18" s="391"/>
      <c r="G18" s="391"/>
      <c r="H18" s="391"/>
      <c r="I18" s="391"/>
      <c r="J18" s="391"/>
      <c r="K18" s="391"/>
      <c r="L18" s="391"/>
      <c r="M18" s="391"/>
      <c r="N18" s="391"/>
      <c r="O18" s="391"/>
      <c r="P18" s="391"/>
      <c r="Q18" s="391"/>
      <c r="R18" s="391"/>
      <c r="S18" s="390"/>
    </row>
    <row r="19" spans="1:19" s="139" customFormat="1" x14ac:dyDescent="0.2">
      <c r="A19" s="85"/>
      <c r="B19" s="85"/>
      <c r="C19" s="85"/>
      <c r="D19" s="85"/>
      <c r="E19" s="85"/>
      <c r="F19" s="85"/>
      <c r="G19" s="85"/>
      <c r="H19" s="85"/>
      <c r="I19" s="85"/>
      <c r="J19" s="85"/>
      <c r="K19" s="85"/>
      <c r="L19" s="85"/>
      <c r="M19" s="85"/>
      <c r="N19" s="85"/>
      <c r="O19" s="85"/>
      <c r="P19" s="85"/>
      <c r="Q19" s="85"/>
      <c r="R19" s="85"/>
      <c r="S19" s="85"/>
    </row>
  </sheetData>
  <mergeCells count="18">
    <mergeCell ref="S1:S8"/>
    <mergeCell ref="M13:N13"/>
    <mergeCell ref="O13:S13"/>
    <mergeCell ref="O9:S11"/>
    <mergeCell ref="M11:N11"/>
    <mergeCell ref="A12:S12"/>
    <mergeCell ref="A9:A11"/>
    <mergeCell ref="B9:B11"/>
    <mergeCell ref="C9:C11"/>
    <mergeCell ref="F9:F11"/>
    <mergeCell ref="O14:S14"/>
    <mergeCell ref="K9:N10"/>
    <mergeCell ref="D9:D10"/>
    <mergeCell ref="E9:E10"/>
    <mergeCell ref="J9:J10"/>
    <mergeCell ref="G9:G11"/>
    <mergeCell ref="H9:H11"/>
    <mergeCell ref="I9:I11"/>
  </mergeCells>
  <pageMargins left="0.7" right="0.7" top="0.75" bottom="0.75" header="0.3" footer="0.3"/>
  <pageSetup paperSize="9" scale="65"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518A6-4890-4591-BF13-2345817B8735}">
  <sheetPr>
    <tabColor rgb="FF00B0F0"/>
    <pageSetUpPr fitToPage="1"/>
  </sheetPr>
  <dimension ref="A1:O30"/>
  <sheetViews>
    <sheetView zoomScaleNormal="100" workbookViewId="0">
      <selection activeCell="O1" sqref="O1:O8"/>
    </sheetView>
  </sheetViews>
  <sheetFormatPr defaultColWidth="9.140625" defaultRowHeight="12.75" x14ac:dyDescent="0.2"/>
  <cols>
    <col min="1" max="1" width="10.7109375" style="80" customWidth="1"/>
    <col min="2" max="2" width="21.28515625" style="80" customWidth="1"/>
    <col min="3" max="3" width="10.140625" style="80" customWidth="1"/>
    <col min="4" max="4" width="13.7109375" style="80" customWidth="1"/>
    <col min="5" max="6" width="12.140625" style="80" customWidth="1"/>
    <col min="7" max="7" width="13.42578125" style="80" customWidth="1"/>
    <col min="8" max="8" width="6.140625" style="80" customWidth="1"/>
    <col min="9" max="9" width="6.42578125" style="80" customWidth="1"/>
    <col min="10" max="10" width="4.42578125" style="80" customWidth="1"/>
    <col min="11" max="11" width="2" style="80" customWidth="1"/>
    <col min="12" max="14" width="9.140625" style="80"/>
    <col min="15" max="15" width="30.140625" style="80" customWidth="1"/>
    <col min="16" max="16384" width="9.140625" style="80"/>
  </cols>
  <sheetData>
    <row r="1" spans="1:15" ht="6" customHeight="1" x14ac:dyDescent="0.2">
      <c r="A1" s="138"/>
      <c r="B1" s="137"/>
      <c r="C1" s="334"/>
      <c r="D1" s="335"/>
      <c r="E1" s="334"/>
      <c r="F1" s="334"/>
      <c r="G1" s="334"/>
      <c r="H1" s="334"/>
      <c r="I1" s="334"/>
      <c r="J1" s="334"/>
      <c r="K1" s="334"/>
      <c r="L1" s="334"/>
      <c r="M1" s="334"/>
      <c r="N1" s="333"/>
      <c r="O1" s="811"/>
    </row>
    <row r="2" spans="1:15" ht="12.75" customHeight="1" x14ac:dyDescent="0.2">
      <c r="A2" s="131"/>
      <c r="B2" s="130"/>
      <c r="C2" s="124"/>
      <c r="D2" s="150" t="s">
        <v>71</v>
      </c>
      <c r="E2" s="332">
        <f>'PROJECT SUMMARY'!D3</f>
        <v>0</v>
      </c>
      <c r="F2" s="132"/>
      <c r="G2" s="124"/>
      <c r="H2" s="124"/>
      <c r="I2" s="124"/>
      <c r="J2" s="124"/>
      <c r="K2" s="124"/>
      <c r="L2" s="124"/>
      <c r="M2" s="124"/>
      <c r="N2" s="123"/>
      <c r="O2" s="812"/>
    </row>
    <row r="3" spans="1:15" ht="12.75" customHeight="1" x14ac:dyDescent="0.2">
      <c r="A3" s="131"/>
      <c r="B3" s="130"/>
      <c r="C3" s="124"/>
      <c r="D3" s="128" t="s">
        <v>72</v>
      </c>
      <c r="E3" s="331">
        <f>'PROJECT SUMMARY'!D4</f>
        <v>0</v>
      </c>
      <c r="F3" s="126"/>
      <c r="G3" s="124"/>
      <c r="H3" s="124"/>
      <c r="I3" s="124"/>
      <c r="J3" s="124"/>
      <c r="K3" s="124"/>
      <c r="L3" s="124"/>
      <c r="M3" s="124"/>
      <c r="N3" s="123"/>
      <c r="O3" s="812"/>
    </row>
    <row r="4" spans="1:15" ht="12.75" customHeight="1" x14ac:dyDescent="0.2">
      <c r="A4" s="131"/>
      <c r="B4" s="130"/>
      <c r="C4" s="124"/>
      <c r="D4" s="128" t="s">
        <v>73</v>
      </c>
      <c r="E4" s="126" t="s">
        <v>266</v>
      </c>
      <c r="F4" s="126"/>
      <c r="G4" s="124"/>
      <c r="H4" s="124"/>
      <c r="I4" s="124"/>
      <c r="J4" s="124"/>
      <c r="K4" s="124"/>
      <c r="L4" s="124"/>
      <c r="M4" s="124"/>
      <c r="N4" s="123"/>
      <c r="O4" s="812"/>
    </row>
    <row r="5" spans="1:15" ht="12.75" customHeight="1" x14ac:dyDescent="0.2">
      <c r="A5" s="131"/>
      <c r="B5" s="130"/>
      <c r="C5" s="124"/>
      <c r="D5" s="128" t="s">
        <v>75</v>
      </c>
      <c r="E5" s="126" t="str">
        <f>'PROJECT SUMMARY'!B26</f>
        <v>KEY-SH-M-50-XXX</v>
      </c>
      <c r="F5" s="126"/>
      <c r="G5" s="124"/>
      <c r="H5" s="124"/>
      <c r="I5" s="124"/>
      <c r="J5" s="124"/>
      <c r="K5" s="124"/>
      <c r="L5" s="124"/>
      <c r="M5" s="124"/>
      <c r="N5" s="123"/>
      <c r="O5" s="812"/>
    </row>
    <row r="6" spans="1:15" ht="12.75" customHeight="1" x14ac:dyDescent="0.2">
      <c r="A6" s="131"/>
      <c r="B6" s="130"/>
      <c r="C6" s="124"/>
      <c r="D6" s="128" t="s">
        <v>76</v>
      </c>
      <c r="E6" s="126">
        <f>'PROJECT SUMMARY'!C26</f>
        <v>0</v>
      </c>
      <c r="F6" s="126"/>
      <c r="G6" s="124"/>
      <c r="H6" s="124"/>
      <c r="I6" s="124"/>
      <c r="J6" s="124"/>
      <c r="K6" s="124"/>
      <c r="L6" s="124"/>
      <c r="M6" s="124"/>
      <c r="N6" s="123"/>
      <c r="O6" s="812"/>
    </row>
    <row r="7" spans="1:15" ht="12.75" customHeight="1" x14ac:dyDescent="0.2">
      <c r="A7" s="131"/>
      <c r="B7" s="130"/>
      <c r="C7" s="124"/>
      <c r="D7" s="128" t="s">
        <v>77</v>
      </c>
      <c r="E7" s="127">
        <f>'PROJECT SUMMARY'!D5</f>
        <v>0</v>
      </c>
      <c r="F7" s="127"/>
      <c r="G7" s="124"/>
      <c r="H7" s="124"/>
      <c r="I7" s="124"/>
      <c r="J7" s="124"/>
      <c r="K7" s="124"/>
      <c r="L7" s="124"/>
      <c r="M7" s="124"/>
      <c r="N7" s="123"/>
      <c r="O7" s="812"/>
    </row>
    <row r="8" spans="1:15" ht="6" customHeight="1" thickBot="1" x14ac:dyDescent="0.25">
      <c r="A8" s="131"/>
      <c r="B8" s="130"/>
      <c r="C8" s="329"/>
      <c r="D8" s="330"/>
      <c r="E8" s="329"/>
      <c r="F8" s="329"/>
      <c r="G8" s="329"/>
      <c r="H8" s="329"/>
      <c r="I8" s="329"/>
      <c r="J8" s="329"/>
      <c r="K8" s="329"/>
      <c r="L8" s="329"/>
      <c r="M8" s="329"/>
      <c r="N8" s="328"/>
      <c r="O8" s="813"/>
    </row>
    <row r="9" spans="1:15" ht="12.75" customHeight="1" x14ac:dyDescent="0.2">
      <c r="A9" s="867" t="s">
        <v>199</v>
      </c>
      <c r="B9" s="857" t="s">
        <v>200</v>
      </c>
      <c r="C9" s="873" t="s">
        <v>254</v>
      </c>
      <c r="D9" s="873" t="s">
        <v>204</v>
      </c>
      <c r="E9" s="857" t="s">
        <v>267</v>
      </c>
      <c r="F9" s="857" t="s">
        <v>268</v>
      </c>
      <c r="G9" s="857" t="s">
        <v>269</v>
      </c>
      <c r="H9" s="857" t="s">
        <v>207</v>
      </c>
      <c r="I9" s="857"/>
      <c r="J9" s="857"/>
      <c r="K9" s="857"/>
      <c r="L9" s="857" t="s">
        <v>258</v>
      </c>
      <c r="M9" s="857"/>
      <c r="N9" s="857"/>
      <c r="O9" s="860"/>
    </row>
    <row r="10" spans="1:15" x14ac:dyDescent="0.2">
      <c r="A10" s="868"/>
      <c r="B10" s="858"/>
      <c r="C10" s="874"/>
      <c r="D10" s="874"/>
      <c r="E10" s="858"/>
      <c r="F10" s="858"/>
      <c r="G10" s="858"/>
      <c r="H10" s="858"/>
      <c r="I10" s="858"/>
      <c r="J10" s="858"/>
      <c r="K10" s="858"/>
      <c r="L10" s="858"/>
      <c r="M10" s="858"/>
      <c r="N10" s="858"/>
      <c r="O10" s="861"/>
    </row>
    <row r="11" spans="1:15" ht="13.5" thickBot="1" x14ac:dyDescent="0.25">
      <c r="A11" s="869"/>
      <c r="B11" s="859"/>
      <c r="C11" s="438" t="s">
        <v>211</v>
      </c>
      <c r="D11" s="438" t="s">
        <v>212</v>
      </c>
      <c r="E11" s="859"/>
      <c r="F11" s="859"/>
      <c r="G11" s="859"/>
      <c r="H11" s="341" t="s">
        <v>213</v>
      </c>
      <c r="I11" s="341" t="s">
        <v>214</v>
      </c>
      <c r="J11" s="859" t="s">
        <v>215</v>
      </c>
      <c r="K11" s="859"/>
      <c r="L11" s="859"/>
      <c r="M11" s="859"/>
      <c r="N11" s="859"/>
      <c r="O11" s="862"/>
    </row>
    <row r="12" spans="1:15" ht="3.75" customHeight="1" thickBot="1" x14ac:dyDescent="0.25">
      <c r="A12" s="481"/>
      <c r="B12" s="480"/>
      <c r="C12" s="480"/>
      <c r="D12" s="480"/>
      <c r="E12" s="480"/>
      <c r="F12" s="480"/>
      <c r="G12" s="480"/>
      <c r="H12" s="480"/>
      <c r="I12" s="480"/>
      <c r="J12" s="875"/>
      <c r="K12" s="875"/>
      <c r="L12" s="876"/>
      <c r="M12" s="876"/>
      <c r="N12" s="876"/>
      <c r="O12" s="877"/>
    </row>
    <row r="13" spans="1:15" ht="20.100000000000001" customHeight="1" x14ac:dyDescent="0.2">
      <c r="A13" s="449" t="s">
        <v>270</v>
      </c>
      <c r="B13" s="447" t="s">
        <v>271</v>
      </c>
      <c r="C13" s="446">
        <v>0.44800000000000001</v>
      </c>
      <c r="D13" s="446" t="s">
        <v>272</v>
      </c>
      <c r="E13" s="446"/>
      <c r="F13" s="446"/>
      <c r="G13" s="465" t="s">
        <v>273</v>
      </c>
      <c r="H13" s="446"/>
      <c r="I13" s="446"/>
      <c r="J13" s="872"/>
      <c r="K13" s="872"/>
      <c r="L13" s="870"/>
      <c r="M13" s="870"/>
      <c r="N13" s="870"/>
      <c r="O13" s="871"/>
    </row>
    <row r="14" spans="1:15" ht="20.100000000000001" customHeight="1" x14ac:dyDescent="0.2">
      <c r="A14" s="467" t="s">
        <v>274</v>
      </c>
      <c r="B14" s="465" t="s">
        <v>275</v>
      </c>
      <c r="C14" s="465">
        <v>0.44800000000000001</v>
      </c>
      <c r="D14" s="446" t="s">
        <v>272</v>
      </c>
      <c r="E14" s="465"/>
      <c r="F14" s="465"/>
      <c r="G14" s="465" t="s">
        <v>273</v>
      </c>
      <c r="H14" s="465"/>
      <c r="I14" s="465"/>
      <c r="J14" s="853"/>
      <c r="K14" s="853"/>
      <c r="L14" s="863"/>
      <c r="M14" s="863"/>
      <c r="N14" s="863"/>
      <c r="O14" s="864"/>
    </row>
    <row r="15" spans="1:15" ht="20.100000000000001" customHeight="1" x14ac:dyDescent="0.2">
      <c r="A15" s="467" t="s">
        <v>276</v>
      </c>
      <c r="B15" s="465" t="s">
        <v>277</v>
      </c>
      <c r="C15" s="465">
        <v>0.35</v>
      </c>
      <c r="D15" s="446" t="s">
        <v>272</v>
      </c>
      <c r="E15" s="465"/>
      <c r="F15" s="465"/>
      <c r="G15" s="465" t="s">
        <v>278</v>
      </c>
      <c r="H15" s="465"/>
      <c r="I15" s="465"/>
      <c r="J15" s="853"/>
      <c r="K15" s="853"/>
      <c r="L15" s="865"/>
      <c r="M15" s="865"/>
      <c r="N15" s="865"/>
      <c r="O15" s="866"/>
    </row>
    <row r="16" spans="1:15" ht="20.100000000000001" customHeight="1" x14ac:dyDescent="0.2">
      <c r="A16" s="467" t="s">
        <v>279</v>
      </c>
      <c r="B16" s="466" t="s">
        <v>280</v>
      </c>
      <c r="C16" s="465">
        <v>0.35</v>
      </c>
      <c r="D16" s="446" t="s">
        <v>272</v>
      </c>
      <c r="E16" s="465"/>
      <c r="F16" s="465"/>
      <c r="G16" s="465" t="s">
        <v>278</v>
      </c>
      <c r="H16" s="465"/>
      <c r="I16" s="465"/>
      <c r="J16" s="853"/>
      <c r="K16" s="853"/>
      <c r="L16" s="865"/>
      <c r="M16" s="865"/>
      <c r="N16" s="865"/>
      <c r="O16" s="866"/>
    </row>
    <row r="17" spans="1:15" ht="20.100000000000001" customHeight="1" x14ac:dyDescent="0.2">
      <c r="A17" s="467" t="s">
        <v>281</v>
      </c>
      <c r="B17" s="447" t="s">
        <v>282</v>
      </c>
      <c r="C17" s="465">
        <v>0.83299999999999996</v>
      </c>
      <c r="D17" s="446" t="s">
        <v>272</v>
      </c>
      <c r="E17" s="465"/>
      <c r="F17" s="465"/>
      <c r="G17" s="465" t="s">
        <v>283</v>
      </c>
      <c r="H17" s="465"/>
      <c r="I17" s="465"/>
      <c r="J17" s="853"/>
      <c r="K17" s="853"/>
      <c r="L17" s="865"/>
      <c r="M17" s="865"/>
      <c r="N17" s="865"/>
      <c r="O17" s="866"/>
    </row>
    <row r="18" spans="1:15" ht="20.100000000000001" customHeight="1" x14ac:dyDescent="0.2">
      <c r="A18" s="467" t="s">
        <v>284</v>
      </c>
      <c r="B18" s="465" t="s">
        <v>285</v>
      </c>
      <c r="C18" s="465">
        <v>0.83299999999999996</v>
      </c>
      <c r="D18" s="446" t="s">
        <v>272</v>
      </c>
      <c r="E18" s="465"/>
      <c r="F18" s="465"/>
      <c r="G18" s="465" t="s">
        <v>283</v>
      </c>
      <c r="H18" s="465"/>
      <c r="I18" s="465"/>
      <c r="J18" s="853"/>
      <c r="K18" s="853"/>
      <c r="L18" s="865"/>
      <c r="M18" s="865"/>
      <c r="N18" s="865"/>
      <c r="O18" s="866"/>
    </row>
    <row r="19" spans="1:15" ht="20.100000000000001" customHeight="1" x14ac:dyDescent="0.2">
      <c r="A19" s="467" t="s">
        <v>286</v>
      </c>
      <c r="B19" s="447" t="s">
        <v>287</v>
      </c>
      <c r="C19" s="465">
        <v>0.02</v>
      </c>
      <c r="D19" s="446" t="s">
        <v>272</v>
      </c>
      <c r="E19" s="465"/>
      <c r="F19" s="465"/>
      <c r="G19" s="465" t="s">
        <v>288</v>
      </c>
      <c r="H19" s="465"/>
      <c r="I19" s="465"/>
      <c r="J19" s="853"/>
      <c r="K19" s="853"/>
      <c r="L19" s="851"/>
      <c r="M19" s="851"/>
      <c r="N19" s="851"/>
      <c r="O19" s="852"/>
    </row>
    <row r="20" spans="1:15" ht="20.100000000000001" customHeight="1" x14ac:dyDescent="0.2">
      <c r="A20" s="467" t="s">
        <v>289</v>
      </c>
      <c r="B20" s="465" t="s">
        <v>290</v>
      </c>
      <c r="C20" s="465">
        <v>0.02</v>
      </c>
      <c r="D20" s="446" t="s">
        <v>272</v>
      </c>
      <c r="E20" s="465"/>
      <c r="F20" s="465"/>
      <c r="G20" s="465" t="s">
        <v>288</v>
      </c>
      <c r="H20" s="465"/>
      <c r="I20" s="465"/>
      <c r="J20" s="853"/>
      <c r="K20" s="853"/>
      <c r="L20" s="851"/>
      <c r="M20" s="851"/>
      <c r="N20" s="851"/>
      <c r="O20" s="852"/>
    </row>
    <row r="21" spans="1:15" ht="20.100000000000001" customHeight="1" x14ac:dyDescent="0.2">
      <c r="A21" s="467" t="s">
        <v>291</v>
      </c>
      <c r="B21" s="465" t="s">
        <v>292</v>
      </c>
      <c r="C21" s="465">
        <v>0.35</v>
      </c>
      <c r="D21" s="446" t="s">
        <v>272</v>
      </c>
      <c r="E21" s="465"/>
      <c r="F21" s="465"/>
      <c r="G21" s="465" t="s">
        <v>278</v>
      </c>
      <c r="H21" s="465"/>
      <c r="I21" s="465"/>
      <c r="J21" s="853"/>
      <c r="K21" s="853"/>
      <c r="L21" s="851"/>
      <c r="M21" s="851"/>
      <c r="N21" s="851"/>
      <c r="O21" s="852"/>
    </row>
    <row r="22" spans="1:15" ht="20.100000000000001" customHeight="1" x14ac:dyDescent="0.2">
      <c r="A22" s="467" t="s">
        <v>293</v>
      </c>
      <c r="B22" s="466" t="s">
        <v>294</v>
      </c>
      <c r="C22" s="465">
        <v>0.35</v>
      </c>
      <c r="D22" s="446" t="s">
        <v>272</v>
      </c>
      <c r="E22" s="465"/>
      <c r="F22" s="465"/>
      <c r="G22" s="465" t="s">
        <v>278</v>
      </c>
      <c r="H22" s="465"/>
      <c r="I22" s="465"/>
      <c r="J22" s="853"/>
      <c r="K22" s="853"/>
      <c r="L22" s="851"/>
      <c r="M22" s="851"/>
      <c r="N22" s="851"/>
      <c r="O22" s="852"/>
    </row>
    <row r="23" spans="1:15" ht="20.100000000000001" customHeight="1" x14ac:dyDescent="0.2">
      <c r="A23" s="467" t="s">
        <v>295</v>
      </c>
      <c r="B23" s="447" t="s">
        <v>296</v>
      </c>
      <c r="C23" s="465">
        <v>0.02</v>
      </c>
      <c r="D23" s="446" t="s">
        <v>272</v>
      </c>
      <c r="E23" s="465"/>
      <c r="F23" s="465"/>
      <c r="G23" s="465" t="s">
        <v>288</v>
      </c>
      <c r="H23" s="465"/>
      <c r="I23" s="465"/>
      <c r="J23" s="853"/>
      <c r="K23" s="853"/>
      <c r="L23" s="851"/>
      <c r="M23" s="851"/>
      <c r="N23" s="851"/>
      <c r="O23" s="852"/>
    </row>
    <row r="24" spans="1:15" ht="20.100000000000001" customHeight="1" x14ac:dyDescent="0.2">
      <c r="A24" s="467" t="s">
        <v>297</v>
      </c>
      <c r="B24" s="465" t="s">
        <v>298</v>
      </c>
      <c r="C24" s="465">
        <v>0.02</v>
      </c>
      <c r="D24" s="446" t="s">
        <v>272</v>
      </c>
      <c r="E24" s="465"/>
      <c r="F24" s="465"/>
      <c r="G24" s="465" t="s">
        <v>288</v>
      </c>
      <c r="H24" s="465"/>
      <c r="I24" s="465"/>
      <c r="J24" s="853"/>
      <c r="K24" s="853"/>
      <c r="L24" s="851"/>
      <c r="M24" s="851"/>
      <c r="N24" s="851"/>
      <c r="O24" s="852"/>
    </row>
    <row r="25" spans="1:15" ht="20.100000000000001" customHeight="1" x14ac:dyDescent="0.2">
      <c r="A25" s="467"/>
      <c r="B25" s="466"/>
      <c r="C25" s="465"/>
      <c r="D25" s="446"/>
      <c r="E25" s="465"/>
      <c r="F25" s="465"/>
      <c r="G25" s="465"/>
      <c r="H25" s="465"/>
      <c r="I25" s="465"/>
      <c r="J25" s="853"/>
      <c r="K25" s="853"/>
      <c r="L25" s="851"/>
      <c r="M25" s="851"/>
      <c r="N25" s="851"/>
      <c r="O25" s="852"/>
    </row>
    <row r="26" spans="1:15" ht="20.100000000000001" customHeight="1" thickBot="1" x14ac:dyDescent="0.25">
      <c r="A26" s="401"/>
      <c r="B26" s="400"/>
      <c r="C26" s="399"/>
      <c r="D26" s="400"/>
      <c r="E26" s="399"/>
      <c r="F26" s="399"/>
      <c r="G26" s="399"/>
      <c r="H26" s="399"/>
      <c r="I26" s="399"/>
      <c r="J26" s="854"/>
      <c r="K26" s="854"/>
      <c r="L26" s="855"/>
      <c r="M26" s="855"/>
      <c r="N26" s="855"/>
      <c r="O26" s="856"/>
    </row>
    <row r="27" spans="1:15" x14ac:dyDescent="0.2">
      <c r="A27" s="397" t="s">
        <v>189</v>
      </c>
      <c r="B27" s="396"/>
      <c r="C27" s="396"/>
      <c r="D27" s="396"/>
      <c r="E27" s="396"/>
      <c r="F27" s="396"/>
      <c r="G27" s="396"/>
      <c r="H27" s="396"/>
      <c r="I27" s="396"/>
      <c r="J27" s="396"/>
      <c r="K27" s="396"/>
      <c r="L27" s="396"/>
      <c r="M27" s="396"/>
      <c r="N27" s="396"/>
      <c r="O27" s="395"/>
    </row>
    <row r="28" spans="1:15" x14ac:dyDescent="0.2">
      <c r="A28" s="426"/>
      <c r="B28" s="139"/>
      <c r="C28" s="139"/>
      <c r="D28" s="139"/>
      <c r="E28" s="139"/>
      <c r="F28" s="139"/>
      <c r="G28" s="139"/>
      <c r="H28" s="139"/>
      <c r="I28" s="139"/>
      <c r="J28" s="139"/>
      <c r="K28" s="139"/>
      <c r="L28" s="139"/>
      <c r="M28" s="139"/>
      <c r="N28" s="139"/>
      <c r="O28" s="393"/>
    </row>
    <row r="29" spans="1:15" x14ac:dyDescent="0.2">
      <c r="A29" s="426"/>
      <c r="B29" s="139"/>
      <c r="C29" s="139"/>
      <c r="D29" s="139"/>
      <c r="E29" s="139"/>
      <c r="F29" s="139"/>
      <c r="G29" s="139"/>
      <c r="H29" s="139"/>
      <c r="I29" s="139"/>
      <c r="J29" s="139"/>
      <c r="K29" s="139"/>
      <c r="L29" s="139"/>
      <c r="M29" s="139"/>
      <c r="N29" s="139"/>
      <c r="O29" s="393"/>
    </row>
    <row r="30" spans="1:15" ht="13.5" thickBot="1" x14ac:dyDescent="0.25">
      <c r="A30" s="309"/>
      <c r="B30" s="308"/>
      <c r="C30" s="308"/>
      <c r="D30" s="308"/>
      <c r="E30" s="308"/>
      <c r="F30" s="308"/>
      <c r="G30" s="308"/>
      <c r="H30" s="308"/>
      <c r="I30" s="308"/>
      <c r="J30" s="308"/>
      <c r="K30" s="308"/>
      <c r="L30" s="308"/>
      <c r="M30" s="308"/>
      <c r="N30" s="308"/>
      <c r="O30" s="307"/>
    </row>
  </sheetData>
  <mergeCells count="41">
    <mergeCell ref="O1:O8"/>
    <mergeCell ref="C9:C10"/>
    <mergeCell ref="D9:D10"/>
    <mergeCell ref="J19:K19"/>
    <mergeCell ref="L19:O19"/>
    <mergeCell ref="L16:O16"/>
    <mergeCell ref="J12:K12"/>
    <mergeCell ref="L12:O12"/>
    <mergeCell ref="J16:K16"/>
    <mergeCell ref="L18:O18"/>
    <mergeCell ref="A9:A11"/>
    <mergeCell ref="B9:B11"/>
    <mergeCell ref="E9:E11"/>
    <mergeCell ref="J11:K11"/>
    <mergeCell ref="L13:O13"/>
    <mergeCell ref="F9:F11"/>
    <mergeCell ref="J13:K13"/>
    <mergeCell ref="J26:K26"/>
    <mergeCell ref="L26:O26"/>
    <mergeCell ref="G9:G11"/>
    <mergeCell ref="H9:K10"/>
    <mergeCell ref="L9:O11"/>
    <mergeCell ref="J14:K14"/>
    <mergeCell ref="L14:O14"/>
    <mergeCell ref="J15:K15"/>
    <mergeCell ref="L15:O15"/>
    <mergeCell ref="L22:O22"/>
    <mergeCell ref="J18:K18"/>
    <mergeCell ref="J17:K17"/>
    <mergeCell ref="L17:O17"/>
    <mergeCell ref="L24:O24"/>
    <mergeCell ref="L23:O23"/>
    <mergeCell ref="J25:K25"/>
    <mergeCell ref="L25:O25"/>
    <mergeCell ref="J20:K20"/>
    <mergeCell ref="L20:O20"/>
    <mergeCell ref="J21:K21"/>
    <mergeCell ref="L21:O21"/>
    <mergeCell ref="J22:K22"/>
    <mergeCell ref="J23:K23"/>
    <mergeCell ref="J24:K24"/>
  </mergeCells>
  <pageMargins left="0.7" right="0.7" top="0.75" bottom="0.75" header="0.3" footer="0.3"/>
  <pageSetup paperSize="9" scale="8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A262A-B2CB-4618-84E6-3CDC960790A9}">
  <sheetPr>
    <tabColor rgb="FF00B0F0"/>
    <pageSetUpPr fitToPage="1"/>
  </sheetPr>
  <dimension ref="A1:P26"/>
  <sheetViews>
    <sheetView topLeftCell="G1" zoomScaleNormal="100" workbookViewId="0">
      <selection activeCell="P1" sqref="P1:P8"/>
    </sheetView>
  </sheetViews>
  <sheetFormatPr defaultColWidth="9.140625" defaultRowHeight="12.75" x14ac:dyDescent="0.2"/>
  <cols>
    <col min="1" max="1" width="10" style="80" customWidth="1"/>
    <col min="2" max="2" width="32.5703125" style="80" bestFit="1" customWidth="1"/>
    <col min="3" max="4" width="10.7109375" style="80" customWidth="1"/>
    <col min="5" max="11" width="12.5703125" style="80" customWidth="1"/>
    <col min="12" max="12" width="20.140625" style="80" customWidth="1"/>
    <col min="13" max="15" width="9.140625" style="80"/>
    <col min="16" max="16" width="31" style="80" customWidth="1"/>
    <col min="17" max="16384" width="9.140625" style="80"/>
  </cols>
  <sheetData>
    <row r="1" spans="1:16" ht="6.75" customHeight="1" x14ac:dyDescent="0.2">
      <c r="A1" s="890"/>
      <c r="B1" s="891"/>
      <c r="C1" s="156"/>
      <c r="D1" s="355"/>
      <c r="E1" s="134"/>
      <c r="F1" s="134"/>
      <c r="G1" s="134"/>
      <c r="H1" s="134"/>
      <c r="I1" s="134"/>
      <c r="J1" s="134"/>
      <c r="K1" s="134"/>
      <c r="L1" s="134"/>
      <c r="M1" s="134"/>
      <c r="N1" s="134"/>
      <c r="O1" s="133"/>
      <c r="P1" s="811"/>
    </row>
    <row r="2" spans="1:16" ht="12.75" customHeight="1" x14ac:dyDescent="0.2">
      <c r="A2" s="892"/>
      <c r="B2" s="893"/>
      <c r="C2" s="354" t="s">
        <v>71</v>
      </c>
      <c r="D2" s="352"/>
      <c r="E2" s="353">
        <f>'PROJECT SUMMARY'!D3</f>
        <v>0</v>
      </c>
      <c r="F2" s="132"/>
      <c r="G2" s="132"/>
      <c r="H2" s="132"/>
      <c r="I2" s="132"/>
      <c r="J2" s="132"/>
      <c r="K2" s="132"/>
      <c r="L2" s="125"/>
      <c r="M2" s="124"/>
      <c r="N2" s="124"/>
      <c r="O2" s="123"/>
      <c r="P2" s="812"/>
    </row>
    <row r="3" spans="1:16" ht="12.75" customHeight="1" x14ac:dyDescent="0.2">
      <c r="A3" s="892"/>
      <c r="B3" s="893"/>
      <c r="C3" s="129" t="s">
        <v>72</v>
      </c>
      <c r="D3" s="352"/>
      <c r="E3" s="331">
        <f>'PROJECT SUMMARY'!D4</f>
        <v>0</v>
      </c>
      <c r="F3" s="126"/>
      <c r="G3" s="126"/>
      <c r="H3" s="126"/>
      <c r="I3" s="126"/>
      <c r="J3" s="126"/>
      <c r="K3" s="126"/>
      <c r="L3" s="125"/>
      <c r="M3" s="124"/>
      <c r="N3" s="124"/>
      <c r="O3" s="123"/>
      <c r="P3" s="812"/>
    </row>
    <row r="4" spans="1:16" ht="12.75" customHeight="1" x14ac:dyDescent="0.2">
      <c r="A4" s="892"/>
      <c r="B4" s="893"/>
      <c r="C4" s="129" t="s">
        <v>73</v>
      </c>
      <c r="D4" s="352"/>
      <c r="E4" s="126" t="s">
        <v>299</v>
      </c>
      <c r="F4" s="126"/>
      <c r="G4" s="126"/>
      <c r="H4" s="126"/>
      <c r="I4" s="126"/>
      <c r="J4" s="126"/>
      <c r="K4" s="126"/>
      <c r="L4" s="125"/>
      <c r="M4" s="124"/>
      <c r="N4" s="124"/>
      <c r="O4" s="123"/>
      <c r="P4" s="812"/>
    </row>
    <row r="5" spans="1:16" ht="12.75" customHeight="1" x14ac:dyDescent="0.2">
      <c r="A5" s="892"/>
      <c r="B5" s="893"/>
      <c r="C5" s="129" t="s">
        <v>75</v>
      </c>
      <c r="D5" s="352"/>
      <c r="E5" s="126" t="str">
        <f>'PROJECT SUMMARY'!B27</f>
        <v>KEY-SH-M-50-XXX</v>
      </c>
      <c r="F5" s="126"/>
      <c r="G5" s="126"/>
      <c r="H5" s="126"/>
      <c r="I5" s="126"/>
      <c r="J5" s="126"/>
      <c r="K5" s="126"/>
      <c r="L5" s="125"/>
      <c r="M5" s="124"/>
      <c r="N5" s="124"/>
      <c r="O5" s="123"/>
      <c r="P5" s="812"/>
    </row>
    <row r="6" spans="1:16" ht="12.75" customHeight="1" x14ac:dyDescent="0.2">
      <c r="A6" s="892"/>
      <c r="B6" s="893"/>
      <c r="C6" s="129" t="s">
        <v>76</v>
      </c>
      <c r="D6" s="352"/>
      <c r="E6" s="351">
        <f>'PROJECT SUMMARY'!C27</f>
        <v>0</v>
      </c>
      <c r="F6" s="126"/>
      <c r="G6" s="126"/>
      <c r="H6" s="126"/>
      <c r="I6" s="126"/>
      <c r="J6" s="126"/>
      <c r="K6" s="126"/>
      <c r="L6" s="125"/>
      <c r="M6" s="124"/>
      <c r="N6" s="124"/>
      <c r="O6" s="123"/>
      <c r="P6" s="812"/>
    </row>
    <row r="7" spans="1:16" ht="12.75" customHeight="1" x14ac:dyDescent="0.2">
      <c r="A7" s="892"/>
      <c r="B7" s="893"/>
      <c r="C7" s="350" t="s">
        <v>77</v>
      </c>
      <c r="D7" s="349"/>
      <c r="E7" s="348">
        <f>'PROJECT SUMMARY'!D5</f>
        <v>0</v>
      </c>
      <c r="F7" s="347"/>
      <c r="G7" s="347"/>
      <c r="H7" s="347"/>
      <c r="I7" s="347"/>
      <c r="J7" s="347"/>
      <c r="K7" s="347"/>
      <c r="L7" s="346"/>
      <c r="M7" s="345"/>
      <c r="N7" s="345"/>
      <c r="O7" s="344"/>
      <c r="P7" s="812"/>
    </row>
    <row r="8" spans="1:16" ht="5.25" customHeight="1" thickBot="1" x14ac:dyDescent="0.25">
      <c r="A8" s="894"/>
      <c r="B8" s="895"/>
      <c r="C8" s="343"/>
      <c r="D8" s="342"/>
      <c r="E8" s="118"/>
      <c r="F8" s="118"/>
      <c r="G8" s="118"/>
      <c r="H8" s="118"/>
      <c r="I8" s="118"/>
      <c r="J8" s="118"/>
      <c r="K8" s="118"/>
      <c r="L8" s="118"/>
      <c r="M8" s="118"/>
      <c r="N8" s="118"/>
      <c r="O8" s="117"/>
      <c r="P8" s="813"/>
    </row>
    <row r="9" spans="1:16" ht="12.75" customHeight="1" x14ac:dyDescent="0.2">
      <c r="A9" s="887" t="s">
        <v>199</v>
      </c>
      <c r="B9" s="896" t="s">
        <v>300</v>
      </c>
      <c r="C9" s="887" t="s">
        <v>301</v>
      </c>
      <c r="D9" s="887" t="s">
        <v>202</v>
      </c>
      <c r="E9" s="899" t="s">
        <v>302</v>
      </c>
      <c r="F9" s="887" t="s">
        <v>303</v>
      </c>
      <c r="G9" s="887" t="s">
        <v>304</v>
      </c>
      <c r="H9" s="887" t="s">
        <v>305</v>
      </c>
      <c r="I9" s="887" t="s">
        <v>41</v>
      </c>
      <c r="J9" s="887" t="s">
        <v>306</v>
      </c>
      <c r="K9" s="887" t="s">
        <v>307</v>
      </c>
      <c r="L9" s="887" t="s">
        <v>308</v>
      </c>
      <c r="M9" s="867" t="s">
        <v>258</v>
      </c>
      <c r="N9" s="857"/>
      <c r="O9" s="857"/>
      <c r="P9" s="860"/>
    </row>
    <row r="10" spans="1:16" x14ac:dyDescent="0.2">
      <c r="A10" s="888"/>
      <c r="B10" s="897"/>
      <c r="C10" s="888"/>
      <c r="D10" s="888"/>
      <c r="E10" s="900"/>
      <c r="F10" s="888"/>
      <c r="G10" s="888"/>
      <c r="H10" s="888"/>
      <c r="I10" s="888"/>
      <c r="J10" s="888"/>
      <c r="K10" s="888"/>
      <c r="L10" s="888"/>
      <c r="M10" s="868"/>
      <c r="N10" s="858"/>
      <c r="O10" s="858"/>
      <c r="P10" s="861"/>
    </row>
    <row r="11" spans="1:16" ht="13.5" thickBot="1" x14ac:dyDescent="0.25">
      <c r="A11" s="889"/>
      <c r="B11" s="898"/>
      <c r="C11" s="889"/>
      <c r="D11" s="889"/>
      <c r="E11" s="901"/>
      <c r="F11" s="889"/>
      <c r="G11" s="889"/>
      <c r="H11" s="889"/>
      <c r="I11" s="889"/>
      <c r="J11" s="889"/>
      <c r="K11" s="889"/>
      <c r="L11" s="889"/>
      <c r="M11" s="869"/>
      <c r="N11" s="859"/>
      <c r="O11" s="859"/>
      <c r="P11" s="862"/>
    </row>
    <row r="12" spans="1:16" ht="20.100000000000001" customHeight="1" x14ac:dyDescent="0.2">
      <c r="A12" s="340" t="s">
        <v>309</v>
      </c>
      <c r="B12" s="339" t="s">
        <v>310</v>
      </c>
      <c r="C12" s="323">
        <v>0.44800000000000001</v>
      </c>
      <c r="D12" s="323">
        <v>1</v>
      </c>
      <c r="E12" s="338" t="s">
        <v>311</v>
      </c>
      <c r="F12" s="320" t="s">
        <v>312</v>
      </c>
      <c r="G12" s="320" t="s">
        <v>313</v>
      </c>
      <c r="H12" s="320" t="s">
        <v>313</v>
      </c>
      <c r="I12" s="320"/>
      <c r="J12" s="320" t="s">
        <v>314</v>
      </c>
      <c r="K12" s="320">
        <v>35</v>
      </c>
      <c r="L12" s="320" t="s">
        <v>315</v>
      </c>
      <c r="M12" s="881" t="s">
        <v>316</v>
      </c>
      <c r="N12" s="882"/>
      <c r="O12" s="882"/>
      <c r="P12" s="883"/>
    </row>
    <row r="13" spans="1:16" ht="20.100000000000001" customHeight="1" x14ac:dyDescent="0.2">
      <c r="A13" s="340" t="s">
        <v>317</v>
      </c>
      <c r="B13" s="339" t="s">
        <v>318</v>
      </c>
      <c r="C13" s="323">
        <v>0.35</v>
      </c>
      <c r="D13" s="323">
        <v>1</v>
      </c>
      <c r="E13" s="338" t="s">
        <v>311</v>
      </c>
      <c r="F13" s="320" t="s">
        <v>319</v>
      </c>
      <c r="G13" s="320" t="s">
        <v>313</v>
      </c>
      <c r="H13" s="320" t="s">
        <v>313</v>
      </c>
      <c r="I13" s="320"/>
      <c r="J13" s="320" t="s">
        <v>314</v>
      </c>
      <c r="K13" s="320">
        <v>35</v>
      </c>
      <c r="L13" s="320" t="s">
        <v>315</v>
      </c>
      <c r="M13" s="884" t="s">
        <v>316</v>
      </c>
      <c r="N13" s="885"/>
      <c r="O13" s="885"/>
      <c r="P13" s="886"/>
    </row>
    <row r="14" spans="1:16" ht="20.100000000000001" customHeight="1" x14ac:dyDescent="0.2">
      <c r="A14" s="340" t="s">
        <v>320</v>
      </c>
      <c r="B14" s="339" t="s">
        <v>321</v>
      </c>
      <c r="C14" s="323">
        <v>0.83299999999999996</v>
      </c>
      <c r="D14" s="323">
        <v>1</v>
      </c>
      <c r="E14" s="338" t="s">
        <v>311</v>
      </c>
      <c r="F14" s="320" t="s">
        <v>322</v>
      </c>
      <c r="G14" s="320" t="s">
        <v>313</v>
      </c>
      <c r="H14" s="320" t="s">
        <v>313</v>
      </c>
      <c r="I14" s="320"/>
      <c r="J14" s="320" t="s">
        <v>314</v>
      </c>
      <c r="K14" s="320">
        <v>35</v>
      </c>
      <c r="L14" s="320" t="s">
        <v>315</v>
      </c>
      <c r="M14" s="884" t="s">
        <v>316</v>
      </c>
      <c r="N14" s="885"/>
      <c r="O14" s="885"/>
      <c r="P14" s="886"/>
    </row>
    <row r="15" spans="1:16" ht="20.100000000000001" customHeight="1" x14ac:dyDescent="0.2">
      <c r="A15" s="340" t="s">
        <v>323</v>
      </c>
      <c r="B15" s="339" t="s">
        <v>324</v>
      </c>
      <c r="C15" s="323">
        <v>0.42</v>
      </c>
      <c r="D15" s="323">
        <v>1</v>
      </c>
      <c r="E15" s="338" t="s">
        <v>311</v>
      </c>
      <c r="F15" s="320" t="s">
        <v>325</v>
      </c>
      <c r="G15" s="320" t="s">
        <v>313</v>
      </c>
      <c r="H15" s="320" t="s">
        <v>313</v>
      </c>
      <c r="I15" s="320"/>
      <c r="J15" s="320" t="s">
        <v>314</v>
      </c>
      <c r="K15" s="320">
        <v>35</v>
      </c>
      <c r="L15" s="320" t="s">
        <v>315</v>
      </c>
      <c r="M15" s="884" t="s">
        <v>316</v>
      </c>
      <c r="N15" s="885"/>
      <c r="O15" s="885"/>
      <c r="P15" s="886"/>
    </row>
    <row r="16" spans="1:16" ht="20.100000000000001" customHeight="1" x14ac:dyDescent="0.2">
      <c r="A16" s="340" t="s">
        <v>326</v>
      </c>
      <c r="B16" s="339" t="s">
        <v>324</v>
      </c>
      <c r="C16" s="323">
        <v>0.42</v>
      </c>
      <c r="D16" s="323">
        <v>1</v>
      </c>
      <c r="E16" s="338" t="s">
        <v>311</v>
      </c>
      <c r="F16" s="320" t="s">
        <v>325</v>
      </c>
      <c r="G16" s="320" t="s">
        <v>313</v>
      </c>
      <c r="H16" s="320" t="s">
        <v>313</v>
      </c>
      <c r="I16" s="320"/>
      <c r="J16" s="320" t="s">
        <v>314</v>
      </c>
      <c r="K16" s="320">
        <v>35</v>
      </c>
      <c r="L16" s="320" t="s">
        <v>315</v>
      </c>
      <c r="M16" s="884" t="s">
        <v>316</v>
      </c>
      <c r="N16" s="885"/>
      <c r="O16" s="885"/>
      <c r="P16" s="886"/>
    </row>
    <row r="17" spans="1:16" ht="20.100000000000001" customHeight="1" x14ac:dyDescent="0.2">
      <c r="A17" s="340" t="s">
        <v>327</v>
      </c>
      <c r="B17" s="339" t="s">
        <v>328</v>
      </c>
      <c r="C17" s="323">
        <v>0.16</v>
      </c>
      <c r="D17" s="323">
        <v>1</v>
      </c>
      <c r="E17" s="338" t="s">
        <v>311</v>
      </c>
      <c r="F17" s="320" t="s">
        <v>329</v>
      </c>
      <c r="G17" s="320" t="s">
        <v>313</v>
      </c>
      <c r="H17" s="320" t="s">
        <v>313</v>
      </c>
      <c r="I17" s="320" t="s">
        <v>313</v>
      </c>
      <c r="J17" s="320" t="s">
        <v>314</v>
      </c>
      <c r="K17" s="320">
        <v>35</v>
      </c>
      <c r="L17" s="320" t="s">
        <v>315</v>
      </c>
      <c r="M17" s="884" t="s">
        <v>316</v>
      </c>
      <c r="N17" s="885"/>
      <c r="O17" s="885"/>
      <c r="P17" s="886"/>
    </row>
    <row r="18" spans="1:16" ht="20.100000000000001" customHeight="1" x14ac:dyDescent="0.2">
      <c r="A18" s="340" t="s">
        <v>330</v>
      </c>
      <c r="B18" s="339" t="s">
        <v>331</v>
      </c>
      <c r="C18" s="323">
        <v>0.32</v>
      </c>
      <c r="D18" s="323">
        <v>1</v>
      </c>
      <c r="E18" s="338" t="s">
        <v>311</v>
      </c>
      <c r="F18" s="320" t="s">
        <v>332</v>
      </c>
      <c r="G18" s="320" t="s">
        <v>313</v>
      </c>
      <c r="H18" s="320" t="s">
        <v>313</v>
      </c>
      <c r="I18" s="320"/>
      <c r="J18" s="320" t="s">
        <v>314</v>
      </c>
      <c r="K18" s="320">
        <v>35</v>
      </c>
      <c r="L18" s="320" t="s">
        <v>315</v>
      </c>
      <c r="M18" s="884" t="s">
        <v>316</v>
      </c>
      <c r="N18" s="885"/>
      <c r="O18" s="885"/>
      <c r="P18" s="886"/>
    </row>
    <row r="19" spans="1:16" ht="20.100000000000001" customHeight="1" x14ac:dyDescent="0.2">
      <c r="A19" s="340" t="s">
        <v>333</v>
      </c>
      <c r="B19" s="339" t="s">
        <v>334</v>
      </c>
      <c r="C19" s="323">
        <v>7.8</v>
      </c>
      <c r="D19" s="323">
        <v>1</v>
      </c>
      <c r="E19" s="338" t="s">
        <v>311</v>
      </c>
      <c r="F19" s="320" t="s">
        <v>335</v>
      </c>
      <c r="G19" s="320" t="s">
        <v>313</v>
      </c>
      <c r="H19" s="320" t="s">
        <v>313</v>
      </c>
      <c r="I19" s="320"/>
      <c r="J19" s="320" t="s">
        <v>314</v>
      </c>
      <c r="K19" s="320">
        <v>35</v>
      </c>
      <c r="L19" s="320" t="s">
        <v>315</v>
      </c>
      <c r="M19" s="884" t="s">
        <v>316</v>
      </c>
      <c r="N19" s="885"/>
      <c r="O19" s="885"/>
      <c r="P19" s="886"/>
    </row>
    <row r="20" spans="1:16" ht="20.100000000000001" customHeight="1" x14ac:dyDescent="0.2">
      <c r="A20" s="340" t="s">
        <v>336</v>
      </c>
      <c r="B20" s="339" t="s">
        <v>328</v>
      </c>
      <c r="C20" s="323">
        <v>0.16</v>
      </c>
      <c r="D20" s="323">
        <v>1</v>
      </c>
      <c r="E20" s="338" t="s">
        <v>311</v>
      </c>
      <c r="F20" s="320" t="s">
        <v>329</v>
      </c>
      <c r="G20" s="320" t="s">
        <v>313</v>
      </c>
      <c r="H20" s="320" t="s">
        <v>313</v>
      </c>
      <c r="I20" s="320" t="s">
        <v>313</v>
      </c>
      <c r="J20" s="320" t="s">
        <v>314</v>
      </c>
      <c r="K20" s="320">
        <v>35</v>
      </c>
      <c r="L20" s="320" t="s">
        <v>315</v>
      </c>
      <c r="M20" s="884" t="s">
        <v>316</v>
      </c>
      <c r="N20" s="885"/>
      <c r="O20" s="885"/>
      <c r="P20" s="886"/>
    </row>
    <row r="21" spans="1:16" ht="20.100000000000001" customHeight="1" x14ac:dyDescent="0.2">
      <c r="A21" s="340" t="s">
        <v>337</v>
      </c>
      <c r="B21" s="339" t="s">
        <v>338</v>
      </c>
      <c r="C21" s="323">
        <v>0.35</v>
      </c>
      <c r="D21" s="323">
        <v>1</v>
      </c>
      <c r="E21" s="338" t="s">
        <v>311</v>
      </c>
      <c r="F21" s="320" t="s">
        <v>319</v>
      </c>
      <c r="G21" s="320" t="s">
        <v>313</v>
      </c>
      <c r="H21" s="320" t="s">
        <v>313</v>
      </c>
      <c r="I21" s="320"/>
      <c r="J21" s="320" t="s">
        <v>314</v>
      </c>
      <c r="K21" s="320">
        <v>35</v>
      </c>
      <c r="L21" s="320" t="s">
        <v>315</v>
      </c>
      <c r="M21" s="884" t="s">
        <v>316</v>
      </c>
      <c r="N21" s="885"/>
      <c r="O21" s="885"/>
      <c r="P21" s="886"/>
    </row>
    <row r="22" spans="1:16" ht="20.100000000000001" customHeight="1" thickBot="1" x14ac:dyDescent="0.25">
      <c r="A22" s="317"/>
      <c r="B22" s="316"/>
      <c r="C22" s="315"/>
      <c r="D22" s="315"/>
      <c r="E22" s="315"/>
      <c r="F22" s="315"/>
      <c r="G22" s="315"/>
      <c r="H22" s="315"/>
      <c r="I22" s="315"/>
      <c r="J22" s="320"/>
      <c r="K22" s="337"/>
      <c r="L22" s="315"/>
      <c r="M22" s="878"/>
      <c r="N22" s="879"/>
      <c r="O22" s="879"/>
      <c r="P22" s="880"/>
    </row>
    <row r="23" spans="1:16" x14ac:dyDescent="0.2">
      <c r="A23" s="314" t="s">
        <v>189</v>
      </c>
      <c r="B23" s="313"/>
      <c r="C23" s="313"/>
      <c r="D23" s="313"/>
      <c r="E23" s="313"/>
      <c r="F23" s="313"/>
      <c r="G23" s="313"/>
      <c r="H23" s="313"/>
      <c r="I23" s="313"/>
      <c r="J23" s="313"/>
      <c r="K23" s="313"/>
      <c r="L23" s="313"/>
      <c r="M23" s="313"/>
      <c r="N23" s="313"/>
      <c r="O23" s="313"/>
      <c r="P23" s="312"/>
    </row>
    <row r="24" spans="1:16" x14ac:dyDescent="0.2">
      <c r="A24" s="336" t="s">
        <v>339</v>
      </c>
      <c r="P24" s="310"/>
    </row>
    <row r="25" spans="1:16" x14ac:dyDescent="0.2">
      <c r="A25" s="311"/>
      <c r="P25" s="310"/>
    </row>
    <row r="26" spans="1:16" ht="13.5" thickBot="1" x14ac:dyDescent="0.25">
      <c r="A26" s="309"/>
      <c r="B26" s="308"/>
      <c r="C26" s="308"/>
      <c r="D26" s="308"/>
      <c r="E26" s="308"/>
      <c r="F26" s="308"/>
      <c r="G26" s="308"/>
      <c r="H26" s="308"/>
      <c r="I26" s="308"/>
      <c r="J26" s="308"/>
      <c r="K26" s="308"/>
      <c r="L26" s="308"/>
      <c r="M26" s="308"/>
      <c r="N26" s="308"/>
      <c r="O26" s="308"/>
      <c r="P26" s="307"/>
    </row>
  </sheetData>
  <mergeCells count="26">
    <mergeCell ref="K9:K11"/>
    <mergeCell ref="A1:B8"/>
    <mergeCell ref="M9:P11"/>
    <mergeCell ref="P1:P8"/>
    <mergeCell ref="A9:A11"/>
    <mergeCell ref="B9:B11"/>
    <mergeCell ref="C9:C11"/>
    <mergeCell ref="F9:F11"/>
    <mergeCell ref="L9:L11"/>
    <mergeCell ref="D9:D11"/>
    <mergeCell ref="I9:I11"/>
    <mergeCell ref="G9:G11"/>
    <mergeCell ref="H9:H11"/>
    <mergeCell ref="E9:E11"/>
    <mergeCell ref="J9:J11"/>
    <mergeCell ref="M22:P22"/>
    <mergeCell ref="M12:P12"/>
    <mergeCell ref="M13:P13"/>
    <mergeCell ref="M14:P14"/>
    <mergeCell ref="M15:P15"/>
    <mergeCell ref="M18:P18"/>
    <mergeCell ref="M17:P17"/>
    <mergeCell ref="M21:P21"/>
    <mergeCell ref="M19:P19"/>
    <mergeCell ref="M20:P20"/>
    <mergeCell ref="M16:P16"/>
  </mergeCells>
  <pageMargins left="0.7" right="0.7" top="0.75" bottom="0.75" header="0.3" footer="0.3"/>
  <pageSetup paperSize="9" scale="83"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1537E-ED6A-4C64-91D0-0F653991FC1E}">
  <sheetPr>
    <tabColor rgb="FF00B0F0"/>
    <pageSetUpPr fitToPage="1"/>
  </sheetPr>
  <dimension ref="A1:L49"/>
  <sheetViews>
    <sheetView zoomScaleNormal="100" workbookViewId="0">
      <selection activeCell="L1" sqref="L1:L8"/>
    </sheetView>
  </sheetViews>
  <sheetFormatPr defaultColWidth="9.140625" defaultRowHeight="12.75" x14ac:dyDescent="0.2"/>
  <cols>
    <col min="1" max="1" width="10" style="80" customWidth="1"/>
    <col min="2" max="2" width="32.5703125" style="80" bestFit="1" customWidth="1"/>
    <col min="3" max="4" width="18.7109375" style="80" customWidth="1"/>
    <col min="5" max="5" width="30.7109375" style="80" customWidth="1"/>
    <col min="6" max="6" width="13.7109375" style="80" customWidth="1"/>
    <col min="7" max="8" width="18.7109375" style="80" customWidth="1"/>
    <col min="9" max="11" width="9.140625" style="80"/>
    <col min="12" max="12" width="31.140625" style="80" customWidth="1"/>
    <col min="13" max="16384" width="9.140625" style="80"/>
  </cols>
  <sheetData>
    <row r="1" spans="1:12" ht="6.75" customHeight="1" x14ac:dyDescent="0.2">
      <c r="A1" s="890"/>
      <c r="B1" s="891"/>
      <c r="C1" s="156"/>
      <c r="D1" s="134"/>
      <c r="E1" s="134"/>
      <c r="F1" s="134"/>
      <c r="G1" s="134"/>
      <c r="H1" s="134"/>
      <c r="I1" s="134"/>
      <c r="J1" s="134"/>
      <c r="K1" s="133"/>
      <c r="L1" s="811"/>
    </row>
    <row r="2" spans="1:12" ht="12.75" customHeight="1" x14ac:dyDescent="0.2">
      <c r="A2" s="892"/>
      <c r="B2" s="893"/>
      <c r="C2" s="370"/>
      <c r="D2" s="369" t="s">
        <v>71</v>
      </c>
      <c r="E2" s="364">
        <f>'PROJECT SUMMARY'!D3</f>
        <v>0</v>
      </c>
      <c r="F2" s="364"/>
      <c r="G2" s="368"/>
      <c r="H2" s="368"/>
      <c r="I2" s="118"/>
      <c r="J2" s="118"/>
      <c r="K2" s="117"/>
      <c r="L2" s="812"/>
    </row>
    <row r="3" spans="1:12" ht="12.75" customHeight="1" x14ac:dyDescent="0.2">
      <c r="A3" s="892"/>
      <c r="B3" s="893"/>
      <c r="C3" s="366"/>
      <c r="D3" s="365" t="s">
        <v>72</v>
      </c>
      <c r="E3" s="364">
        <f>'PROJECT SUMMARY'!D4</f>
        <v>0</v>
      </c>
      <c r="F3" s="364"/>
      <c r="G3" s="367"/>
      <c r="H3" s="367"/>
      <c r="I3" s="118"/>
      <c r="J3" s="118"/>
      <c r="K3" s="117"/>
      <c r="L3" s="812"/>
    </row>
    <row r="4" spans="1:12" ht="12.75" customHeight="1" x14ac:dyDescent="0.2">
      <c r="A4" s="892"/>
      <c r="B4" s="893"/>
      <c r="C4" s="366"/>
      <c r="D4" s="365" t="s">
        <v>73</v>
      </c>
      <c r="E4" s="367" t="s">
        <v>340</v>
      </c>
      <c r="F4" s="367"/>
      <c r="G4" s="367"/>
      <c r="H4" s="367"/>
      <c r="I4" s="118"/>
      <c r="J4" s="118"/>
      <c r="K4" s="117"/>
      <c r="L4" s="812"/>
    </row>
    <row r="5" spans="1:12" ht="12.75" customHeight="1" x14ac:dyDescent="0.2">
      <c r="A5" s="892"/>
      <c r="B5" s="893"/>
      <c r="C5" s="366"/>
      <c r="D5" s="365" t="s">
        <v>75</v>
      </c>
      <c r="E5" s="367" t="str">
        <f>'PROJECT SUMMARY'!B28</f>
        <v>KEY-SH-M-50-XXX</v>
      </c>
      <c r="F5" s="367"/>
      <c r="G5" s="367"/>
      <c r="H5" s="367"/>
      <c r="I5" s="118"/>
      <c r="J5" s="118"/>
      <c r="K5" s="117"/>
      <c r="L5" s="812"/>
    </row>
    <row r="6" spans="1:12" ht="12.75" customHeight="1" x14ac:dyDescent="0.2">
      <c r="A6" s="892"/>
      <c r="B6" s="893"/>
      <c r="C6" s="366"/>
      <c r="D6" s="365" t="s">
        <v>76</v>
      </c>
      <c r="E6" s="364">
        <f>'PROJECT SUMMARY'!C28</f>
        <v>0</v>
      </c>
      <c r="F6" s="364"/>
      <c r="G6" s="367"/>
      <c r="H6" s="367"/>
      <c r="I6" s="118"/>
      <c r="J6" s="118"/>
      <c r="K6" s="117"/>
      <c r="L6" s="812"/>
    </row>
    <row r="7" spans="1:12" ht="12.75" customHeight="1" x14ac:dyDescent="0.2">
      <c r="A7" s="892"/>
      <c r="B7" s="893"/>
      <c r="C7" s="366"/>
      <c r="D7" s="365" t="s">
        <v>77</v>
      </c>
      <c r="E7" s="364">
        <f>'PROJECT SUMMARY'!D5</f>
        <v>0</v>
      </c>
      <c r="F7" s="364"/>
      <c r="G7" s="363"/>
      <c r="H7" s="363"/>
      <c r="I7" s="118"/>
      <c r="J7" s="118"/>
      <c r="K7" s="117"/>
      <c r="L7" s="812"/>
    </row>
    <row r="8" spans="1:12" ht="5.25" customHeight="1" thickBot="1" x14ac:dyDescent="0.25">
      <c r="A8" s="894"/>
      <c r="B8" s="895"/>
      <c r="C8" s="120"/>
      <c r="D8" s="153"/>
      <c r="E8" s="153"/>
      <c r="F8" s="153"/>
      <c r="G8" s="153"/>
      <c r="H8" s="153"/>
      <c r="I8" s="153"/>
      <c r="J8" s="153"/>
      <c r="K8" s="362"/>
      <c r="L8" s="813"/>
    </row>
    <row r="9" spans="1:12" ht="12.75" customHeight="1" x14ac:dyDescent="0.2">
      <c r="A9" s="917" t="s">
        <v>199</v>
      </c>
      <c r="B9" s="928" t="s">
        <v>341</v>
      </c>
      <c r="C9" s="905" t="s">
        <v>111</v>
      </c>
      <c r="D9" s="905" t="s">
        <v>342</v>
      </c>
      <c r="E9" s="905" t="s">
        <v>343</v>
      </c>
      <c r="F9" s="905" t="s">
        <v>344</v>
      </c>
      <c r="G9" s="905" t="s">
        <v>345</v>
      </c>
      <c r="H9" s="917" t="s">
        <v>346</v>
      </c>
      <c r="I9" s="908" t="s">
        <v>258</v>
      </c>
      <c r="J9" s="909"/>
      <c r="K9" s="909"/>
      <c r="L9" s="910"/>
    </row>
    <row r="10" spans="1:12" x14ac:dyDescent="0.2">
      <c r="A10" s="918"/>
      <c r="B10" s="929"/>
      <c r="C10" s="923"/>
      <c r="D10" s="923"/>
      <c r="E10" s="923"/>
      <c r="F10" s="906"/>
      <c r="G10" s="923"/>
      <c r="H10" s="918"/>
      <c r="I10" s="911"/>
      <c r="J10" s="912"/>
      <c r="K10" s="912"/>
      <c r="L10" s="913"/>
    </row>
    <row r="11" spans="1:12" ht="13.5" thickBot="1" x14ac:dyDescent="0.25">
      <c r="A11" s="919"/>
      <c r="B11" s="930"/>
      <c r="C11" s="924"/>
      <c r="D11" s="924"/>
      <c r="E11" s="924"/>
      <c r="F11" s="907"/>
      <c r="G11" s="924"/>
      <c r="H11" s="919"/>
      <c r="I11" s="914"/>
      <c r="J11" s="915"/>
      <c r="K11" s="915"/>
      <c r="L11" s="916"/>
    </row>
    <row r="12" spans="1:12" ht="15" customHeight="1" thickBot="1" x14ac:dyDescent="0.25">
      <c r="A12" s="925" t="s">
        <v>347</v>
      </c>
      <c r="B12" s="926"/>
      <c r="C12" s="926"/>
      <c r="D12" s="926"/>
      <c r="E12" s="926"/>
      <c r="F12" s="926"/>
      <c r="G12" s="926"/>
      <c r="H12" s="926"/>
      <c r="I12" s="926"/>
      <c r="J12" s="926"/>
      <c r="K12" s="926"/>
      <c r="L12" s="927"/>
    </row>
    <row r="13" spans="1:12" ht="15" customHeight="1" x14ac:dyDescent="0.2">
      <c r="A13" s="340" t="s">
        <v>348</v>
      </c>
      <c r="B13" s="339" t="s">
        <v>349</v>
      </c>
      <c r="C13" s="357" t="s">
        <v>350</v>
      </c>
      <c r="D13" s="356" t="s">
        <v>351</v>
      </c>
      <c r="E13" s="356" t="s">
        <v>352</v>
      </c>
      <c r="F13" s="356"/>
      <c r="G13" s="323" t="s">
        <v>353</v>
      </c>
      <c r="H13" s="323" t="s">
        <v>329</v>
      </c>
      <c r="I13" s="902" t="s">
        <v>354</v>
      </c>
      <c r="J13" s="903"/>
      <c r="K13" s="903"/>
      <c r="L13" s="904"/>
    </row>
    <row r="14" spans="1:12" ht="15" customHeight="1" x14ac:dyDescent="0.2">
      <c r="A14" s="340" t="s">
        <v>355</v>
      </c>
      <c r="B14" s="339" t="s">
        <v>349</v>
      </c>
      <c r="C14" s="357" t="s">
        <v>350</v>
      </c>
      <c r="D14" s="356" t="s">
        <v>356</v>
      </c>
      <c r="E14" s="356" t="s">
        <v>352</v>
      </c>
      <c r="F14" s="356"/>
      <c r="G14" s="323" t="s">
        <v>353</v>
      </c>
      <c r="H14" s="323" t="s">
        <v>357</v>
      </c>
      <c r="I14" s="902" t="s">
        <v>354</v>
      </c>
      <c r="J14" s="903"/>
      <c r="K14" s="903"/>
      <c r="L14" s="904"/>
    </row>
    <row r="15" spans="1:12" ht="15" customHeight="1" x14ac:dyDescent="0.2">
      <c r="A15" s="340" t="s">
        <v>358</v>
      </c>
      <c r="B15" s="339" t="s">
        <v>349</v>
      </c>
      <c r="C15" s="357" t="s">
        <v>350</v>
      </c>
      <c r="D15" s="356" t="s">
        <v>351</v>
      </c>
      <c r="E15" s="356" t="s">
        <v>352</v>
      </c>
      <c r="F15" s="356"/>
      <c r="G15" s="323" t="s">
        <v>353</v>
      </c>
      <c r="H15" s="323" t="s">
        <v>329</v>
      </c>
      <c r="I15" s="902" t="s">
        <v>354</v>
      </c>
      <c r="J15" s="903"/>
      <c r="K15" s="903"/>
      <c r="L15" s="904"/>
    </row>
    <row r="16" spans="1:12" ht="15" customHeight="1" x14ac:dyDescent="0.2">
      <c r="A16" s="340" t="s">
        <v>359</v>
      </c>
      <c r="B16" s="339" t="s">
        <v>349</v>
      </c>
      <c r="C16" s="357" t="s">
        <v>350</v>
      </c>
      <c r="D16" s="356" t="s">
        <v>356</v>
      </c>
      <c r="E16" s="356" t="s">
        <v>352</v>
      </c>
      <c r="F16" s="356"/>
      <c r="G16" s="323" t="s">
        <v>353</v>
      </c>
      <c r="H16" s="323" t="s">
        <v>357</v>
      </c>
      <c r="I16" s="902" t="s">
        <v>354</v>
      </c>
      <c r="J16" s="903"/>
      <c r="K16" s="903"/>
      <c r="L16" s="904"/>
    </row>
    <row r="17" spans="1:12" ht="15" customHeight="1" x14ac:dyDescent="0.2">
      <c r="A17" s="340" t="s">
        <v>360</v>
      </c>
      <c r="B17" s="339" t="s">
        <v>361</v>
      </c>
      <c r="C17" s="323" t="s">
        <v>362</v>
      </c>
      <c r="D17" s="356" t="s">
        <v>363</v>
      </c>
      <c r="E17" s="356" t="s">
        <v>352</v>
      </c>
      <c r="F17" s="356"/>
      <c r="G17" s="323" t="s">
        <v>353</v>
      </c>
      <c r="H17" s="323" t="s">
        <v>364</v>
      </c>
      <c r="I17" s="902" t="s">
        <v>354</v>
      </c>
      <c r="J17" s="903"/>
      <c r="K17" s="903"/>
      <c r="L17" s="904"/>
    </row>
    <row r="18" spans="1:12" ht="15" customHeight="1" thickBot="1" x14ac:dyDescent="0.25">
      <c r="A18" s="340" t="s">
        <v>365</v>
      </c>
      <c r="B18" s="339" t="s">
        <v>361</v>
      </c>
      <c r="C18" s="323" t="s">
        <v>362</v>
      </c>
      <c r="D18" s="356" t="s">
        <v>363</v>
      </c>
      <c r="E18" s="356" t="s">
        <v>352</v>
      </c>
      <c r="F18" s="356"/>
      <c r="G18" s="323" t="s">
        <v>353</v>
      </c>
      <c r="H18" s="323" t="s">
        <v>364</v>
      </c>
      <c r="I18" s="902" t="s">
        <v>354</v>
      </c>
      <c r="J18" s="903"/>
      <c r="K18" s="903"/>
      <c r="L18" s="904"/>
    </row>
    <row r="19" spans="1:12" ht="15" customHeight="1" thickBot="1" x14ac:dyDescent="0.25">
      <c r="A19" s="925" t="s">
        <v>366</v>
      </c>
      <c r="B19" s="926"/>
      <c r="C19" s="926"/>
      <c r="D19" s="926"/>
      <c r="E19" s="926"/>
      <c r="F19" s="926"/>
      <c r="G19" s="926"/>
      <c r="H19" s="926"/>
      <c r="I19" s="926"/>
      <c r="J19" s="926"/>
      <c r="K19" s="926"/>
      <c r="L19" s="927"/>
    </row>
    <row r="20" spans="1:12" ht="15" customHeight="1" x14ac:dyDescent="0.2">
      <c r="A20" s="340" t="s">
        <v>367</v>
      </c>
      <c r="B20" s="339" t="s">
        <v>368</v>
      </c>
      <c r="C20" s="357" t="s">
        <v>350</v>
      </c>
      <c r="D20" s="356" t="s">
        <v>369</v>
      </c>
      <c r="E20" s="356" t="s">
        <v>352</v>
      </c>
      <c r="F20" s="356"/>
      <c r="G20" s="323" t="s">
        <v>353</v>
      </c>
      <c r="H20" s="323" t="s">
        <v>370</v>
      </c>
      <c r="I20" s="902" t="s">
        <v>354</v>
      </c>
      <c r="J20" s="903"/>
      <c r="K20" s="903"/>
      <c r="L20" s="904"/>
    </row>
    <row r="21" spans="1:12" ht="15" customHeight="1" x14ac:dyDescent="0.2">
      <c r="A21" s="340" t="s">
        <v>371</v>
      </c>
      <c r="B21" s="339" t="s">
        <v>368</v>
      </c>
      <c r="C21" s="357" t="s">
        <v>350</v>
      </c>
      <c r="D21" s="356" t="s">
        <v>369</v>
      </c>
      <c r="E21" s="356" t="s">
        <v>352</v>
      </c>
      <c r="F21" s="356"/>
      <c r="G21" s="323" t="s">
        <v>353</v>
      </c>
      <c r="H21" s="323" t="s">
        <v>370</v>
      </c>
      <c r="I21" s="902" t="s">
        <v>354</v>
      </c>
      <c r="J21" s="903"/>
      <c r="K21" s="903"/>
      <c r="L21" s="904"/>
    </row>
    <row r="22" spans="1:12" ht="15" customHeight="1" x14ac:dyDescent="0.2">
      <c r="A22" s="340" t="s">
        <v>372</v>
      </c>
      <c r="B22" s="339" t="s">
        <v>368</v>
      </c>
      <c r="C22" s="357" t="s">
        <v>350</v>
      </c>
      <c r="D22" s="356" t="s">
        <v>373</v>
      </c>
      <c r="E22" s="356" t="s">
        <v>352</v>
      </c>
      <c r="F22" s="356"/>
      <c r="G22" s="323" t="s">
        <v>353</v>
      </c>
      <c r="H22" s="323" t="s">
        <v>374</v>
      </c>
      <c r="I22" s="902" t="s">
        <v>354</v>
      </c>
      <c r="J22" s="903"/>
      <c r="K22" s="903"/>
      <c r="L22" s="904"/>
    </row>
    <row r="23" spans="1:12" ht="15" customHeight="1" x14ac:dyDescent="0.2">
      <c r="A23" s="340" t="s">
        <v>375</v>
      </c>
      <c r="B23" s="339" t="s">
        <v>368</v>
      </c>
      <c r="C23" s="357" t="s">
        <v>350</v>
      </c>
      <c r="D23" s="356" t="s">
        <v>376</v>
      </c>
      <c r="E23" s="356" t="s">
        <v>352</v>
      </c>
      <c r="F23" s="356"/>
      <c r="G23" s="323" t="s">
        <v>353</v>
      </c>
      <c r="H23" s="323" t="s">
        <v>377</v>
      </c>
      <c r="I23" s="902" t="s">
        <v>354</v>
      </c>
      <c r="J23" s="903"/>
      <c r="K23" s="903"/>
      <c r="L23" s="904"/>
    </row>
    <row r="24" spans="1:12" ht="15" customHeight="1" x14ac:dyDescent="0.2">
      <c r="A24" s="340" t="s">
        <v>378</v>
      </c>
      <c r="B24" s="339" t="s">
        <v>368</v>
      </c>
      <c r="C24" s="357" t="s">
        <v>350</v>
      </c>
      <c r="D24" s="356" t="s">
        <v>373</v>
      </c>
      <c r="E24" s="356" t="s">
        <v>352</v>
      </c>
      <c r="F24" s="356"/>
      <c r="G24" s="323" t="s">
        <v>353</v>
      </c>
      <c r="H24" s="323" t="s">
        <v>374</v>
      </c>
      <c r="I24" s="902" t="s">
        <v>354</v>
      </c>
      <c r="J24" s="903"/>
      <c r="K24" s="903"/>
      <c r="L24" s="904"/>
    </row>
    <row r="25" spans="1:12" ht="15" customHeight="1" thickBot="1" x14ac:dyDescent="0.25">
      <c r="A25" s="340" t="s">
        <v>379</v>
      </c>
      <c r="B25" s="339" t="s">
        <v>368</v>
      </c>
      <c r="C25" s="357" t="s">
        <v>350</v>
      </c>
      <c r="D25" s="356" t="s">
        <v>376</v>
      </c>
      <c r="E25" s="356" t="s">
        <v>352</v>
      </c>
      <c r="F25" s="356"/>
      <c r="G25" s="323" t="s">
        <v>353</v>
      </c>
      <c r="H25" s="323" t="s">
        <v>377</v>
      </c>
      <c r="I25" s="902" t="s">
        <v>354</v>
      </c>
      <c r="J25" s="903"/>
      <c r="K25" s="903"/>
      <c r="L25" s="904"/>
    </row>
    <row r="26" spans="1:12" ht="15" customHeight="1" thickBot="1" x14ac:dyDescent="0.25">
      <c r="A26" s="925" t="s">
        <v>380</v>
      </c>
      <c r="B26" s="926"/>
      <c r="C26" s="926"/>
      <c r="D26" s="926"/>
      <c r="E26" s="926"/>
      <c r="F26" s="926"/>
      <c r="G26" s="926"/>
      <c r="H26" s="926"/>
      <c r="I26" s="926"/>
      <c r="J26" s="926"/>
      <c r="K26" s="926"/>
      <c r="L26" s="927"/>
    </row>
    <row r="27" spans="1:12" ht="21.95" customHeight="1" x14ac:dyDescent="0.2">
      <c r="A27" s="340" t="s">
        <v>381</v>
      </c>
      <c r="B27" s="339" t="s">
        <v>382</v>
      </c>
      <c r="C27" s="357" t="s">
        <v>383</v>
      </c>
      <c r="D27" s="356" t="s">
        <v>351</v>
      </c>
      <c r="E27" s="356" t="s">
        <v>384</v>
      </c>
      <c r="F27" s="356"/>
      <c r="G27" s="323" t="s">
        <v>385</v>
      </c>
      <c r="H27" s="323" t="s">
        <v>329</v>
      </c>
      <c r="I27" s="884"/>
      <c r="J27" s="885"/>
      <c r="K27" s="885"/>
      <c r="L27" s="886"/>
    </row>
    <row r="28" spans="1:12" ht="21.95" customHeight="1" x14ac:dyDescent="0.2">
      <c r="A28" s="340" t="s">
        <v>386</v>
      </c>
      <c r="B28" s="339" t="s">
        <v>387</v>
      </c>
      <c r="C28" s="323" t="s">
        <v>388</v>
      </c>
      <c r="D28" s="356" t="s">
        <v>389</v>
      </c>
      <c r="E28" s="356" t="s">
        <v>384</v>
      </c>
      <c r="F28" s="356"/>
      <c r="G28" s="323" t="s">
        <v>385</v>
      </c>
      <c r="H28" s="323" t="s">
        <v>390</v>
      </c>
      <c r="I28" s="884"/>
      <c r="J28" s="885"/>
      <c r="K28" s="885"/>
      <c r="L28" s="886"/>
    </row>
    <row r="29" spans="1:12" ht="21.95" customHeight="1" x14ac:dyDescent="0.2">
      <c r="A29" s="340" t="s">
        <v>391</v>
      </c>
      <c r="B29" s="339" t="s">
        <v>387</v>
      </c>
      <c r="C29" s="323" t="s">
        <v>388</v>
      </c>
      <c r="D29" s="356" t="s">
        <v>389</v>
      </c>
      <c r="E29" s="356" t="s">
        <v>384</v>
      </c>
      <c r="F29" s="356"/>
      <c r="G29" s="323" t="s">
        <v>385</v>
      </c>
      <c r="H29" s="323" t="s">
        <v>390</v>
      </c>
      <c r="I29" s="884"/>
      <c r="J29" s="885"/>
      <c r="K29" s="885"/>
      <c r="L29" s="886"/>
    </row>
    <row r="30" spans="1:12" ht="21.95" customHeight="1" x14ac:dyDescent="0.2">
      <c r="A30" s="340" t="s">
        <v>392</v>
      </c>
      <c r="B30" s="339" t="s">
        <v>387</v>
      </c>
      <c r="C30" s="323" t="s">
        <v>388</v>
      </c>
      <c r="D30" s="356" t="s">
        <v>389</v>
      </c>
      <c r="E30" s="356" t="s">
        <v>384</v>
      </c>
      <c r="F30" s="356"/>
      <c r="G30" s="323" t="s">
        <v>385</v>
      </c>
      <c r="H30" s="323" t="s">
        <v>390</v>
      </c>
      <c r="I30" s="884"/>
      <c r="J30" s="885"/>
      <c r="K30" s="885"/>
      <c r="L30" s="886"/>
    </row>
    <row r="31" spans="1:12" ht="21.95" customHeight="1" x14ac:dyDescent="0.2">
      <c r="A31" s="340" t="s">
        <v>393</v>
      </c>
      <c r="B31" s="339" t="s">
        <v>387</v>
      </c>
      <c r="C31" s="323" t="s">
        <v>388</v>
      </c>
      <c r="D31" s="356" t="s">
        <v>389</v>
      </c>
      <c r="E31" s="356" t="s">
        <v>384</v>
      </c>
      <c r="F31" s="356"/>
      <c r="G31" s="323" t="s">
        <v>385</v>
      </c>
      <c r="H31" s="323" t="s">
        <v>390</v>
      </c>
      <c r="I31" s="884"/>
      <c r="J31" s="885"/>
      <c r="K31" s="885"/>
      <c r="L31" s="886"/>
    </row>
    <row r="32" spans="1:12" ht="21.95" customHeight="1" x14ac:dyDescent="0.2">
      <c r="A32" s="361" t="s">
        <v>394</v>
      </c>
      <c r="B32" s="360" t="s">
        <v>395</v>
      </c>
      <c r="C32" s="358" t="s">
        <v>388</v>
      </c>
      <c r="D32" s="359" t="s">
        <v>396</v>
      </c>
      <c r="E32" s="359" t="s">
        <v>384</v>
      </c>
      <c r="F32" s="359"/>
      <c r="G32" s="358" t="s">
        <v>385</v>
      </c>
      <c r="H32" s="358" t="s">
        <v>397</v>
      </c>
      <c r="I32" s="920"/>
      <c r="J32" s="921"/>
      <c r="K32" s="921"/>
      <c r="L32" s="922"/>
    </row>
    <row r="33" spans="1:12" ht="21.95" customHeight="1" x14ac:dyDescent="0.2">
      <c r="A33" s="340" t="s">
        <v>398</v>
      </c>
      <c r="B33" s="339" t="s">
        <v>399</v>
      </c>
      <c r="C33" s="323" t="s">
        <v>388</v>
      </c>
      <c r="D33" s="356" t="s">
        <v>396</v>
      </c>
      <c r="E33" s="356" t="s">
        <v>384</v>
      </c>
      <c r="F33" s="356"/>
      <c r="G33" s="323" t="s">
        <v>385</v>
      </c>
      <c r="H33" s="323" t="s">
        <v>397</v>
      </c>
      <c r="I33" s="884"/>
      <c r="J33" s="885"/>
      <c r="K33" s="885"/>
      <c r="L33" s="886"/>
    </row>
    <row r="34" spans="1:12" ht="21.95" customHeight="1" x14ac:dyDescent="0.2">
      <c r="A34" s="340" t="s">
        <v>400</v>
      </c>
      <c r="B34" s="339" t="s">
        <v>399</v>
      </c>
      <c r="C34" s="323" t="s">
        <v>388</v>
      </c>
      <c r="D34" s="356" t="s">
        <v>401</v>
      </c>
      <c r="E34" s="356" t="s">
        <v>384</v>
      </c>
      <c r="F34" s="356"/>
      <c r="G34" s="323" t="s">
        <v>385</v>
      </c>
      <c r="H34" s="323" t="s">
        <v>390</v>
      </c>
      <c r="I34" s="884"/>
      <c r="J34" s="885"/>
      <c r="K34" s="885"/>
      <c r="L34" s="886"/>
    </row>
    <row r="35" spans="1:12" ht="21.95" customHeight="1" thickBot="1" x14ac:dyDescent="0.25">
      <c r="A35" s="340" t="s">
        <v>402</v>
      </c>
      <c r="B35" s="339" t="s">
        <v>403</v>
      </c>
      <c r="C35" s="357" t="s">
        <v>383</v>
      </c>
      <c r="D35" s="356" t="s">
        <v>404</v>
      </c>
      <c r="E35" s="356" t="s">
        <v>384</v>
      </c>
      <c r="F35" s="356"/>
      <c r="G35" s="323" t="s">
        <v>385</v>
      </c>
      <c r="H35" s="323" t="s">
        <v>405</v>
      </c>
      <c r="I35" s="884"/>
      <c r="J35" s="885"/>
      <c r="K35" s="885"/>
      <c r="L35" s="886"/>
    </row>
    <row r="36" spans="1:12" ht="15" customHeight="1" thickBot="1" x14ac:dyDescent="0.25">
      <c r="A36" s="925" t="s">
        <v>406</v>
      </c>
      <c r="B36" s="926"/>
      <c r="C36" s="926"/>
      <c r="D36" s="926"/>
      <c r="E36" s="926"/>
      <c r="F36" s="926"/>
      <c r="G36" s="926"/>
      <c r="H36" s="926"/>
      <c r="I36" s="926"/>
      <c r="J36" s="926"/>
      <c r="K36" s="926"/>
      <c r="L36" s="927"/>
    </row>
    <row r="37" spans="1:12" ht="21.95" customHeight="1" x14ac:dyDescent="0.2">
      <c r="A37" s="340" t="s">
        <v>407</v>
      </c>
      <c r="B37" s="339" t="s">
        <v>408</v>
      </c>
      <c r="C37" s="323" t="s">
        <v>362</v>
      </c>
      <c r="D37" s="356" t="s">
        <v>389</v>
      </c>
      <c r="E37" s="356" t="s">
        <v>409</v>
      </c>
      <c r="F37" s="356"/>
      <c r="G37" s="323" t="s">
        <v>353</v>
      </c>
      <c r="H37" s="323" t="s">
        <v>390</v>
      </c>
      <c r="I37" s="902" t="s">
        <v>354</v>
      </c>
      <c r="J37" s="903"/>
      <c r="K37" s="903"/>
      <c r="L37" s="904"/>
    </row>
    <row r="38" spans="1:12" ht="21.95" customHeight="1" x14ac:dyDescent="0.2">
      <c r="A38" s="340" t="s">
        <v>410</v>
      </c>
      <c r="B38" s="339" t="s">
        <v>408</v>
      </c>
      <c r="C38" s="323" t="s">
        <v>362</v>
      </c>
      <c r="D38" s="356" t="s">
        <v>389</v>
      </c>
      <c r="E38" s="356" t="s">
        <v>409</v>
      </c>
      <c r="F38" s="356"/>
      <c r="G38" s="323" t="s">
        <v>353</v>
      </c>
      <c r="H38" s="323" t="s">
        <v>390</v>
      </c>
      <c r="I38" s="902" t="s">
        <v>354</v>
      </c>
      <c r="J38" s="903"/>
      <c r="K38" s="903"/>
      <c r="L38" s="904"/>
    </row>
    <row r="39" spans="1:12" ht="21.95" customHeight="1" x14ac:dyDescent="0.2">
      <c r="A39" s="340" t="s">
        <v>411</v>
      </c>
      <c r="B39" s="339" t="s">
        <v>412</v>
      </c>
      <c r="C39" s="323" t="s">
        <v>362</v>
      </c>
      <c r="D39" s="356" t="s">
        <v>389</v>
      </c>
      <c r="E39" s="356" t="s">
        <v>413</v>
      </c>
      <c r="F39" s="356"/>
      <c r="G39" s="323" t="s">
        <v>353</v>
      </c>
      <c r="H39" s="323" t="s">
        <v>390</v>
      </c>
      <c r="I39" s="902" t="s">
        <v>354</v>
      </c>
      <c r="J39" s="903"/>
      <c r="K39" s="903"/>
      <c r="L39" s="904"/>
    </row>
    <row r="40" spans="1:12" ht="21.95" customHeight="1" x14ac:dyDescent="0.2">
      <c r="A40" s="340" t="s">
        <v>414</v>
      </c>
      <c r="B40" s="339" t="s">
        <v>412</v>
      </c>
      <c r="C40" s="323" t="s">
        <v>362</v>
      </c>
      <c r="D40" s="356" t="s">
        <v>389</v>
      </c>
      <c r="E40" s="356" t="s">
        <v>413</v>
      </c>
      <c r="F40" s="356"/>
      <c r="G40" s="323" t="s">
        <v>353</v>
      </c>
      <c r="H40" s="323" t="s">
        <v>390</v>
      </c>
      <c r="I40" s="902" t="s">
        <v>354</v>
      </c>
      <c r="J40" s="903"/>
      <c r="K40" s="903"/>
      <c r="L40" s="904"/>
    </row>
    <row r="41" spans="1:12" ht="21.95" customHeight="1" x14ac:dyDescent="0.2">
      <c r="A41" s="340" t="s">
        <v>415</v>
      </c>
      <c r="B41" s="339" t="s">
        <v>412</v>
      </c>
      <c r="C41" s="323" t="s">
        <v>362</v>
      </c>
      <c r="D41" s="356" t="s">
        <v>416</v>
      </c>
      <c r="E41" s="356" t="s">
        <v>413</v>
      </c>
      <c r="F41" s="356"/>
      <c r="G41" s="323" t="s">
        <v>353</v>
      </c>
      <c r="H41" s="323" t="s">
        <v>390</v>
      </c>
      <c r="I41" s="902" t="s">
        <v>354</v>
      </c>
      <c r="J41" s="903"/>
      <c r="K41" s="903"/>
      <c r="L41" s="904"/>
    </row>
    <row r="42" spans="1:12" ht="21.95" customHeight="1" x14ac:dyDescent="0.2">
      <c r="A42" s="340" t="s">
        <v>417</v>
      </c>
      <c r="B42" s="339" t="s">
        <v>418</v>
      </c>
      <c r="C42" s="323" t="s">
        <v>362</v>
      </c>
      <c r="D42" s="356" t="s">
        <v>396</v>
      </c>
      <c r="E42" s="356" t="s">
        <v>413</v>
      </c>
      <c r="F42" s="356"/>
      <c r="G42" s="323" t="s">
        <v>353</v>
      </c>
      <c r="H42" s="323" t="s">
        <v>397</v>
      </c>
      <c r="I42" s="902" t="s">
        <v>354</v>
      </c>
      <c r="J42" s="903"/>
      <c r="K42" s="903"/>
      <c r="L42" s="904"/>
    </row>
    <row r="43" spans="1:12" ht="21.95" customHeight="1" thickBot="1" x14ac:dyDescent="0.25">
      <c r="A43" s="340" t="s">
        <v>419</v>
      </c>
      <c r="B43" s="339" t="s">
        <v>418</v>
      </c>
      <c r="C43" s="323" t="s">
        <v>362</v>
      </c>
      <c r="D43" s="356" t="s">
        <v>416</v>
      </c>
      <c r="E43" s="356" t="s">
        <v>413</v>
      </c>
      <c r="F43" s="356"/>
      <c r="G43" s="323" t="s">
        <v>353</v>
      </c>
      <c r="H43" s="323" t="s">
        <v>390</v>
      </c>
      <c r="I43" s="902" t="s">
        <v>354</v>
      </c>
      <c r="J43" s="903"/>
      <c r="K43" s="903"/>
      <c r="L43" s="904"/>
    </row>
    <row r="44" spans="1:12" ht="15" customHeight="1" thickBot="1" x14ac:dyDescent="0.25">
      <c r="A44" s="925" t="s">
        <v>420</v>
      </c>
      <c r="B44" s="926"/>
      <c r="C44" s="926"/>
      <c r="D44" s="926"/>
      <c r="E44" s="926"/>
      <c r="F44" s="926"/>
      <c r="G44" s="926"/>
      <c r="H44" s="926"/>
      <c r="I44" s="926"/>
      <c r="J44" s="926"/>
      <c r="K44" s="926"/>
      <c r="L44" s="927"/>
    </row>
    <row r="45" spans="1:12" ht="15" customHeight="1" thickBot="1" x14ac:dyDescent="0.25">
      <c r="A45" s="317" t="s">
        <v>421</v>
      </c>
      <c r="B45" s="316"/>
      <c r="C45" s="315"/>
      <c r="D45" s="315"/>
      <c r="E45" s="315"/>
      <c r="F45" s="315"/>
      <c r="G45" s="315"/>
      <c r="H45" s="315"/>
      <c r="I45" s="878"/>
      <c r="J45" s="879"/>
      <c r="K45" s="879"/>
      <c r="L45" s="880"/>
    </row>
    <row r="46" spans="1:12" x14ac:dyDescent="0.2">
      <c r="A46" s="314" t="s">
        <v>189</v>
      </c>
      <c r="B46" s="313"/>
      <c r="C46" s="313"/>
      <c r="D46" s="313"/>
      <c r="E46" s="313"/>
      <c r="F46" s="313"/>
      <c r="G46" s="313"/>
      <c r="H46" s="313"/>
      <c r="I46" s="313"/>
      <c r="J46" s="313"/>
      <c r="K46" s="313"/>
      <c r="L46" s="312"/>
    </row>
    <row r="47" spans="1:12" x14ac:dyDescent="0.2">
      <c r="A47" s="336" t="s">
        <v>422</v>
      </c>
      <c r="L47" s="310"/>
    </row>
    <row r="48" spans="1:12" x14ac:dyDescent="0.2">
      <c r="A48" s="311" t="s">
        <v>423</v>
      </c>
      <c r="L48" s="310"/>
    </row>
    <row r="49" spans="1:12" ht="13.5" thickBot="1" x14ac:dyDescent="0.25">
      <c r="A49" s="309" t="s">
        <v>424</v>
      </c>
      <c r="B49" s="308"/>
      <c r="C49" s="308"/>
      <c r="D49" s="308"/>
      <c r="E49" s="308"/>
      <c r="F49" s="308"/>
      <c r="G49" s="308"/>
      <c r="H49" s="308"/>
      <c r="I49" s="308"/>
      <c r="J49" s="308"/>
      <c r="K49" s="308"/>
      <c r="L49" s="307"/>
    </row>
  </sheetData>
  <mergeCells count="45">
    <mergeCell ref="I45:L45"/>
    <mergeCell ref="A36:L36"/>
    <mergeCell ref="A44:L44"/>
    <mergeCell ref="I39:L39"/>
    <mergeCell ref="I24:L24"/>
    <mergeCell ref="I43:L43"/>
    <mergeCell ref="A26:L26"/>
    <mergeCell ref="I40:L40"/>
    <mergeCell ref="I35:L35"/>
    <mergeCell ref="I42:L42"/>
    <mergeCell ref="I38:L38"/>
    <mergeCell ref="I41:L41"/>
    <mergeCell ref="I34:L34"/>
    <mergeCell ref="A1:B8"/>
    <mergeCell ref="I9:L11"/>
    <mergeCell ref="L1:L8"/>
    <mergeCell ref="A9:A11"/>
    <mergeCell ref="I37:L37"/>
    <mergeCell ref="I32:L32"/>
    <mergeCell ref="D9:D11"/>
    <mergeCell ref="A19:L19"/>
    <mergeCell ref="H9:H11"/>
    <mergeCell ref="A12:L12"/>
    <mergeCell ref="B9:B11"/>
    <mergeCell ref="C9:C11"/>
    <mergeCell ref="G9:G11"/>
    <mergeCell ref="I15:L15"/>
    <mergeCell ref="E9:E11"/>
    <mergeCell ref="I13:L13"/>
    <mergeCell ref="I14:L14"/>
    <mergeCell ref="I17:L17"/>
    <mergeCell ref="I18:L18"/>
    <mergeCell ref="F9:F11"/>
    <mergeCell ref="I33:L33"/>
    <mergeCell ref="I27:L27"/>
    <mergeCell ref="I30:L30"/>
    <mergeCell ref="I16:L16"/>
    <mergeCell ref="I28:L28"/>
    <mergeCell ref="I29:L29"/>
    <mergeCell ref="I20:L20"/>
    <mergeCell ref="I21:L21"/>
    <mergeCell ref="I22:L22"/>
    <mergeCell ref="I23:L23"/>
    <mergeCell ref="I31:L31"/>
    <mergeCell ref="I25:L25"/>
  </mergeCells>
  <pageMargins left="0.7" right="0.7" top="0.75" bottom="0.75" header="0.3" footer="0.3"/>
  <pageSetup paperSize="8" scale="67"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0267D-6F84-46EF-944B-957466D71A5D}">
  <sheetPr>
    <tabColor rgb="FF00B0F0"/>
    <pageSetUpPr fitToPage="1"/>
  </sheetPr>
  <dimension ref="A1:P25"/>
  <sheetViews>
    <sheetView zoomScaleNormal="100" workbookViewId="0">
      <selection activeCell="O1" sqref="O1:P8"/>
    </sheetView>
  </sheetViews>
  <sheetFormatPr defaultColWidth="9.140625" defaultRowHeight="12.75" x14ac:dyDescent="0.2"/>
  <cols>
    <col min="1" max="1" width="15.140625" style="80" customWidth="1"/>
    <col min="2" max="2" width="20.140625" style="80" customWidth="1"/>
    <col min="3" max="3" width="10.7109375" style="80" customWidth="1"/>
    <col min="4" max="4" width="12.42578125" style="80" customWidth="1"/>
    <col min="5" max="5" width="23.42578125" style="80" customWidth="1"/>
    <col min="6" max="6" width="10.28515625" style="80" customWidth="1"/>
    <col min="7" max="7" width="22.28515625" style="80" customWidth="1"/>
    <col min="8" max="8" width="18.7109375" style="80" bestFit="1" customWidth="1"/>
    <col min="9" max="9" width="16.140625" style="80" customWidth="1"/>
    <col min="10" max="10" width="14.42578125" style="80" customWidth="1"/>
    <col min="11" max="15" width="9.140625" style="80"/>
    <col min="16" max="16" width="20.42578125" style="80" customWidth="1"/>
    <col min="17" max="16384" width="9.140625" style="80"/>
  </cols>
  <sheetData>
    <row r="1" spans="1:16" ht="6.75" customHeight="1" x14ac:dyDescent="0.2">
      <c r="A1" s="138"/>
      <c r="B1" s="152"/>
      <c r="C1" s="385"/>
      <c r="D1" s="335"/>
      <c r="E1" s="334"/>
      <c r="F1" s="334"/>
      <c r="G1" s="334"/>
      <c r="H1" s="334"/>
      <c r="I1" s="334"/>
      <c r="J1" s="334"/>
      <c r="K1" s="334"/>
      <c r="L1" s="334"/>
      <c r="M1" s="334"/>
      <c r="N1" s="333"/>
      <c r="O1" s="890"/>
      <c r="P1" s="891"/>
    </row>
    <row r="2" spans="1:16" ht="12.75" customHeight="1" x14ac:dyDescent="0.2">
      <c r="A2" s="131"/>
      <c r="B2" s="142"/>
      <c r="C2" s="151"/>
      <c r="D2" s="150" t="s">
        <v>71</v>
      </c>
      <c r="E2" s="132">
        <f>'PROJECT SUMMARY'!D3</f>
        <v>0</v>
      </c>
      <c r="F2" s="132"/>
      <c r="G2" s="124"/>
      <c r="H2" s="124"/>
      <c r="I2" s="124"/>
      <c r="J2" s="124"/>
      <c r="K2" s="124"/>
      <c r="L2" s="124"/>
      <c r="M2" s="124"/>
      <c r="N2" s="123"/>
      <c r="O2" s="892"/>
      <c r="P2" s="893"/>
    </row>
    <row r="3" spans="1:16" ht="12.75" customHeight="1" x14ac:dyDescent="0.2">
      <c r="A3" s="131"/>
      <c r="B3" s="142"/>
      <c r="C3" s="151"/>
      <c r="D3" s="128" t="s">
        <v>72</v>
      </c>
      <c r="E3" s="126">
        <f>'PROJECT SUMMARY'!D4</f>
        <v>0</v>
      </c>
      <c r="F3" s="126"/>
      <c r="G3" s="124"/>
      <c r="H3" s="124"/>
      <c r="I3" s="124"/>
      <c r="J3" s="124"/>
      <c r="K3" s="124"/>
      <c r="L3" s="124"/>
      <c r="M3" s="124"/>
      <c r="N3" s="123"/>
      <c r="O3" s="892"/>
      <c r="P3" s="893"/>
    </row>
    <row r="4" spans="1:16" ht="12.75" customHeight="1" x14ac:dyDescent="0.2">
      <c r="A4" s="131"/>
      <c r="B4" s="142"/>
      <c r="C4" s="151"/>
      <c r="D4" s="128" t="s">
        <v>73</v>
      </c>
      <c r="E4" s="126" t="s">
        <v>425</v>
      </c>
      <c r="F4" s="126"/>
      <c r="G4" s="124"/>
      <c r="H4" s="124"/>
      <c r="I4" s="124"/>
      <c r="J4" s="124"/>
      <c r="K4" s="124"/>
      <c r="L4" s="124"/>
      <c r="M4" s="124"/>
      <c r="N4" s="123"/>
      <c r="O4" s="892"/>
      <c r="P4" s="893"/>
    </row>
    <row r="5" spans="1:16" ht="12.75" customHeight="1" x14ac:dyDescent="0.2">
      <c r="A5" s="131"/>
      <c r="B5" s="142"/>
      <c r="C5" s="151"/>
      <c r="D5" s="128" t="s">
        <v>75</v>
      </c>
      <c r="E5" s="126" t="str">
        <f>'PROJECT SUMMARY'!B29</f>
        <v>KEY-SH-M-50-XXX</v>
      </c>
      <c r="F5" s="126"/>
      <c r="G5" s="124"/>
      <c r="H5" s="124"/>
      <c r="I5" s="124"/>
      <c r="J5" s="124"/>
      <c r="K5" s="124"/>
      <c r="L5" s="124"/>
      <c r="M5" s="124"/>
      <c r="N5" s="123"/>
      <c r="O5" s="892"/>
      <c r="P5" s="893"/>
    </row>
    <row r="6" spans="1:16" ht="12.75" customHeight="1" x14ac:dyDescent="0.2">
      <c r="A6" s="131"/>
      <c r="B6" s="142"/>
      <c r="C6" s="151"/>
      <c r="D6" s="128" t="s">
        <v>76</v>
      </c>
      <c r="E6" s="126">
        <f>'PROJECT SUMMARY'!C29</f>
        <v>0</v>
      </c>
      <c r="F6" s="126"/>
      <c r="G6" s="124"/>
      <c r="H6" s="124"/>
      <c r="I6" s="124"/>
      <c r="J6" s="124"/>
      <c r="K6" s="124"/>
      <c r="L6" s="124"/>
      <c r="M6" s="124"/>
      <c r="N6" s="123"/>
      <c r="O6" s="892"/>
      <c r="P6" s="893"/>
    </row>
    <row r="7" spans="1:16" ht="12.75" customHeight="1" x14ac:dyDescent="0.2">
      <c r="A7" s="131"/>
      <c r="B7" s="142"/>
      <c r="C7" s="151"/>
      <c r="D7" s="128" t="s">
        <v>77</v>
      </c>
      <c r="E7" s="126">
        <f>'PROJECT SUMMARY'!D5</f>
        <v>0</v>
      </c>
      <c r="F7" s="126"/>
      <c r="G7" s="124"/>
      <c r="H7" s="124"/>
      <c r="I7" s="124"/>
      <c r="J7" s="124"/>
      <c r="K7" s="124"/>
      <c r="L7" s="124"/>
      <c r="M7" s="124"/>
      <c r="N7" s="123"/>
      <c r="O7" s="892"/>
      <c r="P7" s="893"/>
    </row>
    <row r="8" spans="1:16" ht="5.25" customHeight="1" thickBot="1" x14ac:dyDescent="0.25">
      <c r="A8" s="131"/>
      <c r="B8" s="142"/>
      <c r="C8" s="380"/>
      <c r="D8" s="330"/>
      <c r="E8" s="329"/>
      <c r="F8" s="329"/>
      <c r="G8" s="329"/>
      <c r="H8" s="329"/>
      <c r="I8" s="329"/>
      <c r="J8" s="329"/>
      <c r="K8" s="329"/>
      <c r="L8" s="329"/>
      <c r="M8" s="329"/>
      <c r="N8" s="328"/>
      <c r="O8" s="892"/>
      <c r="P8" s="893"/>
    </row>
    <row r="9" spans="1:16" ht="12.75" customHeight="1" x14ac:dyDescent="0.2">
      <c r="A9" s="935" t="s">
        <v>199</v>
      </c>
      <c r="B9" s="938" t="s">
        <v>200</v>
      </c>
      <c r="C9" s="947" t="s">
        <v>426</v>
      </c>
      <c r="D9" s="947" t="s">
        <v>427</v>
      </c>
      <c r="E9" s="938" t="s">
        <v>205</v>
      </c>
      <c r="F9" s="947" t="s">
        <v>428</v>
      </c>
      <c r="G9" s="947" t="s">
        <v>429</v>
      </c>
      <c r="H9" s="327"/>
      <c r="I9" s="938" t="s">
        <v>209</v>
      </c>
      <c r="J9" s="947" t="s">
        <v>430</v>
      </c>
      <c r="K9" s="938" t="s">
        <v>431</v>
      </c>
      <c r="L9" s="938"/>
      <c r="M9" s="941"/>
      <c r="N9" s="941"/>
      <c r="O9" s="941"/>
      <c r="P9" s="942"/>
    </row>
    <row r="10" spans="1:16" x14ac:dyDescent="0.2">
      <c r="A10" s="936"/>
      <c r="B10" s="939"/>
      <c r="C10" s="948"/>
      <c r="D10" s="948"/>
      <c r="E10" s="939"/>
      <c r="F10" s="948"/>
      <c r="G10" s="948"/>
      <c r="H10" s="326" t="s">
        <v>432</v>
      </c>
      <c r="I10" s="939"/>
      <c r="J10" s="948"/>
      <c r="K10" s="943"/>
      <c r="L10" s="943"/>
      <c r="M10" s="939"/>
      <c r="N10" s="939"/>
      <c r="O10" s="939"/>
      <c r="P10" s="944"/>
    </row>
    <row r="11" spans="1:16" ht="23.25" customHeight="1" thickBot="1" x14ac:dyDescent="0.25">
      <c r="A11" s="937"/>
      <c r="B11" s="940"/>
      <c r="C11" s="326" t="s">
        <v>433</v>
      </c>
      <c r="D11" s="326" t="s">
        <v>433</v>
      </c>
      <c r="E11" s="940"/>
      <c r="F11" s="949"/>
      <c r="G11" s="949"/>
      <c r="H11" s="326"/>
      <c r="I11" s="387" t="s">
        <v>434</v>
      </c>
      <c r="J11" s="949"/>
      <c r="K11" s="945"/>
      <c r="L11" s="945"/>
      <c r="M11" s="940"/>
      <c r="N11" s="940"/>
      <c r="O11" s="940"/>
      <c r="P11" s="946"/>
    </row>
    <row r="12" spans="1:16" ht="3.75" customHeight="1" thickBot="1" x14ac:dyDescent="0.25">
      <c r="A12" s="377"/>
      <c r="B12" s="376"/>
      <c r="C12" s="375"/>
      <c r="D12" s="375"/>
      <c r="E12" s="376"/>
      <c r="F12" s="376"/>
      <c r="G12" s="375"/>
      <c r="H12" s="375"/>
      <c r="I12" s="375"/>
      <c r="J12" s="375"/>
      <c r="K12" s="375"/>
      <c r="L12" s="375"/>
      <c r="M12" s="376"/>
      <c r="N12" s="376"/>
      <c r="O12" s="376"/>
      <c r="P12" s="386"/>
    </row>
    <row r="13" spans="1:16" ht="20.100000000000001" customHeight="1" x14ac:dyDescent="0.2">
      <c r="A13" s="325"/>
      <c r="B13" s="323"/>
      <c r="C13" s="320"/>
      <c r="D13" s="320"/>
      <c r="E13" s="320"/>
      <c r="F13" s="320"/>
      <c r="G13" s="320"/>
      <c r="H13" s="320"/>
      <c r="I13" s="320" t="s">
        <v>435</v>
      </c>
      <c r="J13" s="320"/>
      <c r="K13" s="933"/>
      <c r="L13" s="933"/>
      <c r="M13" s="933"/>
      <c r="N13" s="933"/>
      <c r="O13" s="933"/>
      <c r="P13" s="934"/>
    </row>
    <row r="14" spans="1:16" ht="20.100000000000001" customHeight="1" x14ac:dyDescent="0.2">
      <c r="A14" s="325"/>
      <c r="B14" s="323"/>
      <c r="C14" s="320"/>
      <c r="D14" s="320"/>
      <c r="E14" s="320"/>
      <c r="F14" s="320"/>
      <c r="G14" s="320"/>
      <c r="H14" s="320"/>
      <c r="I14" s="320" t="s">
        <v>435</v>
      </c>
      <c r="J14" s="320"/>
      <c r="K14" s="933"/>
      <c r="L14" s="933"/>
      <c r="M14" s="933"/>
      <c r="N14" s="933"/>
      <c r="O14" s="933"/>
      <c r="P14" s="934"/>
    </row>
    <row r="15" spans="1:16" ht="20.100000000000001" customHeight="1" x14ac:dyDescent="0.2">
      <c r="A15" s="325"/>
      <c r="B15" s="323"/>
      <c r="C15" s="320"/>
      <c r="D15" s="320"/>
      <c r="E15" s="320"/>
      <c r="F15" s="320"/>
      <c r="G15" s="320"/>
      <c r="H15" s="320"/>
      <c r="I15" s="320" t="s">
        <v>435</v>
      </c>
      <c r="J15" s="320"/>
      <c r="K15" s="933"/>
      <c r="L15" s="933"/>
      <c r="M15" s="933"/>
      <c r="N15" s="933"/>
      <c r="O15" s="933"/>
      <c r="P15" s="934"/>
    </row>
    <row r="16" spans="1:16" ht="20.100000000000001" customHeight="1" x14ac:dyDescent="0.2">
      <c r="A16" s="325"/>
      <c r="B16" s="323"/>
      <c r="C16" s="320"/>
      <c r="D16" s="320"/>
      <c r="E16" s="320"/>
      <c r="F16" s="320"/>
      <c r="G16" s="320"/>
      <c r="H16" s="320"/>
      <c r="I16" s="320" t="s">
        <v>435</v>
      </c>
      <c r="J16" s="320"/>
      <c r="K16" s="933"/>
      <c r="L16" s="933"/>
      <c r="M16" s="933"/>
      <c r="N16" s="933"/>
      <c r="O16" s="933"/>
      <c r="P16" s="934"/>
    </row>
    <row r="17" spans="1:16" ht="20.100000000000001" customHeight="1" x14ac:dyDescent="0.2">
      <c r="A17" s="325"/>
      <c r="B17" s="323"/>
      <c r="C17" s="320"/>
      <c r="D17" s="320"/>
      <c r="E17" s="320"/>
      <c r="F17" s="320"/>
      <c r="G17" s="320"/>
      <c r="H17" s="320"/>
      <c r="I17" s="320" t="s">
        <v>435</v>
      </c>
      <c r="J17" s="320"/>
      <c r="K17" s="933"/>
      <c r="L17" s="933"/>
      <c r="M17" s="933"/>
      <c r="N17" s="933"/>
      <c r="O17" s="933"/>
      <c r="P17" s="934"/>
    </row>
    <row r="18" spans="1:16" ht="20.100000000000001" customHeight="1" x14ac:dyDescent="0.2">
      <c r="A18" s="325"/>
      <c r="B18" s="323"/>
      <c r="C18" s="320"/>
      <c r="D18" s="320"/>
      <c r="E18" s="320"/>
      <c r="F18" s="320"/>
      <c r="G18" s="320"/>
      <c r="H18" s="320"/>
      <c r="I18" s="320" t="s">
        <v>435</v>
      </c>
      <c r="J18" s="320"/>
      <c r="K18" s="933"/>
      <c r="L18" s="933"/>
      <c r="M18" s="933"/>
      <c r="N18" s="933"/>
      <c r="O18" s="933"/>
      <c r="P18" s="934"/>
    </row>
    <row r="19" spans="1:16" ht="20.100000000000001" customHeight="1" x14ac:dyDescent="0.2">
      <c r="A19" s="325"/>
      <c r="B19" s="321"/>
      <c r="C19" s="320"/>
      <c r="D19" s="320"/>
      <c r="E19" s="320"/>
      <c r="F19" s="320"/>
      <c r="G19" s="320"/>
      <c r="H19" s="320"/>
      <c r="I19" s="320" t="s">
        <v>435</v>
      </c>
      <c r="J19" s="320"/>
      <c r="K19" s="933"/>
      <c r="L19" s="933"/>
      <c r="M19" s="933"/>
      <c r="N19" s="933"/>
      <c r="O19" s="933"/>
      <c r="P19" s="934"/>
    </row>
    <row r="20" spans="1:16" ht="20.100000000000001" customHeight="1" x14ac:dyDescent="0.2">
      <c r="A20" s="325"/>
      <c r="B20" s="321"/>
      <c r="C20" s="320"/>
      <c r="D20" s="320"/>
      <c r="E20" s="320"/>
      <c r="F20" s="320"/>
      <c r="G20" s="320"/>
      <c r="H20" s="320"/>
      <c r="I20" s="320" t="s">
        <v>435</v>
      </c>
      <c r="J20" s="320"/>
      <c r="K20" s="933"/>
      <c r="L20" s="933"/>
      <c r="M20" s="933"/>
      <c r="N20" s="933"/>
      <c r="O20" s="933"/>
      <c r="P20" s="934"/>
    </row>
    <row r="21" spans="1:16" ht="20.100000000000001" customHeight="1" thickBot="1" x14ac:dyDescent="0.25">
      <c r="A21" s="317"/>
      <c r="B21" s="316"/>
      <c r="C21" s="315"/>
      <c r="D21" s="315"/>
      <c r="E21" s="315"/>
      <c r="F21" s="315"/>
      <c r="G21" s="315"/>
      <c r="H21" s="315"/>
      <c r="I21" s="315"/>
      <c r="J21" s="315"/>
      <c r="K21" s="931"/>
      <c r="L21" s="931"/>
      <c r="M21" s="931"/>
      <c r="N21" s="931"/>
      <c r="O21" s="931"/>
      <c r="P21" s="932"/>
    </row>
    <row r="22" spans="1:16" x14ac:dyDescent="0.2">
      <c r="A22" s="336" t="s">
        <v>189</v>
      </c>
      <c r="P22" s="310"/>
    </row>
    <row r="23" spans="1:16" x14ac:dyDescent="0.2">
      <c r="A23" s="336"/>
      <c r="P23" s="310"/>
    </row>
    <row r="24" spans="1:16" x14ac:dyDescent="0.2">
      <c r="A24" s="311"/>
      <c r="P24" s="310"/>
    </row>
    <row r="25" spans="1:16" ht="13.5" thickBot="1" x14ac:dyDescent="0.25">
      <c r="A25" s="309"/>
      <c r="B25" s="308"/>
      <c r="C25" s="308"/>
      <c r="D25" s="308"/>
      <c r="E25" s="308"/>
      <c r="F25" s="308"/>
      <c r="G25" s="308"/>
      <c r="H25" s="308"/>
      <c r="I25" s="308"/>
      <c r="J25" s="308"/>
      <c r="K25" s="308"/>
      <c r="L25" s="308"/>
      <c r="M25" s="308"/>
      <c r="N25" s="308"/>
      <c r="O25" s="308"/>
      <c r="P25" s="307"/>
    </row>
  </sheetData>
  <mergeCells count="20">
    <mergeCell ref="A9:A11"/>
    <mergeCell ref="B9:B11"/>
    <mergeCell ref="E9:E11"/>
    <mergeCell ref="I9:I10"/>
    <mergeCell ref="K9:P11"/>
    <mergeCell ref="C9:C10"/>
    <mergeCell ref="D9:D10"/>
    <mergeCell ref="G9:G11"/>
    <mergeCell ref="F9:F11"/>
    <mergeCell ref="J9:J11"/>
    <mergeCell ref="K21:P21"/>
    <mergeCell ref="K19:P19"/>
    <mergeCell ref="K18:P18"/>
    <mergeCell ref="K20:P20"/>
    <mergeCell ref="O1:P8"/>
    <mergeCell ref="K13:P13"/>
    <mergeCell ref="K16:P16"/>
    <mergeCell ref="K15:P15"/>
    <mergeCell ref="K17:P17"/>
    <mergeCell ref="K14:P14"/>
  </mergeCells>
  <pageMargins left="0.7" right="0.7" top="0.75" bottom="0.75" header="0.3" footer="0.3"/>
  <pageSetup paperSize="9" scale="75"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C1944-9235-45F0-AC4A-16C667494277}">
  <sheetPr>
    <tabColor rgb="FF00B0F0"/>
    <pageSetUpPr fitToPage="1"/>
  </sheetPr>
  <dimension ref="A1:L22"/>
  <sheetViews>
    <sheetView zoomScaleNormal="100" workbookViewId="0">
      <selection activeCell="L1" sqref="L1:L8"/>
    </sheetView>
  </sheetViews>
  <sheetFormatPr defaultColWidth="9.140625" defaultRowHeight="12.75" x14ac:dyDescent="0.2"/>
  <cols>
    <col min="1" max="1" width="10" style="80" customWidth="1"/>
    <col min="2" max="2" width="27.28515625" style="80" customWidth="1"/>
    <col min="3" max="4" width="10.7109375" style="80" customWidth="1"/>
    <col min="5" max="7" width="12.5703125" style="80" customWidth="1"/>
    <col min="8" max="8" width="17.140625" style="80" customWidth="1"/>
    <col min="9" max="11" width="9.140625" style="80"/>
    <col min="12" max="12" width="31.85546875" style="80" customWidth="1"/>
    <col min="13" max="16384" width="9.140625" style="80"/>
  </cols>
  <sheetData>
    <row r="1" spans="1:12" ht="6.75" customHeight="1" x14ac:dyDescent="0.2">
      <c r="A1" s="890"/>
      <c r="B1" s="891"/>
      <c r="C1" s="156"/>
      <c r="D1" s="355"/>
      <c r="E1" s="134"/>
      <c r="F1" s="134"/>
      <c r="G1" s="134"/>
      <c r="H1" s="134"/>
      <c r="I1" s="134"/>
      <c r="J1" s="134"/>
      <c r="K1" s="133"/>
      <c r="L1" s="811"/>
    </row>
    <row r="2" spans="1:12" ht="12.75" customHeight="1" x14ac:dyDescent="0.2">
      <c r="A2" s="892"/>
      <c r="B2" s="893"/>
      <c r="C2" s="354" t="s">
        <v>71</v>
      </c>
      <c r="D2" s="352"/>
      <c r="E2" s="353">
        <f>'PROJECT SUMMARY'!D3</f>
        <v>0</v>
      </c>
      <c r="F2" s="132"/>
      <c r="G2" s="132"/>
      <c r="H2" s="125"/>
      <c r="I2" s="124"/>
      <c r="J2" s="124"/>
      <c r="K2" s="123"/>
      <c r="L2" s="812"/>
    </row>
    <row r="3" spans="1:12" ht="12.75" customHeight="1" x14ac:dyDescent="0.2">
      <c r="A3" s="892"/>
      <c r="B3" s="893"/>
      <c r="C3" s="129" t="s">
        <v>72</v>
      </c>
      <c r="D3" s="352"/>
      <c r="E3" s="353">
        <f>'PROJECT SUMMARY'!D4</f>
        <v>0</v>
      </c>
      <c r="F3" s="126"/>
      <c r="G3" s="126"/>
      <c r="H3" s="125"/>
      <c r="I3" s="124"/>
      <c r="J3" s="124"/>
      <c r="K3" s="123"/>
      <c r="L3" s="812"/>
    </row>
    <row r="4" spans="1:12" ht="12.75" customHeight="1" x14ac:dyDescent="0.2">
      <c r="A4" s="892"/>
      <c r="B4" s="893"/>
      <c r="C4" s="129" t="s">
        <v>73</v>
      </c>
      <c r="D4" s="352"/>
      <c r="E4" s="126" t="s">
        <v>436</v>
      </c>
      <c r="F4" s="126"/>
      <c r="G4" s="126"/>
      <c r="H4" s="125"/>
      <c r="I4" s="124"/>
      <c r="J4" s="124"/>
      <c r="K4" s="123"/>
      <c r="L4" s="812"/>
    </row>
    <row r="5" spans="1:12" ht="12.75" customHeight="1" x14ac:dyDescent="0.2">
      <c r="A5" s="892"/>
      <c r="B5" s="893"/>
      <c r="C5" s="129" t="s">
        <v>75</v>
      </c>
      <c r="D5" s="352"/>
      <c r="E5" s="126" t="str">
        <f>'PROJECT SUMMARY'!B30</f>
        <v>KEY-SH-M-50-XXX</v>
      </c>
      <c r="F5" s="126"/>
      <c r="G5" s="126"/>
      <c r="H5" s="125"/>
      <c r="I5" s="124"/>
      <c r="J5" s="124"/>
      <c r="K5" s="123"/>
      <c r="L5" s="812"/>
    </row>
    <row r="6" spans="1:12" ht="12.75" customHeight="1" x14ac:dyDescent="0.2">
      <c r="A6" s="892"/>
      <c r="B6" s="893"/>
      <c r="C6" s="129" t="s">
        <v>76</v>
      </c>
      <c r="D6" s="352"/>
      <c r="E6" s="353">
        <f>'PROJECT SUMMARY'!C30</f>
        <v>0</v>
      </c>
      <c r="F6" s="126"/>
      <c r="G6" s="126"/>
      <c r="H6" s="125"/>
      <c r="I6" s="124"/>
      <c r="J6" s="124"/>
      <c r="K6" s="123"/>
      <c r="L6" s="812"/>
    </row>
    <row r="7" spans="1:12" ht="12.75" customHeight="1" x14ac:dyDescent="0.2">
      <c r="A7" s="892"/>
      <c r="B7" s="893"/>
      <c r="C7" s="350" t="s">
        <v>77</v>
      </c>
      <c r="D7" s="349"/>
      <c r="E7" s="389">
        <f>'PROJECT SUMMARY'!D5</f>
        <v>0</v>
      </c>
      <c r="F7" s="347"/>
      <c r="G7" s="347"/>
      <c r="H7" s="346"/>
      <c r="I7" s="345"/>
      <c r="J7" s="345"/>
      <c r="K7" s="344"/>
      <c r="L7" s="812"/>
    </row>
    <row r="8" spans="1:12" ht="5.25" customHeight="1" thickBot="1" x14ac:dyDescent="0.25">
      <c r="A8" s="894"/>
      <c r="B8" s="895"/>
      <c r="C8" s="343"/>
      <c r="D8" s="342"/>
      <c r="E8" s="118"/>
      <c r="F8" s="118"/>
      <c r="G8" s="118"/>
      <c r="H8" s="118"/>
      <c r="I8" s="118"/>
      <c r="J8" s="118"/>
      <c r="K8" s="117"/>
      <c r="L8" s="813"/>
    </row>
    <row r="9" spans="1:12" ht="12.75" customHeight="1" x14ac:dyDescent="0.2">
      <c r="A9" s="887" t="s">
        <v>199</v>
      </c>
      <c r="B9" s="896" t="s">
        <v>437</v>
      </c>
      <c r="C9" s="887" t="s">
        <v>301</v>
      </c>
      <c r="D9" s="887" t="s">
        <v>202</v>
      </c>
      <c r="E9" s="899" t="s">
        <v>269</v>
      </c>
      <c r="F9" s="887" t="s">
        <v>438</v>
      </c>
      <c r="G9" s="947" t="s">
        <v>428</v>
      </c>
      <c r="H9" s="887" t="s">
        <v>111</v>
      </c>
      <c r="I9" s="867" t="s">
        <v>258</v>
      </c>
      <c r="J9" s="857"/>
      <c r="K9" s="857"/>
      <c r="L9" s="860"/>
    </row>
    <row r="10" spans="1:12" x14ac:dyDescent="0.2">
      <c r="A10" s="888"/>
      <c r="B10" s="897"/>
      <c r="C10" s="888"/>
      <c r="D10" s="888"/>
      <c r="E10" s="900"/>
      <c r="F10" s="888"/>
      <c r="G10" s="948"/>
      <c r="H10" s="888"/>
      <c r="I10" s="868"/>
      <c r="J10" s="858"/>
      <c r="K10" s="858"/>
      <c r="L10" s="861"/>
    </row>
    <row r="11" spans="1:12" ht="13.5" thickBot="1" x14ac:dyDescent="0.25">
      <c r="A11" s="889"/>
      <c r="B11" s="898"/>
      <c r="C11" s="889"/>
      <c r="D11" s="889"/>
      <c r="E11" s="901"/>
      <c r="F11" s="889"/>
      <c r="G11" s="949"/>
      <c r="H11" s="889"/>
      <c r="I11" s="869"/>
      <c r="J11" s="859"/>
      <c r="K11" s="859"/>
      <c r="L11" s="862"/>
    </row>
    <row r="12" spans="1:12" ht="22.5" x14ac:dyDescent="0.2">
      <c r="A12" s="340" t="s">
        <v>439</v>
      </c>
      <c r="B12" s="339" t="s">
        <v>230</v>
      </c>
      <c r="C12" s="323">
        <v>0.44800000000000001</v>
      </c>
      <c r="D12" s="323">
        <v>1</v>
      </c>
      <c r="E12" s="338" t="s">
        <v>440</v>
      </c>
      <c r="F12" s="338" t="s">
        <v>440</v>
      </c>
      <c r="G12" s="338"/>
      <c r="H12" s="320" t="s">
        <v>441</v>
      </c>
      <c r="I12" s="950"/>
      <c r="J12" s="951"/>
      <c r="K12" s="951"/>
      <c r="L12" s="952"/>
    </row>
    <row r="13" spans="1:12" ht="22.5" x14ac:dyDescent="0.2">
      <c r="A13" s="340" t="s">
        <v>442</v>
      </c>
      <c r="B13" s="339" t="s">
        <v>234</v>
      </c>
      <c r="C13" s="323">
        <v>0.35</v>
      </c>
      <c r="D13" s="323">
        <v>1</v>
      </c>
      <c r="E13" s="338" t="s">
        <v>440</v>
      </c>
      <c r="F13" s="338" t="s">
        <v>440</v>
      </c>
      <c r="G13" s="338"/>
      <c r="H13" s="320" t="s">
        <v>441</v>
      </c>
      <c r="I13" s="953"/>
      <c r="J13" s="954"/>
      <c r="K13" s="954"/>
      <c r="L13" s="955"/>
    </row>
    <row r="14" spans="1:12" ht="22.5" x14ac:dyDescent="0.2">
      <c r="A14" s="340" t="s">
        <v>443</v>
      </c>
      <c r="B14" s="339" t="s">
        <v>236</v>
      </c>
      <c r="C14" s="323">
        <v>0.83299999999999996</v>
      </c>
      <c r="D14" s="323">
        <v>1</v>
      </c>
      <c r="E14" s="338" t="s">
        <v>440</v>
      </c>
      <c r="F14" s="338" t="s">
        <v>440</v>
      </c>
      <c r="G14" s="338"/>
      <c r="H14" s="320" t="s">
        <v>441</v>
      </c>
      <c r="I14" s="953"/>
      <c r="J14" s="954"/>
      <c r="K14" s="954"/>
      <c r="L14" s="955"/>
    </row>
    <row r="15" spans="1:12" ht="22.5" x14ac:dyDescent="0.2">
      <c r="A15" s="340" t="s">
        <v>444</v>
      </c>
      <c r="B15" s="339" t="s">
        <v>237</v>
      </c>
      <c r="C15" s="323">
        <v>0.42</v>
      </c>
      <c r="D15" s="323">
        <v>1</v>
      </c>
      <c r="E15" s="338" t="s">
        <v>445</v>
      </c>
      <c r="F15" s="338" t="s">
        <v>445</v>
      </c>
      <c r="G15" s="338"/>
      <c r="H15" s="320" t="s">
        <v>441</v>
      </c>
      <c r="I15" s="953"/>
      <c r="J15" s="954"/>
      <c r="K15" s="954"/>
      <c r="L15" s="955"/>
    </row>
    <row r="16" spans="1:12" ht="22.5" x14ac:dyDescent="0.2">
      <c r="A16" s="340" t="s">
        <v>446</v>
      </c>
      <c r="B16" s="339" t="s">
        <v>238</v>
      </c>
      <c r="C16" s="323">
        <v>0.42</v>
      </c>
      <c r="D16" s="323">
        <v>1</v>
      </c>
      <c r="E16" s="338" t="s">
        <v>447</v>
      </c>
      <c r="F16" s="338" t="s">
        <v>447</v>
      </c>
      <c r="G16" s="338"/>
      <c r="H16" s="320" t="s">
        <v>441</v>
      </c>
      <c r="I16" s="953"/>
      <c r="J16" s="954"/>
      <c r="K16" s="954"/>
      <c r="L16" s="955"/>
    </row>
    <row r="17" spans="1:12" ht="22.5" x14ac:dyDescent="0.2">
      <c r="A17" s="340" t="s">
        <v>448</v>
      </c>
      <c r="B17" s="339" t="s">
        <v>240</v>
      </c>
      <c r="C17" s="323">
        <v>0.16</v>
      </c>
      <c r="D17" s="323">
        <v>1</v>
      </c>
      <c r="E17" s="338" t="s">
        <v>449</v>
      </c>
      <c r="F17" s="338" t="s">
        <v>449</v>
      </c>
      <c r="G17" s="338"/>
      <c r="H17" s="320" t="s">
        <v>441</v>
      </c>
      <c r="I17" s="953"/>
      <c r="J17" s="954"/>
      <c r="K17" s="954"/>
      <c r="L17" s="955"/>
    </row>
    <row r="18" spans="1:12" ht="20.100000000000001" customHeight="1" thickBot="1" x14ac:dyDescent="0.25">
      <c r="A18" s="317"/>
      <c r="B18" s="316"/>
      <c r="C18" s="315"/>
      <c r="D18" s="315"/>
      <c r="E18" s="315"/>
      <c r="F18" s="315"/>
      <c r="G18" s="315"/>
      <c r="H18" s="315"/>
      <c r="I18" s="878"/>
      <c r="J18" s="879"/>
      <c r="K18" s="879"/>
      <c r="L18" s="880"/>
    </row>
    <row r="19" spans="1:12" x14ac:dyDescent="0.2">
      <c r="A19" s="314" t="s">
        <v>189</v>
      </c>
      <c r="B19" s="313"/>
      <c r="C19" s="313"/>
      <c r="D19" s="313"/>
      <c r="E19" s="313"/>
      <c r="F19" s="313"/>
      <c r="G19" s="313"/>
      <c r="H19" s="313"/>
      <c r="I19" s="313"/>
      <c r="J19" s="313"/>
      <c r="K19" s="313"/>
      <c r="L19" s="312"/>
    </row>
    <row r="20" spans="1:12" x14ac:dyDescent="0.2">
      <c r="A20" s="388" t="s">
        <v>450</v>
      </c>
      <c r="L20" s="310"/>
    </row>
    <row r="21" spans="1:12" x14ac:dyDescent="0.2">
      <c r="A21" s="311"/>
      <c r="L21" s="310"/>
    </row>
    <row r="22" spans="1:12" ht="13.5" thickBot="1" x14ac:dyDescent="0.25">
      <c r="A22" s="309"/>
      <c r="B22" s="308"/>
      <c r="C22" s="308"/>
      <c r="D22" s="308"/>
      <c r="E22" s="308"/>
      <c r="F22" s="308"/>
      <c r="G22" s="308"/>
      <c r="H22" s="308"/>
      <c r="I22" s="308"/>
      <c r="J22" s="308"/>
      <c r="K22" s="308"/>
      <c r="L22" s="307"/>
    </row>
  </sheetData>
  <mergeCells count="18">
    <mergeCell ref="I18:L18"/>
    <mergeCell ref="I12:L12"/>
    <mergeCell ref="I13:L13"/>
    <mergeCell ref="I14:L14"/>
    <mergeCell ref="I15:L15"/>
    <mergeCell ref="I17:L17"/>
    <mergeCell ref="I16:L16"/>
    <mergeCell ref="A1:B8"/>
    <mergeCell ref="I9:L11"/>
    <mergeCell ref="L1:L8"/>
    <mergeCell ref="A9:A11"/>
    <mergeCell ref="F9:F11"/>
    <mergeCell ref="B9:B11"/>
    <mergeCell ref="D9:D11"/>
    <mergeCell ref="G9:G11"/>
    <mergeCell ref="H9:H11"/>
    <mergeCell ref="E9:E11"/>
    <mergeCell ref="C9:C11"/>
  </mergeCells>
  <pageMargins left="0.7" right="0.7" top="0.75" bottom="0.75" header="0.3" footer="0.3"/>
  <pageSetup paperSize="9" scale="83"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4CD79-77AC-4CA3-8E87-804BCF4CAF52}">
  <sheetPr>
    <tabColor rgb="FF00B0F0"/>
    <pageSetUpPr fitToPage="1"/>
  </sheetPr>
  <dimension ref="A1:S49"/>
  <sheetViews>
    <sheetView topLeftCell="C1" zoomScaleNormal="100" workbookViewId="0">
      <selection activeCell="S1" sqref="S1:S8"/>
    </sheetView>
  </sheetViews>
  <sheetFormatPr defaultColWidth="9.140625" defaultRowHeight="12.75" x14ac:dyDescent="0.2"/>
  <cols>
    <col min="1" max="1" width="10.7109375" style="80" customWidth="1"/>
    <col min="2" max="2" width="20.42578125" style="80" customWidth="1"/>
    <col min="3" max="4" width="10.7109375" style="80" customWidth="1"/>
    <col min="5" max="5" width="26.42578125" style="80" customWidth="1"/>
    <col min="6" max="11" width="12.42578125" style="80" customWidth="1"/>
    <col min="12" max="12" width="9.5703125" style="80" customWidth="1"/>
    <col min="13" max="14" width="13.140625" style="80" customWidth="1"/>
    <col min="15" max="15" width="15.85546875" style="80" customWidth="1"/>
    <col min="16" max="17" width="9.140625" style="80"/>
    <col min="18" max="18" width="0.5703125" style="80" customWidth="1"/>
    <col min="19" max="19" width="30.85546875" style="80" customWidth="1"/>
    <col min="20" max="16384" width="9.140625" style="80"/>
  </cols>
  <sheetData>
    <row r="1" spans="1:19" ht="6.75" customHeight="1" x14ac:dyDescent="0.2">
      <c r="A1" s="138"/>
      <c r="B1" s="137"/>
      <c r="C1" s="385"/>
      <c r="D1" s="334"/>
      <c r="E1" s="334"/>
      <c r="F1" s="384"/>
      <c r="G1" s="334"/>
      <c r="H1" s="334"/>
      <c r="I1" s="334"/>
      <c r="J1" s="334"/>
      <c r="K1" s="334"/>
      <c r="L1" s="334"/>
      <c r="M1" s="334"/>
      <c r="N1" s="334"/>
      <c r="O1" s="334"/>
      <c r="P1" s="334"/>
      <c r="Q1" s="334"/>
      <c r="R1" s="333"/>
      <c r="S1" s="811"/>
    </row>
    <row r="2" spans="1:19" ht="12.75" customHeight="1" x14ac:dyDescent="0.2">
      <c r="A2" s="131"/>
      <c r="B2" s="130"/>
      <c r="C2" s="151"/>
      <c r="D2" s="124"/>
      <c r="E2" s="383" t="s">
        <v>71</v>
      </c>
      <c r="F2" s="353">
        <f>'PROJECT SUMMARY'!D3</f>
        <v>0</v>
      </c>
      <c r="G2" s="132"/>
      <c r="H2" s="132"/>
      <c r="I2" s="132"/>
      <c r="J2" s="132"/>
      <c r="K2" s="132"/>
      <c r="L2" s="132"/>
      <c r="M2" s="125"/>
      <c r="N2" s="125"/>
      <c r="O2" s="124"/>
      <c r="P2" s="124"/>
      <c r="Q2" s="124"/>
      <c r="R2" s="123"/>
      <c r="S2" s="812"/>
    </row>
    <row r="3" spans="1:19" ht="12.75" customHeight="1" x14ac:dyDescent="0.2">
      <c r="A3" s="131"/>
      <c r="B3" s="130"/>
      <c r="C3" s="151"/>
      <c r="D3" s="124"/>
      <c r="E3" s="382" t="s">
        <v>72</v>
      </c>
      <c r="F3" s="331">
        <f>'PROJECT SUMMARY'!D4</f>
        <v>0</v>
      </c>
      <c r="G3" s="126"/>
      <c r="H3" s="126"/>
      <c r="I3" s="126"/>
      <c r="J3" s="126"/>
      <c r="K3" s="126"/>
      <c r="L3" s="126"/>
      <c r="M3" s="125"/>
      <c r="N3" s="125"/>
      <c r="O3" s="124"/>
      <c r="P3" s="124"/>
      <c r="Q3" s="124"/>
      <c r="R3" s="123"/>
      <c r="S3" s="812"/>
    </row>
    <row r="4" spans="1:19" ht="12.75" customHeight="1" x14ac:dyDescent="0.2">
      <c r="A4" s="131"/>
      <c r="B4" s="130"/>
      <c r="C4" s="151"/>
      <c r="D4" s="124"/>
      <c r="E4" s="382" t="s">
        <v>73</v>
      </c>
      <c r="F4" s="331" t="s">
        <v>451</v>
      </c>
      <c r="G4" s="126"/>
      <c r="H4" s="126"/>
      <c r="I4" s="126"/>
      <c r="J4" s="126"/>
      <c r="K4" s="126"/>
      <c r="L4" s="126"/>
      <c r="M4" s="125"/>
      <c r="N4" s="125"/>
      <c r="O4" s="124"/>
      <c r="P4" s="124"/>
      <c r="Q4" s="124"/>
      <c r="R4" s="123"/>
      <c r="S4" s="812"/>
    </row>
    <row r="5" spans="1:19" ht="12.75" customHeight="1" x14ac:dyDescent="0.2">
      <c r="A5" s="131"/>
      <c r="B5" s="130"/>
      <c r="C5" s="151"/>
      <c r="D5" s="124"/>
      <c r="E5" s="382" t="s">
        <v>75</v>
      </c>
      <c r="F5" s="331" t="str">
        <f>'PROJECT SUMMARY'!B31</f>
        <v>KEY-SH-M-50-XXX</v>
      </c>
      <c r="G5" s="126"/>
      <c r="H5" s="126"/>
      <c r="I5" s="126"/>
      <c r="J5" s="126"/>
      <c r="K5" s="126"/>
      <c r="L5" s="126"/>
      <c r="M5" s="125"/>
      <c r="N5" s="125"/>
      <c r="O5" s="124"/>
      <c r="P5" s="124"/>
      <c r="Q5" s="124"/>
      <c r="R5" s="123"/>
      <c r="S5" s="812"/>
    </row>
    <row r="6" spans="1:19" ht="12.75" customHeight="1" x14ac:dyDescent="0.2">
      <c r="A6" s="131"/>
      <c r="B6" s="130"/>
      <c r="C6" s="151"/>
      <c r="D6" s="124"/>
      <c r="E6" s="382" t="s">
        <v>76</v>
      </c>
      <c r="F6" s="381">
        <f>'PROJECT SUMMARY'!C31</f>
        <v>0</v>
      </c>
      <c r="G6" s="126"/>
      <c r="H6" s="126"/>
      <c r="I6" s="126"/>
      <c r="J6" s="126"/>
      <c r="K6" s="126"/>
      <c r="L6" s="126"/>
      <c r="M6" s="125"/>
      <c r="N6" s="125"/>
      <c r="O6" s="124"/>
      <c r="P6" s="124"/>
      <c r="Q6" s="124"/>
      <c r="R6" s="123"/>
      <c r="S6" s="812"/>
    </row>
    <row r="7" spans="1:19" ht="12.75" customHeight="1" x14ac:dyDescent="0.2">
      <c r="A7" s="131"/>
      <c r="B7" s="130"/>
      <c r="C7" s="151"/>
      <c r="D7" s="124"/>
      <c r="E7" s="382" t="s">
        <v>77</v>
      </c>
      <c r="F7" s="381">
        <f>'PROJECT SUMMARY'!D5</f>
        <v>0</v>
      </c>
      <c r="G7" s="126"/>
      <c r="H7" s="126"/>
      <c r="I7" s="126"/>
      <c r="J7" s="126"/>
      <c r="K7" s="126"/>
      <c r="L7" s="126"/>
      <c r="M7" s="125"/>
      <c r="N7" s="125"/>
      <c r="O7" s="124"/>
      <c r="P7" s="124"/>
      <c r="Q7" s="124"/>
      <c r="R7" s="123"/>
      <c r="S7" s="812"/>
    </row>
    <row r="8" spans="1:19" ht="5.25" customHeight="1" thickBot="1" x14ac:dyDescent="0.25">
      <c r="A8" s="122"/>
      <c r="B8" s="121"/>
      <c r="C8" s="380"/>
      <c r="D8" s="329"/>
      <c r="E8" s="329"/>
      <c r="F8" s="379"/>
      <c r="G8" s="329"/>
      <c r="H8" s="329"/>
      <c r="I8" s="329"/>
      <c r="J8" s="329"/>
      <c r="K8" s="329"/>
      <c r="L8" s="329"/>
      <c r="M8" s="329"/>
      <c r="N8" s="329"/>
      <c r="O8" s="329"/>
      <c r="P8" s="329"/>
      <c r="Q8" s="329"/>
      <c r="R8" s="328"/>
      <c r="S8" s="813"/>
    </row>
    <row r="9" spans="1:19" ht="12.75" customHeight="1" x14ac:dyDescent="0.2">
      <c r="A9" s="956" t="s">
        <v>199</v>
      </c>
      <c r="B9" s="947" t="s">
        <v>200</v>
      </c>
      <c r="C9" s="947" t="s">
        <v>202</v>
      </c>
      <c r="D9" s="947" t="s">
        <v>452</v>
      </c>
      <c r="E9" s="947" t="s">
        <v>111</v>
      </c>
      <c r="F9" s="947" t="s">
        <v>453</v>
      </c>
      <c r="G9" s="947" t="s">
        <v>454</v>
      </c>
      <c r="H9" s="947" t="s">
        <v>455</v>
      </c>
      <c r="I9" s="947" t="s">
        <v>456</v>
      </c>
      <c r="J9" s="947" t="s">
        <v>457</v>
      </c>
      <c r="K9" s="947" t="s">
        <v>458</v>
      </c>
      <c r="L9" s="947" t="s">
        <v>459</v>
      </c>
      <c r="M9" s="947" t="s">
        <v>460</v>
      </c>
      <c r="N9" s="327"/>
      <c r="O9" s="947" t="s">
        <v>461</v>
      </c>
      <c r="P9" s="966" t="s">
        <v>258</v>
      </c>
      <c r="Q9" s="967"/>
      <c r="R9" s="967"/>
      <c r="S9" s="968"/>
    </row>
    <row r="10" spans="1:19" x14ac:dyDescent="0.2">
      <c r="A10" s="957"/>
      <c r="B10" s="948"/>
      <c r="C10" s="948"/>
      <c r="D10" s="948"/>
      <c r="E10" s="948"/>
      <c r="F10" s="948"/>
      <c r="G10" s="948"/>
      <c r="H10" s="948"/>
      <c r="I10" s="948"/>
      <c r="J10" s="948"/>
      <c r="K10" s="948"/>
      <c r="L10" s="948"/>
      <c r="M10" s="948"/>
      <c r="N10" s="326" t="s">
        <v>462</v>
      </c>
      <c r="O10" s="948"/>
      <c r="P10" s="969"/>
      <c r="Q10" s="970"/>
      <c r="R10" s="970"/>
      <c r="S10" s="971"/>
    </row>
    <row r="11" spans="1:19" ht="13.5" thickBot="1" x14ac:dyDescent="0.25">
      <c r="A11" s="958"/>
      <c r="B11" s="949"/>
      <c r="C11" s="949"/>
      <c r="D11" s="326" t="s">
        <v>463</v>
      </c>
      <c r="E11" s="949"/>
      <c r="F11" s="326" t="s">
        <v>433</v>
      </c>
      <c r="G11" s="326" t="s">
        <v>433</v>
      </c>
      <c r="H11" s="949"/>
      <c r="I11" s="949"/>
      <c r="J11" s="949"/>
      <c r="K11" s="326" t="s">
        <v>212</v>
      </c>
      <c r="L11" s="326" t="s">
        <v>464</v>
      </c>
      <c r="M11" s="949"/>
      <c r="N11" s="378"/>
      <c r="O11" s="949"/>
      <c r="P11" s="972"/>
      <c r="Q11" s="973"/>
      <c r="R11" s="973"/>
      <c r="S11" s="974"/>
    </row>
    <row r="12" spans="1:19" ht="3.75" customHeight="1" thickBot="1" x14ac:dyDescent="0.25">
      <c r="A12" s="377"/>
      <c r="B12" s="376"/>
      <c r="C12" s="376"/>
      <c r="D12" s="375"/>
      <c r="E12" s="375"/>
      <c r="F12" s="375"/>
      <c r="G12" s="375"/>
      <c r="H12" s="375"/>
      <c r="I12" s="375"/>
      <c r="J12" s="375"/>
      <c r="K12" s="375"/>
      <c r="L12" s="375"/>
      <c r="M12" s="376"/>
      <c r="N12" s="376"/>
      <c r="O12" s="375"/>
      <c r="P12" s="375"/>
      <c r="Q12" s="375"/>
      <c r="R12" s="375"/>
      <c r="S12" s="374"/>
    </row>
    <row r="13" spans="1:19" ht="11.25" customHeight="1" thickBot="1" x14ac:dyDescent="0.25">
      <c r="A13" s="959" t="s">
        <v>465</v>
      </c>
      <c r="B13" s="960"/>
      <c r="C13" s="960"/>
      <c r="D13" s="960"/>
      <c r="E13" s="960"/>
      <c r="F13" s="960"/>
      <c r="G13" s="960"/>
      <c r="H13" s="960"/>
      <c r="I13" s="960"/>
      <c r="J13" s="960"/>
      <c r="K13" s="960"/>
      <c r="L13" s="960"/>
      <c r="M13" s="960"/>
      <c r="N13" s="960"/>
      <c r="O13" s="960"/>
      <c r="P13" s="960"/>
      <c r="Q13" s="960"/>
      <c r="R13" s="960"/>
      <c r="S13" s="961"/>
    </row>
    <row r="14" spans="1:19" x14ac:dyDescent="0.2">
      <c r="A14" s="371" t="s">
        <v>466</v>
      </c>
      <c r="B14" s="323" t="s">
        <v>467</v>
      </c>
      <c r="C14" s="323">
        <v>1</v>
      </c>
      <c r="D14" s="320">
        <v>24</v>
      </c>
      <c r="E14" s="320" t="s">
        <v>468</v>
      </c>
      <c r="F14" s="323">
        <v>150</v>
      </c>
      <c r="G14" s="323">
        <v>100</v>
      </c>
      <c r="H14" s="319" t="s">
        <v>469</v>
      </c>
      <c r="I14" s="323" t="s">
        <v>470</v>
      </c>
      <c r="J14" s="323"/>
      <c r="K14" s="323"/>
      <c r="L14" s="323"/>
      <c r="M14" s="323">
        <v>35</v>
      </c>
      <c r="N14" s="323"/>
      <c r="O14" s="323" t="s">
        <v>471</v>
      </c>
      <c r="P14" s="964"/>
      <c r="Q14" s="964"/>
      <c r="R14" s="964"/>
      <c r="S14" s="965"/>
    </row>
    <row r="15" spans="1:19" x14ac:dyDescent="0.2">
      <c r="A15" s="372" t="s">
        <v>472</v>
      </c>
      <c r="B15" s="323" t="s">
        <v>467</v>
      </c>
      <c r="C15" s="319">
        <v>1</v>
      </c>
      <c r="D15" s="321">
        <v>24</v>
      </c>
      <c r="E15" s="320" t="s">
        <v>468</v>
      </c>
      <c r="F15" s="323">
        <v>150</v>
      </c>
      <c r="G15" s="323">
        <v>100</v>
      </c>
      <c r="H15" s="319" t="s">
        <v>469</v>
      </c>
      <c r="I15" s="323" t="s">
        <v>470</v>
      </c>
      <c r="J15" s="323"/>
      <c r="K15" s="319"/>
      <c r="L15" s="319"/>
      <c r="M15" s="323">
        <v>35</v>
      </c>
      <c r="N15" s="323"/>
      <c r="O15" s="323" t="s">
        <v>471</v>
      </c>
      <c r="P15" s="962"/>
      <c r="Q15" s="962"/>
      <c r="R15" s="962"/>
      <c r="S15" s="963"/>
    </row>
    <row r="16" spans="1:19" x14ac:dyDescent="0.2">
      <c r="A16" s="372" t="s">
        <v>473</v>
      </c>
      <c r="B16" s="323" t="s">
        <v>54</v>
      </c>
      <c r="C16" s="319">
        <v>1</v>
      </c>
      <c r="D16" s="321">
        <v>11</v>
      </c>
      <c r="E16" s="320" t="s">
        <v>468</v>
      </c>
      <c r="F16" s="323">
        <v>150</v>
      </c>
      <c r="G16" s="323">
        <v>100</v>
      </c>
      <c r="H16" s="319" t="s">
        <v>469</v>
      </c>
      <c r="I16" s="323" t="s">
        <v>470</v>
      </c>
      <c r="J16" s="323"/>
      <c r="K16" s="319"/>
      <c r="L16" s="319"/>
      <c r="M16" s="323">
        <v>35</v>
      </c>
      <c r="N16" s="323"/>
      <c r="O16" s="323" t="s">
        <v>471</v>
      </c>
      <c r="P16" s="962"/>
      <c r="Q16" s="962"/>
      <c r="R16" s="962"/>
      <c r="S16" s="963"/>
    </row>
    <row r="17" spans="1:19" x14ac:dyDescent="0.2">
      <c r="A17" s="372" t="s">
        <v>474</v>
      </c>
      <c r="B17" s="323" t="s">
        <v>54</v>
      </c>
      <c r="C17" s="319">
        <v>1</v>
      </c>
      <c r="D17" s="321">
        <v>11</v>
      </c>
      <c r="E17" s="320" t="s">
        <v>468</v>
      </c>
      <c r="F17" s="323">
        <v>150</v>
      </c>
      <c r="G17" s="323">
        <v>100</v>
      </c>
      <c r="H17" s="319" t="s">
        <v>469</v>
      </c>
      <c r="I17" s="323" t="s">
        <v>470</v>
      </c>
      <c r="J17" s="323"/>
      <c r="K17" s="319"/>
      <c r="L17" s="319"/>
      <c r="M17" s="323">
        <v>35</v>
      </c>
      <c r="N17" s="323"/>
      <c r="O17" s="323" t="s">
        <v>471</v>
      </c>
      <c r="P17" s="962"/>
      <c r="Q17" s="962"/>
      <c r="R17" s="962"/>
      <c r="S17" s="963"/>
    </row>
    <row r="18" spans="1:19" x14ac:dyDescent="0.2">
      <c r="A18" s="372" t="s">
        <v>475</v>
      </c>
      <c r="B18" s="323" t="s">
        <v>476</v>
      </c>
      <c r="C18" s="319">
        <v>1</v>
      </c>
      <c r="D18" s="321">
        <v>30</v>
      </c>
      <c r="E18" s="320" t="s">
        <v>468</v>
      </c>
      <c r="F18" s="323">
        <v>150</v>
      </c>
      <c r="G18" s="323">
        <v>100</v>
      </c>
      <c r="H18" s="319" t="s">
        <v>469</v>
      </c>
      <c r="I18" s="323" t="s">
        <v>470</v>
      </c>
      <c r="J18" s="323"/>
      <c r="K18" s="319"/>
      <c r="L18" s="319"/>
      <c r="M18" s="323">
        <v>35</v>
      </c>
      <c r="N18" s="323"/>
      <c r="O18" s="323" t="s">
        <v>471</v>
      </c>
      <c r="P18" s="962"/>
      <c r="Q18" s="962"/>
      <c r="R18" s="962"/>
      <c r="S18" s="963"/>
    </row>
    <row r="19" spans="1:19" x14ac:dyDescent="0.2">
      <c r="A19" s="372" t="s">
        <v>477</v>
      </c>
      <c r="B19" s="323" t="s">
        <v>476</v>
      </c>
      <c r="C19" s="319">
        <v>1</v>
      </c>
      <c r="D19" s="321">
        <v>30</v>
      </c>
      <c r="E19" s="320" t="s">
        <v>468</v>
      </c>
      <c r="F19" s="323">
        <v>150</v>
      </c>
      <c r="G19" s="323">
        <v>100</v>
      </c>
      <c r="H19" s="319" t="s">
        <v>469</v>
      </c>
      <c r="I19" s="323" t="s">
        <v>470</v>
      </c>
      <c r="J19" s="323"/>
      <c r="K19" s="319"/>
      <c r="L19" s="319"/>
      <c r="M19" s="323">
        <v>35</v>
      </c>
      <c r="N19" s="323"/>
      <c r="O19" s="323" t="s">
        <v>471</v>
      </c>
      <c r="P19" s="962"/>
      <c r="Q19" s="962"/>
      <c r="R19" s="962"/>
      <c r="S19" s="963"/>
    </row>
    <row r="20" spans="1:19" x14ac:dyDescent="0.2">
      <c r="A20" s="372" t="s">
        <v>478</v>
      </c>
      <c r="B20" s="323" t="s">
        <v>479</v>
      </c>
      <c r="C20" s="319">
        <v>1</v>
      </c>
      <c r="D20" s="321">
        <v>80</v>
      </c>
      <c r="E20" s="319" t="s">
        <v>480</v>
      </c>
      <c r="F20" s="323" t="s">
        <v>481</v>
      </c>
      <c r="G20" s="319">
        <v>200</v>
      </c>
      <c r="H20" s="319" t="s">
        <v>482</v>
      </c>
      <c r="I20" s="323" t="s">
        <v>470</v>
      </c>
      <c r="J20" s="323"/>
      <c r="K20" s="319"/>
      <c r="L20" s="319"/>
      <c r="M20" s="323">
        <v>35</v>
      </c>
      <c r="N20" s="323"/>
      <c r="O20" s="323" t="s">
        <v>471</v>
      </c>
      <c r="P20" s="962"/>
      <c r="Q20" s="962"/>
      <c r="R20" s="962"/>
      <c r="S20" s="963"/>
    </row>
    <row r="21" spans="1:19" x14ac:dyDescent="0.2">
      <c r="A21" s="372" t="s">
        <v>483</v>
      </c>
      <c r="B21" s="323" t="s">
        <v>484</v>
      </c>
      <c r="C21" s="319">
        <v>1</v>
      </c>
      <c r="D21" s="321">
        <v>70</v>
      </c>
      <c r="E21" s="319" t="s">
        <v>480</v>
      </c>
      <c r="F21" s="323" t="s">
        <v>481</v>
      </c>
      <c r="G21" s="319">
        <v>200</v>
      </c>
      <c r="H21" s="319" t="s">
        <v>482</v>
      </c>
      <c r="I21" s="323" t="s">
        <v>470</v>
      </c>
      <c r="J21" s="323"/>
      <c r="K21" s="319"/>
      <c r="L21" s="319"/>
      <c r="M21" s="323">
        <v>35</v>
      </c>
      <c r="N21" s="323"/>
      <c r="O21" s="323" t="s">
        <v>471</v>
      </c>
      <c r="P21" s="962"/>
      <c r="Q21" s="962"/>
      <c r="R21" s="962"/>
      <c r="S21" s="963"/>
    </row>
    <row r="22" spans="1:19" x14ac:dyDescent="0.2">
      <c r="A22" s="372" t="s">
        <v>485</v>
      </c>
      <c r="B22" s="323" t="s">
        <v>484</v>
      </c>
      <c r="C22" s="319">
        <v>1</v>
      </c>
      <c r="D22" s="321">
        <v>70</v>
      </c>
      <c r="E22" s="319" t="s">
        <v>480</v>
      </c>
      <c r="F22" s="323" t="s">
        <v>481</v>
      </c>
      <c r="G22" s="319">
        <v>200</v>
      </c>
      <c r="H22" s="319" t="s">
        <v>482</v>
      </c>
      <c r="I22" s="323" t="s">
        <v>470</v>
      </c>
      <c r="J22" s="323"/>
      <c r="K22" s="319"/>
      <c r="L22" s="319"/>
      <c r="M22" s="323">
        <v>35</v>
      </c>
      <c r="N22" s="323"/>
      <c r="O22" s="323" t="s">
        <v>471</v>
      </c>
      <c r="P22" s="962"/>
      <c r="Q22" s="962"/>
      <c r="R22" s="962"/>
      <c r="S22" s="963"/>
    </row>
    <row r="23" spans="1:19" x14ac:dyDescent="0.2">
      <c r="A23" s="372" t="s">
        <v>486</v>
      </c>
      <c r="B23" s="323" t="s">
        <v>487</v>
      </c>
      <c r="C23" s="319">
        <v>1</v>
      </c>
      <c r="D23" s="321">
        <v>100</v>
      </c>
      <c r="E23" s="319" t="s">
        <v>480</v>
      </c>
      <c r="F23" s="323" t="s">
        <v>481</v>
      </c>
      <c r="G23" s="319">
        <v>200</v>
      </c>
      <c r="H23" s="319" t="s">
        <v>482</v>
      </c>
      <c r="I23" s="323" t="s">
        <v>470</v>
      </c>
      <c r="J23" s="323"/>
      <c r="K23" s="319"/>
      <c r="L23" s="319"/>
      <c r="M23" s="323">
        <v>35</v>
      </c>
      <c r="N23" s="323"/>
      <c r="O23" s="323" t="s">
        <v>471</v>
      </c>
      <c r="P23" s="962"/>
      <c r="Q23" s="962"/>
      <c r="R23" s="962"/>
      <c r="S23" s="963"/>
    </row>
    <row r="24" spans="1:19" x14ac:dyDescent="0.2">
      <c r="A24" s="372" t="s">
        <v>488</v>
      </c>
      <c r="B24" s="323" t="s">
        <v>489</v>
      </c>
      <c r="C24" s="319">
        <v>1</v>
      </c>
      <c r="D24" s="321">
        <v>210</v>
      </c>
      <c r="E24" s="319" t="s">
        <v>490</v>
      </c>
      <c r="F24" s="323" t="s">
        <v>351</v>
      </c>
      <c r="G24" s="319">
        <v>300</v>
      </c>
      <c r="H24" s="319" t="s">
        <v>482</v>
      </c>
      <c r="I24" s="323" t="s">
        <v>470</v>
      </c>
      <c r="J24" s="323"/>
      <c r="K24" s="319"/>
      <c r="L24" s="319"/>
      <c r="M24" s="323">
        <v>35</v>
      </c>
      <c r="N24" s="323"/>
      <c r="O24" s="323" t="s">
        <v>491</v>
      </c>
      <c r="P24" s="962"/>
      <c r="Q24" s="962"/>
      <c r="R24" s="962"/>
      <c r="S24" s="963"/>
    </row>
    <row r="25" spans="1:19" x14ac:dyDescent="0.2">
      <c r="A25" s="372" t="s">
        <v>492</v>
      </c>
      <c r="B25" s="323" t="s">
        <v>489</v>
      </c>
      <c r="C25" s="319">
        <v>1</v>
      </c>
      <c r="D25" s="321">
        <v>210</v>
      </c>
      <c r="E25" s="319" t="s">
        <v>490</v>
      </c>
      <c r="F25" s="323" t="s">
        <v>351</v>
      </c>
      <c r="G25" s="319">
        <v>300</v>
      </c>
      <c r="H25" s="319" t="s">
        <v>482</v>
      </c>
      <c r="I25" s="323" t="s">
        <v>470</v>
      </c>
      <c r="J25" s="323"/>
      <c r="K25" s="319"/>
      <c r="L25" s="319"/>
      <c r="M25" s="323">
        <v>35</v>
      </c>
      <c r="N25" s="323"/>
      <c r="O25" s="323" t="s">
        <v>491</v>
      </c>
      <c r="P25" s="962"/>
      <c r="Q25" s="962"/>
      <c r="R25" s="962"/>
      <c r="S25" s="963"/>
    </row>
    <row r="26" spans="1:19" x14ac:dyDescent="0.2">
      <c r="A26" s="372" t="s">
        <v>493</v>
      </c>
      <c r="B26" s="323" t="s">
        <v>489</v>
      </c>
      <c r="C26" s="319">
        <v>1</v>
      </c>
      <c r="D26" s="321">
        <v>210</v>
      </c>
      <c r="E26" s="319" t="s">
        <v>490</v>
      </c>
      <c r="F26" s="323" t="s">
        <v>351</v>
      </c>
      <c r="G26" s="319">
        <v>300</v>
      </c>
      <c r="H26" s="319" t="s">
        <v>482</v>
      </c>
      <c r="I26" s="323" t="s">
        <v>470</v>
      </c>
      <c r="J26" s="323"/>
      <c r="K26" s="319"/>
      <c r="L26" s="319"/>
      <c r="M26" s="323">
        <v>35</v>
      </c>
      <c r="N26" s="323"/>
      <c r="O26" s="323" t="s">
        <v>491</v>
      </c>
      <c r="P26" s="962"/>
      <c r="Q26" s="962"/>
      <c r="R26" s="962"/>
      <c r="S26" s="963"/>
    </row>
    <row r="27" spans="1:19" x14ac:dyDescent="0.2">
      <c r="A27" s="372" t="s">
        <v>494</v>
      </c>
      <c r="B27" s="323" t="s">
        <v>495</v>
      </c>
      <c r="C27" s="319">
        <v>1</v>
      </c>
      <c r="D27" s="321">
        <v>210</v>
      </c>
      <c r="E27" s="319" t="s">
        <v>490</v>
      </c>
      <c r="F27" s="323" t="s">
        <v>351</v>
      </c>
      <c r="G27" s="319">
        <v>300</v>
      </c>
      <c r="H27" s="319" t="s">
        <v>482</v>
      </c>
      <c r="I27" s="323" t="s">
        <v>470</v>
      </c>
      <c r="J27" s="323"/>
      <c r="K27" s="319"/>
      <c r="L27" s="319"/>
      <c r="M27" s="323">
        <v>35</v>
      </c>
      <c r="N27" s="323"/>
      <c r="O27" s="323" t="s">
        <v>491</v>
      </c>
      <c r="P27" s="962"/>
      <c r="Q27" s="962"/>
      <c r="R27" s="962"/>
      <c r="S27" s="963"/>
    </row>
    <row r="28" spans="1:19" x14ac:dyDescent="0.2">
      <c r="A28" s="372" t="s">
        <v>496</v>
      </c>
      <c r="B28" s="323" t="s">
        <v>497</v>
      </c>
      <c r="C28" s="319">
        <v>1</v>
      </c>
      <c r="D28" s="321">
        <v>20</v>
      </c>
      <c r="E28" s="319" t="s">
        <v>480</v>
      </c>
      <c r="F28" s="323" t="s">
        <v>498</v>
      </c>
      <c r="G28" s="319">
        <v>100</v>
      </c>
      <c r="H28" s="319" t="s">
        <v>482</v>
      </c>
      <c r="I28" s="323" t="s">
        <v>470</v>
      </c>
      <c r="J28" s="323"/>
      <c r="K28" s="319"/>
      <c r="L28" s="319"/>
      <c r="M28" s="323">
        <v>35</v>
      </c>
      <c r="N28" s="323"/>
      <c r="O28" s="323" t="s">
        <v>471</v>
      </c>
      <c r="P28" s="962"/>
      <c r="Q28" s="962"/>
      <c r="R28" s="962"/>
      <c r="S28" s="963"/>
    </row>
    <row r="29" spans="1:19" ht="13.5" thickBot="1" x14ac:dyDescent="0.25">
      <c r="A29" s="372" t="s">
        <v>499</v>
      </c>
      <c r="B29" s="323" t="s">
        <v>500</v>
      </c>
      <c r="C29" s="319">
        <v>1</v>
      </c>
      <c r="D29" s="319">
        <v>20</v>
      </c>
      <c r="E29" s="323" t="s">
        <v>480</v>
      </c>
      <c r="F29" s="323" t="s">
        <v>498</v>
      </c>
      <c r="G29" s="319">
        <v>100</v>
      </c>
      <c r="H29" s="319" t="s">
        <v>482</v>
      </c>
      <c r="I29" s="323" t="s">
        <v>470</v>
      </c>
      <c r="J29" s="323"/>
      <c r="K29" s="319"/>
      <c r="L29" s="319"/>
      <c r="M29" s="323">
        <v>35</v>
      </c>
      <c r="N29" s="323"/>
      <c r="O29" s="323" t="s">
        <v>471</v>
      </c>
      <c r="P29" s="962"/>
      <c r="Q29" s="962"/>
      <c r="R29" s="962"/>
      <c r="S29" s="963"/>
    </row>
    <row r="30" spans="1:19" ht="13.5" thickBot="1" x14ac:dyDescent="0.25">
      <c r="A30" s="959" t="s">
        <v>501</v>
      </c>
      <c r="B30" s="960"/>
      <c r="C30" s="960"/>
      <c r="D30" s="960"/>
      <c r="E30" s="960"/>
      <c r="F30" s="960"/>
      <c r="G30" s="960"/>
      <c r="H30" s="960"/>
      <c r="I30" s="960"/>
      <c r="J30" s="960"/>
      <c r="K30" s="960"/>
      <c r="L30" s="960"/>
      <c r="M30" s="960"/>
      <c r="N30" s="960"/>
      <c r="O30" s="960"/>
      <c r="P30" s="960"/>
      <c r="Q30" s="960"/>
      <c r="R30" s="960"/>
      <c r="S30" s="961"/>
    </row>
    <row r="31" spans="1:19" ht="13.5" thickBot="1" x14ac:dyDescent="0.25">
      <c r="A31" s="371" t="s">
        <v>502</v>
      </c>
      <c r="B31" s="323" t="s">
        <v>500</v>
      </c>
      <c r="C31" s="323">
        <v>1</v>
      </c>
      <c r="D31" s="319">
        <v>20</v>
      </c>
      <c r="E31" s="323" t="s">
        <v>480</v>
      </c>
      <c r="F31" s="323" t="s">
        <v>498</v>
      </c>
      <c r="G31" s="319">
        <v>100</v>
      </c>
      <c r="H31" s="319" t="s">
        <v>482</v>
      </c>
      <c r="I31" s="323" t="s">
        <v>470</v>
      </c>
      <c r="J31" s="323"/>
      <c r="K31" s="319"/>
      <c r="L31" s="319"/>
      <c r="M31" s="323">
        <v>35</v>
      </c>
      <c r="N31" s="323"/>
      <c r="O31" s="323" t="s">
        <v>471</v>
      </c>
      <c r="P31" s="962"/>
      <c r="Q31" s="962"/>
      <c r="R31" s="962"/>
      <c r="S31" s="963"/>
    </row>
    <row r="32" spans="1:19" ht="13.5" thickBot="1" x14ac:dyDescent="0.25">
      <c r="A32" s="959" t="s">
        <v>503</v>
      </c>
      <c r="B32" s="960"/>
      <c r="C32" s="960"/>
      <c r="D32" s="960"/>
      <c r="E32" s="960"/>
      <c r="F32" s="960"/>
      <c r="G32" s="960"/>
      <c r="H32" s="960"/>
      <c r="I32" s="960"/>
      <c r="J32" s="960"/>
      <c r="K32" s="960"/>
      <c r="L32" s="960"/>
      <c r="M32" s="960"/>
      <c r="N32" s="960"/>
      <c r="O32" s="960"/>
      <c r="P32" s="960"/>
      <c r="Q32" s="960"/>
      <c r="R32" s="960"/>
      <c r="S32" s="961"/>
    </row>
    <row r="33" spans="1:19" x14ac:dyDescent="0.2">
      <c r="A33" s="371" t="s">
        <v>504</v>
      </c>
      <c r="B33" s="323" t="s">
        <v>505</v>
      </c>
      <c r="C33" s="323">
        <v>1</v>
      </c>
      <c r="D33" s="319">
        <v>1.3</v>
      </c>
      <c r="E33" s="319" t="s">
        <v>490</v>
      </c>
      <c r="F33" s="323" t="s">
        <v>506</v>
      </c>
      <c r="G33" s="319" t="s">
        <v>469</v>
      </c>
      <c r="H33" s="319" t="s">
        <v>469</v>
      </c>
      <c r="I33" s="323" t="s">
        <v>470</v>
      </c>
      <c r="J33" s="323" t="s">
        <v>313</v>
      </c>
      <c r="K33" s="319"/>
      <c r="L33" s="319"/>
      <c r="M33" s="323">
        <v>35</v>
      </c>
      <c r="N33" s="323"/>
      <c r="O33" s="323" t="s">
        <v>491</v>
      </c>
      <c r="P33" s="962"/>
      <c r="Q33" s="962"/>
      <c r="R33" s="962"/>
      <c r="S33" s="963"/>
    </row>
    <row r="34" spans="1:19" x14ac:dyDescent="0.2">
      <c r="A34" s="371" t="s">
        <v>507</v>
      </c>
      <c r="B34" s="323" t="s">
        <v>505</v>
      </c>
      <c r="C34" s="323">
        <v>1</v>
      </c>
      <c r="D34" s="319">
        <v>1.3</v>
      </c>
      <c r="E34" s="319" t="s">
        <v>490</v>
      </c>
      <c r="F34" s="323" t="s">
        <v>506</v>
      </c>
      <c r="G34" s="319" t="s">
        <v>469</v>
      </c>
      <c r="H34" s="319" t="s">
        <v>469</v>
      </c>
      <c r="I34" s="323" t="s">
        <v>470</v>
      </c>
      <c r="J34" s="323" t="s">
        <v>313</v>
      </c>
      <c r="K34" s="319"/>
      <c r="L34" s="319"/>
      <c r="M34" s="323">
        <v>35</v>
      </c>
      <c r="N34" s="323"/>
      <c r="O34" s="323" t="s">
        <v>491</v>
      </c>
      <c r="P34" s="962"/>
      <c r="Q34" s="962"/>
      <c r="R34" s="962"/>
      <c r="S34" s="963"/>
    </row>
    <row r="35" spans="1:19" x14ac:dyDescent="0.2">
      <c r="A35" s="371" t="s">
        <v>508</v>
      </c>
      <c r="B35" s="323" t="s">
        <v>505</v>
      </c>
      <c r="C35" s="323">
        <v>1</v>
      </c>
      <c r="D35" s="319">
        <v>1.3</v>
      </c>
      <c r="E35" s="319" t="s">
        <v>490</v>
      </c>
      <c r="F35" s="323" t="s">
        <v>506</v>
      </c>
      <c r="G35" s="319" t="s">
        <v>469</v>
      </c>
      <c r="H35" s="319" t="s">
        <v>469</v>
      </c>
      <c r="I35" s="323" t="s">
        <v>470</v>
      </c>
      <c r="J35" s="323" t="s">
        <v>313</v>
      </c>
      <c r="K35" s="319"/>
      <c r="L35" s="319"/>
      <c r="M35" s="323">
        <v>35</v>
      </c>
      <c r="N35" s="323"/>
      <c r="O35" s="323" t="s">
        <v>491</v>
      </c>
      <c r="P35" s="962"/>
      <c r="Q35" s="962"/>
      <c r="R35" s="962"/>
      <c r="S35" s="963"/>
    </row>
    <row r="36" spans="1:19" x14ac:dyDescent="0.2">
      <c r="A36" s="371" t="s">
        <v>509</v>
      </c>
      <c r="B36" s="323" t="s">
        <v>505</v>
      </c>
      <c r="C36" s="323">
        <v>1</v>
      </c>
      <c r="D36" s="319">
        <v>1.3</v>
      </c>
      <c r="E36" s="319" t="s">
        <v>490</v>
      </c>
      <c r="F36" s="323" t="s">
        <v>506</v>
      </c>
      <c r="G36" s="319" t="s">
        <v>469</v>
      </c>
      <c r="H36" s="319" t="s">
        <v>469</v>
      </c>
      <c r="I36" s="323" t="s">
        <v>470</v>
      </c>
      <c r="J36" s="323" t="s">
        <v>313</v>
      </c>
      <c r="K36" s="319"/>
      <c r="L36" s="319"/>
      <c r="M36" s="323">
        <v>35</v>
      </c>
      <c r="N36" s="323"/>
      <c r="O36" s="323" t="s">
        <v>491</v>
      </c>
      <c r="P36" s="962"/>
      <c r="Q36" s="962"/>
      <c r="R36" s="962"/>
      <c r="S36" s="963"/>
    </row>
    <row r="37" spans="1:19" x14ac:dyDescent="0.2">
      <c r="A37" s="371" t="s">
        <v>510</v>
      </c>
      <c r="B37" s="323" t="s">
        <v>505</v>
      </c>
      <c r="C37" s="323">
        <v>1</v>
      </c>
      <c r="D37" s="319">
        <v>1.3</v>
      </c>
      <c r="E37" s="319" t="s">
        <v>490</v>
      </c>
      <c r="F37" s="323" t="s">
        <v>506</v>
      </c>
      <c r="G37" s="319" t="s">
        <v>469</v>
      </c>
      <c r="H37" s="319" t="s">
        <v>469</v>
      </c>
      <c r="I37" s="323" t="s">
        <v>470</v>
      </c>
      <c r="J37" s="323" t="s">
        <v>313</v>
      </c>
      <c r="K37" s="319"/>
      <c r="L37" s="319"/>
      <c r="M37" s="323">
        <v>35</v>
      </c>
      <c r="N37" s="323"/>
      <c r="O37" s="323" t="s">
        <v>491</v>
      </c>
      <c r="P37" s="962"/>
      <c r="Q37" s="962"/>
      <c r="R37" s="962"/>
      <c r="S37" s="963"/>
    </row>
    <row r="38" spans="1:19" ht="13.5" thickBot="1" x14ac:dyDescent="0.25">
      <c r="A38" s="371" t="s">
        <v>511</v>
      </c>
      <c r="B38" s="323" t="s">
        <v>512</v>
      </c>
      <c r="C38" s="323">
        <v>1</v>
      </c>
      <c r="D38" s="319">
        <v>1.3</v>
      </c>
      <c r="E38" s="319" t="s">
        <v>490</v>
      </c>
      <c r="F38" s="323" t="s">
        <v>506</v>
      </c>
      <c r="G38" s="319" t="s">
        <v>469</v>
      </c>
      <c r="H38" s="319" t="s">
        <v>469</v>
      </c>
      <c r="I38" s="323" t="s">
        <v>470</v>
      </c>
      <c r="J38" s="323" t="s">
        <v>313</v>
      </c>
      <c r="K38" s="319"/>
      <c r="L38" s="319"/>
      <c r="M38" s="323">
        <v>35</v>
      </c>
      <c r="N38" s="323"/>
      <c r="O38" s="323" t="s">
        <v>491</v>
      </c>
      <c r="P38" s="962"/>
      <c r="Q38" s="962"/>
      <c r="R38" s="962"/>
      <c r="S38" s="963"/>
    </row>
    <row r="39" spans="1:19" x14ac:dyDescent="0.2">
      <c r="A39" s="314" t="s">
        <v>189</v>
      </c>
      <c r="B39" s="313"/>
      <c r="C39" s="313"/>
      <c r="D39" s="313"/>
      <c r="E39" s="313"/>
      <c r="F39" s="313"/>
      <c r="G39" s="313"/>
      <c r="H39" s="313"/>
      <c r="I39" s="313"/>
      <c r="J39" s="313"/>
      <c r="K39" s="313"/>
      <c r="L39" s="313"/>
      <c r="M39" s="313"/>
      <c r="N39" s="313"/>
      <c r="O39" s="313"/>
      <c r="P39" s="313"/>
      <c r="Q39" s="313"/>
      <c r="R39" s="313"/>
      <c r="S39" s="312"/>
    </row>
    <row r="40" spans="1:19" x14ac:dyDescent="0.2">
      <c r="A40" s="336" t="s">
        <v>513</v>
      </c>
      <c r="S40" s="310"/>
    </row>
    <row r="41" spans="1:19" x14ac:dyDescent="0.2">
      <c r="A41" s="336" t="s">
        <v>514</v>
      </c>
      <c r="S41" s="310"/>
    </row>
    <row r="42" spans="1:19" x14ac:dyDescent="0.2">
      <c r="A42" s="336" t="s">
        <v>515</v>
      </c>
      <c r="S42" s="310"/>
    </row>
    <row r="43" spans="1:19" x14ac:dyDescent="0.2">
      <c r="A43" s="336" t="s">
        <v>516</v>
      </c>
      <c r="S43" s="310"/>
    </row>
    <row r="44" spans="1:19" x14ac:dyDescent="0.2">
      <c r="A44" s="336" t="s">
        <v>517</v>
      </c>
      <c r="S44" s="310"/>
    </row>
    <row r="45" spans="1:19" x14ac:dyDescent="0.2">
      <c r="A45" s="336" t="s">
        <v>518</v>
      </c>
      <c r="S45" s="310"/>
    </row>
    <row r="46" spans="1:19" x14ac:dyDescent="0.2">
      <c r="A46" s="336" t="s">
        <v>519</v>
      </c>
      <c r="S46" s="310"/>
    </row>
    <row r="47" spans="1:19" x14ac:dyDescent="0.2">
      <c r="A47" s="336" t="s">
        <v>520</v>
      </c>
      <c r="S47" s="310"/>
    </row>
    <row r="48" spans="1:19" x14ac:dyDescent="0.2">
      <c r="A48" s="311"/>
      <c r="S48" s="310"/>
    </row>
    <row r="49" spans="1:19" ht="13.5" thickBot="1" x14ac:dyDescent="0.25">
      <c r="A49" s="309"/>
      <c r="B49" s="308"/>
      <c r="C49" s="308"/>
      <c r="D49" s="308"/>
      <c r="E49" s="308"/>
      <c r="F49" s="308"/>
      <c r="G49" s="308"/>
      <c r="H49" s="308"/>
      <c r="I49" s="308"/>
      <c r="J49" s="308"/>
      <c r="K49" s="308"/>
      <c r="L49" s="308"/>
      <c r="M49" s="308"/>
      <c r="N49" s="308"/>
      <c r="O49" s="308"/>
      <c r="P49" s="308"/>
      <c r="Q49" s="308"/>
      <c r="R49" s="308"/>
      <c r="S49" s="307"/>
    </row>
  </sheetData>
  <mergeCells count="42">
    <mergeCell ref="P37:S37"/>
    <mergeCell ref="P31:S31"/>
    <mergeCell ref="A32:S32"/>
    <mergeCell ref="P33:S33"/>
    <mergeCell ref="P34:S34"/>
    <mergeCell ref="P35:S35"/>
    <mergeCell ref="P36:S36"/>
    <mergeCell ref="P25:S25"/>
    <mergeCell ref="P18:S18"/>
    <mergeCell ref="P19:S19"/>
    <mergeCell ref="P16:S16"/>
    <mergeCell ref="L9:L10"/>
    <mergeCell ref="P15:S15"/>
    <mergeCell ref="P21:S21"/>
    <mergeCell ref="P22:S22"/>
    <mergeCell ref="P23:S23"/>
    <mergeCell ref="P24:S24"/>
    <mergeCell ref="S1:S8"/>
    <mergeCell ref="A30:S30"/>
    <mergeCell ref="P38:S38"/>
    <mergeCell ref="P14:S14"/>
    <mergeCell ref="P17:S17"/>
    <mergeCell ref="P29:S29"/>
    <mergeCell ref="P20:S20"/>
    <mergeCell ref="P26:S26"/>
    <mergeCell ref="P27:S27"/>
    <mergeCell ref="P28:S28"/>
    <mergeCell ref="J9:J11"/>
    <mergeCell ref="P9:S11"/>
    <mergeCell ref="I9:I11"/>
    <mergeCell ref="K9:K10"/>
    <mergeCell ref="F9:F10"/>
    <mergeCell ref="M9:M11"/>
    <mergeCell ref="A9:A11"/>
    <mergeCell ref="B9:B11"/>
    <mergeCell ref="A13:S13"/>
    <mergeCell ref="C9:C11"/>
    <mergeCell ref="D9:D10"/>
    <mergeCell ref="E9:E11"/>
    <mergeCell ref="H9:H11"/>
    <mergeCell ref="O9:O11"/>
    <mergeCell ref="G9:G10"/>
  </mergeCells>
  <pageMargins left="0.7" right="0.7" top="0.75" bottom="0.75" header="0.3" footer="0.3"/>
  <pageSetup paperSize="8" scale="79"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A6C98-08FB-418B-9AB4-CD9BFA431258}">
  <sheetPr>
    <tabColor rgb="FF00B0F0"/>
    <pageSetUpPr fitToPage="1"/>
  </sheetPr>
  <dimension ref="A1:M22"/>
  <sheetViews>
    <sheetView zoomScaleNormal="100" workbookViewId="0">
      <selection activeCell="L1" sqref="L1:M8"/>
    </sheetView>
  </sheetViews>
  <sheetFormatPr defaultColWidth="9.140625" defaultRowHeight="12.75" x14ac:dyDescent="0.2"/>
  <cols>
    <col min="1" max="1" width="9.7109375" style="80" customWidth="1"/>
    <col min="2" max="2" width="22.7109375" style="80" customWidth="1"/>
    <col min="3" max="3" width="25.28515625" style="80" customWidth="1"/>
    <col min="4" max="4" width="15.7109375" style="80" customWidth="1"/>
    <col min="5" max="5" width="17.7109375" style="80" customWidth="1"/>
    <col min="6" max="6" width="26.28515625" style="80" customWidth="1"/>
    <col min="7" max="8" width="24.85546875" style="80" customWidth="1"/>
    <col min="9" max="12" width="9.140625" style="80"/>
    <col min="13" max="13" width="20.140625" style="80" customWidth="1"/>
    <col min="14" max="16384" width="9.140625" style="80"/>
  </cols>
  <sheetData>
    <row r="1" spans="1:13" ht="6.75" customHeight="1" x14ac:dyDescent="0.2">
      <c r="A1" s="138"/>
      <c r="B1" s="137"/>
      <c r="C1" s="385"/>
      <c r="D1" s="334"/>
      <c r="E1" s="334"/>
      <c r="F1" s="334"/>
      <c r="G1" s="334"/>
      <c r="H1" s="334"/>
      <c r="I1" s="334"/>
      <c r="J1" s="334"/>
      <c r="K1" s="333"/>
      <c r="L1" s="890"/>
      <c r="M1" s="891"/>
    </row>
    <row r="2" spans="1:13" ht="12.75" customHeight="1" x14ac:dyDescent="0.2">
      <c r="A2" s="131"/>
      <c r="B2" s="130"/>
      <c r="C2" s="151"/>
      <c r="D2" s="150" t="s">
        <v>71</v>
      </c>
      <c r="E2" s="132">
        <f>'PROJECT SUMMARY'!D3</f>
        <v>0</v>
      </c>
      <c r="F2" s="132"/>
      <c r="G2" s="132"/>
      <c r="H2" s="132"/>
      <c r="I2" s="124"/>
      <c r="J2" s="124"/>
      <c r="K2" s="123"/>
      <c r="L2" s="892"/>
      <c r="M2" s="893"/>
    </row>
    <row r="3" spans="1:13" ht="12.75" customHeight="1" x14ac:dyDescent="0.2">
      <c r="A3" s="131"/>
      <c r="B3" s="130"/>
      <c r="C3" s="151"/>
      <c r="D3" s="128" t="s">
        <v>72</v>
      </c>
      <c r="E3" s="126">
        <f>'PROJECT SUMMARY'!D4</f>
        <v>0</v>
      </c>
      <c r="F3" s="126"/>
      <c r="G3" s="126"/>
      <c r="H3" s="126"/>
      <c r="I3" s="124"/>
      <c r="J3" s="124"/>
      <c r="K3" s="123"/>
      <c r="L3" s="892"/>
      <c r="M3" s="893"/>
    </row>
    <row r="4" spans="1:13" ht="12.75" customHeight="1" x14ac:dyDescent="0.2">
      <c r="A4" s="131"/>
      <c r="B4" s="130"/>
      <c r="C4" s="151"/>
      <c r="D4" s="128" t="s">
        <v>73</v>
      </c>
      <c r="E4" s="126" t="s">
        <v>44</v>
      </c>
      <c r="F4" s="126"/>
      <c r="G4" s="126"/>
      <c r="H4" s="126"/>
      <c r="I4" s="124"/>
      <c r="J4" s="124"/>
      <c r="K4" s="123"/>
      <c r="L4" s="892"/>
      <c r="M4" s="893"/>
    </row>
    <row r="5" spans="1:13" ht="12.75" customHeight="1" x14ac:dyDescent="0.2">
      <c r="A5" s="131"/>
      <c r="B5" s="130"/>
      <c r="C5" s="151"/>
      <c r="D5" s="128" t="s">
        <v>75</v>
      </c>
      <c r="E5" s="126" t="str">
        <f>'PROJECT SUMMARY'!B32</f>
        <v>KEY-SH-M-50-XXX</v>
      </c>
      <c r="F5" s="126"/>
      <c r="G5" s="126"/>
      <c r="H5" s="126"/>
      <c r="I5" s="124"/>
      <c r="J5" s="124"/>
      <c r="K5" s="123"/>
      <c r="L5" s="892"/>
      <c r="M5" s="893"/>
    </row>
    <row r="6" spans="1:13" ht="12.75" customHeight="1" x14ac:dyDescent="0.2">
      <c r="A6" s="131"/>
      <c r="B6" s="130"/>
      <c r="C6" s="151"/>
      <c r="D6" s="128" t="s">
        <v>76</v>
      </c>
      <c r="E6" s="126">
        <f>'PROJECT SUMMARY'!C32</f>
        <v>0</v>
      </c>
      <c r="F6" s="126"/>
      <c r="G6" s="126"/>
      <c r="H6" s="126"/>
      <c r="I6" s="124"/>
      <c r="J6" s="124"/>
      <c r="K6" s="123"/>
      <c r="L6" s="892"/>
      <c r="M6" s="893"/>
    </row>
    <row r="7" spans="1:13" ht="12.75" customHeight="1" x14ac:dyDescent="0.2">
      <c r="A7" s="131"/>
      <c r="B7" s="130"/>
      <c r="C7" s="151"/>
      <c r="D7" s="128" t="s">
        <v>77</v>
      </c>
      <c r="E7" s="126">
        <f>'PROJECT SUMMARY'!D5</f>
        <v>0</v>
      </c>
      <c r="F7" s="126"/>
      <c r="G7" s="126"/>
      <c r="H7" s="126"/>
      <c r="I7" s="124"/>
      <c r="J7" s="124"/>
      <c r="K7" s="123"/>
      <c r="L7" s="892"/>
      <c r="M7" s="893"/>
    </row>
    <row r="8" spans="1:13" ht="5.25" customHeight="1" thickBot="1" x14ac:dyDescent="0.25">
      <c r="A8" s="131"/>
      <c r="B8" s="130"/>
      <c r="C8" s="120"/>
      <c r="D8" s="153"/>
      <c r="E8" s="153"/>
      <c r="F8" s="153"/>
      <c r="G8" s="153"/>
      <c r="H8" s="153"/>
      <c r="I8" s="153"/>
      <c r="J8" s="153"/>
      <c r="K8" s="362"/>
      <c r="L8" s="892"/>
      <c r="M8" s="893"/>
    </row>
    <row r="9" spans="1:13" ht="12.75" customHeight="1" x14ac:dyDescent="0.2">
      <c r="A9" s="956" t="s">
        <v>199</v>
      </c>
      <c r="B9" s="977" t="s">
        <v>521</v>
      </c>
      <c r="C9" s="947" t="s">
        <v>111</v>
      </c>
      <c r="D9" s="947" t="s">
        <v>105</v>
      </c>
      <c r="E9" s="947" t="s">
        <v>522</v>
      </c>
      <c r="F9" s="947" t="s">
        <v>523</v>
      </c>
      <c r="G9" s="947" t="s">
        <v>524</v>
      </c>
      <c r="H9" s="947" t="s">
        <v>525</v>
      </c>
      <c r="I9" s="938" t="s">
        <v>258</v>
      </c>
      <c r="J9" s="938"/>
      <c r="K9" s="938"/>
      <c r="L9" s="938"/>
      <c r="M9" s="980"/>
    </row>
    <row r="10" spans="1:13" x14ac:dyDescent="0.2">
      <c r="A10" s="957"/>
      <c r="B10" s="978"/>
      <c r="C10" s="948"/>
      <c r="D10" s="948"/>
      <c r="E10" s="948"/>
      <c r="F10" s="948"/>
      <c r="G10" s="948"/>
      <c r="H10" s="948"/>
      <c r="I10" s="943"/>
      <c r="J10" s="943"/>
      <c r="K10" s="943"/>
      <c r="L10" s="943"/>
      <c r="M10" s="981"/>
    </row>
    <row r="11" spans="1:13" ht="13.5" thickBot="1" x14ac:dyDescent="0.25">
      <c r="A11" s="958"/>
      <c r="B11" s="979"/>
      <c r="C11" s="949"/>
      <c r="D11" s="949"/>
      <c r="E11" s="378" t="s">
        <v>526</v>
      </c>
      <c r="F11" s="378" t="s">
        <v>527</v>
      </c>
      <c r="G11" s="949"/>
      <c r="H11" s="378" t="s">
        <v>527</v>
      </c>
      <c r="I11" s="982"/>
      <c r="J11" s="982"/>
      <c r="K11" s="982"/>
      <c r="L11" s="982"/>
      <c r="M11" s="983"/>
    </row>
    <row r="12" spans="1:13" ht="30" customHeight="1" x14ac:dyDescent="0.2">
      <c r="A12" s="639" t="s">
        <v>528</v>
      </c>
      <c r="B12" s="451" t="s">
        <v>529</v>
      </c>
      <c r="C12" s="636" t="s">
        <v>530</v>
      </c>
      <c r="D12" s="636" t="s">
        <v>106</v>
      </c>
      <c r="E12" s="638">
        <v>2</v>
      </c>
      <c r="F12" s="407" t="s">
        <v>531</v>
      </c>
      <c r="G12" s="407" t="s">
        <v>532</v>
      </c>
      <c r="H12" s="407" t="s">
        <v>533</v>
      </c>
      <c r="I12" s="975" t="s">
        <v>534</v>
      </c>
      <c r="J12" s="975"/>
      <c r="K12" s="975"/>
      <c r="L12" s="975"/>
      <c r="M12" s="976"/>
    </row>
    <row r="13" spans="1:13" ht="30" customHeight="1" x14ac:dyDescent="0.2">
      <c r="A13" s="637" t="s">
        <v>535</v>
      </c>
      <c r="B13" s="407" t="s">
        <v>536</v>
      </c>
      <c r="C13" s="636" t="s">
        <v>530</v>
      </c>
      <c r="D13" s="636" t="s">
        <v>106</v>
      </c>
      <c r="E13" s="638">
        <v>2</v>
      </c>
      <c r="F13" s="407" t="s">
        <v>531</v>
      </c>
      <c r="G13" s="407" t="s">
        <v>532</v>
      </c>
      <c r="H13" s="407" t="s">
        <v>533</v>
      </c>
      <c r="I13" s="975" t="s">
        <v>534</v>
      </c>
      <c r="J13" s="975"/>
      <c r="K13" s="975"/>
      <c r="L13" s="975"/>
      <c r="M13" s="976"/>
    </row>
    <row r="14" spans="1:13" ht="30" customHeight="1" x14ac:dyDescent="0.2">
      <c r="A14" s="637" t="s">
        <v>537</v>
      </c>
      <c r="B14" s="451" t="s">
        <v>538</v>
      </c>
      <c r="C14" s="636" t="s">
        <v>530</v>
      </c>
      <c r="D14" s="636" t="s">
        <v>106</v>
      </c>
      <c r="E14" s="638">
        <v>2</v>
      </c>
      <c r="F14" s="407" t="s">
        <v>531</v>
      </c>
      <c r="G14" s="407" t="s">
        <v>532</v>
      </c>
      <c r="H14" s="407" t="s">
        <v>533</v>
      </c>
      <c r="I14" s="975" t="s">
        <v>534</v>
      </c>
      <c r="J14" s="975"/>
      <c r="K14" s="975"/>
      <c r="L14" s="975"/>
      <c r="M14" s="976"/>
    </row>
    <row r="15" spans="1:13" ht="20.100000000000001" customHeight="1" x14ac:dyDescent="0.2">
      <c r="A15" s="637"/>
      <c r="B15" s="407"/>
      <c r="C15" s="636"/>
      <c r="D15" s="636"/>
      <c r="E15" s="407"/>
      <c r="F15" s="407"/>
      <c r="G15" s="407"/>
      <c r="H15" s="407"/>
      <c r="I15" s="975"/>
      <c r="J15" s="975"/>
      <c r="K15" s="975"/>
      <c r="L15" s="975"/>
      <c r="M15" s="976"/>
    </row>
    <row r="16" spans="1:13" ht="20.100000000000001" customHeight="1" x14ac:dyDescent="0.2">
      <c r="A16" s="632"/>
      <c r="B16" s="635"/>
      <c r="C16" s="634"/>
      <c r="D16" s="634"/>
      <c r="E16" s="447"/>
      <c r="F16" s="465"/>
      <c r="G16" s="447"/>
      <c r="H16" s="447"/>
      <c r="I16" s="984"/>
      <c r="J16" s="984"/>
      <c r="K16" s="984"/>
      <c r="L16" s="984"/>
      <c r="M16" s="985"/>
    </row>
    <row r="17" spans="1:13" ht="20.100000000000001" customHeight="1" thickBot="1" x14ac:dyDescent="0.25">
      <c r="A17" s="401"/>
      <c r="B17" s="633"/>
      <c r="C17" s="399"/>
      <c r="D17" s="399"/>
      <c r="E17" s="399"/>
      <c r="F17" s="399"/>
      <c r="G17" s="399"/>
      <c r="H17" s="399"/>
      <c r="I17" s="855"/>
      <c r="J17" s="855"/>
      <c r="K17" s="855"/>
      <c r="L17" s="855"/>
      <c r="M17" s="856"/>
    </row>
    <row r="18" spans="1:13" x14ac:dyDescent="0.2">
      <c r="A18" s="397" t="s">
        <v>189</v>
      </c>
      <c r="B18" s="396"/>
      <c r="C18" s="396"/>
      <c r="D18" s="396"/>
      <c r="E18" s="396"/>
      <c r="F18" s="396"/>
      <c r="G18" s="396"/>
      <c r="H18" s="396"/>
      <c r="I18" s="396"/>
      <c r="J18" s="396"/>
      <c r="K18" s="396"/>
      <c r="L18" s="396"/>
      <c r="M18" s="395"/>
    </row>
    <row r="19" spans="1:13" x14ac:dyDescent="0.2">
      <c r="A19" s="426" t="s">
        <v>539</v>
      </c>
      <c r="B19" s="139"/>
      <c r="C19" s="139"/>
      <c r="D19" s="139"/>
      <c r="E19" s="139"/>
      <c r="F19" s="139"/>
      <c r="G19" s="139"/>
      <c r="H19" s="139"/>
      <c r="I19" s="139"/>
      <c r="J19" s="139"/>
      <c r="K19" s="139"/>
      <c r="L19" s="139"/>
      <c r="M19" s="393"/>
    </row>
    <row r="20" spans="1:13" x14ac:dyDescent="0.2">
      <c r="A20" s="426"/>
      <c r="B20" s="139"/>
      <c r="C20" s="139"/>
      <c r="D20" s="139"/>
      <c r="E20" s="139"/>
      <c r="F20" s="139"/>
      <c r="G20" s="139"/>
      <c r="H20" s="139"/>
      <c r="I20" s="139"/>
      <c r="J20" s="139"/>
      <c r="K20" s="139"/>
      <c r="L20" s="139"/>
      <c r="M20" s="393"/>
    </row>
    <row r="21" spans="1:13" x14ac:dyDescent="0.2">
      <c r="A21" s="426"/>
      <c r="B21" s="139"/>
      <c r="C21" s="139"/>
      <c r="D21" s="139"/>
      <c r="E21" s="139"/>
      <c r="F21" s="139"/>
      <c r="G21" s="139"/>
      <c r="H21" s="139"/>
      <c r="I21" s="139"/>
      <c r="J21" s="139"/>
      <c r="K21" s="139"/>
      <c r="L21" s="139"/>
      <c r="M21" s="393"/>
    </row>
    <row r="22" spans="1:13" ht="13.5" thickBot="1" x14ac:dyDescent="0.25">
      <c r="A22" s="309"/>
      <c r="B22" s="308"/>
      <c r="C22" s="308"/>
      <c r="D22" s="308"/>
      <c r="E22" s="308"/>
      <c r="F22" s="308"/>
      <c r="G22" s="308"/>
      <c r="H22" s="308"/>
      <c r="I22" s="308"/>
      <c r="J22" s="308"/>
      <c r="K22" s="308"/>
      <c r="L22" s="308"/>
      <c r="M22" s="307"/>
    </row>
  </sheetData>
  <mergeCells count="16">
    <mergeCell ref="I17:M17"/>
    <mergeCell ref="I15:M15"/>
    <mergeCell ref="L1:M8"/>
    <mergeCell ref="I13:M13"/>
    <mergeCell ref="A9:A11"/>
    <mergeCell ref="B9:B11"/>
    <mergeCell ref="C9:C11"/>
    <mergeCell ref="D9:D11"/>
    <mergeCell ref="F9:F10"/>
    <mergeCell ref="I9:M11"/>
    <mergeCell ref="E9:E10"/>
    <mergeCell ref="H9:H10"/>
    <mergeCell ref="G9:G11"/>
    <mergeCell ref="I12:M12"/>
    <mergeCell ref="I16:M16"/>
    <mergeCell ref="I14:M14"/>
  </mergeCells>
  <pageMargins left="0.7" right="0.7" top="0.75" bottom="0.75" header="0.3" footer="0.3"/>
  <pageSetup paperSize="9" scale="4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38DF0-8340-4620-B0AD-32638D04C7AF}">
  <sheetPr>
    <tabColor rgb="FFFFFF00"/>
    <pageSetUpPr fitToPage="1"/>
  </sheetPr>
  <dimension ref="A1:F74"/>
  <sheetViews>
    <sheetView zoomScaleNormal="100" workbookViewId="0">
      <selection activeCell="F1" sqref="F1:F8"/>
    </sheetView>
  </sheetViews>
  <sheetFormatPr defaultColWidth="9.140625" defaultRowHeight="12.75" x14ac:dyDescent="0.2"/>
  <cols>
    <col min="1" max="1" width="16.7109375" style="80" customWidth="1"/>
    <col min="2" max="2" width="25.7109375" style="80" customWidth="1"/>
    <col min="3" max="3" width="10.7109375" style="80" customWidth="1"/>
    <col min="4" max="4" width="13.5703125" style="80" customWidth="1"/>
    <col min="5" max="5" width="34.85546875" style="80" customWidth="1"/>
    <col min="6" max="6" width="33.140625" style="80" customWidth="1"/>
    <col min="7" max="10" width="9.140625" style="80"/>
    <col min="11" max="11" width="12.140625" style="80" customWidth="1"/>
    <col min="12" max="16384" width="9.140625" style="80"/>
  </cols>
  <sheetData>
    <row r="1" spans="1:6" ht="6.75" customHeight="1" x14ac:dyDescent="0.2">
      <c r="A1" s="138"/>
      <c r="B1" s="137"/>
      <c r="C1" s="156"/>
      <c r="D1" s="134"/>
      <c r="E1" s="134"/>
      <c r="F1" s="811"/>
    </row>
    <row r="2" spans="1:6" ht="12.75" customHeight="1" x14ac:dyDescent="0.2">
      <c r="A2" s="131"/>
      <c r="B2" s="130"/>
      <c r="C2" s="151"/>
      <c r="D2" s="150" t="s">
        <v>71</v>
      </c>
      <c r="E2" s="155">
        <f>'PROJECT SUMMARY'!D3</f>
        <v>0</v>
      </c>
      <c r="F2" s="812"/>
    </row>
    <row r="3" spans="1:6" ht="12.75" customHeight="1" x14ac:dyDescent="0.2">
      <c r="A3" s="131"/>
      <c r="B3" s="130"/>
      <c r="C3" s="147"/>
      <c r="D3" s="146" t="s">
        <v>72</v>
      </c>
      <c r="E3" s="154">
        <f>'PROJECT SUMMARY'!D4</f>
        <v>0</v>
      </c>
      <c r="F3" s="812"/>
    </row>
    <row r="4" spans="1:6" ht="12.75" customHeight="1" x14ac:dyDescent="0.2">
      <c r="A4" s="131"/>
      <c r="B4" s="130"/>
      <c r="C4" s="147"/>
      <c r="D4" s="146" t="s">
        <v>73</v>
      </c>
      <c r="E4" s="154" t="s">
        <v>540</v>
      </c>
      <c r="F4" s="812"/>
    </row>
    <row r="5" spans="1:6" ht="12.75" customHeight="1" x14ac:dyDescent="0.2">
      <c r="A5" s="131"/>
      <c r="B5" s="130"/>
      <c r="C5" s="147"/>
      <c r="D5" s="146" t="s">
        <v>75</v>
      </c>
      <c r="E5" s="154" t="str">
        <f>'PROJECT SUMMARY'!B34</f>
        <v>KEY-SH-M-50-XXX</v>
      </c>
      <c r="F5" s="812"/>
    </row>
    <row r="6" spans="1:6" ht="12.75" customHeight="1" x14ac:dyDescent="0.2">
      <c r="A6" s="131"/>
      <c r="B6" s="130"/>
      <c r="C6" s="147"/>
      <c r="D6" s="146" t="s">
        <v>76</v>
      </c>
      <c r="E6" s="154">
        <f>'PROJECT SUMMARY'!C34</f>
        <v>0</v>
      </c>
      <c r="F6" s="812"/>
    </row>
    <row r="7" spans="1:6" ht="12.75" customHeight="1" x14ac:dyDescent="0.2">
      <c r="A7" s="131"/>
      <c r="B7" s="130"/>
      <c r="C7" s="147"/>
      <c r="D7" s="146" t="s">
        <v>77</v>
      </c>
      <c r="E7" s="154">
        <f>'PROJECT SUMMARY'!D5</f>
        <v>0</v>
      </c>
      <c r="F7" s="812"/>
    </row>
    <row r="8" spans="1:6" ht="5.25" customHeight="1" thickBot="1" x14ac:dyDescent="0.25">
      <c r="A8" s="131"/>
      <c r="B8" s="130"/>
      <c r="C8" s="120"/>
      <c r="D8" s="153"/>
      <c r="E8" s="153"/>
      <c r="F8" s="812"/>
    </row>
    <row r="9" spans="1:6" ht="12.75" customHeight="1" x14ac:dyDescent="0.2">
      <c r="A9" s="1007" t="s">
        <v>78</v>
      </c>
      <c r="B9" s="1008"/>
      <c r="C9" s="1008"/>
      <c r="D9" s="1009"/>
      <c r="E9" s="1000" t="s">
        <v>541</v>
      </c>
      <c r="F9" s="1016" t="s">
        <v>80</v>
      </c>
    </row>
    <row r="10" spans="1:6" x14ac:dyDescent="0.2">
      <c r="A10" s="1010"/>
      <c r="B10" s="1011"/>
      <c r="C10" s="1011"/>
      <c r="D10" s="1012"/>
      <c r="E10" s="1001"/>
      <c r="F10" s="1017"/>
    </row>
    <row r="11" spans="1:6" ht="13.5" thickBot="1" x14ac:dyDescent="0.25">
      <c r="A11" s="1013"/>
      <c r="B11" s="1014"/>
      <c r="C11" s="1014"/>
      <c r="D11" s="1015"/>
      <c r="E11" s="1002"/>
      <c r="F11" s="1018"/>
    </row>
    <row r="12" spans="1:6" ht="3.75" customHeight="1" thickBot="1" x14ac:dyDescent="0.25">
      <c r="A12" s="113"/>
      <c r="B12" s="112"/>
      <c r="C12" s="995"/>
      <c r="D12" s="995"/>
      <c r="E12" s="112"/>
      <c r="F12" s="111"/>
    </row>
    <row r="13" spans="1:6" ht="15" customHeight="1" x14ac:dyDescent="0.2">
      <c r="A13" s="527" t="s">
        <v>81</v>
      </c>
      <c r="B13" s="526"/>
      <c r="C13" s="996"/>
      <c r="D13" s="997"/>
      <c r="E13" s="495" t="s">
        <v>542</v>
      </c>
      <c r="F13" s="494"/>
    </row>
    <row r="14" spans="1:6" ht="15" customHeight="1" x14ac:dyDescent="0.2">
      <c r="A14" s="525" t="s">
        <v>543</v>
      </c>
      <c r="B14" s="524"/>
      <c r="C14" s="523"/>
      <c r="D14" s="522"/>
      <c r="E14" s="489" t="s">
        <v>544</v>
      </c>
      <c r="F14" s="488"/>
    </row>
    <row r="15" spans="1:6" ht="15" customHeight="1" x14ac:dyDescent="0.2">
      <c r="A15" s="521" t="s">
        <v>84</v>
      </c>
      <c r="B15" s="520"/>
      <c r="C15" s="998"/>
      <c r="D15" s="999"/>
      <c r="E15" s="489" t="s">
        <v>545</v>
      </c>
      <c r="F15" s="488"/>
    </row>
    <row r="16" spans="1:6" ht="15" customHeight="1" x14ac:dyDescent="0.2">
      <c r="A16" s="521" t="s">
        <v>86</v>
      </c>
      <c r="B16" s="520"/>
      <c r="C16" s="998"/>
      <c r="D16" s="999"/>
      <c r="E16" s="489" t="s">
        <v>546</v>
      </c>
      <c r="F16" s="488"/>
    </row>
    <row r="17" spans="1:6" ht="15" customHeight="1" x14ac:dyDescent="0.2">
      <c r="A17" s="521" t="s">
        <v>88</v>
      </c>
      <c r="B17" s="520"/>
      <c r="C17" s="998"/>
      <c r="D17" s="999"/>
      <c r="E17" s="489"/>
      <c r="F17" s="488"/>
    </row>
    <row r="18" spans="1:6" ht="15" customHeight="1" thickBot="1" x14ac:dyDescent="0.25">
      <c r="A18" s="519" t="s">
        <v>89</v>
      </c>
      <c r="B18" s="518"/>
      <c r="C18" s="1003"/>
      <c r="D18" s="1004"/>
      <c r="E18" s="515"/>
      <c r="F18" s="511"/>
    </row>
    <row r="19" spans="1:6" ht="15" customHeight="1" thickBot="1" x14ac:dyDescent="0.25">
      <c r="A19" s="988" t="s">
        <v>547</v>
      </c>
      <c r="B19" s="989"/>
      <c r="C19" s="989"/>
      <c r="D19" s="989"/>
      <c r="E19" s="989"/>
      <c r="F19" s="990"/>
    </row>
    <row r="20" spans="1:6" ht="15" customHeight="1" x14ac:dyDescent="0.2">
      <c r="A20" s="499" t="s">
        <v>548</v>
      </c>
      <c r="B20" s="498"/>
      <c r="C20" s="986" t="s">
        <v>549</v>
      </c>
      <c r="D20" s="987" t="s">
        <v>122</v>
      </c>
      <c r="E20" s="517" t="s">
        <v>550</v>
      </c>
      <c r="F20" s="494"/>
    </row>
    <row r="21" spans="1:6" ht="15" customHeight="1" x14ac:dyDescent="0.2">
      <c r="A21" s="493"/>
      <c r="B21" s="516"/>
      <c r="C21" s="986" t="s">
        <v>549</v>
      </c>
      <c r="D21" s="987" t="s">
        <v>122</v>
      </c>
      <c r="E21" s="515" t="s">
        <v>551</v>
      </c>
      <c r="F21" s="511"/>
    </row>
    <row r="22" spans="1:6" ht="15" customHeight="1" thickBot="1" x14ac:dyDescent="0.25">
      <c r="A22" s="487"/>
      <c r="B22" s="486"/>
      <c r="C22" s="986" t="s">
        <v>552</v>
      </c>
      <c r="D22" s="987"/>
      <c r="E22" s="514" t="s">
        <v>553</v>
      </c>
      <c r="F22" s="500"/>
    </row>
    <row r="23" spans="1:6" ht="15" customHeight="1" thickBot="1" x14ac:dyDescent="0.25">
      <c r="A23" s="988" t="s">
        <v>554</v>
      </c>
      <c r="B23" s="989"/>
      <c r="C23" s="989"/>
      <c r="D23" s="989"/>
      <c r="E23" s="989"/>
      <c r="F23" s="990"/>
    </row>
    <row r="24" spans="1:6" ht="15" customHeight="1" x14ac:dyDescent="0.2">
      <c r="A24" s="991" t="s">
        <v>555</v>
      </c>
      <c r="B24" s="506" t="s">
        <v>111</v>
      </c>
      <c r="C24" s="1019"/>
      <c r="D24" s="1020" t="s">
        <v>118</v>
      </c>
      <c r="E24" s="495" t="s">
        <v>556</v>
      </c>
      <c r="F24" s="494"/>
    </row>
    <row r="25" spans="1:6" ht="15" customHeight="1" x14ac:dyDescent="0.2">
      <c r="A25" s="992"/>
      <c r="B25" s="505" t="s">
        <v>119</v>
      </c>
      <c r="C25" s="986" t="s">
        <v>118</v>
      </c>
      <c r="D25" s="987" t="s">
        <v>118</v>
      </c>
      <c r="E25" s="504" t="s">
        <v>557</v>
      </c>
      <c r="F25" s="511" t="s">
        <v>558</v>
      </c>
    </row>
    <row r="26" spans="1:6" ht="15" customHeight="1" x14ac:dyDescent="0.2">
      <c r="A26" s="493"/>
      <c r="B26" s="505" t="s">
        <v>156</v>
      </c>
      <c r="C26" s="986"/>
      <c r="D26" s="987"/>
      <c r="E26" s="504" t="s">
        <v>559</v>
      </c>
      <c r="F26" s="511" t="s">
        <v>560</v>
      </c>
    </row>
    <row r="27" spans="1:6" ht="24" x14ac:dyDescent="0.2">
      <c r="A27" s="493"/>
      <c r="B27" s="505" t="s">
        <v>159</v>
      </c>
      <c r="C27" s="986" t="s">
        <v>131</v>
      </c>
      <c r="D27" s="987" t="s">
        <v>131</v>
      </c>
      <c r="E27" s="504"/>
      <c r="F27" s="511" t="s">
        <v>120</v>
      </c>
    </row>
    <row r="28" spans="1:6" ht="15" customHeight="1" x14ac:dyDescent="0.2">
      <c r="A28" s="493"/>
      <c r="B28" s="505" t="s">
        <v>561</v>
      </c>
      <c r="C28" s="986" t="s">
        <v>122</v>
      </c>
      <c r="D28" s="987" t="s">
        <v>122</v>
      </c>
      <c r="E28" s="504" t="s">
        <v>562</v>
      </c>
      <c r="F28" s="511" t="s">
        <v>563</v>
      </c>
    </row>
    <row r="29" spans="1:6" ht="15" customHeight="1" x14ac:dyDescent="0.2">
      <c r="A29" s="493"/>
      <c r="B29" s="505" t="s">
        <v>564</v>
      </c>
      <c r="C29" s="986" t="s">
        <v>122</v>
      </c>
      <c r="D29" s="987" t="s">
        <v>122</v>
      </c>
      <c r="E29" s="504" t="s">
        <v>565</v>
      </c>
      <c r="F29" s="511" t="s">
        <v>566</v>
      </c>
    </row>
    <row r="30" spans="1:6" ht="24.75" thickBot="1" x14ac:dyDescent="0.25">
      <c r="A30" s="487"/>
      <c r="B30" s="486" t="s">
        <v>162</v>
      </c>
      <c r="C30" s="1024" t="s">
        <v>163</v>
      </c>
      <c r="D30" s="1025" t="s">
        <v>163</v>
      </c>
      <c r="E30" s="501"/>
      <c r="F30" s="511" t="s">
        <v>120</v>
      </c>
    </row>
    <row r="31" spans="1:6" ht="15" customHeight="1" x14ac:dyDescent="0.2">
      <c r="A31" s="991" t="s">
        <v>567</v>
      </c>
      <c r="B31" s="506" t="s">
        <v>111</v>
      </c>
      <c r="C31" s="1019"/>
      <c r="D31" s="1020" t="s">
        <v>118</v>
      </c>
      <c r="E31" s="495" t="s">
        <v>556</v>
      </c>
      <c r="F31" s="494"/>
    </row>
    <row r="32" spans="1:6" ht="15" customHeight="1" x14ac:dyDescent="0.2">
      <c r="A32" s="992"/>
      <c r="B32" s="505" t="s">
        <v>119</v>
      </c>
      <c r="C32" s="986" t="s">
        <v>118</v>
      </c>
      <c r="D32" s="987" t="s">
        <v>118</v>
      </c>
      <c r="E32" s="504" t="s">
        <v>562</v>
      </c>
      <c r="F32" s="511" t="s">
        <v>568</v>
      </c>
    </row>
    <row r="33" spans="1:6" ht="15" customHeight="1" x14ac:dyDescent="0.2">
      <c r="A33" s="493"/>
      <c r="B33" s="505" t="s">
        <v>156</v>
      </c>
      <c r="C33" s="986"/>
      <c r="D33" s="987"/>
      <c r="E33" s="504" t="s">
        <v>157</v>
      </c>
      <c r="F33" s="511" t="s">
        <v>560</v>
      </c>
    </row>
    <row r="34" spans="1:6" ht="35.25" customHeight="1" x14ac:dyDescent="0.2">
      <c r="A34" s="493"/>
      <c r="B34" s="505" t="s">
        <v>159</v>
      </c>
      <c r="C34" s="986" t="s">
        <v>131</v>
      </c>
      <c r="D34" s="987" t="s">
        <v>131</v>
      </c>
      <c r="E34" s="504"/>
      <c r="F34" s="511" t="s">
        <v>120</v>
      </c>
    </row>
    <row r="35" spans="1:6" ht="13.5" x14ac:dyDescent="0.2">
      <c r="A35" s="493"/>
      <c r="B35" s="505" t="s">
        <v>561</v>
      </c>
      <c r="C35" s="986" t="s">
        <v>122</v>
      </c>
      <c r="D35" s="987" t="s">
        <v>122</v>
      </c>
      <c r="E35" s="504" t="s">
        <v>569</v>
      </c>
      <c r="F35" s="511" t="s">
        <v>570</v>
      </c>
    </row>
    <row r="36" spans="1:6" ht="15" customHeight="1" x14ac:dyDescent="0.2">
      <c r="A36" s="493"/>
      <c r="B36" s="505" t="s">
        <v>564</v>
      </c>
      <c r="C36" s="986" t="s">
        <v>122</v>
      </c>
      <c r="D36" s="987" t="s">
        <v>122</v>
      </c>
      <c r="E36" s="504" t="s">
        <v>571</v>
      </c>
      <c r="F36" s="511" t="s">
        <v>572</v>
      </c>
    </row>
    <row r="37" spans="1:6" ht="24.75" thickBot="1" x14ac:dyDescent="0.25">
      <c r="A37" s="493"/>
      <c r="B37" s="505" t="s">
        <v>162</v>
      </c>
      <c r="C37" s="993" t="s">
        <v>163</v>
      </c>
      <c r="D37" s="994" t="s">
        <v>163</v>
      </c>
      <c r="E37" s="513"/>
      <c r="F37" s="512" t="s">
        <v>120</v>
      </c>
    </row>
    <row r="38" spans="1:6" ht="24" x14ac:dyDescent="0.2">
      <c r="A38" s="499"/>
      <c r="B38" s="506" t="s">
        <v>36</v>
      </c>
      <c r="C38" s="497"/>
      <c r="D38" s="496"/>
      <c r="E38" s="495" t="s">
        <v>573</v>
      </c>
      <c r="F38" s="494" t="s">
        <v>143</v>
      </c>
    </row>
    <row r="39" spans="1:6" ht="15" customHeight="1" x14ac:dyDescent="0.2">
      <c r="A39" s="493"/>
      <c r="B39" s="505" t="s">
        <v>574</v>
      </c>
      <c r="C39" s="986" t="s">
        <v>142</v>
      </c>
      <c r="D39" s="987" t="s">
        <v>142</v>
      </c>
      <c r="E39" s="504"/>
      <c r="F39" s="511"/>
    </row>
    <row r="40" spans="1:6" ht="24" x14ac:dyDescent="0.2">
      <c r="A40" s="493"/>
      <c r="B40" s="505" t="s">
        <v>132</v>
      </c>
      <c r="C40" s="986" t="s">
        <v>133</v>
      </c>
      <c r="D40" s="987" t="s">
        <v>133</v>
      </c>
      <c r="E40" s="504"/>
      <c r="F40" s="511" t="s">
        <v>143</v>
      </c>
    </row>
    <row r="41" spans="1:6" ht="24" x14ac:dyDescent="0.2">
      <c r="A41" s="493"/>
      <c r="B41" s="505" t="s">
        <v>144</v>
      </c>
      <c r="C41" s="986" t="s">
        <v>118</v>
      </c>
      <c r="D41" s="987" t="s">
        <v>118</v>
      </c>
      <c r="E41" s="504"/>
      <c r="F41" s="511" t="s">
        <v>143</v>
      </c>
    </row>
    <row r="42" spans="1:6" ht="15" customHeight="1" x14ac:dyDescent="0.2">
      <c r="A42" s="493"/>
      <c r="B42" s="505" t="s">
        <v>575</v>
      </c>
      <c r="C42" s="491"/>
      <c r="D42" s="490"/>
      <c r="E42" s="504" t="s">
        <v>576</v>
      </c>
      <c r="F42" s="511" t="s">
        <v>577</v>
      </c>
    </row>
    <row r="43" spans="1:6" ht="24.75" thickBot="1" x14ac:dyDescent="0.25">
      <c r="A43" s="487"/>
      <c r="B43" s="486" t="s">
        <v>578</v>
      </c>
      <c r="C43" s="1024" t="s">
        <v>579</v>
      </c>
      <c r="D43" s="1025" t="s">
        <v>133</v>
      </c>
      <c r="E43" s="501"/>
      <c r="F43" s="500" t="s">
        <v>580</v>
      </c>
    </row>
    <row r="44" spans="1:6" ht="15" customHeight="1" thickBot="1" x14ac:dyDescent="0.25">
      <c r="A44" s="493"/>
      <c r="B44" s="505" t="s">
        <v>581</v>
      </c>
      <c r="C44" s="510"/>
      <c r="D44" s="509"/>
      <c r="E44" s="508"/>
      <c r="F44" s="507"/>
    </row>
    <row r="45" spans="1:6" ht="15" customHeight="1" x14ac:dyDescent="0.2">
      <c r="A45" s="499" t="s">
        <v>582</v>
      </c>
      <c r="B45" s="506"/>
      <c r="C45" s="497"/>
      <c r="D45" s="496" t="s">
        <v>583</v>
      </c>
      <c r="E45" s="495"/>
      <c r="F45" s="1021" t="s">
        <v>584</v>
      </c>
    </row>
    <row r="46" spans="1:6" ht="15" customHeight="1" x14ac:dyDescent="0.2">
      <c r="A46" s="493"/>
      <c r="B46" s="505"/>
      <c r="C46" s="491"/>
      <c r="D46" s="490" t="s">
        <v>585</v>
      </c>
      <c r="E46" s="504"/>
      <c r="F46" s="1022"/>
    </row>
    <row r="47" spans="1:6" ht="15" customHeight="1" x14ac:dyDescent="0.2">
      <c r="A47" s="493"/>
      <c r="B47" s="505"/>
      <c r="C47" s="491"/>
      <c r="D47" s="490" t="s">
        <v>586</v>
      </c>
      <c r="E47" s="504"/>
      <c r="F47" s="1022"/>
    </row>
    <row r="48" spans="1:6" ht="15" customHeight="1" x14ac:dyDescent="0.2">
      <c r="A48" s="493"/>
      <c r="B48" s="505"/>
      <c r="C48" s="491"/>
      <c r="D48" s="490" t="s">
        <v>587</v>
      </c>
      <c r="E48" s="504"/>
      <c r="F48" s="1022"/>
    </row>
    <row r="49" spans="1:6" ht="15" customHeight="1" x14ac:dyDescent="0.2">
      <c r="A49" s="493"/>
      <c r="B49" s="505"/>
      <c r="C49" s="491"/>
      <c r="D49" s="490" t="s">
        <v>588</v>
      </c>
      <c r="E49" s="504"/>
      <c r="F49" s="1022"/>
    </row>
    <row r="50" spans="1:6" ht="15" customHeight="1" x14ac:dyDescent="0.2">
      <c r="A50" s="493"/>
      <c r="B50" s="505"/>
      <c r="C50" s="491"/>
      <c r="D50" s="490" t="s">
        <v>589</v>
      </c>
      <c r="E50" s="504"/>
      <c r="F50" s="1022"/>
    </row>
    <row r="51" spans="1:6" ht="15" customHeight="1" x14ac:dyDescent="0.2">
      <c r="A51" s="493"/>
      <c r="B51" s="505"/>
      <c r="C51" s="491"/>
      <c r="D51" s="490" t="s">
        <v>590</v>
      </c>
      <c r="E51" s="504"/>
      <c r="F51" s="1022"/>
    </row>
    <row r="52" spans="1:6" ht="15" customHeight="1" thickBot="1" x14ac:dyDescent="0.25">
      <c r="A52" s="487"/>
      <c r="B52" s="486"/>
      <c r="C52" s="485"/>
      <c r="D52" s="484" t="s">
        <v>591</v>
      </c>
      <c r="E52" s="501"/>
      <c r="F52" s="1023"/>
    </row>
    <row r="53" spans="1:6" ht="15" customHeight="1" x14ac:dyDescent="0.2">
      <c r="A53" s="499" t="s">
        <v>167</v>
      </c>
      <c r="B53" s="503"/>
      <c r="C53" s="1019" t="s">
        <v>167</v>
      </c>
      <c r="D53" s="1020"/>
      <c r="E53" s="495" t="s">
        <v>592</v>
      </c>
      <c r="F53" s="494" t="s">
        <v>593</v>
      </c>
    </row>
    <row r="54" spans="1:6" ht="24.75" thickBot="1" x14ac:dyDescent="0.25">
      <c r="A54" s="487"/>
      <c r="B54" s="502"/>
      <c r="C54" s="1024" t="s">
        <v>170</v>
      </c>
      <c r="D54" s="1025"/>
      <c r="E54" s="501" t="s">
        <v>171</v>
      </c>
      <c r="F54" s="500" t="s">
        <v>172</v>
      </c>
    </row>
    <row r="55" spans="1:6" ht="15" customHeight="1" x14ac:dyDescent="0.2">
      <c r="A55" s="1005" t="s">
        <v>176</v>
      </c>
      <c r="B55" s="1006"/>
      <c r="C55" s="1019"/>
      <c r="D55" s="1020"/>
      <c r="E55" s="495"/>
      <c r="F55" s="494"/>
    </row>
    <row r="56" spans="1:6" ht="15" customHeight="1" x14ac:dyDescent="0.2">
      <c r="A56" s="493"/>
      <c r="B56" s="492" t="s">
        <v>177</v>
      </c>
      <c r="C56" s="986" t="s">
        <v>178</v>
      </c>
      <c r="D56" s="987" t="s">
        <v>178</v>
      </c>
      <c r="E56" s="489"/>
      <c r="F56" s="488"/>
    </row>
    <row r="57" spans="1:6" ht="15" customHeight="1" x14ac:dyDescent="0.2">
      <c r="A57" s="493"/>
      <c r="B57" s="492" t="s">
        <v>181</v>
      </c>
      <c r="C57" s="986" t="s">
        <v>178</v>
      </c>
      <c r="D57" s="987" t="s">
        <v>178</v>
      </c>
      <c r="E57" s="489"/>
      <c r="F57" s="488"/>
    </row>
    <row r="58" spans="1:6" ht="15" customHeight="1" x14ac:dyDescent="0.2">
      <c r="A58" s="493"/>
      <c r="B58" s="492" t="s">
        <v>183</v>
      </c>
      <c r="C58" s="986" t="s">
        <v>178</v>
      </c>
      <c r="D58" s="987" t="s">
        <v>178</v>
      </c>
      <c r="E58" s="489"/>
      <c r="F58" s="488"/>
    </row>
    <row r="59" spans="1:6" ht="15" customHeight="1" thickBot="1" x14ac:dyDescent="0.25">
      <c r="A59" s="487"/>
      <c r="B59" s="486" t="s">
        <v>184</v>
      </c>
      <c r="C59" s="1024" t="s">
        <v>185</v>
      </c>
      <c r="D59" s="1025" t="s">
        <v>185</v>
      </c>
      <c r="E59" s="483"/>
      <c r="F59" s="482"/>
    </row>
    <row r="60" spans="1:6" x14ac:dyDescent="0.2">
      <c r="A60" s="397" t="s">
        <v>189</v>
      </c>
      <c r="B60" s="396"/>
      <c r="C60" s="396"/>
      <c r="D60" s="396"/>
      <c r="E60" s="396"/>
      <c r="F60" s="395"/>
    </row>
    <row r="61" spans="1:6" x14ac:dyDescent="0.2">
      <c r="A61" s="426" t="s">
        <v>594</v>
      </c>
      <c r="B61" s="139"/>
      <c r="C61" s="139"/>
      <c r="D61" s="139"/>
      <c r="E61" s="139"/>
      <c r="F61" s="393"/>
    </row>
    <row r="62" spans="1:6" x14ac:dyDescent="0.2">
      <c r="A62" s="426" t="s">
        <v>595</v>
      </c>
      <c r="B62" s="139"/>
      <c r="C62" s="139"/>
      <c r="D62" s="139"/>
      <c r="E62" s="139"/>
      <c r="F62" s="393"/>
    </row>
    <row r="63" spans="1:6" x14ac:dyDescent="0.2">
      <c r="A63" s="426" t="s">
        <v>596</v>
      </c>
      <c r="B63" s="139"/>
      <c r="C63" s="139"/>
      <c r="D63" s="139"/>
      <c r="E63" s="139"/>
      <c r="F63" s="393"/>
    </row>
    <row r="64" spans="1:6" x14ac:dyDescent="0.2">
      <c r="A64" s="426" t="s">
        <v>597</v>
      </c>
      <c r="B64" s="139"/>
      <c r="C64" s="139"/>
      <c r="D64" s="139"/>
      <c r="E64" s="139"/>
      <c r="F64" s="393"/>
    </row>
    <row r="65" spans="1:6" x14ac:dyDescent="0.2">
      <c r="A65" s="426" t="s">
        <v>598</v>
      </c>
      <c r="B65" s="139"/>
      <c r="C65" s="139"/>
      <c r="D65" s="139"/>
      <c r="E65" s="139"/>
      <c r="F65" s="393"/>
    </row>
    <row r="66" spans="1:6" x14ac:dyDescent="0.2">
      <c r="A66" s="426" t="s">
        <v>599</v>
      </c>
      <c r="B66" s="139"/>
      <c r="C66" s="139"/>
      <c r="D66" s="139"/>
      <c r="E66" s="139"/>
      <c r="F66" s="393"/>
    </row>
    <row r="67" spans="1:6" x14ac:dyDescent="0.2">
      <c r="A67" s="426" t="s">
        <v>600</v>
      </c>
      <c r="B67" s="139"/>
      <c r="C67" s="139"/>
      <c r="D67" s="139"/>
      <c r="E67" s="139"/>
      <c r="F67" s="393"/>
    </row>
    <row r="68" spans="1:6" x14ac:dyDescent="0.2">
      <c r="A68" s="426" t="s">
        <v>601</v>
      </c>
      <c r="B68" s="139"/>
      <c r="C68" s="139"/>
      <c r="D68" s="139"/>
      <c r="E68" s="139"/>
      <c r="F68" s="393"/>
    </row>
    <row r="69" spans="1:6" x14ac:dyDescent="0.2">
      <c r="A69" s="426" t="s">
        <v>602</v>
      </c>
      <c r="B69" s="139"/>
      <c r="C69" s="139"/>
      <c r="D69" s="139"/>
      <c r="E69" s="139"/>
      <c r="F69" s="393"/>
    </row>
    <row r="70" spans="1:6" x14ac:dyDescent="0.2">
      <c r="A70" s="426" t="s">
        <v>603</v>
      </c>
      <c r="B70" s="139"/>
      <c r="C70" s="139"/>
      <c r="D70" s="139"/>
      <c r="E70" s="139"/>
      <c r="F70" s="393"/>
    </row>
    <row r="71" spans="1:6" x14ac:dyDescent="0.2">
      <c r="A71" s="426" t="s">
        <v>604</v>
      </c>
      <c r="B71" s="139"/>
      <c r="C71" s="139"/>
      <c r="D71" s="139"/>
      <c r="E71" s="139"/>
      <c r="F71" s="393"/>
    </row>
    <row r="72" spans="1:6" x14ac:dyDescent="0.2">
      <c r="A72" s="426" t="s">
        <v>605</v>
      </c>
      <c r="B72" s="139"/>
      <c r="C72" s="139"/>
      <c r="D72" s="139"/>
      <c r="E72" s="139"/>
      <c r="F72" s="393"/>
    </row>
    <row r="73" spans="1:6" x14ac:dyDescent="0.2">
      <c r="A73" s="426" t="s">
        <v>606</v>
      </c>
      <c r="B73" s="139"/>
      <c r="C73" s="139"/>
      <c r="D73" s="139"/>
      <c r="E73" s="139"/>
      <c r="F73" s="393"/>
    </row>
    <row r="74" spans="1:6" ht="13.5" thickBot="1" x14ac:dyDescent="0.25">
      <c r="A74" s="83"/>
      <c r="B74" s="82"/>
      <c r="C74" s="82"/>
      <c r="D74" s="82"/>
      <c r="E74" s="82"/>
      <c r="F74" s="81"/>
    </row>
  </sheetData>
  <mergeCells count="44">
    <mergeCell ref="C59:D59"/>
    <mergeCell ref="C53:D53"/>
    <mergeCell ref="C54:D54"/>
    <mergeCell ref="C55:D55"/>
    <mergeCell ref="C56:D56"/>
    <mergeCell ref="C57:D57"/>
    <mergeCell ref="C58:D58"/>
    <mergeCell ref="A55:B55"/>
    <mergeCell ref="A9:D11"/>
    <mergeCell ref="F9:F11"/>
    <mergeCell ref="C25:D25"/>
    <mergeCell ref="A19:F19"/>
    <mergeCell ref="C26:D26"/>
    <mergeCell ref="C27:D27"/>
    <mergeCell ref="C31:D31"/>
    <mergeCell ref="C32:D32"/>
    <mergeCell ref="C24:D24"/>
    <mergeCell ref="C41:D41"/>
    <mergeCell ref="F45:F52"/>
    <mergeCell ref="C43:D43"/>
    <mergeCell ref="C30:D30"/>
    <mergeCell ref="C29:D29"/>
    <mergeCell ref="C36:D36"/>
    <mergeCell ref="F1:F8"/>
    <mergeCell ref="C12:D12"/>
    <mergeCell ref="C13:D13"/>
    <mergeCell ref="C15:D15"/>
    <mergeCell ref="C22:D22"/>
    <mergeCell ref="E9:E11"/>
    <mergeCell ref="C20:D20"/>
    <mergeCell ref="C17:D17"/>
    <mergeCell ref="C16:D16"/>
    <mergeCell ref="C18:D18"/>
    <mergeCell ref="C21:D21"/>
    <mergeCell ref="C39:D39"/>
    <mergeCell ref="C40:D40"/>
    <mergeCell ref="A23:F23"/>
    <mergeCell ref="A24:A25"/>
    <mergeCell ref="A31:A32"/>
    <mergeCell ref="C33:D33"/>
    <mergeCell ref="C34:D34"/>
    <mergeCell ref="C35:D35"/>
    <mergeCell ref="C28:D28"/>
    <mergeCell ref="C37:D37"/>
  </mergeCells>
  <pageMargins left="0.7" right="0.7" top="0.75" bottom="0.75" header="0.3" footer="0.3"/>
  <pageSetup paperSize="9" scale="65"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42F0-7BA7-4EC6-B944-894C03A408AA}">
  <sheetPr>
    <tabColor rgb="FFFFFF00"/>
    <pageSetUpPr fitToPage="1"/>
  </sheetPr>
  <dimension ref="A1:F67"/>
  <sheetViews>
    <sheetView zoomScaleNormal="100" workbookViewId="0">
      <selection activeCell="F1" sqref="F1:F8"/>
    </sheetView>
  </sheetViews>
  <sheetFormatPr defaultColWidth="9.140625" defaultRowHeight="12.75" x14ac:dyDescent="0.2"/>
  <cols>
    <col min="1" max="1" width="16.7109375" style="80" customWidth="1"/>
    <col min="2" max="2" width="25.7109375" style="80" customWidth="1"/>
    <col min="3" max="3" width="10.7109375" style="80" customWidth="1"/>
    <col min="4" max="4" width="13.5703125" style="80" customWidth="1"/>
    <col min="5" max="5" width="34.85546875" style="80" customWidth="1"/>
    <col min="6" max="6" width="33.140625" style="80" customWidth="1"/>
    <col min="7" max="10" width="9.140625" style="80"/>
    <col min="11" max="11" width="12.140625" style="80" customWidth="1"/>
    <col min="12" max="16384" width="9.140625" style="80"/>
  </cols>
  <sheetData>
    <row r="1" spans="1:6" ht="6.75" customHeight="1" x14ac:dyDescent="0.2">
      <c r="A1" s="138"/>
      <c r="B1" s="137"/>
      <c r="C1" s="156"/>
      <c r="D1" s="134"/>
      <c r="E1" s="134"/>
      <c r="F1" s="811"/>
    </row>
    <row r="2" spans="1:6" ht="12.75" customHeight="1" x14ac:dyDescent="0.2">
      <c r="A2" s="131"/>
      <c r="B2" s="130"/>
      <c r="C2" s="343"/>
      <c r="D2" s="369" t="s">
        <v>71</v>
      </c>
      <c r="E2" s="364">
        <f>'PROJECT SUMMARY'!D3</f>
        <v>0</v>
      </c>
      <c r="F2" s="812"/>
    </row>
    <row r="3" spans="1:6" ht="12.75" customHeight="1" x14ac:dyDescent="0.2">
      <c r="A3" s="131"/>
      <c r="B3" s="130"/>
      <c r="C3" s="343"/>
      <c r="D3" s="365" t="s">
        <v>72</v>
      </c>
      <c r="E3" s="462">
        <f>'PROJECT SUMMARY'!D4</f>
        <v>0</v>
      </c>
      <c r="F3" s="812"/>
    </row>
    <row r="4" spans="1:6" ht="12.75" customHeight="1" x14ac:dyDescent="0.2">
      <c r="A4" s="131"/>
      <c r="B4" s="130"/>
      <c r="C4" s="343"/>
      <c r="D4" s="365" t="s">
        <v>73</v>
      </c>
      <c r="E4" s="462" t="s">
        <v>47</v>
      </c>
      <c r="F4" s="812"/>
    </row>
    <row r="5" spans="1:6" ht="12.75" customHeight="1" x14ac:dyDescent="0.2">
      <c r="A5" s="131"/>
      <c r="B5" s="130"/>
      <c r="C5" s="343"/>
      <c r="D5" s="365" t="s">
        <v>75</v>
      </c>
      <c r="E5" s="462" t="str">
        <f>'PROJECT SUMMARY'!B35</f>
        <v>KEY-SH-M-50-XXX</v>
      </c>
      <c r="F5" s="812"/>
    </row>
    <row r="6" spans="1:6" ht="12.75" customHeight="1" x14ac:dyDescent="0.2">
      <c r="A6" s="131"/>
      <c r="B6" s="130"/>
      <c r="C6" s="343"/>
      <c r="D6" s="365" t="s">
        <v>76</v>
      </c>
      <c r="E6" s="462">
        <f>'PROJECT SUMMARY'!C35</f>
        <v>0</v>
      </c>
      <c r="F6" s="812"/>
    </row>
    <row r="7" spans="1:6" ht="12.75" customHeight="1" x14ac:dyDescent="0.2">
      <c r="A7" s="131"/>
      <c r="B7" s="130"/>
      <c r="C7" s="343"/>
      <c r="D7" s="365" t="s">
        <v>77</v>
      </c>
      <c r="E7" s="462">
        <f>'PROJECT SUMMARY'!D5</f>
        <v>0</v>
      </c>
      <c r="F7" s="812"/>
    </row>
    <row r="8" spans="1:6" ht="5.25" customHeight="1" thickBot="1" x14ac:dyDescent="0.25">
      <c r="A8" s="131"/>
      <c r="B8" s="130"/>
      <c r="C8" s="120"/>
      <c r="D8" s="153"/>
      <c r="E8" s="153"/>
      <c r="F8" s="812"/>
    </row>
    <row r="9" spans="1:6" ht="12.75" customHeight="1" x14ac:dyDescent="0.2">
      <c r="A9" s="1033" t="s">
        <v>78</v>
      </c>
      <c r="B9" s="1034"/>
      <c r="C9" s="1034"/>
      <c r="D9" s="1035"/>
      <c r="E9" s="1030" t="s">
        <v>607</v>
      </c>
      <c r="F9" s="1027" t="s">
        <v>80</v>
      </c>
    </row>
    <row r="10" spans="1:6" x14ac:dyDescent="0.2">
      <c r="A10" s="1036"/>
      <c r="B10" s="1037"/>
      <c r="C10" s="1037"/>
      <c r="D10" s="1038"/>
      <c r="E10" s="1031"/>
      <c r="F10" s="1028"/>
    </row>
    <row r="11" spans="1:6" ht="13.5" thickBot="1" x14ac:dyDescent="0.25">
      <c r="A11" s="1039"/>
      <c r="B11" s="1040"/>
      <c r="C11" s="1040"/>
      <c r="D11" s="1041"/>
      <c r="E11" s="1032"/>
      <c r="F11" s="1029"/>
    </row>
    <row r="12" spans="1:6" ht="3.75" customHeight="1" thickBot="1" x14ac:dyDescent="0.25">
      <c r="A12" s="471"/>
      <c r="B12" s="470"/>
      <c r="C12" s="1026"/>
      <c r="D12" s="1026"/>
      <c r="E12" s="470"/>
      <c r="F12" s="469"/>
    </row>
    <row r="13" spans="1:6" ht="15" customHeight="1" x14ac:dyDescent="0.2">
      <c r="A13" s="527" t="s">
        <v>81</v>
      </c>
      <c r="B13" s="526"/>
      <c r="C13" s="996"/>
      <c r="D13" s="997"/>
      <c r="E13" s="495" t="s">
        <v>47</v>
      </c>
      <c r="F13" s="494"/>
    </row>
    <row r="14" spans="1:6" ht="15" customHeight="1" x14ac:dyDescent="0.2">
      <c r="A14" s="525" t="s">
        <v>543</v>
      </c>
      <c r="B14" s="524"/>
      <c r="C14" s="523"/>
      <c r="D14" s="522"/>
      <c r="E14" s="489" t="s">
        <v>544</v>
      </c>
      <c r="F14" s="488"/>
    </row>
    <row r="15" spans="1:6" ht="15" customHeight="1" x14ac:dyDescent="0.2">
      <c r="A15" s="521" t="s">
        <v>84</v>
      </c>
      <c r="B15" s="520"/>
      <c r="C15" s="998"/>
      <c r="D15" s="999"/>
      <c r="E15" s="489" t="s">
        <v>545</v>
      </c>
      <c r="F15" s="488"/>
    </row>
    <row r="16" spans="1:6" ht="15" customHeight="1" x14ac:dyDescent="0.2">
      <c r="A16" s="521" t="s">
        <v>86</v>
      </c>
      <c r="B16" s="520"/>
      <c r="C16" s="998"/>
      <c r="D16" s="999"/>
      <c r="E16" s="489"/>
      <c r="F16" s="488"/>
    </row>
    <row r="17" spans="1:6" ht="15" customHeight="1" x14ac:dyDescent="0.2">
      <c r="A17" s="521" t="s">
        <v>88</v>
      </c>
      <c r="B17" s="520"/>
      <c r="C17" s="998"/>
      <c r="D17" s="999"/>
      <c r="E17" s="489"/>
      <c r="F17" s="488"/>
    </row>
    <row r="18" spans="1:6" ht="15" customHeight="1" thickBot="1" x14ac:dyDescent="0.25">
      <c r="A18" s="519" t="s">
        <v>89</v>
      </c>
      <c r="B18" s="518"/>
      <c r="C18" s="1003"/>
      <c r="D18" s="1004"/>
      <c r="E18" s="515"/>
      <c r="F18" s="511"/>
    </row>
    <row r="19" spans="1:6" ht="15" customHeight="1" thickBot="1" x14ac:dyDescent="0.25">
      <c r="A19" s="988" t="s">
        <v>547</v>
      </c>
      <c r="B19" s="989"/>
      <c r="C19" s="989"/>
      <c r="D19" s="989"/>
      <c r="E19" s="989"/>
      <c r="F19" s="990"/>
    </row>
    <row r="20" spans="1:6" ht="15" customHeight="1" x14ac:dyDescent="0.2">
      <c r="A20" s="499" t="s">
        <v>548</v>
      </c>
      <c r="B20" s="498"/>
      <c r="C20" s="986" t="s">
        <v>549</v>
      </c>
      <c r="D20" s="987" t="s">
        <v>122</v>
      </c>
      <c r="E20" s="517" t="s">
        <v>550</v>
      </c>
      <c r="F20" s="494"/>
    </row>
    <row r="21" spans="1:6" ht="15" customHeight="1" x14ac:dyDescent="0.2">
      <c r="A21" s="493"/>
      <c r="B21" s="516"/>
      <c r="C21" s="986" t="s">
        <v>549</v>
      </c>
      <c r="D21" s="987" t="s">
        <v>122</v>
      </c>
      <c r="E21" s="515" t="s">
        <v>551</v>
      </c>
      <c r="F21" s="511"/>
    </row>
    <row r="22" spans="1:6" ht="15" customHeight="1" thickBot="1" x14ac:dyDescent="0.25">
      <c r="A22" s="487"/>
      <c r="B22" s="486"/>
      <c r="C22" s="986" t="s">
        <v>552</v>
      </c>
      <c r="D22" s="987"/>
      <c r="E22" s="514" t="s">
        <v>608</v>
      </c>
      <c r="F22" s="500"/>
    </row>
    <row r="23" spans="1:6" ht="15" customHeight="1" thickBot="1" x14ac:dyDescent="0.25">
      <c r="A23" s="988" t="s">
        <v>554</v>
      </c>
      <c r="B23" s="989"/>
      <c r="C23" s="989"/>
      <c r="D23" s="989"/>
      <c r="E23" s="989"/>
      <c r="F23" s="990"/>
    </row>
    <row r="24" spans="1:6" ht="15" customHeight="1" x14ac:dyDescent="0.2">
      <c r="A24" s="991" t="s">
        <v>567</v>
      </c>
      <c r="B24" s="506" t="s">
        <v>111</v>
      </c>
      <c r="C24" s="1019"/>
      <c r="D24" s="1020" t="s">
        <v>118</v>
      </c>
      <c r="E24" s="495" t="s">
        <v>47</v>
      </c>
      <c r="F24" s="494"/>
    </row>
    <row r="25" spans="1:6" ht="15" customHeight="1" x14ac:dyDescent="0.2">
      <c r="A25" s="992"/>
      <c r="B25" s="505" t="s">
        <v>119</v>
      </c>
      <c r="C25" s="986" t="s">
        <v>118</v>
      </c>
      <c r="D25" s="987" t="s">
        <v>118</v>
      </c>
      <c r="E25" s="504" t="s">
        <v>562</v>
      </c>
      <c r="F25" s="511" t="s">
        <v>568</v>
      </c>
    </row>
    <row r="26" spans="1:6" ht="15" customHeight="1" x14ac:dyDescent="0.2">
      <c r="A26" s="493"/>
      <c r="B26" s="505" t="s">
        <v>156</v>
      </c>
      <c r="C26" s="986"/>
      <c r="D26" s="987"/>
      <c r="E26" s="504" t="s">
        <v>157</v>
      </c>
      <c r="F26" s="511" t="s">
        <v>609</v>
      </c>
    </row>
    <row r="27" spans="1:6" x14ac:dyDescent="0.2">
      <c r="A27" s="493"/>
      <c r="B27" s="505" t="s">
        <v>159</v>
      </c>
      <c r="C27" s="986" t="s">
        <v>131</v>
      </c>
      <c r="D27" s="987" t="s">
        <v>131</v>
      </c>
      <c r="E27" s="504"/>
      <c r="F27" s="511"/>
    </row>
    <row r="28" spans="1:6" x14ac:dyDescent="0.2">
      <c r="A28" s="493"/>
      <c r="B28" s="505" t="s">
        <v>561</v>
      </c>
      <c r="C28" s="986" t="s">
        <v>122</v>
      </c>
      <c r="D28" s="987" t="s">
        <v>122</v>
      </c>
      <c r="E28" s="504" t="s">
        <v>610</v>
      </c>
      <c r="F28" s="511"/>
    </row>
    <row r="29" spans="1:6" ht="15" customHeight="1" x14ac:dyDescent="0.2">
      <c r="A29" s="493"/>
      <c r="B29" s="505" t="s">
        <v>564</v>
      </c>
      <c r="C29" s="986" t="s">
        <v>122</v>
      </c>
      <c r="D29" s="987" t="s">
        <v>122</v>
      </c>
      <c r="E29" s="504" t="s">
        <v>611</v>
      </c>
      <c r="F29" s="511"/>
    </row>
    <row r="30" spans="1:6" ht="24.75" thickBot="1" x14ac:dyDescent="0.25">
      <c r="A30" s="493"/>
      <c r="B30" s="505" t="s">
        <v>162</v>
      </c>
      <c r="C30" s="993" t="s">
        <v>163</v>
      </c>
      <c r="D30" s="994" t="s">
        <v>163</v>
      </c>
      <c r="E30" s="513"/>
      <c r="F30" s="512" t="s">
        <v>120</v>
      </c>
    </row>
    <row r="31" spans="1:6" ht="24" x14ac:dyDescent="0.2">
      <c r="A31" s="499"/>
      <c r="B31" s="506" t="s">
        <v>36</v>
      </c>
      <c r="C31" s="497"/>
      <c r="D31" s="496"/>
      <c r="E31" s="495" t="s">
        <v>573</v>
      </c>
      <c r="F31" s="494" t="s">
        <v>143</v>
      </c>
    </row>
    <row r="32" spans="1:6" ht="15" customHeight="1" x14ac:dyDescent="0.2">
      <c r="A32" s="493"/>
      <c r="B32" s="505" t="s">
        <v>574</v>
      </c>
      <c r="C32" s="986" t="s">
        <v>142</v>
      </c>
      <c r="D32" s="987" t="s">
        <v>142</v>
      </c>
      <c r="E32" s="504"/>
      <c r="F32" s="511"/>
    </row>
    <row r="33" spans="1:6" ht="24" x14ac:dyDescent="0.2">
      <c r="A33" s="493"/>
      <c r="B33" s="505" t="s">
        <v>132</v>
      </c>
      <c r="C33" s="986" t="s">
        <v>133</v>
      </c>
      <c r="D33" s="987" t="s">
        <v>133</v>
      </c>
      <c r="E33" s="504"/>
      <c r="F33" s="511" t="s">
        <v>143</v>
      </c>
    </row>
    <row r="34" spans="1:6" ht="24" x14ac:dyDescent="0.2">
      <c r="A34" s="493"/>
      <c r="B34" s="505" t="s">
        <v>144</v>
      </c>
      <c r="C34" s="986" t="s">
        <v>118</v>
      </c>
      <c r="D34" s="987" t="s">
        <v>118</v>
      </c>
      <c r="E34" s="504"/>
      <c r="F34" s="511" t="s">
        <v>143</v>
      </c>
    </row>
    <row r="35" spans="1:6" ht="15" customHeight="1" x14ac:dyDescent="0.2">
      <c r="A35" s="493"/>
      <c r="B35" s="505" t="s">
        <v>575</v>
      </c>
      <c r="C35" s="491"/>
      <c r="D35" s="490"/>
      <c r="E35" s="504" t="s">
        <v>576</v>
      </c>
      <c r="F35" s="511" t="s">
        <v>577</v>
      </c>
    </row>
    <row r="36" spans="1:6" ht="24" x14ac:dyDescent="0.2">
      <c r="A36" s="493"/>
      <c r="B36" s="505" t="s">
        <v>578</v>
      </c>
      <c r="C36" s="986" t="s">
        <v>579</v>
      </c>
      <c r="D36" s="987" t="s">
        <v>133</v>
      </c>
      <c r="E36" s="504"/>
      <c r="F36" s="511" t="s">
        <v>580</v>
      </c>
    </row>
    <row r="37" spans="1:6" x14ac:dyDescent="0.2">
      <c r="A37" s="493"/>
      <c r="B37" s="505" t="s">
        <v>612</v>
      </c>
      <c r="C37" s="491"/>
      <c r="D37" s="490"/>
      <c r="E37" s="504" t="s">
        <v>148</v>
      </c>
      <c r="F37" s="511" t="s">
        <v>613</v>
      </c>
    </row>
    <row r="38" spans="1:6" ht="13.5" thickBot="1" x14ac:dyDescent="0.25">
      <c r="A38" s="487"/>
      <c r="B38" s="486" t="s">
        <v>614</v>
      </c>
      <c r="C38" s="1024" t="s">
        <v>615</v>
      </c>
      <c r="D38" s="1025" t="s">
        <v>133</v>
      </c>
      <c r="E38" s="501" t="s">
        <v>616</v>
      </c>
      <c r="F38" s="500" t="s">
        <v>617</v>
      </c>
    </row>
    <row r="39" spans="1:6" ht="15" customHeight="1" thickBot="1" x14ac:dyDescent="0.25">
      <c r="A39" s="493"/>
      <c r="B39" s="505" t="s">
        <v>581</v>
      </c>
      <c r="C39" s="510"/>
      <c r="D39" s="509"/>
      <c r="E39" s="508"/>
      <c r="F39" s="507"/>
    </row>
    <row r="40" spans="1:6" ht="15" customHeight="1" x14ac:dyDescent="0.2">
      <c r="A40" s="499" t="s">
        <v>582</v>
      </c>
      <c r="B40" s="506"/>
      <c r="C40" s="497"/>
      <c r="D40" s="496" t="s">
        <v>583</v>
      </c>
      <c r="E40" s="495"/>
      <c r="F40" s="1021" t="s">
        <v>618</v>
      </c>
    </row>
    <row r="41" spans="1:6" ht="15" customHeight="1" x14ac:dyDescent="0.2">
      <c r="A41" s="493"/>
      <c r="B41" s="505"/>
      <c r="C41" s="491"/>
      <c r="D41" s="490" t="s">
        <v>585</v>
      </c>
      <c r="E41" s="504"/>
      <c r="F41" s="1022"/>
    </row>
    <row r="42" spans="1:6" ht="15" customHeight="1" x14ac:dyDescent="0.2">
      <c r="A42" s="493"/>
      <c r="B42" s="505"/>
      <c r="C42" s="491"/>
      <c r="D42" s="490" t="s">
        <v>586</v>
      </c>
      <c r="E42" s="504"/>
      <c r="F42" s="1022"/>
    </row>
    <row r="43" spans="1:6" ht="15" customHeight="1" x14ac:dyDescent="0.2">
      <c r="A43" s="493"/>
      <c r="B43" s="505"/>
      <c r="C43" s="491"/>
      <c r="D43" s="490" t="s">
        <v>587</v>
      </c>
      <c r="E43" s="504"/>
      <c r="F43" s="1022"/>
    </row>
    <row r="44" spans="1:6" ht="15" customHeight="1" x14ac:dyDescent="0.2">
      <c r="A44" s="493"/>
      <c r="B44" s="505"/>
      <c r="C44" s="491"/>
      <c r="D44" s="490" t="s">
        <v>588</v>
      </c>
      <c r="E44" s="504"/>
      <c r="F44" s="1022"/>
    </row>
    <row r="45" spans="1:6" ht="15" customHeight="1" x14ac:dyDescent="0.2">
      <c r="A45" s="493"/>
      <c r="B45" s="505"/>
      <c r="C45" s="491"/>
      <c r="D45" s="490" t="s">
        <v>589</v>
      </c>
      <c r="E45" s="504"/>
      <c r="F45" s="1022"/>
    </row>
    <row r="46" spans="1:6" ht="15" customHeight="1" x14ac:dyDescent="0.2">
      <c r="A46" s="493"/>
      <c r="B46" s="505"/>
      <c r="C46" s="491"/>
      <c r="D46" s="490" t="s">
        <v>590</v>
      </c>
      <c r="E46" s="504"/>
      <c r="F46" s="1022"/>
    </row>
    <row r="47" spans="1:6" ht="15" customHeight="1" thickBot="1" x14ac:dyDescent="0.25">
      <c r="A47" s="487"/>
      <c r="B47" s="486"/>
      <c r="C47" s="485"/>
      <c r="D47" s="484" t="s">
        <v>591</v>
      </c>
      <c r="E47" s="501"/>
      <c r="F47" s="1023"/>
    </row>
    <row r="48" spans="1:6" ht="15" customHeight="1" x14ac:dyDescent="0.2">
      <c r="A48" s="499" t="s">
        <v>167</v>
      </c>
      <c r="B48" s="503"/>
      <c r="C48" s="1019" t="s">
        <v>167</v>
      </c>
      <c r="D48" s="1020"/>
      <c r="E48" s="495" t="s">
        <v>592</v>
      </c>
      <c r="F48" s="494" t="s">
        <v>593</v>
      </c>
    </row>
    <row r="49" spans="1:6" ht="24.75" thickBot="1" x14ac:dyDescent="0.25">
      <c r="A49" s="487"/>
      <c r="B49" s="502"/>
      <c r="C49" s="1024" t="s">
        <v>170</v>
      </c>
      <c r="D49" s="1025"/>
      <c r="E49" s="501" t="s">
        <v>171</v>
      </c>
      <c r="F49" s="500" t="s">
        <v>172</v>
      </c>
    </row>
    <row r="50" spans="1:6" ht="15" customHeight="1" x14ac:dyDescent="0.2">
      <c r="A50" s="1005" t="s">
        <v>176</v>
      </c>
      <c r="B50" s="1006"/>
      <c r="C50" s="1019"/>
      <c r="D50" s="1020"/>
      <c r="E50" s="495"/>
      <c r="F50" s="494"/>
    </row>
    <row r="51" spans="1:6" ht="15" customHeight="1" x14ac:dyDescent="0.2">
      <c r="A51" s="493"/>
      <c r="B51" s="492" t="s">
        <v>177</v>
      </c>
      <c r="C51" s="986" t="s">
        <v>178</v>
      </c>
      <c r="D51" s="987" t="s">
        <v>178</v>
      </c>
      <c r="E51" s="489"/>
      <c r="F51" s="488"/>
    </row>
    <row r="52" spans="1:6" ht="15" customHeight="1" x14ac:dyDescent="0.2">
      <c r="A52" s="493"/>
      <c r="B52" s="492" t="s">
        <v>181</v>
      </c>
      <c r="C52" s="986" t="s">
        <v>178</v>
      </c>
      <c r="D52" s="987" t="s">
        <v>178</v>
      </c>
      <c r="E52" s="489"/>
      <c r="F52" s="488"/>
    </row>
    <row r="53" spans="1:6" ht="15" customHeight="1" x14ac:dyDescent="0.2">
      <c r="A53" s="493"/>
      <c r="B53" s="492" t="s">
        <v>183</v>
      </c>
      <c r="C53" s="986" t="s">
        <v>178</v>
      </c>
      <c r="D53" s="987" t="s">
        <v>178</v>
      </c>
      <c r="E53" s="489"/>
      <c r="F53" s="488"/>
    </row>
    <row r="54" spans="1:6" ht="15" customHeight="1" thickBot="1" x14ac:dyDescent="0.25">
      <c r="A54" s="487"/>
      <c r="B54" s="486" t="s">
        <v>184</v>
      </c>
      <c r="C54" s="1024" t="s">
        <v>185</v>
      </c>
      <c r="D54" s="1025" t="s">
        <v>185</v>
      </c>
      <c r="E54" s="483"/>
      <c r="F54" s="482"/>
    </row>
    <row r="55" spans="1:6" x14ac:dyDescent="0.2">
      <c r="A55" s="397" t="s">
        <v>189</v>
      </c>
      <c r="B55" s="396"/>
      <c r="C55" s="396"/>
      <c r="D55" s="396"/>
      <c r="E55" s="396"/>
      <c r="F55" s="395"/>
    </row>
    <row r="56" spans="1:6" x14ac:dyDescent="0.2">
      <c r="A56" s="426" t="s">
        <v>619</v>
      </c>
      <c r="B56" s="139"/>
      <c r="C56" s="139"/>
      <c r="D56" s="139"/>
      <c r="E56" s="139"/>
      <c r="F56" s="393"/>
    </row>
    <row r="57" spans="1:6" x14ac:dyDescent="0.2">
      <c r="A57" s="426" t="s">
        <v>595</v>
      </c>
      <c r="B57" s="139"/>
      <c r="C57" s="139"/>
      <c r="D57" s="139"/>
      <c r="E57" s="139"/>
      <c r="F57" s="393"/>
    </row>
    <row r="58" spans="1:6" x14ac:dyDescent="0.2">
      <c r="A58" s="426" t="s">
        <v>596</v>
      </c>
      <c r="B58" s="139"/>
      <c r="C58" s="139"/>
      <c r="D58" s="139"/>
      <c r="E58" s="139"/>
      <c r="F58" s="393"/>
    </row>
    <row r="59" spans="1:6" x14ac:dyDescent="0.2">
      <c r="A59" s="426" t="s">
        <v>597</v>
      </c>
      <c r="B59" s="139"/>
      <c r="C59" s="139"/>
      <c r="D59" s="139"/>
      <c r="E59" s="139"/>
      <c r="F59" s="393"/>
    </row>
    <row r="60" spans="1:6" x14ac:dyDescent="0.2">
      <c r="A60" s="426" t="s">
        <v>598</v>
      </c>
      <c r="B60" s="139"/>
      <c r="C60" s="139"/>
      <c r="D60" s="139"/>
      <c r="E60" s="139"/>
      <c r="F60" s="393"/>
    </row>
    <row r="61" spans="1:6" x14ac:dyDescent="0.2">
      <c r="A61" s="426" t="s">
        <v>620</v>
      </c>
      <c r="B61" s="139"/>
      <c r="C61" s="139"/>
      <c r="D61" s="139"/>
      <c r="E61" s="139"/>
      <c r="F61" s="393"/>
    </row>
    <row r="62" spans="1:6" x14ac:dyDescent="0.2">
      <c r="A62" s="426" t="s">
        <v>600</v>
      </c>
      <c r="B62" s="139"/>
      <c r="C62" s="139"/>
      <c r="D62" s="139"/>
      <c r="E62" s="139"/>
      <c r="F62" s="393"/>
    </row>
    <row r="63" spans="1:6" x14ac:dyDescent="0.2">
      <c r="A63" s="426" t="s">
        <v>601</v>
      </c>
      <c r="B63" s="139"/>
      <c r="C63" s="139"/>
      <c r="D63" s="139"/>
      <c r="E63" s="139"/>
      <c r="F63" s="393"/>
    </row>
    <row r="64" spans="1:6" x14ac:dyDescent="0.2">
      <c r="A64" s="426" t="s">
        <v>602</v>
      </c>
      <c r="B64" s="139"/>
      <c r="C64" s="139"/>
      <c r="D64" s="139"/>
      <c r="E64" s="139"/>
      <c r="F64" s="393"/>
    </row>
    <row r="65" spans="1:6" x14ac:dyDescent="0.2">
      <c r="A65" s="426" t="s">
        <v>603</v>
      </c>
      <c r="B65" s="139"/>
      <c r="C65" s="139"/>
      <c r="D65" s="139"/>
      <c r="E65" s="139"/>
      <c r="F65" s="393"/>
    </row>
    <row r="66" spans="1:6" x14ac:dyDescent="0.2">
      <c r="A66" s="426" t="s">
        <v>604</v>
      </c>
      <c r="B66" s="139"/>
      <c r="C66" s="139"/>
      <c r="D66" s="139"/>
      <c r="E66" s="139"/>
      <c r="F66" s="393"/>
    </row>
    <row r="67" spans="1:6" ht="13.5" thickBot="1" x14ac:dyDescent="0.25">
      <c r="A67" s="392"/>
      <c r="B67" s="391"/>
      <c r="C67" s="391"/>
      <c r="D67" s="391"/>
      <c r="E67" s="391"/>
      <c r="F67" s="390"/>
    </row>
  </sheetData>
  <mergeCells count="37">
    <mergeCell ref="F1:F8"/>
    <mergeCell ref="C12:D12"/>
    <mergeCell ref="C13:D13"/>
    <mergeCell ref="C15:D15"/>
    <mergeCell ref="C29:D29"/>
    <mergeCell ref="C28:D28"/>
    <mergeCell ref="F9:F11"/>
    <mergeCell ref="A19:F19"/>
    <mergeCell ref="C16:D16"/>
    <mergeCell ref="E9:E11"/>
    <mergeCell ref="C17:D17"/>
    <mergeCell ref="A9:D11"/>
    <mergeCell ref="C38:D38"/>
    <mergeCell ref="C33:D33"/>
    <mergeCell ref="C34:D34"/>
    <mergeCell ref="C36:D36"/>
    <mergeCell ref="C18:D18"/>
    <mergeCell ref="C20:D20"/>
    <mergeCell ref="C21:D21"/>
    <mergeCell ref="C25:D25"/>
    <mergeCell ref="C22:D22"/>
    <mergeCell ref="C30:D30"/>
    <mergeCell ref="C32:D32"/>
    <mergeCell ref="C24:D24"/>
    <mergeCell ref="A23:F23"/>
    <mergeCell ref="A24:A25"/>
    <mergeCell ref="C26:D26"/>
    <mergeCell ref="C27:D27"/>
    <mergeCell ref="A50:B50"/>
    <mergeCell ref="F40:F47"/>
    <mergeCell ref="C54:D54"/>
    <mergeCell ref="C48:D48"/>
    <mergeCell ref="C49:D49"/>
    <mergeCell ref="C50:D50"/>
    <mergeCell ref="C51:D51"/>
    <mergeCell ref="C52:D52"/>
    <mergeCell ref="C53:D53"/>
  </mergeCells>
  <pageMargins left="0.7" right="0.7" top="0.75" bottom="0.75" header="0.3" footer="0.3"/>
  <pageSetup paperSize="9" scale="65"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033CD-2028-4E02-AFA6-0122AE2686FD}">
  <sheetPr>
    <tabColor rgb="FFFFFF00"/>
    <pageSetUpPr fitToPage="1"/>
  </sheetPr>
  <dimension ref="A1:GR363"/>
  <sheetViews>
    <sheetView showGridLines="0" showRuler="0" topLeftCell="B1" zoomScaleNormal="100" zoomScaleSheetLayoutView="100" zoomScalePageLayoutView="85" workbookViewId="0">
      <selection activeCell="Q1" sqref="Q1:Q7"/>
    </sheetView>
  </sheetViews>
  <sheetFormatPr defaultColWidth="9.140625" defaultRowHeight="11.25" x14ac:dyDescent="0.2"/>
  <cols>
    <col min="1" max="1" width="9" style="157" bestFit="1" customWidth="1"/>
    <col min="2" max="2" width="24.140625" style="157" customWidth="1"/>
    <col min="3" max="3" width="17.28515625" style="157" bestFit="1" customWidth="1"/>
    <col min="4" max="4" width="13.85546875" style="157" customWidth="1"/>
    <col min="5" max="5" width="13.5703125" style="159" customWidth="1"/>
    <col min="6" max="6" width="12.5703125" style="157" customWidth="1"/>
    <col min="7" max="7" width="12.28515625" style="157" customWidth="1"/>
    <col min="8" max="8" width="13.42578125" style="157" customWidth="1"/>
    <col min="9" max="9" width="12.5703125" style="157" customWidth="1"/>
    <col min="10" max="10" width="11.7109375" style="157" customWidth="1"/>
    <col min="11" max="11" width="11.5703125" style="157" hidden="1" customWidth="1"/>
    <col min="12" max="12" width="14.28515625" style="157" hidden="1" customWidth="1"/>
    <col min="13" max="13" width="16.7109375" style="157" customWidth="1"/>
    <col min="14" max="14" width="15.5703125" style="157" customWidth="1"/>
    <col min="15" max="15" width="13.140625" style="157" bestFit="1" customWidth="1"/>
    <col min="16" max="16" width="15.28515625" style="157" customWidth="1"/>
    <col min="17" max="17" width="29.5703125" style="158" customWidth="1"/>
    <col min="18" max="16384" width="9.140625" style="157"/>
  </cols>
  <sheetData>
    <row r="1" spans="1:200" s="200" customFormat="1" ht="15" x14ac:dyDescent="0.25">
      <c r="A1" s="1056"/>
      <c r="B1" s="1057"/>
      <c r="C1" s="1058"/>
      <c r="D1" s="212" t="s">
        <v>71</v>
      </c>
      <c r="E1" s="211">
        <f>'PROJECT SUMMARY'!D3</f>
        <v>0</v>
      </c>
      <c r="F1" s="211"/>
      <c r="G1" s="211"/>
      <c r="H1" s="211"/>
      <c r="I1" s="211"/>
      <c r="J1" s="211"/>
      <c r="K1" s="211"/>
      <c r="L1" s="207"/>
      <c r="M1" s="204"/>
      <c r="N1" s="204"/>
      <c r="O1" s="204"/>
      <c r="P1" s="206"/>
      <c r="Q1" s="1051"/>
      <c r="R1" s="201"/>
      <c r="S1" s="201"/>
      <c r="T1" s="201"/>
      <c r="U1" s="201"/>
      <c r="V1" s="201"/>
      <c r="W1" s="201"/>
      <c r="X1" s="201"/>
      <c r="Y1" s="201"/>
      <c r="Z1" s="201"/>
      <c r="AA1" s="201"/>
      <c r="AB1" s="201"/>
      <c r="AC1" s="201"/>
      <c r="AD1" s="201"/>
      <c r="AE1" s="201"/>
      <c r="AF1" s="201"/>
      <c r="AG1" s="201"/>
      <c r="AH1" s="201"/>
      <c r="AI1" s="201"/>
      <c r="AJ1" s="201"/>
      <c r="AK1" s="201"/>
      <c r="AL1" s="201"/>
      <c r="AM1" s="201"/>
      <c r="AN1" s="201"/>
      <c r="AO1" s="201"/>
      <c r="AP1" s="201"/>
      <c r="AQ1" s="201"/>
      <c r="AR1" s="201"/>
      <c r="AS1" s="201"/>
      <c r="AT1" s="201"/>
      <c r="AU1" s="201"/>
      <c r="AV1" s="201"/>
      <c r="AW1" s="201"/>
      <c r="AX1" s="201"/>
      <c r="AY1" s="201"/>
      <c r="AZ1" s="201"/>
      <c r="BA1" s="201"/>
      <c r="BB1" s="201"/>
      <c r="BC1" s="201"/>
      <c r="BD1" s="201"/>
    </row>
    <row r="2" spans="1:200" s="200" customFormat="1" ht="15" x14ac:dyDescent="0.25">
      <c r="A2" s="1056"/>
      <c r="B2" s="1057"/>
      <c r="C2" s="1058"/>
      <c r="D2" s="209" t="s">
        <v>72</v>
      </c>
      <c r="E2" s="208">
        <f>'PROJECT SUMMARY'!D4</f>
        <v>0</v>
      </c>
      <c r="F2" s="208"/>
      <c r="G2" s="208"/>
      <c r="H2" s="208"/>
      <c r="I2" s="208"/>
      <c r="J2" s="208"/>
      <c r="K2" s="208"/>
      <c r="L2" s="207"/>
      <c r="M2" s="204"/>
      <c r="N2" s="204"/>
      <c r="O2" s="204"/>
      <c r="P2" s="206"/>
      <c r="Q2" s="1052"/>
      <c r="R2" s="201"/>
      <c r="S2" s="201"/>
      <c r="T2" s="201"/>
      <c r="U2" s="201"/>
      <c r="V2" s="201"/>
      <c r="W2" s="201"/>
      <c r="X2" s="201"/>
      <c r="Y2" s="201"/>
      <c r="Z2" s="201"/>
      <c r="AA2" s="201"/>
      <c r="AB2" s="201"/>
      <c r="AC2" s="201"/>
      <c r="AD2" s="201"/>
      <c r="AE2" s="201"/>
      <c r="AF2" s="201"/>
      <c r="AG2" s="201"/>
      <c r="AH2" s="201"/>
      <c r="AI2" s="201"/>
      <c r="AJ2" s="201"/>
      <c r="AK2" s="201"/>
      <c r="AL2" s="201"/>
      <c r="AM2" s="201"/>
      <c r="AN2" s="201"/>
      <c r="AO2" s="201"/>
      <c r="AP2" s="201"/>
      <c r="AQ2" s="201"/>
      <c r="AR2" s="201"/>
      <c r="AS2" s="201"/>
      <c r="AT2" s="201"/>
      <c r="AU2" s="201"/>
      <c r="AV2" s="201"/>
      <c r="AW2" s="201"/>
      <c r="AX2" s="201"/>
      <c r="AY2" s="201"/>
      <c r="AZ2" s="201"/>
      <c r="BA2" s="201"/>
      <c r="BB2" s="201"/>
      <c r="BC2" s="201"/>
      <c r="BD2" s="201"/>
    </row>
    <row r="3" spans="1:200" s="200" customFormat="1" ht="15" x14ac:dyDescent="0.25">
      <c r="A3" s="1056"/>
      <c r="B3" s="1057"/>
      <c r="C3" s="1058"/>
      <c r="D3" s="209" t="s">
        <v>73</v>
      </c>
      <c r="E3" s="208" t="s">
        <v>621</v>
      </c>
      <c r="F3" s="208"/>
      <c r="G3" s="208"/>
      <c r="H3" s="208"/>
      <c r="I3" s="208"/>
      <c r="J3" s="208"/>
      <c r="K3" s="208"/>
      <c r="L3" s="207"/>
      <c r="M3" s="204"/>
      <c r="N3" s="204"/>
      <c r="O3" s="204"/>
      <c r="P3" s="206"/>
      <c r="Q3" s="1052"/>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c r="AP3" s="201"/>
      <c r="AQ3" s="201"/>
      <c r="AR3" s="201"/>
      <c r="AS3" s="201"/>
      <c r="AT3" s="201"/>
      <c r="AU3" s="201"/>
      <c r="AV3" s="201"/>
      <c r="AW3" s="201"/>
      <c r="AX3" s="201"/>
      <c r="AY3" s="201"/>
      <c r="AZ3" s="201"/>
      <c r="BA3" s="201"/>
      <c r="BB3" s="201"/>
      <c r="BC3" s="201"/>
      <c r="BD3" s="201"/>
    </row>
    <row r="4" spans="1:200" s="200" customFormat="1" ht="15" x14ac:dyDescent="0.25">
      <c r="A4" s="1056"/>
      <c r="B4" s="1057"/>
      <c r="C4" s="1058"/>
      <c r="D4" s="209" t="s">
        <v>75</v>
      </c>
      <c r="E4" s="208" t="str">
        <f>'PROJECT SUMMARY'!B36</f>
        <v>KEY-SH-M-50-XXX</v>
      </c>
      <c r="F4" s="208"/>
      <c r="G4" s="208"/>
      <c r="H4" s="208"/>
      <c r="I4" s="208"/>
      <c r="J4" s="208"/>
      <c r="K4" s="208"/>
      <c r="L4" s="207"/>
      <c r="M4" s="204"/>
      <c r="N4" s="204"/>
      <c r="O4" s="204"/>
      <c r="P4" s="206"/>
      <c r="Q4" s="1052"/>
      <c r="R4" s="201"/>
      <c r="S4" s="201"/>
      <c r="T4" s="201"/>
      <c r="U4" s="201"/>
      <c r="V4" s="201"/>
      <c r="W4" s="201"/>
      <c r="X4" s="201"/>
      <c r="Y4" s="201"/>
      <c r="Z4" s="201"/>
      <c r="AA4" s="201"/>
      <c r="AB4" s="201"/>
      <c r="AC4" s="201"/>
      <c r="AD4" s="201"/>
      <c r="AE4" s="201"/>
      <c r="AF4" s="201"/>
      <c r="AG4" s="201"/>
      <c r="AH4" s="201"/>
      <c r="AI4" s="201"/>
      <c r="AJ4" s="201"/>
      <c r="AK4" s="201"/>
      <c r="AL4" s="201"/>
      <c r="AM4" s="201"/>
      <c r="AN4" s="201"/>
      <c r="AO4" s="201"/>
      <c r="AP4" s="201"/>
      <c r="AQ4" s="201"/>
      <c r="AR4" s="201"/>
      <c r="AS4" s="201"/>
      <c r="AT4" s="201"/>
      <c r="AU4" s="201"/>
      <c r="AV4" s="201"/>
      <c r="AW4" s="201"/>
      <c r="AX4" s="201"/>
      <c r="AY4" s="201"/>
      <c r="AZ4" s="201"/>
      <c r="BA4" s="201"/>
      <c r="BB4" s="201"/>
      <c r="BC4" s="201"/>
      <c r="BD4" s="201"/>
    </row>
    <row r="5" spans="1:200" s="200" customFormat="1" ht="15" x14ac:dyDescent="0.25">
      <c r="A5" s="1056"/>
      <c r="B5" s="1057"/>
      <c r="C5" s="1058"/>
      <c r="D5" s="209" t="s">
        <v>76</v>
      </c>
      <c r="E5" s="715">
        <f>'PROJECT SUMMARY'!C36</f>
        <v>0</v>
      </c>
      <c r="F5" s="208"/>
      <c r="G5" s="208"/>
      <c r="H5" s="208"/>
      <c r="I5" s="208"/>
      <c r="J5" s="208"/>
      <c r="K5" s="208"/>
      <c r="L5" s="207"/>
      <c r="M5" s="204"/>
      <c r="N5" s="204"/>
      <c r="O5" s="204"/>
      <c r="P5" s="206"/>
      <c r="Q5" s="1052"/>
      <c r="R5" s="201"/>
      <c r="S5" s="201"/>
      <c r="T5" s="201"/>
      <c r="U5" s="201"/>
      <c r="V5" s="201"/>
      <c r="W5" s="201"/>
      <c r="X5" s="201"/>
      <c r="Y5" s="201"/>
      <c r="Z5" s="201"/>
      <c r="AA5" s="201"/>
      <c r="AB5" s="201"/>
      <c r="AC5" s="201"/>
      <c r="AD5" s="201"/>
      <c r="AE5" s="201"/>
      <c r="AF5" s="201"/>
      <c r="AG5" s="201"/>
      <c r="AH5" s="201"/>
      <c r="AI5" s="201"/>
      <c r="AJ5" s="201"/>
      <c r="AK5" s="201"/>
      <c r="AL5" s="201"/>
      <c r="AM5" s="201"/>
      <c r="AN5" s="201"/>
      <c r="AO5" s="201"/>
      <c r="AP5" s="201"/>
      <c r="AQ5" s="201"/>
      <c r="AR5" s="201"/>
      <c r="AS5" s="201"/>
      <c r="AT5" s="201"/>
      <c r="AU5" s="201"/>
      <c r="AV5" s="201"/>
      <c r="AW5" s="201"/>
      <c r="AX5" s="201"/>
      <c r="AY5" s="201"/>
      <c r="AZ5" s="201"/>
      <c r="BA5" s="201"/>
      <c r="BB5" s="201"/>
      <c r="BC5" s="201"/>
      <c r="BD5" s="201"/>
    </row>
    <row r="6" spans="1:200" s="200" customFormat="1" ht="15" x14ac:dyDescent="0.25">
      <c r="A6" s="1056"/>
      <c r="B6" s="1057"/>
      <c r="C6" s="1058"/>
      <c r="D6" s="209" t="s">
        <v>77</v>
      </c>
      <c r="E6" s="208">
        <f>'PROJECT SUMMARY'!D5</f>
        <v>0</v>
      </c>
      <c r="F6" s="208"/>
      <c r="G6" s="208"/>
      <c r="H6" s="208"/>
      <c r="I6" s="208"/>
      <c r="J6" s="208"/>
      <c r="K6" s="208"/>
      <c r="L6" s="207"/>
      <c r="M6" s="204"/>
      <c r="N6" s="204"/>
      <c r="O6" s="204"/>
      <c r="P6" s="206"/>
      <c r="Q6" s="1052"/>
      <c r="R6" s="201"/>
      <c r="S6" s="201"/>
      <c r="T6" s="201"/>
      <c r="U6" s="201"/>
      <c r="V6" s="201"/>
      <c r="W6" s="201"/>
      <c r="X6" s="201"/>
      <c r="Y6" s="201"/>
      <c r="Z6" s="201"/>
      <c r="AA6" s="201"/>
      <c r="AB6" s="201"/>
      <c r="AC6" s="201"/>
      <c r="AD6" s="201"/>
      <c r="AE6" s="201"/>
      <c r="AF6" s="201"/>
      <c r="AG6" s="201"/>
      <c r="AH6" s="201"/>
      <c r="AI6" s="201"/>
      <c r="AJ6" s="201"/>
      <c r="AK6" s="201"/>
      <c r="AL6" s="201"/>
      <c r="AM6" s="201"/>
      <c r="AN6" s="201"/>
      <c r="AO6" s="201"/>
      <c r="AP6" s="201"/>
      <c r="AQ6" s="201"/>
      <c r="AR6" s="201"/>
      <c r="AS6" s="201"/>
      <c r="AT6" s="201"/>
      <c r="AU6" s="201"/>
      <c r="AV6" s="201"/>
      <c r="AW6" s="201"/>
      <c r="AX6" s="201"/>
      <c r="AY6" s="201"/>
      <c r="AZ6" s="201"/>
      <c r="BA6" s="201"/>
      <c r="BB6" s="201"/>
      <c r="BC6" s="201"/>
      <c r="BD6" s="201"/>
    </row>
    <row r="7" spans="1:200" s="200" customFormat="1" ht="5.25" customHeight="1" thickBot="1" x14ac:dyDescent="0.3">
      <c r="A7" s="1059"/>
      <c r="B7" s="1060"/>
      <c r="C7" s="1061"/>
      <c r="D7" s="205"/>
      <c r="E7" s="203"/>
      <c r="F7" s="203"/>
      <c r="G7" s="203"/>
      <c r="H7" s="204"/>
      <c r="I7" s="204"/>
      <c r="J7" s="203"/>
      <c r="K7" s="203"/>
      <c r="L7" s="203"/>
      <c r="M7" s="203"/>
      <c r="N7" s="203"/>
      <c r="O7" s="203"/>
      <c r="P7" s="202"/>
      <c r="Q7" s="1053"/>
      <c r="R7" s="201"/>
      <c r="S7" s="201"/>
      <c r="T7" s="201"/>
      <c r="U7" s="201"/>
      <c r="V7" s="201"/>
      <c r="W7" s="201"/>
      <c r="X7" s="201"/>
      <c r="Y7" s="201"/>
      <c r="Z7" s="201"/>
      <c r="AA7" s="201"/>
      <c r="AB7" s="201"/>
      <c r="AC7" s="201"/>
      <c r="AD7" s="201"/>
      <c r="AE7" s="201"/>
      <c r="AF7" s="201"/>
      <c r="AG7" s="201"/>
      <c r="AH7" s="201"/>
      <c r="AI7" s="201"/>
      <c r="AJ7" s="201"/>
      <c r="AK7" s="201"/>
      <c r="AL7" s="201"/>
      <c r="AM7" s="201"/>
      <c r="AN7" s="201"/>
      <c r="AO7" s="201"/>
      <c r="AP7" s="201"/>
      <c r="AQ7" s="201"/>
      <c r="AR7" s="201"/>
      <c r="AS7" s="201"/>
      <c r="AT7" s="201"/>
      <c r="AU7" s="201"/>
      <c r="AV7" s="201"/>
      <c r="AW7" s="201"/>
      <c r="AX7" s="201"/>
      <c r="AY7" s="201"/>
      <c r="AZ7" s="201"/>
      <c r="BA7" s="201"/>
      <c r="BB7" s="201"/>
      <c r="BC7" s="201"/>
      <c r="BD7" s="201"/>
    </row>
    <row r="8" spans="1:200" ht="25.5" x14ac:dyDescent="0.2">
      <c r="A8" s="182" t="s">
        <v>622</v>
      </c>
      <c r="B8" s="178" t="s">
        <v>623</v>
      </c>
      <c r="C8" s="178" t="s">
        <v>89</v>
      </c>
      <c r="D8" s="178" t="s">
        <v>543</v>
      </c>
      <c r="E8" s="199" t="s">
        <v>624</v>
      </c>
      <c r="F8" s="181" t="s">
        <v>625</v>
      </c>
      <c r="G8" s="181" t="s">
        <v>626</v>
      </c>
      <c r="H8" s="1048" t="s">
        <v>627</v>
      </c>
      <c r="I8" s="1049"/>
      <c r="J8" s="1042" t="s">
        <v>67</v>
      </c>
      <c r="K8" s="1043"/>
      <c r="L8" s="1043"/>
      <c r="M8" s="1043"/>
      <c r="N8" s="1044"/>
      <c r="O8" s="179" t="s">
        <v>628</v>
      </c>
      <c r="P8" s="179" t="s">
        <v>629</v>
      </c>
      <c r="Q8" s="198" t="s">
        <v>630</v>
      </c>
      <c r="R8" s="161"/>
      <c r="S8" s="161"/>
      <c r="T8" s="161"/>
      <c r="U8" s="161"/>
      <c r="V8" s="161"/>
      <c r="W8" s="161"/>
      <c r="X8" s="161"/>
      <c r="Y8" s="161"/>
      <c r="Z8" s="161"/>
      <c r="AA8" s="161"/>
      <c r="AB8" s="161"/>
      <c r="AC8" s="161"/>
      <c r="AD8" s="161"/>
      <c r="AE8" s="161"/>
      <c r="AF8" s="161"/>
      <c r="AG8" s="161"/>
      <c r="AH8" s="161"/>
      <c r="AI8" s="161"/>
      <c r="AJ8" s="161"/>
      <c r="AK8" s="161"/>
      <c r="AL8" s="161"/>
      <c r="AM8" s="161"/>
      <c r="AN8" s="161"/>
      <c r="AO8" s="161"/>
      <c r="AP8" s="161"/>
      <c r="AQ8" s="161"/>
      <c r="AR8" s="161"/>
      <c r="AS8" s="161"/>
      <c r="AT8" s="161"/>
      <c r="AU8" s="161"/>
      <c r="AV8" s="161"/>
      <c r="AW8" s="161"/>
      <c r="AX8" s="161"/>
      <c r="AY8" s="161"/>
      <c r="AZ8" s="161"/>
      <c r="BA8" s="161"/>
      <c r="BB8" s="161"/>
      <c r="BC8" s="161"/>
      <c r="BD8" s="161"/>
    </row>
    <row r="9" spans="1:200" ht="39" thickBot="1" x14ac:dyDescent="0.25">
      <c r="A9" s="197"/>
      <c r="B9" s="196"/>
      <c r="C9" s="196"/>
      <c r="D9" s="196"/>
      <c r="E9" s="195" t="s">
        <v>631</v>
      </c>
      <c r="F9" s="194" t="s">
        <v>632</v>
      </c>
      <c r="G9" s="194" t="s">
        <v>633</v>
      </c>
      <c r="H9" s="193" t="s">
        <v>634</v>
      </c>
      <c r="I9" s="193" t="s">
        <v>635</v>
      </c>
      <c r="J9" s="1045" t="s">
        <v>636</v>
      </c>
      <c r="K9" s="1046"/>
      <c r="L9" s="1047"/>
      <c r="M9" s="175" t="s">
        <v>637</v>
      </c>
      <c r="N9" s="175" t="s">
        <v>638</v>
      </c>
      <c r="O9" s="175" t="s">
        <v>639</v>
      </c>
      <c r="P9" s="175" t="s">
        <v>640</v>
      </c>
      <c r="Q9" s="192"/>
      <c r="R9" s="161"/>
      <c r="S9" s="161"/>
      <c r="T9" s="161"/>
      <c r="U9" s="161"/>
      <c r="V9" s="161"/>
      <c r="W9" s="161"/>
      <c r="X9" s="161"/>
      <c r="Y9" s="161"/>
      <c r="Z9" s="161"/>
      <c r="AA9" s="161"/>
      <c r="AB9" s="161"/>
      <c r="AC9" s="161"/>
      <c r="AD9" s="161"/>
      <c r="AE9" s="161"/>
      <c r="AF9" s="161"/>
      <c r="AG9" s="161"/>
      <c r="AH9" s="161"/>
      <c r="AI9" s="161"/>
      <c r="AJ9" s="161"/>
      <c r="AK9" s="161"/>
      <c r="AL9" s="161"/>
      <c r="AM9" s="161"/>
      <c r="AN9" s="161"/>
      <c r="AO9" s="161"/>
      <c r="AP9" s="161"/>
      <c r="AQ9" s="161"/>
      <c r="AR9" s="161"/>
      <c r="AS9" s="161"/>
      <c r="AT9" s="161"/>
      <c r="AU9" s="161"/>
      <c r="AV9" s="161"/>
      <c r="AW9" s="161"/>
      <c r="AX9" s="161"/>
      <c r="AY9" s="161"/>
      <c r="AZ9" s="161"/>
      <c r="BA9" s="161"/>
      <c r="BB9" s="161"/>
      <c r="BC9" s="161"/>
      <c r="BD9" s="161"/>
    </row>
    <row r="10" spans="1:200" ht="15.75" customHeight="1" thickBot="1" x14ac:dyDescent="0.25">
      <c r="A10" s="170" t="s">
        <v>641</v>
      </c>
      <c r="B10" s="169"/>
      <c r="C10" s="169"/>
      <c r="D10" s="169"/>
      <c r="E10" s="169"/>
      <c r="F10" s="169"/>
      <c r="G10" s="169"/>
      <c r="H10" s="169"/>
      <c r="I10" s="169"/>
      <c r="J10" s="169"/>
      <c r="K10" s="169"/>
      <c r="L10" s="169"/>
      <c r="M10" s="169"/>
      <c r="N10" s="169"/>
      <c r="O10" s="169"/>
      <c r="P10" s="169"/>
      <c r="Q10" s="168"/>
      <c r="R10" s="161"/>
      <c r="S10" s="161"/>
      <c r="T10" s="161"/>
      <c r="U10" s="161"/>
      <c r="V10" s="161"/>
      <c r="W10" s="161"/>
      <c r="X10" s="161"/>
      <c r="Y10" s="161"/>
      <c r="Z10" s="161"/>
      <c r="AA10" s="161"/>
      <c r="AB10" s="161"/>
      <c r="AC10" s="161"/>
      <c r="AD10" s="161"/>
      <c r="AE10" s="161"/>
      <c r="AF10" s="161"/>
      <c r="AG10" s="161"/>
      <c r="AH10" s="161"/>
      <c r="AI10" s="161"/>
      <c r="AJ10" s="161"/>
      <c r="AK10" s="161"/>
      <c r="AL10" s="161"/>
      <c r="AM10" s="161"/>
      <c r="AN10" s="161"/>
      <c r="AO10" s="161"/>
      <c r="AP10" s="161"/>
      <c r="AQ10" s="161"/>
      <c r="AR10" s="161"/>
      <c r="AS10" s="161"/>
      <c r="AT10" s="161"/>
      <c r="AU10" s="161"/>
      <c r="AV10" s="161"/>
      <c r="AW10" s="161"/>
      <c r="AX10" s="161"/>
      <c r="AY10" s="161"/>
      <c r="AZ10" s="161"/>
      <c r="BA10" s="161"/>
      <c r="BB10" s="161"/>
      <c r="BC10" s="161"/>
      <c r="BD10" s="161"/>
    </row>
    <row r="11" spans="1:200" s="183" customFormat="1" ht="24" x14ac:dyDescent="0.2">
      <c r="A11" s="298" t="s">
        <v>642</v>
      </c>
      <c r="B11" s="294" t="s">
        <v>497</v>
      </c>
      <c r="C11" s="295"/>
      <c r="D11" s="295" t="s">
        <v>643</v>
      </c>
      <c r="E11" s="653"/>
      <c r="F11" s="297">
        <v>2.85</v>
      </c>
      <c r="G11" s="297">
        <v>2</v>
      </c>
      <c r="H11" s="295">
        <v>20</v>
      </c>
      <c r="I11" s="295">
        <v>24</v>
      </c>
      <c r="J11" s="295"/>
      <c r="K11" s="295" t="s">
        <v>644</v>
      </c>
      <c r="L11" s="295" t="s">
        <v>645</v>
      </c>
      <c r="M11" s="295"/>
      <c r="N11" s="295"/>
      <c r="O11" s="295"/>
      <c r="P11" s="295"/>
      <c r="Q11" s="299" t="s">
        <v>646</v>
      </c>
      <c r="R11" s="185"/>
      <c r="S11" s="185"/>
      <c r="T11" s="185"/>
      <c r="U11" s="185"/>
      <c r="V11" s="185"/>
      <c r="W11" s="185"/>
      <c r="X11" s="185"/>
      <c r="Y11" s="185"/>
      <c r="Z11" s="185"/>
      <c r="AA11" s="185"/>
      <c r="AB11" s="185"/>
      <c r="AC11" s="185"/>
      <c r="AD11" s="185"/>
      <c r="AE11" s="185"/>
      <c r="AF11" s="185"/>
      <c r="AG11" s="185"/>
      <c r="AH11" s="185"/>
      <c r="AI11" s="185"/>
      <c r="AJ11" s="185"/>
      <c r="AK11" s="185"/>
      <c r="AL11" s="185"/>
      <c r="AM11" s="185"/>
      <c r="AN11" s="185"/>
      <c r="AO11" s="185"/>
      <c r="AP11" s="185"/>
      <c r="AQ11" s="185"/>
      <c r="AR11" s="185"/>
      <c r="AS11" s="185"/>
      <c r="AT11" s="185"/>
      <c r="AU11" s="185"/>
      <c r="AV11" s="185"/>
      <c r="AW11" s="185"/>
      <c r="AX11" s="185"/>
      <c r="AY11" s="185"/>
      <c r="AZ11" s="185"/>
      <c r="BA11" s="185"/>
      <c r="BB11" s="185"/>
      <c r="BC11" s="185"/>
      <c r="BD11" s="185"/>
      <c r="BE11" s="184"/>
      <c r="BF11" s="184"/>
      <c r="BG11" s="184"/>
      <c r="BH11" s="184"/>
      <c r="BI11" s="184"/>
      <c r="BJ11" s="184"/>
      <c r="BK11" s="184"/>
      <c r="BL11" s="184"/>
      <c r="BM11" s="184"/>
      <c r="BN11" s="184"/>
      <c r="BO11" s="184"/>
      <c r="BP11" s="184"/>
      <c r="BQ11" s="184"/>
      <c r="BR11" s="184"/>
      <c r="BS11" s="184"/>
      <c r="BT11" s="184"/>
      <c r="BU11" s="184"/>
      <c r="BV11" s="184"/>
      <c r="BW11" s="184"/>
      <c r="BX11" s="184"/>
      <c r="BY11" s="184"/>
      <c r="BZ11" s="184"/>
      <c r="CA11" s="184"/>
      <c r="CB11" s="184"/>
      <c r="CC11" s="184"/>
      <c r="CD11" s="184"/>
      <c r="CE11" s="184"/>
      <c r="CF11" s="184"/>
      <c r="CG11" s="184"/>
      <c r="CH11" s="184"/>
      <c r="CI11" s="184"/>
      <c r="CJ11" s="184"/>
      <c r="CK11" s="184"/>
      <c r="CL11" s="184"/>
      <c r="CM11" s="184"/>
      <c r="CN11" s="184"/>
      <c r="CO11" s="184"/>
      <c r="CP11" s="184"/>
      <c r="CQ11" s="184"/>
      <c r="CR11" s="184"/>
      <c r="CS11" s="184"/>
      <c r="CT11" s="184"/>
      <c r="CU11" s="184"/>
      <c r="CV11" s="184"/>
      <c r="CW11" s="184"/>
      <c r="CX11" s="184"/>
      <c r="CY11" s="184"/>
      <c r="CZ11" s="184"/>
      <c r="DA11" s="184"/>
      <c r="DB11" s="184"/>
      <c r="DC11" s="184"/>
      <c r="DD11" s="184"/>
      <c r="DE11" s="184"/>
      <c r="DF11" s="184"/>
      <c r="DG11" s="184"/>
      <c r="DH11" s="184"/>
      <c r="DI11" s="184"/>
      <c r="DJ11" s="184"/>
      <c r="DK11" s="184"/>
      <c r="DL11" s="184"/>
      <c r="DM11" s="184"/>
      <c r="DN11" s="184"/>
      <c r="DO11" s="184"/>
      <c r="DP11" s="184"/>
      <c r="DQ11" s="184"/>
      <c r="DR11" s="184"/>
      <c r="DS11" s="184"/>
      <c r="DT11" s="184"/>
      <c r="DU11" s="184"/>
      <c r="DV11" s="184"/>
      <c r="DW11" s="184"/>
      <c r="DX11" s="184"/>
      <c r="DY11" s="184"/>
      <c r="DZ11" s="184"/>
      <c r="EA11" s="184"/>
      <c r="EB11" s="184"/>
      <c r="EC11" s="184"/>
      <c r="ED11" s="184"/>
      <c r="EE11" s="184"/>
      <c r="EF11" s="184"/>
      <c r="EG11" s="184"/>
      <c r="EH11" s="184"/>
      <c r="EI11" s="184"/>
      <c r="EJ11" s="184"/>
      <c r="EK11" s="184"/>
      <c r="EL11" s="184"/>
      <c r="EM11" s="184"/>
      <c r="EN11" s="184"/>
      <c r="EO11" s="184"/>
      <c r="EP11" s="184"/>
      <c r="EQ11" s="184"/>
      <c r="ER11" s="184"/>
      <c r="ES11" s="184"/>
      <c r="ET11" s="184"/>
      <c r="EU11" s="184"/>
      <c r="EV11" s="184"/>
      <c r="EW11" s="184"/>
      <c r="EX11" s="184"/>
      <c r="EY11" s="184"/>
      <c r="EZ11" s="184"/>
      <c r="FA11" s="184"/>
      <c r="FB11" s="184"/>
      <c r="FC11" s="184"/>
      <c r="FD11" s="184"/>
      <c r="FE11" s="184"/>
      <c r="FF11" s="184"/>
      <c r="FG11" s="184"/>
      <c r="FH11" s="184"/>
      <c r="FI11" s="184"/>
      <c r="FJ11" s="184"/>
      <c r="FK11" s="184"/>
      <c r="FL11" s="184"/>
      <c r="FM11" s="184"/>
      <c r="FN11" s="184"/>
      <c r="FO11" s="184"/>
      <c r="FP11" s="184"/>
      <c r="FQ11" s="184"/>
      <c r="FR11" s="184"/>
      <c r="FS11" s="184"/>
      <c r="FT11" s="184"/>
      <c r="FU11" s="184"/>
      <c r="FV11" s="184"/>
      <c r="FW11" s="184"/>
      <c r="FX11" s="184"/>
      <c r="FY11" s="184"/>
      <c r="FZ11" s="184"/>
      <c r="GA11" s="184"/>
      <c r="GB11" s="184"/>
      <c r="GC11" s="184"/>
      <c r="GD11" s="184"/>
      <c r="GE11" s="184"/>
      <c r="GF11" s="184"/>
      <c r="GG11" s="184"/>
      <c r="GH11" s="184"/>
      <c r="GI11" s="184"/>
      <c r="GJ11" s="184"/>
      <c r="GK11" s="184"/>
      <c r="GL11" s="184"/>
      <c r="GM11" s="184"/>
      <c r="GN11" s="184"/>
      <c r="GO11" s="184"/>
      <c r="GP11" s="184"/>
      <c r="GQ11" s="184"/>
      <c r="GR11" s="184"/>
    </row>
    <row r="12" spans="1:200" s="183" customFormat="1" ht="13.5" thickBot="1" x14ac:dyDescent="0.25">
      <c r="A12" s="191"/>
      <c r="B12" s="187"/>
      <c r="C12" s="190"/>
      <c r="D12" s="190"/>
      <c r="E12" s="189"/>
      <c r="F12" s="188"/>
      <c r="G12" s="188"/>
      <c r="H12" s="187"/>
      <c r="I12" s="187"/>
      <c r="J12" s="187"/>
      <c r="K12" s="187"/>
      <c r="L12" s="187"/>
      <c r="M12" s="187"/>
      <c r="N12" s="187"/>
      <c r="O12" s="187"/>
      <c r="P12" s="187"/>
      <c r="Q12" s="186"/>
      <c r="R12" s="185"/>
      <c r="S12" s="185"/>
      <c r="T12" s="185"/>
      <c r="U12" s="185"/>
      <c r="V12" s="185"/>
      <c r="W12" s="185"/>
      <c r="X12" s="185"/>
      <c r="Y12" s="185"/>
      <c r="Z12" s="185"/>
      <c r="AA12" s="185"/>
      <c r="AB12" s="185"/>
      <c r="AC12" s="185"/>
      <c r="AD12" s="185"/>
      <c r="AE12" s="185"/>
      <c r="AF12" s="185"/>
      <c r="AG12" s="185"/>
      <c r="AH12" s="185"/>
      <c r="AI12" s="185"/>
      <c r="AJ12" s="185"/>
      <c r="AK12" s="185"/>
      <c r="AL12" s="185"/>
      <c r="AM12" s="185"/>
      <c r="AN12" s="185"/>
      <c r="AO12" s="185"/>
      <c r="AP12" s="185"/>
      <c r="AQ12" s="185"/>
      <c r="AR12" s="185"/>
      <c r="AS12" s="185"/>
      <c r="AT12" s="185"/>
      <c r="AU12" s="185"/>
      <c r="AV12" s="185"/>
      <c r="AW12" s="185"/>
      <c r="AX12" s="185"/>
      <c r="AY12" s="185"/>
      <c r="AZ12" s="185"/>
      <c r="BA12" s="185"/>
      <c r="BB12" s="185"/>
      <c r="BC12" s="185"/>
      <c r="BD12" s="185"/>
      <c r="BE12" s="184"/>
      <c r="BF12" s="184"/>
      <c r="BG12" s="184"/>
      <c r="BH12" s="184"/>
      <c r="BI12" s="184"/>
      <c r="BJ12" s="184"/>
      <c r="BK12" s="184"/>
      <c r="BL12" s="184"/>
      <c r="BM12" s="184"/>
      <c r="BN12" s="184"/>
      <c r="BO12" s="184"/>
      <c r="BP12" s="184"/>
      <c r="BQ12" s="184"/>
      <c r="BR12" s="184"/>
      <c r="BS12" s="184"/>
      <c r="BT12" s="184"/>
      <c r="BU12" s="184"/>
      <c r="BV12" s="184"/>
      <c r="BW12" s="184"/>
      <c r="BX12" s="184"/>
      <c r="BY12" s="184"/>
      <c r="BZ12" s="184"/>
      <c r="CA12" s="184"/>
      <c r="CB12" s="184"/>
      <c r="CC12" s="184"/>
      <c r="CD12" s="184"/>
      <c r="CE12" s="184"/>
      <c r="CF12" s="184"/>
      <c r="CG12" s="184"/>
      <c r="CH12" s="184"/>
      <c r="CI12" s="184"/>
      <c r="CJ12" s="184"/>
      <c r="CK12" s="184"/>
      <c r="CL12" s="184"/>
      <c r="CM12" s="184"/>
      <c r="CN12" s="184"/>
      <c r="CO12" s="184"/>
      <c r="CP12" s="184"/>
      <c r="CQ12" s="184"/>
      <c r="CR12" s="184"/>
      <c r="CS12" s="184"/>
      <c r="CT12" s="184"/>
      <c r="CU12" s="184"/>
      <c r="CV12" s="184"/>
      <c r="CW12" s="184"/>
      <c r="CX12" s="184"/>
      <c r="CY12" s="184"/>
      <c r="CZ12" s="184"/>
      <c r="DA12" s="184"/>
      <c r="DB12" s="184"/>
      <c r="DC12" s="184"/>
      <c r="DD12" s="184"/>
      <c r="DE12" s="184"/>
      <c r="DF12" s="184"/>
      <c r="DG12" s="184"/>
      <c r="DH12" s="184"/>
      <c r="DI12" s="184"/>
      <c r="DJ12" s="184"/>
      <c r="DK12" s="184"/>
      <c r="DL12" s="184"/>
      <c r="DM12" s="184"/>
      <c r="DN12" s="184"/>
      <c r="DO12" s="184"/>
      <c r="DP12" s="184"/>
      <c r="DQ12" s="184"/>
      <c r="DR12" s="184"/>
      <c r="DS12" s="184"/>
      <c r="DT12" s="184"/>
      <c r="DU12" s="184"/>
      <c r="DV12" s="184"/>
      <c r="DW12" s="184"/>
      <c r="DX12" s="184"/>
      <c r="DY12" s="184"/>
      <c r="DZ12" s="184"/>
      <c r="EA12" s="184"/>
      <c r="EB12" s="184"/>
      <c r="EC12" s="184"/>
      <c r="ED12" s="184"/>
      <c r="EE12" s="184"/>
      <c r="EF12" s="184"/>
      <c r="EG12" s="184"/>
      <c r="EH12" s="184"/>
      <c r="EI12" s="184"/>
      <c r="EJ12" s="184"/>
      <c r="EK12" s="184"/>
      <c r="EL12" s="184"/>
      <c r="EM12" s="184"/>
      <c r="EN12" s="184"/>
      <c r="EO12" s="184"/>
      <c r="EP12" s="184"/>
      <c r="EQ12" s="184"/>
      <c r="ER12" s="184"/>
      <c r="ES12" s="184"/>
      <c r="ET12" s="184"/>
      <c r="EU12" s="184"/>
      <c r="EV12" s="184"/>
      <c r="EW12" s="184"/>
      <c r="EX12" s="184"/>
      <c r="EY12" s="184"/>
      <c r="EZ12" s="184"/>
      <c r="FA12" s="184"/>
      <c r="FB12" s="184"/>
      <c r="FC12" s="184"/>
      <c r="FD12" s="184"/>
      <c r="FE12" s="184"/>
      <c r="FF12" s="184"/>
      <c r="FG12" s="184"/>
      <c r="FH12" s="184"/>
      <c r="FI12" s="184"/>
      <c r="FJ12" s="184"/>
      <c r="FK12" s="184"/>
      <c r="FL12" s="184"/>
      <c r="FM12" s="184"/>
      <c r="FN12" s="184"/>
      <c r="FO12" s="184"/>
      <c r="FP12" s="184"/>
      <c r="FQ12" s="184"/>
      <c r="FR12" s="184"/>
      <c r="FS12" s="184"/>
      <c r="FT12" s="184"/>
      <c r="FU12" s="184"/>
      <c r="FV12" s="184"/>
      <c r="FW12" s="184"/>
      <c r="FX12" s="184"/>
      <c r="FY12" s="184"/>
      <c r="FZ12" s="184"/>
      <c r="GA12" s="184"/>
      <c r="GB12" s="184"/>
      <c r="GC12" s="184"/>
      <c r="GD12" s="184"/>
      <c r="GE12" s="184"/>
      <c r="GF12" s="184"/>
      <c r="GG12" s="184"/>
      <c r="GH12" s="184"/>
      <c r="GI12" s="184"/>
      <c r="GJ12" s="184"/>
      <c r="GK12" s="184"/>
      <c r="GL12" s="184"/>
      <c r="GM12" s="184"/>
      <c r="GN12" s="184"/>
      <c r="GO12" s="184"/>
      <c r="GP12" s="184"/>
      <c r="GQ12" s="184"/>
      <c r="GR12" s="184"/>
    </row>
    <row r="13" spans="1:200" ht="25.5" x14ac:dyDescent="0.2">
      <c r="A13" s="1062" t="s">
        <v>622</v>
      </c>
      <c r="B13" s="1054" t="s">
        <v>300</v>
      </c>
      <c r="C13" s="1054" t="s">
        <v>205</v>
      </c>
      <c r="D13" s="1054" t="s">
        <v>111</v>
      </c>
      <c r="E13" s="1054" t="s">
        <v>647</v>
      </c>
      <c r="F13" s="1054" t="s">
        <v>648</v>
      </c>
      <c r="G13" s="1054" t="s">
        <v>649</v>
      </c>
      <c r="H13" s="181" t="s">
        <v>650</v>
      </c>
      <c r="I13" s="180" t="s">
        <v>67</v>
      </c>
      <c r="J13" s="180"/>
      <c r="K13" s="180"/>
      <c r="L13" s="180"/>
      <c r="M13" s="180"/>
      <c r="N13" s="179" t="s">
        <v>628</v>
      </c>
      <c r="O13" s="178" t="s">
        <v>651</v>
      </c>
      <c r="P13" s="177" t="s">
        <v>630</v>
      </c>
      <c r="Q13" s="176"/>
      <c r="R13" s="161"/>
      <c r="S13" s="161"/>
      <c r="T13" s="161"/>
      <c r="U13" s="161"/>
      <c r="V13" s="161"/>
      <c r="W13" s="161"/>
      <c r="X13" s="161"/>
      <c r="Y13" s="161"/>
      <c r="Z13" s="161"/>
      <c r="AA13" s="161"/>
      <c r="AB13" s="161"/>
      <c r="AC13" s="161"/>
      <c r="AD13" s="161"/>
      <c r="AE13" s="161"/>
      <c r="AF13" s="161"/>
      <c r="AG13" s="161"/>
      <c r="AH13" s="161"/>
      <c r="AI13" s="161"/>
      <c r="AJ13" s="161"/>
      <c r="AK13" s="161"/>
      <c r="AL13" s="161"/>
      <c r="AM13" s="161"/>
      <c r="AN13" s="161"/>
      <c r="AO13" s="161"/>
      <c r="AP13" s="161"/>
      <c r="AQ13" s="161"/>
      <c r="AR13" s="161"/>
      <c r="AS13" s="161"/>
      <c r="AT13" s="161"/>
      <c r="AU13" s="161"/>
      <c r="AV13" s="161"/>
      <c r="AW13" s="161"/>
      <c r="AX13" s="161"/>
      <c r="AY13" s="161"/>
      <c r="AZ13" s="161"/>
      <c r="BA13" s="161"/>
      <c r="BB13" s="161"/>
      <c r="BC13" s="161"/>
      <c r="BD13" s="161"/>
    </row>
    <row r="14" spans="1:200" ht="39" thickBot="1" x14ac:dyDescent="0.25">
      <c r="A14" s="1063"/>
      <c r="B14" s="1055"/>
      <c r="C14" s="1055"/>
      <c r="D14" s="1055"/>
      <c r="E14" s="1055"/>
      <c r="F14" s="1055"/>
      <c r="G14" s="1055"/>
      <c r="H14" s="174" t="s">
        <v>652</v>
      </c>
      <c r="I14" s="175" t="s">
        <v>653</v>
      </c>
      <c r="J14" s="175" t="s">
        <v>654</v>
      </c>
      <c r="K14" s="175" t="s">
        <v>655</v>
      </c>
      <c r="L14" s="175" t="s">
        <v>653</v>
      </c>
      <c r="M14" s="175" t="s">
        <v>656</v>
      </c>
      <c r="N14" s="174" t="s">
        <v>657</v>
      </c>
      <c r="O14" s="173"/>
      <c r="P14" s="172"/>
      <c r="Q14" s="171"/>
      <c r="R14" s="161"/>
      <c r="S14" s="161"/>
      <c r="T14" s="161"/>
      <c r="U14" s="161"/>
      <c r="V14" s="161"/>
      <c r="W14" s="161"/>
      <c r="X14" s="161"/>
      <c r="Y14" s="161"/>
      <c r="Z14" s="161"/>
      <c r="AA14" s="161"/>
      <c r="AB14" s="161"/>
      <c r="AC14" s="161"/>
      <c r="AD14" s="161"/>
      <c r="AE14" s="161"/>
      <c r="AF14" s="161"/>
      <c r="AG14" s="161"/>
      <c r="AH14" s="161"/>
      <c r="AI14" s="161"/>
      <c r="AJ14" s="161"/>
      <c r="AK14" s="161"/>
      <c r="AL14" s="161"/>
      <c r="AM14" s="161"/>
      <c r="AN14" s="161"/>
      <c r="AO14" s="161"/>
      <c r="AP14" s="161"/>
      <c r="AQ14" s="161"/>
      <c r="AR14" s="161"/>
      <c r="AS14" s="161"/>
      <c r="AT14" s="161"/>
      <c r="AU14" s="161"/>
      <c r="AV14" s="161"/>
      <c r="AW14" s="161"/>
      <c r="AX14" s="161"/>
      <c r="AY14" s="161"/>
      <c r="AZ14" s="161"/>
      <c r="BA14" s="161"/>
      <c r="BB14" s="161"/>
      <c r="BC14" s="161"/>
      <c r="BD14" s="161"/>
    </row>
    <row r="15" spans="1:200" ht="15.75" customHeight="1" thickBot="1" x14ac:dyDescent="0.25">
      <c r="A15" s="170" t="s">
        <v>658</v>
      </c>
      <c r="B15" s="169"/>
      <c r="C15" s="169"/>
      <c r="D15" s="169"/>
      <c r="E15" s="169"/>
      <c r="F15" s="169"/>
      <c r="G15" s="169"/>
      <c r="H15" s="169"/>
      <c r="I15" s="169"/>
      <c r="J15" s="169"/>
      <c r="K15" s="169"/>
      <c r="L15" s="169"/>
      <c r="M15" s="169"/>
      <c r="N15" s="169"/>
      <c r="O15" s="169"/>
      <c r="P15" s="169"/>
      <c r="Q15" s="168"/>
      <c r="R15" s="161"/>
      <c r="S15" s="161"/>
      <c r="T15" s="161"/>
      <c r="U15" s="161"/>
      <c r="V15" s="161"/>
      <c r="W15" s="161"/>
      <c r="X15" s="161"/>
      <c r="Y15" s="161"/>
      <c r="Z15" s="161"/>
      <c r="AA15" s="161"/>
      <c r="AB15" s="161"/>
      <c r="AC15" s="161"/>
      <c r="AD15" s="161"/>
      <c r="AE15" s="161"/>
      <c r="AF15" s="161"/>
      <c r="AG15" s="161"/>
      <c r="AH15" s="161"/>
      <c r="AI15" s="161"/>
      <c r="AJ15" s="161"/>
      <c r="AK15" s="161"/>
      <c r="AL15" s="161"/>
      <c r="AM15" s="161"/>
      <c r="AN15" s="161"/>
      <c r="AO15" s="161"/>
      <c r="AP15" s="161"/>
      <c r="AQ15" s="161"/>
      <c r="AR15" s="161"/>
      <c r="AS15" s="161"/>
      <c r="AT15" s="161"/>
      <c r="AU15" s="161"/>
      <c r="AV15" s="161"/>
      <c r="AW15" s="161"/>
      <c r="AX15" s="161"/>
      <c r="AY15" s="161"/>
      <c r="AZ15" s="161"/>
      <c r="BA15" s="161"/>
      <c r="BB15" s="161"/>
      <c r="BC15" s="161"/>
      <c r="BD15" s="161"/>
    </row>
    <row r="16" spans="1:200" ht="24" x14ac:dyDescent="0.2">
      <c r="A16" s="654" t="s">
        <v>659</v>
      </c>
      <c r="B16" s="290" t="str">
        <f>B11</f>
        <v>Office</v>
      </c>
      <c r="C16" s="290"/>
      <c r="D16" s="290" t="s">
        <v>660</v>
      </c>
      <c r="E16" s="290"/>
      <c r="F16" s="290"/>
      <c r="G16" s="290"/>
      <c r="H16" s="290"/>
      <c r="I16" s="290" t="s">
        <v>645</v>
      </c>
      <c r="J16" s="655"/>
      <c r="K16" s="290"/>
      <c r="L16" s="290"/>
      <c r="M16" s="655"/>
      <c r="N16" s="290"/>
      <c r="O16" s="290"/>
      <c r="P16" s="656"/>
      <c r="Q16" s="657"/>
      <c r="R16" s="161"/>
      <c r="S16" s="161"/>
      <c r="T16" s="161"/>
      <c r="U16" s="161"/>
      <c r="V16" s="161"/>
      <c r="W16" s="161"/>
      <c r="X16" s="161"/>
      <c r="Y16" s="161"/>
      <c r="Z16" s="161"/>
      <c r="AA16" s="161"/>
      <c r="AB16" s="161"/>
      <c r="AC16" s="161"/>
      <c r="AD16" s="161"/>
      <c r="AE16" s="161"/>
      <c r="AF16" s="161"/>
      <c r="AG16" s="161"/>
      <c r="AH16" s="161"/>
      <c r="AI16" s="161"/>
      <c r="AJ16" s="161"/>
      <c r="AK16" s="161"/>
      <c r="AL16" s="161"/>
      <c r="AM16" s="161"/>
      <c r="AN16" s="161"/>
      <c r="AO16" s="161"/>
      <c r="AP16" s="161"/>
      <c r="AQ16" s="161"/>
      <c r="AR16" s="161"/>
      <c r="AS16" s="161"/>
      <c r="AT16" s="161"/>
      <c r="AU16" s="161"/>
      <c r="AV16" s="161"/>
      <c r="AW16" s="161"/>
      <c r="AX16" s="161"/>
      <c r="AY16" s="161"/>
      <c r="AZ16" s="161"/>
      <c r="BA16" s="161"/>
      <c r="BB16" s="161"/>
      <c r="BC16" s="161"/>
      <c r="BD16" s="161"/>
    </row>
    <row r="17" spans="1:56" ht="12.75" x14ac:dyDescent="0.2">
      <c r="A17" s="167"/>
      <c r="B17" s="165"/>
      <c r="C17" s="165"/>
      <c r="D17" s="165"/>
      <c r="E17" s="165"/>
      <c r="F17" s="165"/>
      <c r="G17" s="165"/>
      <c r="H17" s="165"/>
      <c r="I17" s="165"/>
      <c r="J17" s="165"/>
      <c r="K17" s="165"/>
      <c r="L17" s="165"/>
      <c r="M17" s="166"/>
      <c r="N17" s="165"/>
      <c r="O17" s="165"/>
      <c r="P17" s="165"/>
      <c r="Q17" s="164"/>
      <c r="R17" s="161"/>
      <c r="S17" s="161"/>
      <c r="T17" s="161"/>
      <c r="U17" s="161"/>
      <c r="V17" s="161"/>
      <c r="W17" s="161"/>
      <c r="X17" s="161"/>
      <c r="Y17" s="161"/>
      <c r="Z17" s="161"/>
      <c r="AA17" s="161"/>
      <c r="AB17" s="161"/>
      <c r="AC17" s="161"/>
      <c r="AD17" s="161"/>
      <c r="AE17" s="161"/>
      <c r="AF17" s="161"/>
      <c r="AG17" s="161"/>
      <c r="AH17" s="161"/>
      <c r="AI17" s="161"/>
      <c r="AJ17" s="161"/>
      <c r="AK17" s="161"/>
      <c r="AL17" s="161"/>
      <c r="AM17" s="161"/>
      <c r="AN17" s="161"/>
      <c r="AO17" s="161"/>
      <c r="AP17" s="161"/>
      <c r="AQ17" s="161"/>
      <c r="AR17" s="161"/>
      <c r="AS17" s="161"/>
      <c r="AT17" s="161"/>
      <c r="AU17" s="161"/>
      <c r="AV17" s="161"/>
      <c r="AW17" s="161"/>
      <c r="AX17" s="161"/>
      <c r="AY17" s="161"/>
      <c r="AZ17" s="161"/>
      <c r="BA17" s="161"/>
      <c r="BB17" s="161"/>
      <c r="BC17" s="161"/>
      <c r="BD17" s="161"/>
    </row>
    <row r="18" spans="1:56" ht="15" x14ac:dyDescent="0.25">
      <c r="A18" s="163"/>
      <c r="B18" s="163"/>
      <c r="C18" s="163"/>
      <c r="D18" s="163"/>
      <c r="E18" s="163"/>
      <c r="F18" s="163"/>
      <c r="G18" s="163"/>
      <c r="H18" s="161"/>
      <c r="I18" s="161"/>
      <c r="J18" s="161"/>
      <c r="K18" s="161"/>
      <c r="L18" s="161"/>
      <c r="M18" s="1050"/>
      <c r="N18" s="1050"/>
      <c r="O18" s="161"/>
      <c r="P18" s="161"/>
      <c r="Q18" s="160"/>
      <c r="R18" s="161"/>
      <c r="S18" s="161"/>
      <c r="T18" s="161"/>
      <c r="U18" s="161"/>
      <c r="V18" s="161"/>
      <c r="W18" s="161"/>
      <c r="X18" s="161"/>
      <c r="Y18" s="161"/>
      <c r="Z18" s="161"/>
      <c r="AA18" s="161"/>
      <c r="AB18" s="161"/>
      <c r="AC18" s="161"/>
      <c r="AD18" s="161"/>
      <c r="AE18" s="161"/>
      <c r="AF18" s="161"/>
      <c r="AG18" s="161"/>
      <c r="AH18" s="161"/>
      <c r="AI18" s="161"/>
      <c r="AJ18" s="161"/>
      <c r="AK18" s="161"/>
      <c r="AL18" s="161"/>
      <c r="AM18" s="161"/>
      <c r="AN18" s="161"/>
      <c r="AO18" s="161"/>
      <c r="AP18" s="161"/>
      <c r="AQ18" s="161"/>
      <c r="AR18" s="161"/>
      <c r="AS18" s="161"/>
      <c r="AT18" s="161"/>
      <c r="AU18" s="161"/>
      <c r="AV18" s="161"/>
      <c r="AW18" s="161"/>
      <c r="AX18" s="161"/>
      <c r="AY18" s="161"/>
      <c r="AZ18" s="161"/>
      <c r="BA18" s="161"/>
      <c r="BB18" s="161"/>
      <c r="BC18" s="161"/>
      <c r="BD18" s="161"/>
    </row>
    <row r="19" spans="1:56" x14ac:dyDescent="0.2">
      <c r="A19" s="161"/>
      <c r="B19" s="161"/>
      <c r="C19" s="161"/>
      <c r="D19" s="161"/>
      <c r="E19" s="162"/>
      <c r="F19" s="161"/>
      <c r="G19" s="161"/>
      <c r="H19" s="161"/>
      <c r="I19" s="161"/>
      <c r="J19" s="161"/>
      <c r="K19" s="161"/>
      <c r="L19" s="161"/>
      <c r="M19" s="161"/>
      <c r="N19" s="161"/>
      <c r="O19" s="161"/>
      <c r="P19" s="161"/>
      <c r="Q19" s="160"/>
      <c r="R19" s="161"/>
      <c r="S19" s="161"/>
      <c r="T19" s="161"/>
      <c r="U19" s="161"/>
      <c r="V19" s="161"/>
      <c r="W19" s="161"/>
      <c r="X19" s="161"/>
      <c r="Y19" s="161"/>
      <c r="Z19" s="161"/>
      <c r="AA19" s="161"/>
      <c r="AB19" s="161"/>
      <c r="AC19" s="161"/>
      <c r="AD19" s="161"/>
      <c r="AE19" s="161"/>
      <c r="AF19" s="161"/>
      <c r="AG19" s="161"/>
      <c r="AH19" s="161"/>
      <c r="AI19" s="161"/>
      <c r="AJ19" s="161"/>
      <c r="AK19" s="161"/>
      <c r="AL19" s="161"/>
      <c r="AM19" s="161"/>
      <c r="AN19" s="161"/>
      <c r="AO19" s="161"/>
      <c r="AP19" s="161"/>
      <c r="AQ19" s="161"/>
      <c r="AR19" s="161"/>
      <c r="AS19" s="161"/>
      <c r="AT19" s="161"/>
      <c r="AU19" s="161"/>
      <c r="AV19" s="161"/>
      <c r="AW19" s="161"/>
      <c r="AX19" s="161"/>
      <c r="AY19" s="161"/>
      <c r="AZ19" s="161"/>
      <c r="BA19" s="161"/>
      <c r="BB19" s="161"/>
      <c r="BC19" s="161"/>
      <c r="BD19" s="161"/>
    </row>
    <row r="20" spans="1:56" x14ac:dyDescent="0.2">
      <c r="A20" s="161"/>
      <c r="B20" s="161"/>
      <c r="C20" s="161"/>
      <c r="D20" s="161"/>
      <c r="E20" s="162"/>
      <c r="F20" s="161"/>
      <c r="G20" s="161"/>
      <c r="H20" s="161"/>
      <c r="I20" s="161"/>
      <c r="J20" s="161"/>
      <c r="K20" s="161"/>
      <c r="L20" s="161"/>
      <c r="M20" s="161"/>
      <c r="N20" s="161"/>
      <c r="O20" s="161"/>
      <c r="P20" s="161"/>
      <c r="Q20" s="160"/>
      <c r="R20" s="161"/>
      <c r="S20" s="161"/>
      <c r="T20" s="161"/>
      <c r="U20" s="161"/>
      <c r="V20" s="161"/>
      <c r="W20" s="161"/>
      <c r="X20" s="161"/>
      <c r="Y20" s="161"/>
      <c r="Z20" s="161"/>
      <c r="AA20" s="161"/>
      <c r="AB20" s="161"/>
      <c r="AC20" s="161"/>
      <c r="AD20" s="161"/>
      <c r="AE20" s="161"/>
      <c r="AF20" s="161"/>
      <c r="AG20" s="161"/>
      <c r="AH20" s="161"/>
      <c r="AI20" s="161"/>
      <c r="AJ20" s="161"/>
      <c r="AK20" s="161"/>
      <c r="AL20" s="161"/>
      <c r="AM20" s="161"/>
      <c r="AN20" s="161"/>
      <c r="AO20" s="161"/>
      <c r="AP20" s="161"/>
      <c r="AQ20" s="161"/>
      <c r="AR20" s="161"/>
      <c r="AS20" s="161"/>
      <c r="AT20" s="161"/>
      <c r="AU20" s="161"/>
      <c r="AV20" s="161"/>
      <c r="AW20" s="161"/>
      <c r="AX20" s="161"/>
      <c r="AY20" s="161"/>
      <c r="AZ20" s="161"/>
      <c r="BA20" s="161"/>
      <c r="BB20" s="161"/>
      <c r="BC20" s="161"/>
      <c r="BD20" s="161"/>
    </row>
    <row r="21" spans="1:56" x14ac:dyDescent="0.2">
      <c r="A21" s="161"/>
      <c r="B21" s="161"/>
      <c r="C21" s="161"/>
      <c r="D21" s="161"/>
      <c r="E21" s="162"/>
      <c r="F21" s="161"/>
      <c r="G21" s="161"/>
      <c r="H21" s="161"/>
      <c r="I21" s="161"/>
      <c r="J21" s="161"/>
      <c r="K21" s="161"/>
      <c r="L21" s="161"/>
      <c r="M21" s="161"/>
      <c r="N21" s="161"/>
      <c r="O21" s="161"/>
      <c r="P21" s="161"/>
      <c r="Q21" s="160"/>
      <c r="R21" s="161"/>
      <c r="S21" s="161"/>
      <c r="T21" s="161"/>
      <c r="U21" s="161"/>
      <c r="V21" s="161"/>
      <c r="W21" s="161"/>
      <c r="X21" s="161"/>
      <c r="Y21" s="161"/>
      <c r="Z21" s="161"/>
      <c r="AA21" s="161"/>
      <c r="AB21" s="161"/>
      <c r="AC21" s="161"/>
      <c r="AD21" s="161"/>
      <c r="AE21" s="161"/>
      <c r="AF21" s="161"/>
      <c r="AG21" s="161"/>
      <c r="AH21" s="161"/>
      <c r="AI21" s="161"/>
      <c r="AJ21" s="161"/>
      <c r="AK21" s="161"/>
      <c r="AL21" s="161"/>
      <c r="AM21" s="161"/>
      <c r="AN21" s="161"/>
      <c r="AO21" s="161"/>
      <c r="AP21" s="161"/>
      <c r="AQ21" s="161"/>
      <c r="AR21" s="161"/>
      <c r="AS21" s="161"/>
      <c r="AT21" s="161"/>
      <c r="AU21" s="161"/>
      <c r="AV21" s="161"/>
      <c r="AW21" s="161"/>
      <c r="AX21" s="161"/>
      <c r="AY21" s="161"/>
      <c r="AZ21" s="161"/>
      <c r="BA21" s="161"/>
      <c r="BB21" s="161"/>
      <c r="BC21" s="161"/>
      <c r="BD21" s="161"/>
    </row>
    <row r="22" spans="1:56" x14ac:dyDescent="0.2">
      <c r="A22" s="161"/>
      <c r="B22" s="161"/>
      <c r="C22" s="161"/>
      <c r="D22" s="161"/>
      <c r="E22" s="162"/>
      <c r="F22" s="161"/>
      <c r="G22" s="161"/>
      <c r="H22" s="161"/>
      <c r="I22" s="161"/>
      <c r="J22" s="161"/>
      <c r="K22" s="161"/>
      <c r="L22" s="161"/>
      <c r="M22" s="161"/>
      <c r="N22" s="161"/>
      <c r="O22" s="161"/>
      <c r="P22" s="161"/>
      <c r="Q22" s="160"/>
      <c r="R22" s="161"/>
      <c r="S22" s="161"/>
      <c r="T22" s="161"/>
      <c r="U22" s="161"/>
      <c r="V22" s="161"/>
      <c r="W22" s="161"/>
      <c r="X22" s="161"/>
      <c r="Y22" s="161"/>
      <c r="Z22" s="161"/>
      <c r="AA22" s="161"/>
      <c r="AB22" s="161"/>
      <c r="AC22" s="161"/>
      <c r="AD22" s="161"/>
      <c r="AE22" s="161"/>
      <c r="AF22" s="161"/>
      <c r="AG22" s="161"/>
      <c r="AH22" s="161"/>
      <c r="AI22" s="161"/>
      <c r="AJ22" s="161"/>
      <c r="AK22" s="161"/>
      <c r="AL22" s="161"/>
      <c r="AM22" s="161"/>
      <c r="AN22" s="161"/>
      <c r="AO22" s="161"/>
      <c r="AP22" s="161"/>
      <c r="AQ22" s="161"/>
      <c r="AR22" s="161"/>
      <c r="AS22" s="161"/>
      <c r="AT22" s="161"/>
      <c r="AU22" s="161"/>
      <c r="AV22" s="161"/>
      <c r="AW22" s="161"/>
      <c r="AX22" s="161"/>
      <c r="AY22" s="161"/>
      <c r="AZ22" s="161"/>
      <c r="BA22" s="161"/>
      <c r="BB22" s="161"/>
      <c r="BC22" s="161"/>
      <c r="BD22" s="161"/>
    </row>
    <row r="23" spans="1:56" x14ac:dyDescent="0.2">
      <c r="A23" s="161"/>
      <c r="B23" s="161"/>
      <c r="C23" s="161"/>
      <c r="D23" s="161"/>
      <c r="E23" s="162"/>
      <c r="F23" s="161"/>
      <c r="G23" s="161"/>
      <c r="H23" s="161"/>
      <c r="I23" s="161"/>
      <c r="J23" s="161"/>
      <c r="K23" s="161"/>
      <c r="L23" s="161"/>
      <c r="M23" s="161"/>
      <c r="N23" s="161"/>
      <c r="O23" s="161"/>
      <c r="P23" s="161"/>
      <c r="Q23" s="160"/>
      <c r="R23" s="161"/>
      <c r="S23" s="161"/>
      <c r="T23" s="161"/>
      <c r="U23" s="161"/>
      <c r="V23" s="161"/>
      <c r="W23" s="161"/>
      <c r="X23" s="161"/>
      <c r="Y23" s="161"/>
      <c r="Z23" s="161"/>
      <c r="AA23" s="161"/>
      <c r="AB23" s="161"/>
      <c r="AC23" s="161"/>
      <c r="AD23" s="161"/>
      <c r="AE23" s="161"/>
      <c r="AF23" s="161"/>
      <c r="AG23" s="161"/>
      <c r="AH23" s="161"/>
      <c r="AI23" s="161"/>
      <c r="AJ23" s="161"/>
      <c r="AK23" s="161"/>
      <c r="AL23" s="161"/>
      <c r="AM23" s="161"/>
      <c r="AN23" s="161"/>
      <c r="AO23" s="161"/>
      <c r="AP23" s="161"/>
      <c r="AQ23" s="161"/>
      <c r="AR23" s="161"/>
      <c r="AS23" s="161"/>
      <c r="AT23" s="161"/>
      <c r="AU23" s="161"/>
      <c r="AV23" s="161"/>
      <c r="AW23" s="161"/>
      <c r="AX23" s="161"/>
      <c r="AY23" s="161"/>
      <c r="AZ23" s="161"/>
      <c r="BA23" s="161"/>
      <c r="BB23" s="161"/>
      <c r="BC23" s="161"/>
      <c r="BD23" s="161"/>
    </row>
    <row r="24" spans="1:56" x14ac:dyDescent="0.2">
      <c r="A24" s="161"/>
      <c r="B24" s="161"/>
      <c r="C24" s="161"/>
      <c r="D24" s="161"/>
      <c r="E24" s="162"/>
      <c r="F24" s="161"/>
      <c r="G24" s="161"/>
      <c r="H24" s="161"/>
      <c r="I24" s="161"/>
      <c r="J24" s="161"/>
      <c r="K24" s="161"/>
      <c r="L24" s="161"/>
      <c r="M24" s="161"/>
      <c r="N24" s="161"/>
      <c r="O24" s="161"/>
      <c r="P24" s="161"/>
      <c r="Q24" s="160"/>
      <c r="R24" s="161"/>
      <c r="S24" s="161"/>
      <c r="T24" s="161"/>
      <c r="U24" s="161"/>
      <c r="V24" s="161"/>
      <c r="W24" s="161"/>
      <c r="X24" s="161"/>
      <c r="Y24" s="161"/>
      <c r="Z24" s="161"/>
      <c r="AA24" s="161"/>
      <c r="AB24" s="161"/>
      <c r="AC24" s="161"/>
      <c r="AD24" s="161"/>
      <c r="AE24" s="161"/>
      <c r="AF24" s="161"/>
      <c r="AG24" s="161"/>
      <c r="AH24" s="161"/>
      <c r="AI24" s="161"/>
      <c r="AJ24" s="161"/>
      <c r="AK24" s="161"/>
      <c r="AL24" s="161"/>
      <c r="AM24" s="161"/>
      <c r="AN24" s="161"/>
      <c r="AO24" s="161"/>
      <c r="AP24" s="161"/>
      <c r="AQ24" s="161"/>
      <c r="AR24" s="161"/>
      <c r="AS24" s="161"/>
      <c r="AT24" s="161"/>
      <c r="AU24" s="161"/>
      <c r="AV24" s="161"/>
      <c r="AW24" s="161"/>
      <c r="AX24" s="161"/>
      <c r="AY24" s="161"/>
      <c r="AZ24" s="161"/>
      <c r="BA24" s="161"/>
      <c r="BB24" s="161"/>
      <c r="BC24" s="161"/>
      <c r="BD24" s="161"/>
    </row>
    <row r="25" spans="1:56" x14ac:dyDescent="0.2">
      <c r="A25" s="161"/>
      <c r="B25" s="161"/>
      <c r="C25" s="161"/>
      <c r="D25" s="161"/>
      <c r="E25" s="162"/>
      <c r="F25" s="161"/>
      <c r="G25" s="161"/>
      <c r="H25" s="161"/>
      <c r="I25" s="161"/>
      <c r="J25" s="161"/>
      <c r="K25" s="161"/>
      <c r="L25" s="161"/>
      <c r="M25" s="161"/>
      <c r="N25" s="161"/>
      <c r="O25" s="161"/>
      <c r="P25" s="161"/>
      <c r="Q25" s="160"/>
      <c r="R25" s="161"/>
      <c r="S25" s="161"/>
      <c r="T25" s="161"/>
      <c r="U25" s="161"/>
      <c r="V25" s="161"/>
      <c r="W25" s="161"/>
      <c r="X25" s="161"/>
      <c r="Y25" s="161"/>
      <c r="Z25" s="161"/>
      <c r="AA25" s="161"/>
      <c r="AB25" s="161"/>
      <c r="AC25" s="161"/>
      <c r="AD25" s="161"/>
      <c r="AE25" s="161"/>
      <c r="AF25" s="161"/>
      <c r="AG25" s="161"/>
      <c r="AH25" s="161"/>
      <c r="AI25" s="161"/>
      <c r="AJ25" s="161"/>
      <c r="AK25" s="161"/>
      <c r="AL25" s="161"/>
      <c r="AM25" s="161"/>
      <c r="AN25" s="161"/>
      <c r="AO25" s="161"/>
      <c r="AP25" s="161"/>
      <c r="AQ25" s="161"/>
      <c r="AR25" s="161"/>
      <c r="AS25" s="161"/>
      <c r="AT25" s="161"/>
      <c r="AU25" s="161"/>
      <c r="AV25" s="161"/>
      <c r="AW25" s="161"/>
      <c r="AX25" s="161"/>
      <c r="AY25" s="161"/>
      <c r="AZ25" s="161"/>
      <c r="BA25" s="161"/>
      <c r="BB25" s="161"/>
      <c r="BC25" s="161"/>
      <c r="BD25" s="161"/>
    </row>
    <row r="26" spans="1:56" x14ac:dyDescent="0.2">
      <c r="A26" s="161"/>
      <c r="B26" s="161"/>
      <c r="C26" s="161"/>
      <c r="D26" s="161"/>
      <c r="E26" s="162"/>
      <c r="F26" s="161"/>
      <c r="G26" s="161"/>
      <c r="H26" s="161"/>
      <c r="I26" s="161"/>
      <c r="J26" s="161"/>
      <c r="K26" s="161"/>
      <c r="L26" s="161"/>
      <c r="M26" s="161"/>
      <c r="N26" s="161"/>
      <c r="O26" s="161"/>
      <c r="P26" s="161"/>
      <c r="Q26" s="160"/>
      <c r="R26" s="161"/>
      <c r="S26" s="161"/>
      <c r="T26" s="161"/>
      <c r="U26" s="161"/>
      <c r="V26" s="161"/>
      <c r="W26" s="161"/>
      <c r="X26" s="161"/>
      <c r="Y26" s="161"/>
      <c r="Z26" s="161"/>
      <c r="AA26" s="161"/>
      <c r="AB26" s="161"/>
      <c r="AC26" s="161"/>
      <c r="AD26" s="161"/>
      <c r="AE26" s="161"/>
      <c r="AF26" s="161"/>
      <c r="AG26" s="161"/>
      <c r="AH26" s="161"/>
      <c r="AI26" s="161"/>
      <c r="AJ26" s="161"/>
      <c r="AK26" s="161"/>
      <c r="AL26" s="161"/>
      <c r="AM26" s="161"/>
      <c r="AN26" s="161"/>
      <c r="AO26" s="161"/>
      <c r="AP26" s="161"/>
      <c r="AQ26" s="161"/>
      <c r="AR26" s="161"/>
      <c r="AS26" s="161"/>
      <c r="AT26" s="161"/>
      <c r="AU26" s="161"/>
      <c r="AV26" s="161"/>
      <c r="AW26" s="161"/>
      <c r="AX26" s="161"/>
      <c r="AY26" s="161"/>
      <c r="AZ26" s="161"/>
      <c r="BA26" s="161"/>
      <c r="BB26" s="161"/>
      <c r="BC26" s="161"/>
      <c r="BD26" s="161"/>
    </row>
    <row r="27" spans="1:56" x14ac:dyDescent="0.2">
      <c r="A27" s="161"/>
      <c r="B27" s="161"/>
      <c r="C27" s="161"/>
      <c r="D27" s="161"/>
      <c r="E27" s="162"/>
      <c r="F27" s="161"/>
      <c r="G27" s="161"/>
      <c r="H27" s="161"/>
      <c r="I27" s="161"/>
      <c r="J27" s="161"/>
      <c r="K27" s="161"/>
      <c r="L27" s="161"/>
      <c r="M27" s="161"/>
      <c r="N27" s="161"/>
      <c r="O27" s="161"/>
      <c r="P27" s="161"/>
      <c r="Q27" s="160"/>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161"/>
      <c r="BA27" s="161"/>
      <c r="BB27" s="161"/>
      <c r="BC27" s="161"/>
      <c r="BD27" s="161"/>
    </row>
    <row r="28" spans="1:56" x14ac:dyDescent="0.2">
      <c r="A28" s="161"/>
      <c r="B28" s="161"/>
      <c r="C28" s="161"/>
      <c r="D28" s="161"/>
      <c r="E28" s="162"/>
      <c r="F28" s="161"/>
      <c r="G28" s="161"/>
      <c r="H28" s="161"/>
      <c r="I28" s="161"/>
      <c r="J28" s="161"/>
      <c r="K28" s="161"/>
      <c r="L28" s="161"/>
      <c r="M28" s="161"/>
      <c r="N28" s="161"/>
      <c r="O28" s="161"/>
      <c r="P28" s="161"/>
      <c r="Q28" s="160"/>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161"/>
      <c r="BA28" s="161"/>
      <c r="BB28" s="161"/>
      <c r="BC28" s="161"/>
      <c r="BD28" s="161"/>
    </row>
    <row r="29" spans="1:56" x14ac:dyDescent="0.2">
      <c r="A29" s="161"/>
      <c r="B29" s="161"/>
      <c r="C29" s="161"/>
      <c r="D29" s="161"/>
      <c r="E29" s="162"/>
      <c r="F29" s="161"/>
      <c r="G29" s="161"/>
      <c r="H29" s="161"/>
      <c r="I29" s="161"/>
      <c r="J29" s="161"/>
      <c r="K29" s="161"/>
      <c r="L29" s="161"/>
      <c r="M29" s="161"/>
      <c r="N29" s="161"/>
      <c r="O29" s="161"/>
      <c r="P29" s="161"/>
      <c r="Q29" s="160"/>
      <c r="R29" s="161"/>
      <c r="S29" s="161"/>
      <c r="T29" s="161"/>
      <c r="U29" s="161"/>
      <c r="V29" s="161"/>
      <c r="W29" s="161"/>
      <c r="X29" s="161"/>
      <c r="Y29" s="161"/>
      <c r="Z29" s="161"/>
      <c r="AA29" s="161"/>
      <c r="AB29" s="161"/>
      <c r="AC29" s="161"/>
      <c r="AD29" s="161"/>
      <c r="AE29" s="161"/>
      <c r="AF29" s="161"/>
      <c r="AG29" s="161"/>
      <c r="AH29" s="161"/>
      <c r="AI29" s="161"/>
      <c r="AJ29" s="161"/>
      <c r="AK29" s="161"/>
      <c r="AL29" s="161"/>
      <c r="AM29" s="161"/>
      <c r="AN29" s="161"/>
      <c r="AO29" s="161"/>
      <c r="AP29" s="161"/>
      <c r="AQ29" s="161"/>
      <c r="AR29" s="161"/>
      <c r="AS29" s="161"/>
      <c r="AT29" s="161"/>
      <c r="AU29" s="161"/>
      <c r="AV29" s="161"/>
      <c r="AW29" s="161"/>
      <c r="AX29" s="161"/>
      <c r="AY29" s="161"/>
      <c r="AZ29" s="161"/>
      <c r="BA29" s="161"/>
      <c r="BB29" s="161"/>
      <c r="BC29" s="161"/>
      <c r="BD29" s="161"/>
    </row>
    <row r="30" spans="1:56" x14ac:dyDescent="0.2">
      <c r="A30" s="161"/>
      <c r="B30" s="161"/>
      <c r="C30" s="161"/>
      <c r="D30" s="161"/>
      <c r="E30" s="162"/>
      <c r="F30" s="161"/>
      <c r="G30" s="161"/>
      <c r="H30" s="161"/>
      <c r="I30" s="161"/>
      <c r="J30" s="161"/>
      <c r="K30" s="161"/>
      <c r="L30" s="161"/>
      <c r="M30" s="161"/>
      <c r="N30" s="161"/>
      <c r="O30" s="161"/>
      <c r="P30" s="161"/>
      <c r="Q30" s="160"/>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161"/>
      <c r="BA30" s="161"/>
      <c r="BB30" s="161"/>
      <c r="BC30" s="161"/>
      <c r="BD30" s="161"/>
    </row>
    <row r="31" spans="1:56" x14ac:dyDescent="0.2">
      <c r="A31" s="161"/>
      <c r="B31" s="161"/>
      <c r="C31" s="161"/>
      <c r="D31" s="161"/>
      <c r="E31" s="162"/>
      <c r="F31" s="161"/>
      <c r="G31" s="161"/>
      <c r="H31" s="161"/>
      <c r="I31" s="161"/>
      <c r="J31" s="161"/>
      <c r="K31" s="161"/>
      <c r="L31" s="161"/>
      <c r="M31" s="161"/>
      <c r="N31" s="161"/>
      <c r="O31" s="161"/>
      <c r="P31" s="161"/>
      <c r="Q31" s="160"/>
      <c r="R31" s="161"/>
      <c r="S31" s="161"/>
      <c r="T31" s="161"/>
      <c r="U31" s="161"/>
      <c r="V31" s="161"/>
      <c r="W31" s="161"/>
      <c r="X31" s="161"/>
      <c r="Y31" s="161"/>
      <c r="Z31" s="161"/>
      <c r="AA31" s="161"/>
      <c r="AB31" s="161"/>
      <c r="AC31" s="161"/>
      <c r="AD31" s="161"/>
      <c r="AE31" s="161"/>
      <c r="AF31" s="161"/>
      <c r="AG31" s="161"/>
      <c r="AH31" s="161"/>
      <c r="AI31" s="161"/>
      <c r="AJ31" s="161"/>
      <c r="AK31" s="161"/>
      <c r="AL31" s="161"/>
      <c r="AM31" s="161"/>
      <c r="AN31" s="161"/>
      <c r="AO31" s="161"/>
      <c r="AP31" s="161"/>
      <c r="AQ31" s="161"/>
      <c r="AR31" s="161"/>
      <c r="AS31" s="161"/>
      <c r="AT31" s="161"/>
      <c r="AU31" s="161"/>
      <c r="AV31" s="161"/>
      <c r="AW31" s="161"/>
      <c r="AX31" s="161"/>
      <c r="AY31" s="161"/>
      <c r="AZ31" s="161"/>
      <c r="BA31" s="161"/>
      <c r="BB31" s="161"/>
      <c r="BC31" s="161"/>
      <c r="BD31" s="161"/>
    </row>
    <row r="32" spans="1:56" x14ac:dyDescent="0.2">
      <c r="A32" s="161"/>
      <c r="B32" s="161"/>
      <c r="C32" s="161"/>
      <c r="D32" s="161"/>
      <c r="E32" s="162"/>
      <c r="F32" s="161"/>
      <c r="G32" s="161"/>
      <c r="H32" s="161"/>
      <c r="I32" s="161"/>
      <c r="J32" s="161"/>
      <c r="K32" s="161"/>
      <c r="L32" s="161"/>
      <c r="M32" s="161"/>
      <c r="N32" s="161"/>
      <c r="O32" s="161"/>
      <c r="P32" s="161"/>
      <c r="Q32" s="160"/>
      <c r="R32" s="161"/>
      <c r="S32" s="161"/>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161"/>
      <c r="BA32" s="161"/>
      <c r="BB32" s="161"/>
      <c r="BC32" s="161"/>
      <c r="BD32" s="161"/>
    </row>
    <row r="33" spans="1:56" x14ac:dyDescent="0.2">
      <c r="A33" s="161"/>
      <c r="B33" s="161"/>
      <c r="C33" s="161"/>
      <c r="D33" s="161"/>
      <c r="E33" s="162"/>
      <c r="F33" s="161"/>
      <c r="G33" s="161"/>
      <c r="H33" s="161"/>
      <c r="I33" s="161"/>
      <c r="J33" s="161"/>
      <c r="K33" s="161"/>
      <c r="L33" s="161"/>
      <c r="M33" s="161"/>
      <c r="N33" s="161"/>
      <c r="O33" s="161"/>
      <c r="P33" s="161"/>
      <c r="Q33" s="160"/>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161"/>
      <c r="BA33" s="161"/>
      <c r="BB33" s="161"/>
      <c r="BC33" s="161"/>
      <c r="BD33" s="161"/>
    </row>
    <row r="34" spans="1:56" x14ac:dyDescent="0.2">
      <c r="A34" s="161"/>
      <c r="B34" s="161"/>
      <c r="C34" s="161"/>
      <c r="D34" s="161"/>
      <c r="E34" s="162"/>
      <c r="F34" s="161"/>
      <c r="G34" s="161"/>
      <c r="H34" s="161"/>
      <c r="I34" s="161"/>
      <c r="J34" s="161"/>
      <c r="K34" s="161"/>
      <c r="L34" s="161"/>
      <c r="M34" s="161"/>
      <c r="N34" s="161"/>
      <c r="O34" s="161"/>
      <c r="P34" s="161"/>
      <c r="Q34" s="160"/>
      <c r="R34" s="161"/>
      <c r="S34" s="161"/>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161"/>
      <c r="BA34" s="161"/>
      <c r="BB34" s="161"/>
      <c r="BC34" s="161"/>
      <c r="BD34" s="161"/>
    </row>
    <row r="35" spans="1:56" x14ac:dyDescent="0.2">
      <c r="A35" s="161"/>
      <c r="B35" s="161"/>
      <c r="C35" s="161"/>
      <c r="D35" s="161"/>
      <c r="E35" s="162"/>
      <c r="F35" s="161"/>
      <c r="G35" s="161"/>
      <c r="H35" s="161"/>
      <c r="I35" s="161"/>
      <c r="J35" s="161"/>
      <c r="K35" s="161"/>
      <c r="L35" s="161"/>
      <c r="M35" s="161"/>
      <c r="N35" s="161"/>
      <c r="O35" s="161"/>
      <c r="P35" s="161"/>
      <c r="Q35" s="160"/>
      <c r="R35" s="161"/>
      <c r="S35" s="161"/>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161"/>
      <c r="BA35" s="161"/>
      <c r="BB35" s="161"/>
      <c r="BC35" s="161"/>
      <c r="BD35" s="161"/>
    </row>
    <row r="36" spans="1:56" x14ac:dyDescent="0.2">
      <c r="A36" s="161"/>
      <c r="B36" s="161"/>
      <c r="C36" s="161"/>
      <c r="D36" s="161"/>
      <c r="E36" s="162"/>
      <c r="F36" s="161"/>
      <c r="G36" s="161"/>
      <c r="H36" s="161"/>
      <c r="I36" s="161"/>
      <c r="J36" s="161"/>
      <c r="K36" s="161"/>
      <c r="L36" s="161"/>
      <c r="M36" s="161"/>
      <c r="N36" s="161"/>
      <c r="O36" s="161"/>
      <c r="P36" s="161"/>
      <c r="Q36" s="160"/>
      <c r="R36" s="161"/>
      <c r="S36" s="161"/>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161"/>
      <c r="BA36" s="161"/>
      <c r="BB36" s="161"/>
      <c r="BC36" s="161"/>
      <c r="BD36" s="161"/>
    </row>
    <row r="37" spans="1:56" x14ac:dyDescent="0.2">
      <c r="A37" s="161"/>
      <c r="B37" s="161"/>
      <c r="C37" s="161"/>
      <c r="D37" s="161"/>
      <c r="E37" s="162"/>
      <c r="F37" s="161"/>
      <c r="G37" s="161"/>
      <c r="H37" s="161"/>
      <c r="I37" s="161"/>
      <c r="J37" s="161"/>
      <c r="K37" s="161"/>
      <c r="L37" s="161"/>
      <c r="M37" s="161"/>
      <c r="N37" s="161"/>
      <c r="O37" s="161"/>
      <c r="P37" s="161"/>
      <c r="Q37" s="160"/>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161"/>
      <c r="BA37" s="161"/>
      <c r="BB37" s="161"/>
      <c r="BC37" s="161"/>
      <c r="BD37" s="161"/>
    </row>
    <row r="38" spans="1:56" x14ac:dyDescent="0.2">
      <c r="A38" s="161"/>
      <c r="B38" s="161"/>
      <c r="C38" s="161"/>
      <c r="D38" s="161"/>
      <c r="E38" s="162"/>
      <c r="F38" s="161"/>
      <c r="G38" s="161"/>
      <c r="H38" s="161"/>
      <c r="I38" s="161"/>
      <c r="J38" s="161"/>
      <c r="K38" s="161"/>
      <c r="L38" s="161"/>
      <c r="M38" s="161"/>
      <c r="N38" s="161"/>
      <c r="O38" s="161"/>
      <c r="P38" s="161"/>
      <c r="Q38" s="160"/>
      <c r="R38" s="161"/>
      <c r="S38" s="161"/>
      <c r="T38" s="161"/>
      <c r="U38" s="161"/>
      <c r="V38" s="161"/>
      <c r="W38" s="161"/>
      <c r="X38" s="161"/>
      <c r="Y38" s="161"/>
      <c r="Z38" s="161"/>
      <c r="AA38" s="161"/>
      <c r="AB38" s="161"/>
      <c r="AC38" s="161"/>
      <c r="AD38" s="161"/>
      <c r="AE38" s="161"/>
      <c r="AF38" s="161"/>
      <c r="AG38" s="161"/>
      <c r="AH38" s="161"/>
      <c r="AI38" s="161"/>
      <c r="AJ38" s="161"/>
      <c r="AK38" s="161"/>
      <c r="AL38" s="161"/>
      <c r="AM38" s="161"/>
      <c r="AN38" s="161"/>
      <c r="AO38" s="161"/>
      <c r="AP38" s="161"/>
      <c r="AQ38" s="161"/>
      <c r="AR38" s="161"/>
      <c r="AS38" s="161"/>
      <c r="AT38" s="161"/>
      <c r="AU38" s="161"/>
      <c r="AV38" s="161"/>
      <c r="AW38" s="161"/>
      <c r="AX38" s="161"/>
      <c r="AY38" s="161"/>
      <c r="AZ38" s="161"/>
      <c r="BA38" s="161"/>
      <c r="BB38" s="161"/>
      <c r="BC38" s="161"/>
      <c r="BD38" s="161"/>
    </row>
    <row r="39" spans="1:56" x14ac:dyDescent="0.2">
      <c r="A39" s="161"/>
      <c r="B39" s="161"/>
      <c r="C39" s="161"/>
      <c r="D39" s="161"/>
      <c r="E39" s="162"/>
      <c r="F39" s="161"/>
      <c r="G39" s="161"/>
      <c r="H39" s="161"/>
      <c r="I39" s="161"/>
      <c r="J39" s="161"/>
      <c r="K39" s="161"/>
      <c r="L39" s="161"/>
      <c r="M39" s="161"/>
      <c r="N39" s="161"/>
      <c r="O39" s="161"/>
      <c r="P39" s="161"/>
      <c r="Q39" s="160"/>
      <c r="R39" s="161"/>
      <c r="S39" s="161"/>
      <c r="T39" s="161"/>
      <c r="U39" s="161"/>
      <c r="V39" s="161"/>
      <c r="W39" s="161"/>
      <c r="X39" s="161"/>
      <c r="Y39" s="161"/>
      <c r="Z39" s="161"/>
      <c r="AA39" s="161"/>
      <c r="AB39" s="161"/>
      <c r="AC39" s="161"/>
      <c r="AD39" s="161"/>
      <c r="AE39" s="161"/>
      <c r="AF39" s="161"/>
      <c r="AG39" s="161"/>
      <c r="AH39" s="161"/>
      <c r="AI39" s="161"/>
      <c r="AJ39" s="161"/>
      <c r="AK39" s="161"/>
      <c r="AL39" s="161"/>
      <c r="AM39" s="161"/>
      <c r="AN39" s="161"/>
      <c r="AO39" s="161"/>
      <c r="AP39" s="161"/>
      <c r="AQ39" s="161"/>
      <c r="AR39" s="161"/>
      <c r="AS39" s="161"/>
      <c r="AT39" s="161"/>
      <c r="AU39" s="161"/>
      <c r="AV39" s="161"/>
      <c r="AW39" s="161"/>
      <c r="AX39" s="161"/>
      <c r="AY39" s="161"/>
      <c r="AZ39" s="161"/>
      <c r="BA39" s="161"/>
      <c r="BB39" s="161"/>
      <c r="BC39" s="161"/>
      <c r="BD39" s="161"/>
    </row>
    <row r="40" spans="1:56" x14ac:dyDescent="0.2">
      <c r="A40" s="161"/>
      <c r="B40" s="161"/>
      <c r="C40" s="161"/>
      <c r="D40" s="161"/>
      <c r="E40" s="162"/>
      <c r="F40" s="161"/>
      <c r="G40" s="161"/>
      <c r="H40" s="161"/>
      <c r="I40" s="161"/>
      <c r="J40" s="161"/>
      <c r="K40" s="161"/>
      <c r="L40" s="161"/>
      <c r="M40" s="161"/>
      <c r="N40" s="161"/>
      <c r="O40" s="161"/>
      <c r="P40" s="161"/>
      <c r="Q40" s="160"/>
      <c r="R40" s="161"/>
      <c r="S40" s="161"/>
      <c r="T40" s="161"/>
      <c r="U40" s="161"/>
      <c r="V40" s="161"/>
      <c r="W40" s="161"/>
      <c r="X40" s="161"/>
      <c r="Y40" s="161"/>
      <c r="Z40" s="161"/>
      <c r="AA40" s="161"/>
      <c r="AB40" s="161"/>
      <c r="AC40" s="161"/>
      <c r="AD40" s="161"/>
      <c r="AE40" s="161"/>
      <c r="AF40" s="161"/>
      <c r="AG40" s="161"/>
      <c r="AH40" s="161"/>
      <c r="AI40" s="161"/>
      <c r="AJ40" s="161"/>
      <c r="AK40" s="161"/>
      <c r="AL40" s="161"/>
      <c r="AM40" s="161"/>
      <c r="AN40" s="161"/>
      <c r="AO40" s="161"/>
      <c r="AP40" s="161"/>
      <c r="AQ40" s="161"/>
      <c r="AR40" s="161"/>
      <c r="AS40" s="161"/>
      <c r="AT40" s="161"/>
      <c r="AU40" s="161"/>
      <c r="AV40" s="161"/>
      <c r="AW40" s="161"/>
      <c r="AX40" s="161"/>
      <c r="AY40" s="161"/>
      <c r="AZ40" s="161"/>
      <c r="BA40" s="161"/>
      <c r="BB40" s="161"/>
      <c r="BC40" s="161"/>
      <c r="BD40" s="161"/>
    </row>
    <row r="41" spans="1:56" x14ac:dyDescent="0.2">
      <c r="A41" s="161"/>
      <c r="B41" s="161"/>
      <c r="C41" s="161"/>
      <c r="D41" s="161"/>
      <c r="E41" s="162"/>
      <c r="F41" s="161"/>
      <c r="G41" s="161"/>
      <c r="H41" s="161"/>
      <c r="I41" s="161"/>
      <c r="J41" s="161"/>
      <c r="K41" s="161"/>
      <c r="L41" s="161"/>
      <c r="M41" s="161"/>
      <c r="N41" s="161"/>
      <c r="O41" s="161"/>
      <c r="P41" s="161"/>
      <c r="Q41" s="160"/>
      <c r="R41" s="161"/>
      <c r="S41" s="161"/>
      <c r="T41" s="161"/>
      <c r="U41" s="161"/>
      <c r="V41" s="161"/>
      <c r="W41" s="161"/>
      <c r="X41" s="161"/>
      <c r="Y41" s="161"/>
      <c r="Z41" s="161"/>
      <c r="AA41" s="161"/>
      <c r="AB41" s="161"/>
      <c r="AC41" s="161"/>
      <c r="AD41" s="161"/>
      <c r="AE41" s="161"/>
      <c r="AF41" s="161"/>
      <c r="AG41" s="161"/>
      <c r="AH41" s="161"/>
      <c r="AI41" s="161"/>
      <c r="AJ41" s="161"/>
      <c r="AK41" s="161"/>
      <c r="AL41" s="161"/>
      <c r="AM41" s="161"/>
      <c r="AN41" s="161"/>
      <c r="AO41" s="161"/>
      <c r="AP41" s="161"/>
      <c r="AQ41" s="161"/>
      <c r="AR41" s="161"/>
      <c r="AS41" s="161"/>
      <c r="AT41" s="161"/>
      <c r="AU41" s="161"/>
      <c r="AV41" s="161"/>
      <c r="AW41" s="161"/>
      <c r="AX41" s="161"/>
      <c r="AY41" s="161"/>
      <c r="AZ41" s="161"/>
      <c r="BA41" s="161"/>
      <c r="BB41" s="161"/>
      <c r="BC41" s="161"/>
      <c r="BD41" s="161"/>
    </row>
    <row r="42" spans="1:56" x14ac:dyDescent="0.2">
      <c r="A42" s="161"/>
      <c r="B42" s="161"/>
      <c r="C42" s="161"/>
      <c r="D42" s="161"/>
      <c r="E42" s="162"/>
      <c r="F42" s="161"/>
      <c r="G42" s="161"/>
      <c r="H42" s="161"/>
      <c r="I42" s="161"/>
      <c r="J42" s="161"/>
      <c r="K42" s="161"/>
      <c r="L42" s="161"/>
      <c r="M42" s="161"/>
      <c r="N42" s="161"/>
      <c r="O42" s="161"/>
      <c r="P42" s="161"/>
      <c r="Q42" s="160"/>
      <c r="R42" s="161"/>
      <c r="S42" s="161"/>
      <c r="T42" s="161"/>
      <c r="U42" s="161"/>
      <c r="V42" s="161"/>
      <c r="W42" s="161"/>
      <c r="X42" s="161"/>
      <c r="Y42" s="161"/>
      <c r="Z42" s="161"/>
      <c r="AA42" s="161"/>
      <c r="AB42" s="161"/>
      <c r="AC42" s="161"/>
      <c r="AD42" s="161"/>
      <c r="AE42" s="161"/>
      <c r="AF42" s="161"/>
      <c r="AG42" s="161"/>
      <c r="AH42" s="161"/>
      <c r="AI42" s="161"/>
      <c r="AJ42" s="161"/>
      <c r="AK42" s="161"/>
      <c r="AL42" s="161"/>
      <c r="AM42" s="161"/>
      <c r="AN42" s="161"/>
      <c r="AO42" s="161"/>
      <c r="AP42" s="161"/>
      <c r="AQ42" s="161"/>
      <c r="AR42" s="161"/>
      <c r="AS42" s="161"/>
      <c r="AT42" s="161"/>
      <c r="AU42" s="161"/>
      <c r="AV42" s="161"/>
      <c r="AW42" s="161"/>
      <c r="AX42" s="161"/>
      <c r="AY42" s="161"/>
      <c r="AZ42" s="161"/>
      <c r="BA42" s="161"/>
      <c r="BB42" s="161"/>
      <c r="BC42" s="161"/>
      <c r="BD42" s="161"/>
    </row>
    <row r="43" spans="1:56" x14ac:dyDescent="0.2">
      <c r="A43" s="161"/>
      <c r="B43" s="161"/>
      <c r="C43" s="161"/>
      <c r="D43" s="161"/>
      <c r="E43" s="162"/>
      <c r="F43" s="161"/>
      <c r="G43" s="161"/>
      <c r="H43" s="161"/>
      <c r="I43" s="161"/>
      <c r="J43" s="161"/>
      <c r="K43" s="161"/>
      <c r="L43" s="161"/>
      <c r="M43" s="161"/>
      <c r="N43" s="161"/>
      <c r="O43" s="161"/>
      <c r="P43" s="161"/>
      <c r="Q43" s="160"/>
      <c r="R43" s="161"/>
      <c r="S43" s="161"/>
      <c r="T43" s="161"/>
      <c r="U43" s="161"/>
      <c r="V43" s="161"/>
      <c r="W43" s="161"/>
      <c r="X43" s="161"/>
      <c r="Y43" s="161"/>
      <c r="Z43" s="161"/>
      <c r="AA43" s="161"/>
      <c r="AB43" s="161"/>
      <c r="AC43" s="161"/>
      <c r="AD43" s="161"/>
      <c r="AE43" s="161"/>
      <c r="AF43" s="161"/>
      <c r="AG43" s="161"/>
      <c r="AH43" s="161"/>
      <c r="AI43" s="161"/>
      <c r="AJ43" s="161"/>
      <c r="AK43" s="161"/>
      <c r="AL43" s="161"/>
      <c r="AM43" s="161"/>
      <c r="AN43" s="161"/>
      <c r="AO43" s="161"/>
      <c r="AP43" s="161"/>
      <c r="AQ43" s="161"/>
      <c r="AR43" s="161"/>
      <c r="AS43" s="161"/>
      <c r="AT43" s="161"/>
      <c r="AU43" s="161"/>
      <c r="AV43" s="161"/>
      <c r="AW43" s="161"/>
      <c r="AX43" s="161"/>
      <c r="AY43" s="161"/>
      <c r="AZ43" s="161"/>
      <c r="BA43" s="161"/>
      <c r="BB43" s="161"/>
      <c r="BC43" s="161"/>
      <c r="BD43" s="161"/>
    </row>
    <row r="44" spans="1:56" x14ac:dyDescent="0.2">
      <c r="A44" s="161"/>
      <c r="B44" s="161"/>
      <c r="C44" s="161"/>
      <c r="D44" s="161"/>
      <c r="E44" s="162"/>
      <c r="F44" s="161"/>
      <c r="G44" s="161"/>
      <c r="H44" s="161"/>
      <c r="I44" s="161"/>
      <c r="J44" s="161"/>
      <c r="K44" s="161"/>
      <c r="L44" s="161"/>
      <c r="M44" s="161"/>
      <c r="N44" s="161"/>
      <c r="O44" s="161"/>
      <c r="P44" s="161"/>
      <c r="Q44" s="160"/>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1"/>
      <c r="BA44" s="161"/>
      <c r="BB44" s="161"/>
      <c r="BC44" s="161"/>
      <c r="BD44" s="161"/>
    </row>
    <row r="45" spans="1:56" x14ac:dyDescent="0.2">
      <c r="A45" s="161"/>
      <c r="B45" s="161"/>
      <c r="C45" s="161"/>
      <c r="D45" s="161"/>
      <c r="E45" s="162"/>
      <c r="F45" s="161"/>
      <c r="G45" s="161"/>
      <c r="H45" s="161"/>
      <c r="I45" s="161"/>
      <c r="J45" s="161"/>
      <c r="K45" s="161"/>
      <c r="L45" s="161"/>
      <c r="M45" s="161"/>
      <c r="N45" s="161"/>
      <c r="O45" s="161"/>
      <c r="P45" s="161"/>
      <c r="Q45" s="160"/>
      <c r="R45" s="161"/>
      <c r="S45" s="161"/>
      <c r="T45" s="161"/>
      <c r="U45" s="161"/>
      <c r="V45" s="161"/>
      <c r="W45" s="161"/>
      <c r="X45" s="161"/>
      <c r="Y45" s="161"/>
      <c r="Z45" s="161"/>
      <c r="AA45" s="161"/>
      <c r="AB45" s="161"/>
      <c r="AC45" s="161"/>
      <c r="AD45" s="161"/>
      <c r="AE45" s="161"/>
      <c r="AF45" s="161"/>
      <c r="AG45" s="161"/>
      <c r="AH45" s="161"/>
      <c r="AI45" s="161"/>
      <c r="AJ45" s="161"/>
      <c r="AK45" s="161"/>
      <c r="AL45" s="161"/>
      <c r="AM45" s="161"/>
      <c r="AN45" s="161"/>
      <c r="AO45" s="161"/>
      <c r="AP45" s="161"/>
      <c r="AQ45" s="161"/>
      <c r="AR45" s="161"/>
      <c r="AS45" s="161"/>
      <c r="AT45" s="161"/>
      <c r="AU45" s="161"/>
      <c r="AV45" s="161"/>
      <c r="AW45" s="161"/>
      <c r="AX45" s="161"/>
      <c r="AY45" s="161"/>
      <c r="AZ45" s="161"/>
      <c r="BA45" s="161"/>
      <c r="BB45" s="161"/>
      <c r="BC45" s="161"/>
      <c r="BD45" s="161"/>
    </row>
    <row r="46" spans="1:56" x14ac:dyDescent="0.2">
      <c r="A46" s="161"/>
      <c r="B46" s="161"/>
      <c r="C46" s="161"/>
      <c r="D46" s="161"/>
      <c r="E46" s="162"/>
      <c r="F46" s="161"/>
      <c r="G46" s="161"/>
      <c r="H46" s="161"/>
      <c r="I46" s="161"/>
      <c r="J46" s="161"/>
      <c r="K46" s="161"/>
      <c r="L46" s="161"/>
      <c r="M46" s="161"/>
      <c r="N46" s="161"/>
      <c r="O46" s="161"/>
      <c r="P46" s="161"/>
      <c r="Q46" s="160"/>
      <c r="R46" s="161"/>
      <c r="S46" s="161"/>
      <c r="T46" s="161"/>
      <c r="U46" s="161"/>
      <c r="V46" s="161"/>
      <c r="W46" s="161"/>
      <c r="X46" s="161"/>
      <c r="Y46" s="161"/>
      <c r="Z46" s="161"/>
      <c r="AA46" s="161"/>
      <c r="AB46" s="161"/>
      <c r="AC46" s="161"/>
      <c r="AD46" s="161"/>
      <c r="AE46" s="161"/>
      <c r="AF46" s="161"/>
      <c r="AG46" s="161"/>
      <c r="AH46" s="161"/>
      <c r="AI46" s="161"/>
      <c r="AJ46" s="161"/>
      <c r="AK46" s="161"/>
      <c r="AL46" s="161"/>
      <c r="AM46" s="161"/>
      <c r="AN46" s="161"/>
      <c r="AO46" s="161"/>
      <c r="AP46" s="161"/>
      <c r="AQ46" s="161"/>
      <c r="AR46" s="161"/>
      <c r="AS46" s="161"/>
      <c r="AT46" s="161"/>
      <c r="AU46" s="161"/>
      <c r="AV46" s="161"/>
      <c r="AW46" s="161"/>
      <c r="AX46" s="161"/>
      <c r="AY46" s="161"/>
      <c r="AZ46" s="161"/>
      <c r="BA46" s="161"/>
      <c r="BB46" s="161"/>
      <c r="BC46" s="161"/>
      <c r="BD46" s="161"/>
    </row>
    <row r="47" spans="1:56" x14ac:dyDescent="0.2">
      <c r="A47" s="161"/>
      <c r="B47" s="161"/>
      <c r="C47" s="161"/>
      <c r="D47" s="161"/>
      <c r="E47" s="162"/>
      <c r="F47" s="161"/>
      <c r="G47" s="161"/>
      <c r="H47" s="161"/>
      <c r="I47" s="161"/>
      <c r="J47" s="161"/>
      <c r="K47" s="161"/>
      <c r="L47" s="161"/>
      <c r="M47" s="161"/>
      <c r="N47" s="161"/>
      <c r="O47" s="161"/>
      <c r="P47" s="161"/>
      <c r="Q47" s="160"/>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61"/>
      <c r="AP47" s="161"/>
      <c r="AQ47" s="161"/>
      <c r="AR47" s="161"/>
      <c r="AS47" s="161"/>
      <c r="AT47" s="161"/>
      <c r="AU47" s="161"/>
      <c r="AV47" s="161"/>
      <c r="AW47" s="161"/>
      <c r="AX47" s="161"/>
      <c r="AY47" s="161"/>
      <c r="AZ47" s="161"/>
      <c r="BA47" s="161"/>
      <c r="BB47" s="161"/>
      <c r="BC47" s="161"/>
      <c r="BD47" s="161"/>
    </row>
    <row r="48" spans="1:56" x14ac:dyDescent="0.2">
      <c r="A48" s="161"/>
      <c r="B48" s="161"/>
      <c r="C48" s="161"/>
      <c r="D48" s="161"/>
      <c r="E48" s="162"/>
      <c r="F48" s="161"/>
      <c r="G48" s="161"/>
      <c r="H48" s="161"/>
      <c r="I48" s="161"/>
      <c r="J48" s="161"/>
      <c r="K48" s="161"/>
      <c r="L48" s="161"/>
      <c r="M48" s="161"/>
      <c r="N48" s="161"/>
      <c r="O48" s="161"/>
      <c r="P48" s="161"/>
      <c r="Q48" s="160"/>
      <c r="R48" s="161"/>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161"/>
      <c r="BA48" s="161"/>
      <c r="BB48" s="161"/>
      <c r="BC48" s="161"/>
      <c r="BD48" s="161"/>
    </row>
    <row r="49" spans="1:56" x14ac:dyDescent="0.2">
      <c r="A49" s="161"/>
      <c r="B49" s="161"/>
      <c r="C49" s="161"/>
      <c r="D49" s="161"/>
      <c r="E49" s="162"/>
      <c r="F49" s="161"/>
      <c r="G49" s="161"/>
      <c r="H49" s="161"/>
      <c r="I49" s="161"/>
      <c r="J49" s="161"/>
      <c r="K49" s="161"/>
      <c r="L49" s="161"/>
      <c r="M49" s="161"/>
      <c r="N49" s="161"/>
      <c r="O49" s="161"/>
      <c r="P49" s="161"/>
      <c r="Q49" s="160"/>
      <c r="R49" s="161"/>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161"/>
      <c r="BA49" s="161"/>
      <c r="BB49" s="161"/>
      <c r="BC49" s="161"/>
      <c r="BD49" s="161"/>
    </row>
    <row r="50" spans="1:56" x14ac:dyDescent="0.2">
      <c r="A50" s="161"/>
      <c r="B50" s="161"/>
      <c r="C50" s="161"/>
      <c r="D50" s="161"/>
      <c r="E50" s="162"/>
      <c r="F50" s="161"/>
      <c r="G50" s="161"/>
      <c r="H50" s="161"/>
      <c r="I50" s="161"/>
      <c r="J50" s="161"/>
      <c r="K50" s="161"/>
      <c r="L50" s="161"/>
      <c r="M50" s="161"/>
      <c r="N50" s="161"/>
      <c r="O50" s="161"/>
      <c r="P50" s="161"/>
      <c r="Q50" s="160"/>
      <c r="R50" s="161"/>
      <c r="S50" s="161"/>
      <c r="T50" s="161"/>
      <c r="U50" s="161"/>
      <c r="V50" s="161"/>
      <c r="W50" s="161"/>
      <c r="X50" s="161"/>
      <c r="Y50" s="161"/>
      <c r="Z50" s="161"/>
      <c r="AA50" s="161"/>
      <c r="AB50" s="161"/>
      <c r="AC50" s="161"/>
      <c r="AD50" s="161"/>
      <c r="AE50" s="161"/>
      <c r="AF50" s="161"/>
      <c r="AG50" s="161"/>
      <c r="AH50" s="161"/>
      <c r="AI50" s="161"/>
      <c r="AJ50" s="161"/>
      <c r="AK50" s="161"/>
      <c r="AL50" s="161"/>
      <c r="AM50" s="161"/>
      <c r="AN50" s="161"/>
      <c r="AO50" s="161"/>
      <c r="AP50" s="161"/>
      <c r="AQ50" s="161"/>
      <c r="AR50" s="161"/>
      <c r="AS50" s="161"/>
      <c r="AT50" s="161"/>
      <c r="AU50" s="161"/>
      <c r="AV50" s="161"/>
      <c r="AW50" s="161"/>
      <c r="AX50" s="161"/>
      <c r="AY50" s="161"/>
      <c r="AZ50" s="161"/>
      <c r="BA50" s="161"/>
      <c r="BB50" s="161"/>
      <c r="BC50" s="161"/>
      <c r="BD50" s="161"/>
    </row>
    <row r="51" spans="1:56" x14ac:dyDescent="0.2">
      <c r="A51" s="161"/>
      <c r="B51" s="161"/>
      <c r="C51" s="161"/>
      <c r="D51" s="161"/>
      <c r="E51" s="162"/>
      <c r="F51" s="161"/>
      <c r="G51" s="161"/>
      <c r="H51" s="161"/>
      <c r="I51" s="161"/>
      <c r="J51" s="161"/>
      <c r="K51" s="161"/>
      <c r="L51" s="161"/>
      <c r="M51" s="161"/>
      <c r="N51" s="161"/>
      <c r="O51" s="161"/>
      <c r="P51" s="161"/>
      <c r="Q51" s="160"/>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161"/>
      <c r="BA51" s="161"/>
      <c r="BB51" s="161"/>
      <c r="BC51" s="161"/>
      <c r="BD51" s="161"/>
    </row>
    <row r="52" spans="1:56" x14ac:dyDescent="0.2">
      <c r="A52" s="161"/>
      <c r="B52" s="161"/>
      <c r="C52" s="161"/>
      <c r="D52" s="161"/>
      <c r="E52" s="162"/>
      <c r="F52" s="161"/>
      <c r="G52" s="161"/>
      <c r="H52" s="161"/>
      <c r="I52" s="161"/>
      <c r="J52" s="161"/>
      <c r="K52" s="161"/>
      <c r="L52" s="161"/>
      <c r="M52" s="161"/>
      <c r="N52" s="161"/>
      <c r="O52" s="161"/>
      <c r="P52" s="161"/>
      <c r="Q52" s="160"/>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161"/>
      <c r="BA52" s="161"/>
      <c r="BB52" s="161"/>
      <c r="BC52" s="161"/>
      <c r="BD52" s="161"/>
    </row>
    <row r="53" spans="1:56" x14ac:dyDescent="0.2">
      <c r="A53" s="161"/>
      <c r="B53" s="161"/>
      <c r="C53" s="161"/>
      <c r="D53" s="161"/>
      <c r="E53" s="162"/>
      <c r="F53" s="161"/>
      <c r="G53" s="161"/>
      <c r="H53" s="161"/>
      <c r="I53" s="161"/>
      <c r="J53" s="161"/>
      <c r="K53" s="161"/>
      <c r="L53" s="161"/>
      <c r="M53" s="161"/>
      <c r="N53" s="161"/>
      <c r="O53" s="161"/>
      <c r="P53" s="161"/>
      <c r="Q53" s="160"/>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161"/>
      <c r="BA53" s="161"/>
      <c r="BB53" s="161"/>
      <c r="BC53" s="161"/>
      <c r="BD53" s="161"/>
    </row>
    <row r="54" spans="1:56" x14ac:dyDescent="0.2">
      <c r="A54" s="161"/>
      <c r="B54" s="161"/>
      <c r="C54" s="161"/>
      <c r="D54" s="161"/>
      <c r="E54" s="162"/>
      <c r="F54" s="161"/>
      <c r="G54" s="161"/>
      <c r="H54" s="161"/>
      <c r="I54" s="161"/>
      <c r="J54" s="161"/>
      <c r="K54" s="161"/>
      <c r="L54" s="161"/>
      <c r="M54" s="161"/>
      <c r="N54" s="161"/>
      <c r="O54" s="161"/>
      <c r="P54" s="161"/>
      <c r="Q54" s="160"/>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161"/>
      <c r="BA54" s="161"/>
      <c r="BB54" s="161"/>
      <c r="BC54" s="161"/>
      <c r="BD54" s="161"/>
    </row>
    <row r="55" spans="1:56" x14ac:dyDescent="0.2">
      <c r="A55" s="161"/>
      <c r="B55" s="161"/>
      <c r="C55" s="161"/>
      <c r="D55" s="161"/>
      <c r="E55" s="162"/>
      <c r="F55" s="161"/>
      <c r="G55" s="161"/>
      <c r="H55" s="161"/>
      <c r="I55" s="161"/>
      <c r="J55" s="161"/>
      <c r="K55" s="161"/>
      <c r="L55" s="161"/>
      <c r="M55" s="161"/>
      <c r="N55" s="161"/>
      <c r="O55" s="161"/>
      <c r="P55" s="161"/>
      <c r="Q55" s="160"/>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161"/>
      <c r="BA55" s="161"/>
      <c r="BB55" s="161"/>
      <c r="BC55" s="161"/>
      <c r="BD55" s="161"/>
    </row>
    <row r="56" spans="1:56" x14ac:dyDescent="0.2">
      <c r="A56" s="161"/>
      <c r="B56" s="161"/>
      <c r="C56" s="161"/>
      <c r="D56" s="161"/>
      <c r="E56" s="162"/>
      <c r="F56" s="161"/>
      <c r="G56" s="161"/>
      <c r="H56" s="161"/>
      <c r="I56" s="161"/>
      <c r="J56" s="161"/>
      <c r="K56" s="161"/>
      <c r="L56" s="161"/>
      <c r="M56" s="161"/>
      <c r="N56" s="161"/>
      <c r="O56" s="161"/>
      <c r="P56" s="161"/>
      <c r="Q56" s="160"/>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161"/>
      <c r="BA56" s="161"/>
      <c r="BB56" s="161"/>
      <c r="BC56" s="161"/>
      <c r="BD56" s="161"/>
    </row>
    <row r="57" spans="1:56" x14ac:dyDescent="0.2">
      <c r="A57" s="161"/>
      <c r="B57" s="161"/>
      <c r="C57" s="161"/>
      <c r="D57" s="161"/>
      <c r="E57" s="162"/>
      <c r="F57" s="161"/>
      <c r="G57" s="161"/>
      <c r="H57" s="161"/>
      <c r="I57" s="161"/>
      <c r="J57" s="161"/>
      <c r="K57" s="161"/>
      <c r="L57" s="161"/>
      <c r="M57" s="161"/>
      <c r="N57" s="161"/>
      <c r="O57" s="161"/>
      <c r="P57" s="161"/>
      <c r="Q57" s="160"/>
      <c r="R57" s="161"/>
      <c r="S57" s="161"/>
      <c r="T57" s="161"/>
      <c r="U57" s="161"/>
      <c r="V57" s="161"/>
      <c r="W57" s="161"/>
      <c r="X57" s="161"/>
      <c r="Y57" s="161"/>
      <c r="Z57" s="161"/>
      <c r="AA57" s="161"/>
      <c r="AB57" s="161"/>
      <c r="AC57" s="161"/>
      <c r="AD57" s="161"/>
      <c r="AE57" s="161"/>
      <c r="AF57" s="161"/>
      <c r="AG57" s="161"/>
      <c r="AH57" s="161"/>
      <c r="AI57" s="161"/>
      <c r="AJ57" s="161"/>
      <c r="AK57" s="161"/>
      <c r="AL57" s="161"/>
      <c r="AM57" s="161"/>
      <c r="AN57" s="161"/>
      <c r="AO57" s="161"/>
      <c r="AP57" s="161"/>
      <c r="AQ57" s="161"/>
      <c r="AR57" s="161"/>
      <c r="AS57" s="161"/>
      <c r="AT57" s="161"/>
      <c r="AU57" s="161"/>
      <c r="AV57" s="161"/>
      <c r="AW57" s="161"/>
      <c r="AX57" s="161"/>
      <c r="AY57" s="161"/>
      <c r="AZ57" s="161"/>
      <c r="BA57" s="161"/>
      <c r="BB57" s="161"/>
      <c r="BC57" s="161"/>
      <c r="BD57" s="161"/>
    </row>
    <row r="58" spans="1:56" x14ac:dyDescent="0.2">
      <c r="A58" s="161"/>
      <c r="B58" s="161"/>
      <c r="C58" s="161"/>
      <c r="D58" s="161"/>
      <c r="E58" s="162"/>
      <c r="F58" s="161"/>
      <c r="G58" s="161"/>
      <c r="H58" s="161"/>
      <c r="I58" s="161"/>
      <c r="J58" s="161"/>
      <c r="K58" s="161"/>
      <c r="L58" s="161"/>
      <c r="M58" s="161"/>
      <c r="N58" s="161"/>
      <c r="O58" s="161"/>
      <c r="P58" s="161"/>
      <c r="Q58" s="160"/>
      <c r="R58" s="161"/>
      <c r="S58" s="161"/>
      <c r="T58" s="161"/>
      <c r="U58" s="161"/>
      <c r="V58" s="161"/>
      <c r="W58" s="161"/>
      <c r="X58" s="161"/>
      <c r="Y58" s="161"/>
      <c r="Z58" s="161"/>
      <c r="AA58" s="161"/>
      <c r="AB58" s="161"/>
      <c r="AC58" s="161"/>
      <c r="AD58" s="161"/>
      <c r="AE58" s="161"/>
      <c r="AF58" s="161"/>
      <c r="AG58" s="161"/>
      <c r="AH58" s="161"/>
      <c r="AI58" s="161"/>
      <c r="AJ58" s="161"/>
      <c r="AK58" s="161"/>
      <c r="AL58" s="161"/>
      <c r="AM58" s="161"/>
      <c r="AN58" s="161"/>
      <c r="AO58" s="161"/>
      <c r="AP58" s="161"/>
      <c r="AQ58" s="161"/>
      <c r="AR58" s="161"/>
      <c r="AS58" s="161"/>
      <c r="AT58" s="161"/>
      <c r="AU58" s="161"/>
      <c r="AV58" s="161"/>
      <c r="AW58" s="161"/>
      <c r="AX58" s="161"/>
      <c r="AY58" s="161"/>
      <c r="AZ58" s="161"/>
      <c r="BA58" s="161"/>
      <c r="BB58" s="161"/>
      <c r="BC58" s="161"/>
      <c r="BD58" s="161"/>
    </row>
    <row r="59" spans="1:56" x14ac:dyDescent="0.2">
      <c r="A59" s="161"/>
      <c r="B59" s="161"/>
      <c r="C59" s="161"/>
      <c r="D59" s="161"/>
      <c r="E59" s="162"/>
      <c r="F59" s="161"/>
      <c r="G59" s="161"/>
      <c r="H59" s="161"/>
      <c r="I59" s="161"/>
      <c r="J59" s="161"/>
      <c r="K59" s="161"/>
      <c r="L59" s="161"/>
      <c r="M59" s="161"/>
      <c r="N59" s="161"/>
      <c r="O59" s="161"/>
      <c r="P59" s="161"/>
      <c r="Q59" s="160"/>
      <c r="R59" s="161"/>
      <c r="S59" s="161"/>
      <c r="T59" s="161"/>
      <c r="U59" s="161"/>
      <c r="V59" s="161"/>
      <c r="W59" s="161"/>
      <c r="X59" s="161"/>
      <c r="Y59" s="161"/>
      <c r="Z59" s="161"/>
      <c r="AA59" s="161"/>
      <c r="AB59" s="161"/>
      <c r="AC59" s="161"/>
      <c r="AD59" s="161"/>
      <c r="AE59" s="161"/>
      <c r="AF59" s="161"/>
      <c r="AG59" s="161"/>
      <c r="AH59" s="161"/>
      <c r="AI59" s="161"/>
      <c r="AJ59" s="161"/>
      <c r="AK59" s="161"/>
      <c r="AL59" s="161"/>
      <c r="AM59" s="161"/>
      <c r="AN59" s="161"/>
      <c r="AO59" s="161"/>
      <c r="AP59" s="161"/>
      <c r="AQ59" s="161"/>
      <c r="AR59" s="161"/>
      <c r="AS59" s="161"/>
      <c r="AT59" s="161"/>
      <c r="AU59" s="161"/>
      <c r="AV59" s="161"/>
      <c r="AW59" s="161"/>
      <c r="AX59" s="161"/>
      <c r="AY59" s="161"/>
      <c r="AZ59" s="161"/>
      <c r="BA59" s="161"/>
      <c r="BB59" s="161"/>
      <c r="BC59" s="161"/>
      <c r="BD59" s="161"/>
    </row>
    <row r="60" spans="1:56" x14ac:dyDescent="0.2">
      <c r="A60" s="161"/>
      <c r="B60" s="161"/>
      <c r="C60" s="161"/>
      <c r="D60" s="161"/>
      <c r="E60" s="162"/>
      <c r="F60" s="161"/>
      <c r="G60" s="161"/>
      <c r="H60" s="161"/>
      <c r="I60" s="161"/>
      <c r="J60" s="161"/>
      <c r="K60" s="161"/>
      <c r="L60" s="161"/>
      <c r="M60" s="161"/>
      <c r="N60" s="161"/>
      <c r="O60" s="161"/>
      <c r="P60" s="161"/>
      <c r="Q60" s="160"/>
      <c r="R60" s="161"/>
      <c r="S60" s="161"/>
      <c r="T60" s="161"/>
      <c r="U60" s="161"/>
      <c r="V60" s="161"/>
      <c r="W60" s="161"/>
      <c r="X60" s="161"/>
      <c r="Y60" s="161"/>
      <c r="Z60" s="161"/>
      <c r="AA60" s="161"/>
      <c r="AB60" s="161"/>
      <c r="AC60" s="161"/>
      <c r="AD60" s="161"/>
      <c r="AE60" s="161"/>
      <c r="AF60" s="161"/>
      <c r="AG60" s="161"/>
      <c r="AH60" s="161"/>
      <c r="AI60" s="161"/>
      <c r="AJ60" s="161"/>
      <c r="AK60" s="161"/>
      <c r="AL60" s="161"/>
      <c r="AM60" s="161"/>
      <c r="AN60" s="161"/>
      <c r="AO60" s="161"/>
      <c r="AP60" s="161"/>
      <c r="AQ60" s="161"/>
      <c r="AR60" s="161"/>
      <c r="AS60" s="161"/>
      <c r="AT60" s="161"/>
      <c r="AU60" s="161"/>
      <c r="AV60" s="161"/>
      <c r="AW60" s="161"/>
      <c r="AX60" s="161"/>
      <c r="AY60" s="161"/>
      <c r="AZ60" s="161"/>
      <c r="BA60" s="161"/>
      <c r="BB60" s="161"/>
      <c r="BC60" s="161"/>
      <c r="BD60" s="161"/>
    </row>
    <row r="61" spans="1:56" x14ac:dyDescent="0.2">
      <c r="A61" s="161"/>
      <c r="B61" s="161"/>
      <c r="C61" s="161"/>
      <c r="D61" s="161"/>
      <c r="E61" s="162"/>
      <c r="F61" s="161"/>
      <c r="G61" s="161"/>
      <c r="H61" s="161"/>
      <c r="I61" s="161"/>
      <c r="J61" s="161"/>
      <c r="K61" s="161"/>
      <c r="L61" s="161"/>
      <c r="M61" s="161"/>
      <c r="N61" s="161"/>
      <c r="O61" s="161"/>
      <c r="P61" s="161"/>
      <c r="Q61" s="160"/>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161"/>
      <c r="BA61" s="161"/>
      <c r="BB61" s="161"/>
      <c r="BC61" s="161"/>
      <c r="BD61" s="161"/>
    </row>
    <row r="62" spans="1:56" x14ac:dyDescent="0.2">
      <c r="A62" s="161"/>
      <c r="B62" s="161"/>
      <c r="C62" s="161"/>
      <c r="D62" s="161"/>
      <c r="E62" s="162"/>
      <c r="F62" s="161"/>
      <c r="G62" s="161"/>
      <c r="H62" s="161"/>
      <c r="I62" s="161"/>
      <c r="J62" s="161"/>
      <c r="K62" s="161"/>
      <c r="L62" s="161"/>
      <c r="M62" s="161"/>
      <c r="N62" s="161"/>
      <c r="O62" s="161"/>
      <c r="P62" s="161"/>
      <c r="Q62" s="160"/>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161"/>
      <c r="BA62" s="161"/>
      <c r="BB62" s="161"/>
      <c r="BC62" s="161"/>
      <c r="BD62" s="161"/>
    </row>
    <row r="63" spans="1:56" x14ac:dyDescent="0.2">
      <c r="A63" s="161"/>
      <c r="B63" s="161"/>
      <c r="C63" s="161"/>
      <c r="D63" s="161"/>
      <c r="E63" s="162"/>
      <c r="F63" s="161"/>
      <c r="G63" s="161"/>
      <c r="H63" s="161"/>
      <c r="I63" s="161"/>
      <c r="J63" s="161"/>
      <c r="K63" s="161"/>
      <c r="L63" s="161"/>
      <c r="M63" s="161"/>
      <c r="N63" s="161"/>
      <c r="O63" s="161"/>
      <c r="P63" s="161"/>
      <c r="Q63" s="160"/>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161"/>
      <c r="BA63" s="161"/>
      <c r="BB63" s="161"/>
      <c r="BC63" s="161"/>
      <c r="BD63" s="161"/>
    </row>
    <row r="64" spans="1:56" x14ac:dyDescent="0.2">
      <c r="A64" s="161"/>
      <c r="B64" s="161"/>
      <c r="C64" s="161"/>
      <c r="D64" s="161"/>
      <c r="E64" s="162"/>
      <c r="F64" s="161"/>
      <c r="G64" s="161"/>
      <c r="H64" s="161"/>
      <c r="I64" s="161"/>
      <c r="J64" s="161"/>
      <c r="K64" s="161"/>
      <c r="L64" s="161"/>
      <c r="M64" s="161"/>
      <c r="N64" s="161"/>
      <c r="O64" s="161"/>
      <c r="P64" s="161"/>
      <c r="Q64" s="160"/>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row>
    <row r="65" spans="1:56" x14ac:dyDescent="0.2">
      <c r="A65" s="161"/>
      <c r="B65" s="161"/>
      <c r="C65" s="161"/>
      <c r="D65" s="161"/>
      <c r="E65" s="162"/>
      <c r="F65" s="161"/>
      <c r="G65" s="161"/>
      <c r="H65" s="161"/>
      <c r="I65" s="161"/>
      <c r="J65" s="161"/>
      <c r="K65" s="161"/>
      <c r="L65" s="161"/>
      <c r="M65" s="161"/>
      <c r="N65" s="161"/>
      <c r="O65" s="161"/>
      <c r="P65" s="161"/>
      <c r="Q65" s="160"/>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161"/>
      <c r="BA65" s="161"/>
      <c r="BB65" s="161"/>
      <c r="BC65" s="161"/>
      <c r="BD65" s="161"/>
    </row>
    <row r="66" spans="1:56" x14ac:dyDescent="0.2">
      <c r="A66" s="161"/>
      <c r="B66" s="161"/>
      <c r="C66" s="161"/>
      <c r="D66" s="161"/>
      <c r="E66" s="162"/>
      <c r="F66" s="161"/>
      <c r="G66" s="161"/>
      <c r="H66" s="161"/>
      <c r="I66" s="161"/>
      <c r="J66" s="161"/>
      <c r="K66" s="161"/>
      <c r="L66" s="161"/>
      <c r="M66" s="161"/>
      <c r="N66" s="161"/>
      <c r="O66" s="161"/>
      <c r="P66" s="161"/>
      <c r="Q66" s="160"/>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161"/>
      <c r="BA66" s="161"/>
      <c r="BB66" s="161"/>
      <c r="BC66" s="161"/>
      <c r="BD66" s="161"/>
    </row>
    <row r="67" spans="1:56" x14ac:dyDescent="0.2">
      <c r="A67" s="161"/>
      <c r="B67" s="161"/>
      <c r="C67" s="161"/>
      <c r="D67" s="161"/>
      <c r="E67" s="162"/>
      <c r="F67" s="161"/>
      <c r="G67" s="161"/>
      <c r="H67" s="161"/>
      <c r="I67" s="161"/>
      <c r="J67" s="161"/>
      <c r="K67" s="161"/>
      <c r="L67" s="161"/>
      <c r="M67" s="161"/>
      <c r="N67" s="161"/>
      <c r="O67" s="161"/>
      <c r="P67" s="161"/>
      <c r="Q67" s="160"/>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161"/>
      <c r="BA67" s="161"/>
      <c r="BB67" s="161"/>
      <c r="BC67" s="161"/>
      <c r="BD67" s="161"/>
    </row>
    <row r="68" spans="1:56" x14ac:dyDescent="0.2">
      <c r="A68" s="161"/>
      <c r="B68" s="161"/>
      <c r="C68" s="161"/>
      <c r="D68" s="161"/>
      <c r="E68" s="162"/>
      <c r="F68" s="161"/>
      <c r="G68" s="161"/>
      <c r="H68" s="161"/>
      <c r="I68" s="161"/>
      <c r="J68" s="161"/>
      <c r="K68" s="161"/>
      <c r="L68" s="161"/>
      <c r="M68" s="161"/>
      <c r="N68" s="161"/>
      <c r="O68" s="161"/>
      <c r="P68" s="161"/>
      <c r="Q68" s="160"/>
      <c r="R68" s="161"/>
      <c r="S68" s="161"/>
      <c r="T68" s="161"/>
      <c r="U68" s="161"/>
      <c r="V68" s="161"/>
      <c r="W68" s="161"/>
      <c r="X68" s="161"/>
      <c r="Y68" s="161"/>
      <c r="Z68" s="161"/>
      <c r="AA68" s="161"/>
      <c r="AB68" s="161"/>
      <c r="AC68" s="161"/>
      <c r="AD68" s="161"/>
      <c r="AE68" s="161"/>
      <c r="AF68" s="161"/>
      <c r="AG68" s="161"/>
      <c r="AH68" s="161"/>
      <c r="AI68" s="161"/>
      <c r="AJ68" s="161"/>
      <c r="AK68" s="161"/>
      <c r="AL68" s="161"/>
      <c r="AM68" s="161"/>
      <c r="AN68" s="161"/>
      <c r="AO68" s="161"/>
      <c r="AP68" s="161"/>
      <c r="AQ68" s="161"/>
      <c r="AR68" s="161"/>
      <c r="AS68" s="161"/>
      <c r="AT68" s="161"/>
      <c r="AU68" s="161"/>
      <c r="AV68" s="161"/>
      <c r="AW68" s="161"/>
      <c r="AX68" s="161"/>
      <c r="AY68" s="161"/>
      <c r="AZ68" s="161"/>
      <c r="BA68" s="161"/>
      <c r="BB68" s="161"/>
      <c r="BC68" s="161"/>
      <c r="BD68" s="161"/>
    </row>
    <row r="69" spans="1:56" x14ac:dyDescent="0.2">
      <c r="A69" s="161"/>
      <c r="B69" s="161"/>
      <c r="C69" s="161"/>
      <c r="D69" s="161"/>
      <c r="E69" s="162"/>
      <c r="F69" s="161"/>
      <c r="G69" s="161"/>
      <c r="H69" s="161"/>
      <c r="I69" s="161"/>
      <c r="J69" s="161"/>
      <c r="K69" s="161"/>
      <c r="L69" s="161"/>
      <c r="M69" s="161"/>
      <c r="N69" s="161"/>
      <c r="O69" s="161"/>
      <c r="P69" s="161"/>
      <c r="Q69" s="160"/>
      <c r="R69" s="161"/>
      <c r="S69" s="161"/>
      <c r="T69" s="161"/>
      <c r="U69" s="161"/>
      <c r="V69" s="161"/>
      <c r="W69" s="161"/>
      <c r="X69" s="161"/>
      <c r="Y69" s="161"/>
      <c r="Z69" s="161"/>
      <c r="AA69" s="161"/>
      <c r="AB69" s="161"/>
      <c r="AC69" s="161"/>
      <c r="AD69" s="161"/>
      <c r="AE69" s="161"/>
      <c r="AF69" s="161"/>
      <c r="AG69" s="161"/>
      <c r="AH69" s="161"/>
      <c r="AI69" s="161"/>
      <c r="AJ69" s="161"/>
      <c r="AK69" s="161"/>
      <c r="AL69" s="161"/>
      <c r="AM69" s="161"/>
      <c r="AN69" s="161"/>
      <c r="AO69" s="161"/>
      <c r="AP69" s="161"/>
      <c r="AQ69" s="161"/>
      <c r="AR69" s="161"/>
      <c r="AS69" s="161"/>
      <c r="AT69" s="161"/>
      <c r="AU69" s="161"/>
      <c r="AV69" s="161"/>
      <c r="AW69" s="161"/>
      <c r="AX69" s="161"/>
      <c r="AY69" s="161"/>
      <c r="AZ69" s="161"/>
      <c r="BA69" s="161"/>
      <c r="BB69" s="161"/>
      <c r="BC69" s="161"/>
      <c r="BD69" s="161"/>
    </row>
    <row r="70" spans="1:56" x14ac:dyDescent="0.2">
      <c r="A70" s="161"/>
      <c r="B70" s="161"/>
      <c r="C70" s="161"/>
      <c r="D70" s="161"/>
      <c r="E70" s="162"/>
      <c r="F70" s="161"/>
      <c r="G70" s="161"/>
      <c r="H70" s="161"/>
      <c r="I70" s="161"/>
      <c r="J70" s="161"/>
      <c r="K70" s="161"/>
      <c r="L70" s="161"/>
      <c r="M70" s="161"/>
      <c r="N70" s="161"/>
      <c r="O70" s="161"/>
      <c r="P70" s="161"/>
      <c r="Q70" s="160"/>
      <c r="R70" s="161"/>
      <c r="S70" s="161"/>
      <c r="T70" s="161"/>
      <c r="U70" s="161"/>
      <c r="V70" s="161"/>
      <c r="W70" s="161"/>
      <c r="X70" s="161"/>
      <c r="Y70" s="161"/>
      <c r="Z70" s="161"/>
      <c r="AA70" s="161"/>
      <c r="AB70" s="161"/>
      <c r="AC70" s="161"/>
      <c r="AD70" s="161"/>
      <c r="AE70" s="161"/>
      <c r="AF70" s="161"/>
      <c r="AG70" s="161"/>
      <c r="AH70" s="161"/>
      <c r="AI70" s="161"/>
      <c r="AJ70" s="161"/>
      <c r="AK70" s="161"/>
      <c r="AL70" s="161"/>
      <c r="AM70" s="161"/>
      <c r="AN70" s="161"/>
      <c r="AO70" s="161"/>
      <c r="AP70" s="161"/>
      <c r="AQ70" s="161"/>
      <c r="AR70" s="161"/>
      <c r="AS70" s="161"/>
      <c r="AT70" s="161"/>
      <c r="AU70" s="161"/>
      <c r="AV70" s="161"/>
      <c r="AW70" s="161"/>
      <c r="AX70" s="161"/>
      <c r="AY70" s="161"/>
      <c r="AZ70" s="161"/>
      <c r="BA70" s="161"/>
      <c r="BB70" s="161"/>
      <c r="BC70" s="161"/>
      <c r="BD70" s="161"/>
    </row>
    <row r="71" spans="1:56" x14ac:dyDescent="0.2">
      <c r="A71" s="161"/>
      <c r="B71" s="161"/>
      <c r="C71" s="161"/>
      <c r="D71" s="161"/>
      <c r="E71" s="162"/>
      <c r="F71" s="161"/>
      <c r="G71" s="161"/>
      <c r="H71" s="161"/>
      <c r="I71" s="161"/>
      <c r="J71" s="161"/>
      <c r="K71" s="161"/>
      <c r="L71" s="161"/>
      <c r="M71" s="161"/>
      <c r="N71" s="161"/>
      <c r="O71" s="161"/>
      <c r="P71" s="161"/>
      <c r="Q71" s="160"/>
      <c r="R71" s="161"/>
      <c r="S71" s="161"/>
      <c r="T71" s="161"/>
      <c r="U71" s="161"/>
      <c r="V71" s="161"/>
      <c r="W71" s="161"/>
      <c r="X71" s="161"/>
      <c r="Y71" s="161"/>
      <c r="Z71" s="161"/>
      <c r="AA71" s="161"/>
      <c r="AB71" s="161"/>
      <c r="AC71" s="161"/>
      <c r="AD71" s="161"/>
      <c r="AE71" s="161"/>
      <c r="AF71" s="161"/>
      <c r="AG71" s="161"/>
      <c r="AH71" s="161"/>
      <c r="AI71" s="161"/>
      <c r="AJ71" s="161"/>
      <c r="AK71" s="161"/>
      <c r="AL71" s="161"/>
      <c r="AM71" s="161"/>
      <c r="AN71" s="161"/>
      <c r="AO71" s="161"/>
      <c r="AP71" s="161"/>
      <c r="AQ71" s="161"/>
      <c r="AR71" s="161"/>
      <c r="AS71" s="161"/>
      <c r="AT71" s="161"/>
      <c r="AU71" s="161"/>
      <c r="AV71" s="161"/>
      <c r="AW71" s="161"/>
      <c r="AX71" s="161"/>
      <c r="AY71" s="161"/>
      <c r="AZ71" s="161"/>
      <c r="BA71" s="161"/>
      <c r="BB71" s="161"/>
      <c r="BC71" s="161"/>
      <c r="BD71" s="161"/>
    </row>
    <row r="72" spans="1:56" x14ac:dyDescent="0.2">
      <c r="A72" s="161"/>
      <c r="B72" s="161"/>
      <c r="C72" s="161"/>
      <c r="D72" s="161"/>
      <c r="E72" s="162"/>
      <c r="F72" s="161"/>
      <c r="G72" s="161"/>
      <c r="H72" s="161"/>
      <c r="I72" s="161"/>
      <c r="J72" s="161"/>
      <c r="K72" s="161"/>
      <c r="L72" s="161"/>
      <c r="M72" s="161"/>
      <c r="N72" s="161"/>
      <c r="O72" s="161"/>
      <c r="P72" s="161"/>
      <c r="Q72" s="160"/>
      <c r="R72" s="161"/>
      <c r="S72" s="161"/>
      <c r="T72" s="161"/>
      <c r="U72" s="161"/>
      <c r="V72" s="161"/>
      <c r="W72" s="161"/>
      <c r="X72" s="161"/>
      <c r="Y72" s="161"/>
      <c r="Z72" s="161"/>
      <c r="AA72" s="161"/>
      <c r="AB72" s="161"/>
      <c r="AC72" s="161"/>
      <c r="AD72" s="161"/>
      <c r="AE72" s="161"/>
      <c r="AF72" s="161"/>
      <c r="AG72" s="161"/>
      <c r="AH72" s="161"/>
      <c r="AI72" s="161"/>
      <c r="AJ72" s="161"/>
      <c r="AK72" s="161"/>
      <c r="AL72" s="161"/>
      <c r="AM72" s="161"/>
      <c r="AN72" s="161"/>
      <c r="AO72" s="161"/>
      <c r="AP72" s="161"/>
      <c r="AQ72" s="161"/>
      <c r="AR72" s="161"/>
      <c r="AS72" s="161"/>
      <c r="AT72" s="161"/>
      <c r="AU72" s="161"/>
      <c r="AV72" s="161"/>
      <c r="AW72" s="161"/>
      <c r="AX72" s="161"/>
      <c r="AY72" s="161"/>
      <c r="AZ72" s="161"/>
      <c r="BA72" s="161"/>
      <c r="BB72" s="161"/>
      <c r="BC72" s="161"/>
      <c r="BD72" s="161"/>
    </row>
    <row r="73" spans="1:56" x14ac:dyDescent="0.2">
      <c r="A73" s="161"/>
      <c r="B73" s="161"/>
      <c r="C73" s="161"/>
      <c r="D73" s="161"/>
      <c r="E73" s="162"/>
      <c r="F73" s="161"/>
      <c r="G73" s="161"/>
      <c r="H73" s="161"/>
      <c r="I73" s="161"/>
      <c r="J73" s="161"/>
      <c r="K73" s="161"/>
      <c r="L73" s="161"/>
      <c r="M73" s="161"/>
      <c r="N73" s="161"/>
      <c r="O73" s="161"/>
      <c r="P73" s="161"/>
      <c r="Q73" s="160"/>
      <c r="R73" s="161"/>
      <c r="S73" s="161"/>
      <c r="T73" s="161"/>
      <c r="U73" s="161"/>
      <c r="V73" s="161"/>
      <c r="W73" s="161"/>
      <c r="X73" s="161"/>
      <c r="Y73" s="161"/>
      <c r="Z73" s="161"/>
      <c r="AA73" s="161"/>
      <c r="AB73" s="161"/>
      <c r="AC73" s="161"/>
      <c r="AD73" s="161"/>
      <c r="AE73" s="161"/>
      <c r="AF73" s="161"/>
      <c r="AG73" s="161"/>
      <c r="AH73" s="161"/>
      <c r="AI73" s="161"/>
      <c r="AJ73" s="161"/>
      <c r="AK73" s="161"/>
      <c r="AL73" s="161"/>
      <c r="AM73" s="161"/>
      <c r="AN73" s="161"/>
      <c r="AO73" s="161"/>
      <c r="AP73" s="161"/>
      <c r="AQ73" s="161"/>
      <c r="AR73" s="161"/>
      <c r="AS73" s="161"/>
      <c r="AT73" s="161"/>
      <c r="AU73" s="161"/>
      <c r="AV73" s="161"/>
      <c r="AW73" s="161"/>
      <c r="AX73" s="161"/>
      <c r="AY73" s="161"/>
      <c r="AZ73" s="161"/>
      <c r="BA73" s="161"/>
      <c r="BB73" s="161"/>
      <c r="BC73" s="161"/>
      <c r="BD73" s="161"/>
    </row>
    <row r="74" spans="1:56" x14ac:dyDescent="0.2">
      <c r="A74" s="161"/>
      <c r="B74" s="161"/>
      <c r="C74" s="161"/>
      <c r="D74" s="161"/>
      <c r="E74" s="162"/>
      <c r="F74" s="161"/>
      <c r="G74" s="161"/>
      <c r="H74" s="161"/>
      <c r="I74" s="161"/>
      <c r="J74" s="161"/>
      <c r="K74" s="161"/>
      <c r="L74" s="161"/>
      <c r="M74" s="161"/>
      <c r="N74" s="161"/>
      <c r="O74" s="161"/>
      <c r="P74" s="161"/>
      <c r="Q74" s="160"/>
      <c r="R74" s="161"/>
      <c r="S74" s="161"/>
      <c r="T74" s="161"/>
      <c r="U74" s="161"/>
      <c r="V74" s="161"/>
      <c r="W74" s="161"/>
      <c r="X74" s="161"/>
      <c r="Y74" s="161"/>
      <c r="Z74" s="161"/>
      <c r="AA74" s="161"/>
      <c r="AB74" s="161"/>
      <c r="AC74" s="161"/>
      <c r="AD74" s="161"/>
      <c r="AE74" s="161"/>
      <c r="AF74" s="161"/>
      <c r="AG74" s="161"/>
      <c r="AH74" s="161"/>
      <c r="AI74" s="161"/>
      <c r="AJ74" s="161"/>
      <c r="AK74" s="161"/>
      <c r="AL74" s="161"/>
      <c r="AM74" s="161"/>
      <c r="AN74" s="161"/>
      <c r="AO74" s="161"/>
      <c r="AP74" s="161"/>
      <c r="AQ74" s="161"/>
      <c r="AR74" s="161"/>
      <c r="AS74" s="161"/>
      <c r="AT74" s="161"/>
      <c r="AU74" s="161"/>
      <c r="AV74" s="161"/>
      <c r="AW74" s="161"/>
      <c r="AX74" s="161"/>
      <c r="AY74" s="161"/>
      <c r="AZ74" s="161"/>
      <c r="BA74" s="161"/>
      <c r="BB74" s="161"/>
      <c r="BC74" s="161"/>
      <c r="BD74" s="161"/>
    </row>
    <row r="75" spans="1:56" x14ac:dyDescent="0.2">
      <c r="A75" s="161"/>
      <c r="B75" s="161"/>
      <c r="C75" s="161"/>
      <c r="D75" s="161"/>
      <c r="E75" s="162"/>
      <c r="F75" s="161"/>
      <c r="G75" s="161"/>
      <c r="H75" s="161"/>
      <c r="I75" s="161"/>
      <c r="J75" s="161"/>
      <c r="K75" s="161"/>
      <c r="L75" s="161"/>
      <c r="M75" s="161"/>
      <c r="N75" s="161"/>
      <c r="O75" s="161"/>
      <c r="P75" s="161"/>
      <c r="Q75" s="160"/>
      <c r="R75" s="161"/>
      <c r="S75" s="161"/>
      <c r="T75" s="161"/>
      <c r="U75" s="161"/>
      <c r="V75" s="161"/>
      <c r="W75" s="161"/>
      <c r="X75" s="161"/>
      <c r="Y75" s="161"/>
      <c r="Z75" s="161"/>
      <c r="AA75" s="161"/>
      <c r="AB75" s="161"/>
      <c r="AC75" s="161"/>
      <c r="AD75" s="161"/>
      <c r="AE75" s="161"/>
      <c r="AF75" s="161"/>
      <c r="AG75" s="161"/>
      <c r="AH75" s="161"/>
      <c r="AI75" s="161"/>
      <c r="AJ75" s="161"/>
      <c r="AK75" s="161"/>
      <c r="AL75" s="161"/>
      <c r="AM75" s="161"/>
      <c r="AN75" s="161"/>
      <c r="AO75" s="161"/>
      <c r="AP75" s="161"/>
      <c r="AQ75" s="161"/>
      <c r="AR75" s="161"/>
      <c r="AS75" s="161"/>
      <c r="AT75" s="161"/>
      <c r="AU75" s="161"/>
      <c r="AV75" s="161"/>
      <c r="AW75" s="161"/>
      <c r="AX75" s="161"/>
      <c r="AY75" s="161"/>
      <c r="AZ75" s="161"/>
      <c r="BA75" s="161"/>
      <c r="BB75" s="161"/>
      <c r="BC75" s="161"/>
      <c r="BD75" s="161"/>
    </row>
    <row r="76" spans="1:56" x14ac:dyDescent="0.2">
      <c r="A76" s="161"/>
      <c r="B76" s="161"/>
      <c r="C76" s="161"/>
      <c r="D76" s="161"/>
      <c r="E76" s="162"/>
      <c r="F76" s="161"/>
      <c r="G76" s="161"/>
      <c r="H76" s="161"/>
      <c r="I76" s="161"/>
      <c r="J76" s="161"/>
      <c r="K76" s="161"/>
      <c r="L76" s="161"/>
      <c r="M76" s="161"/>
      <c r="N76" s="161"/>
      <c r="O76" s="161"/>
      <c r="P76" s="161"/>
      <c r="Q76" s="160"/>
      <c r="R76" s="161"/>
      <c r="S76" s="161"/>
      <c r="T76" s="161"/>
      <c r="U76" s="161"/>
      <c r="V76" s="161"/>
      <c r="W76" s="161"/>
      <c r="X76" s="161"/>
      <c r="Y76" s="161"/>
      <c r="Z76" s="161"/>
      <c r="AA76" s="161"/>
      <c r="AB76" s="161"/>
      <c r="AC76" s="161"/>
      <c r="AD76" s="161"/>
      <c r="AE76" s="161"/>
      <c r="AF76" s="161"/>
      <c r="AG76" s="161"/>
      <c r="AH76" s="161"/>
      <c r="AI76" s="161"/>
      <c r="AJ76" s="161"/>
      <c r="AK76" s="161"/>
      <c r="AL76" s="161"/>
      <c r="AM76" s="161"/>
      <c r="AN76" s="161"/>
      <c r="AO76" s="161"/>
      <c r="AP76" s="161"/>
      <c r="AQ76" s="161"/>
      <c r="AR76" s="161"/>
      <c r="AS76" s="161"/>
      <c r="AT76" s="161"/>
      <c r="AU76" s="161"/>
      <c r="AV76" s="161"/>
      <c r="AW76" s="161"/>
      <c r="AX76" s="161"/>
      <c r="AY76" s="161"/>
      <c r="AZ76" s="161"/>
      <c r="BA76" s="161"/>
      <c r="BB76" s="161"/>
      <c r="BC76" s="161"/>
      <c r="BD76" s="161"/>
    </row>
    <row r="77" spans="1:56" x14ac:dyDescent="0.2">
      <c r="A77" s="161"/>
      <c r="B77" s="161"/>
      <c r="C77" s="161"/>
      <c r="D77" s="161"/>
      <c r="E77" s="162"/>
      <c r="F77" s="161"/>
      <c r="G77" s="161"/>
      <c r="H77" s="161"/>
      <c r="I77" s="161"/>
      <c r="J77" s="161"/>
      <c r="K77" s="161"/>
      <c r="L77" s="161"/>
      <c r="M77" s="161"/>
      <c r="N77" s="161"/>
      <c r="O77" s="161"/>
      <c r="P77" s="161"/>
      <c r="Q77" s="160"/>
      <c r="R77" s="161"/>
      <c r="S77" s="161"/>
      <c r="T77" s="161"/>
      <c r="U77" s="161"/>
      <c r="V77" s="161"/>
      <c r="W77" s="161"/>
      <c r="X77" s="161"/>
      <c r="Y77" s="161"/>
      <c r="Z77" s="161"/>
      <c r="AA77" s="161"/>
      <c r="AB77" s="161"/>
      <c r="AC77" s="161"/>
      <c r="AD77" s="161"/>
      <c r="AE77" s="161"/>
      <c r="AF77" s="161"/>
      <c r="AG77" s="161"/>
      <c r="AH77" s="161"/>
      <c r="AI77" s="161"/>
      <c r="AJ77" s="161"/>
      <c r="AK77" s="161"/>
      <c r="AL77" s="161"/>
      <c r="AM77" s="161"/>
      <c r="AN77" s="161"/>
      <c r="AO77" s="161"/>
      <c r="AP77" s="161"/>
      <c r="AQ77" s="161"/>
      <c r="AR77" s="161"/>
      <c r="AS77" s="161"/>
      <c r="AT77" s="161"/>
      <c r="AU77" s="161"/>
      <c r="AV77" s="161"/>
      <c r="AW77" s="161"/>
      <c r="AX77" s="161"/>
      <c r="AY77" s="161"/>
      <c r="AZ77" s="161"/>
      <c r="BA77" s="161"/>
      <c r="BB77" s="161"/>
      <c r="BC77" s="161"/>
      <c r="BD77" s="161"/>
    </row>
    <row r="78" spans="1:56" x14ac:dyDescent="0.2">
      <c r="A78" s="161"/>
      <c r="B78" s="161"/>
      <c r="C78" s="161"/>
      <c r="D78" s="161"/>
      <c r="E78" s="162"/>
      <c r="F78" s="161"/>
      <c r="G78" s="161"/>
      <c r="H78" s="161"/>
      <c r="I78" s="161"/>
      <c r="J78" s="161"/>
      <c r="K78" s="161"/>
      <c r="L78" s="161"/>
      <c r="M78" s="161"/>
      <c r="N78" s="161"/>
      <c r="O78" s="161"/>
      <c r="P78" s="161"/>
      <c r="Q78" s="160"/>
      <c r="R78" s="161"/>
      <c r="S78" s="161"/>
      <c r="T78" s="161"/>
      <c r="U78" s="161"/>
      <c r="V78" s="161"/>
      <c r="W78" s="161"/>
      <c r="X78" s="161"/>
      <c r="Y78" s="161"/>
      <c r="Z78" s="161"/>
      <c r="AA78" s="161"/>
      <c r="AB78" s="161"/>
      <c r="AC78" s="161"/>
      <c r="AD78" s="161"/>
      <c r="AE78" s="161"/>
      <c r="AF78" s="161"/>
      <c r="AG78" s="161"/>
      <c r="AH78" s="161"/>
      <c r="AI78" s="161"/>
      <c r="AJ78" s="161"/>
      <c r="AK78" s="161"/>
      <c r="AL78" s="161"/>
      <c r="AM78" s="161"/>
      <c r="AN78" s="161"/>
      <c r="AO78" s="161"/>
      <c r="AP78" s="161"/>
      <c r="AQ78" s="161"/>
      <c r="AR78" s="161"/>
      <c r="AS78" s="161"/>
      <c r="AT78" s="161"/>
      <c r="AU78" s="161"/>
      <c r="AV78" s="161"/>
      <c r="AW78" s="161"/>
      <c r="AX78" s="161"/>
      <c r="AY78" s="161"/>
      <c r="AZ78" s="161"/>
      <c r="BA78" s="161"/>
      <c r="BB78" s="161"/>
      <c r="BC78" s="161"/>
      <c r="BD78" s="161"/>
    </row>
    <row r="79" spans="1:56" x14ac:dyDescent="0.2">
      <c r="A79" s="161"/>
      <c r="B79" s="161"/>
      <c r="C79" s="161"/>
      <c r="D79" s="161"/>
      <c r="E79" s="162"/>
      <c r="F79" s="161"/>
      <c r="G79" s="161"/>
      <c r="H79" s="161"/>
      <c r="I79" s="161"/>
      <c r="J79" s="161"/>
      <c r="K79" s="161"/>
      <c r="L79" s="161"/>
      <c r="M79" s="161"/>
      <c r="N79" s="161"/>
      <c r="O79" s="161"/>
      <c r="P79" s="161"/>
      <c r="Q79" s="160"/>
      <c r="R79" s="161"/>
      <c r="S79" s="161"/>
      <c r="T79" s="161"/>
      <c r="U79" s="161"/>
      <c r="V79" s="161"/>
      <c r="W79" s="161"/>
      <c r="X79" s="161"/>
      <c r="Y79" s="161"/>
      <c r="Z79" s="161"/>
      <c r="AA79" s="161"/>
      <c r="AB79" s="161"/>
      <c r="AC79" s="161"/>
      <c r="AD79" s="161"/>
      <c r="AE79" s="161"/>
      <c r="AF79" s="161"/>
      <c r="AG79" s="161"/>
      <c r="AH79" s="161"/>
      <c r="AI79" s="161"/>
      <c r="AJ79" s="161"/>
      <c r="AK79" s="161"/>
      <c r="AL79" s="161"/>
      <c r="AM79" s="161"/>
      <c r="AN79" s="161"/>
      <c r="AO79" s="161"/>
      <c r="AP79" s="161"/>
      <c r="AQ79" s="161"/>
      <c r="AR79" s="161"/>
      <c r="AS79" s="161"/>
      <c r="AT79" s="161"/>
      <c r="AU79" s="161"/>
      <c r="AV79" s="161"/>
      <c r="AW79" s="161"/>
      <c r="AX79" s="161"/>
      <c r="AY79" s="161"/>
      <c r="AZ79" s="161"/>
      <c r="BA79" s="161"/>
      <c r="BB79" s="161"/>
      <c r="BC79" s="161"/>
      <c r="BD79" s="161"/>
    </row>
    <row r="80" spans="1:56" x14ac:dyDescent="0.2">
      <c r="A80" s="161"/>
      <c r="B80" s="161"/>
      <c r="C80" s="161"/>
      <c r="D80" s="161"/>
      <c r="E80" s="162"/>
      <c r="F80" s="161"/>
      <c r="G80" s="161"/>
      <c r="H80" s="161"/>
      <c r="I80" s="161"/>
      <c r="J80" s="161"/>
      <c r="K80" s="161"/>
      <c r="L80" s="161"/>
      <c r="M80" s="161"/>
      <c r="N80" s="161"/>
      <c r="O80" s="161"/>
      <c r="P80" s="161"/>
      <c r="Q80" s="160"/>
      <c r="R80" s="161"/>
      <c r="S80" s="161"/>
      <c r="T80" s="161"/>
      <c r="U80" s="161"/>
      <c r="V80" s="161"/>
      <c r="W80" s="161"/>
      <c r="X80" s="161"/>
      <c r="Y80" s="161"/>
      <c r="Z80" s="161"/>
      <c r="AA80" s="161"/>
      <c r="AB80" s="161"/>
      <c r="AC80" s="161"/>
      <c r="AD80" s="161"/>
      <c r="AE80" s="161"/>
      <c r="AF80" s="161"/>
      <c r="AG80" s="161"/>
      <c r="AH80" s="161"/>
      <c r="AI80" s="161"/>
      <c r="AJ80" s="161"/>
      <c r="AK80" s="161"/>
      <c r="AL80" s="161"/>
      <c r="AM80" s="161"/>
      <c r="AN80" s="161"/>
      <c r="AO80" s="161"/>
      <c r="AP80" s="161"/>
      <c r="AQ80" s="161"/>
      <c r="AR80" s="161"/>
      <c r="AS80" s="161"/>
      <c r="AT80" s="161"/>
      <c r="AU80" s="161"/>
      <c r="AV80" s="161"/>
      <c r="AW80" s="161"/>
      <c r="AX80" s="161"/>
      <c r="AY80" s="161"/>
      <c r="AZ80" s="161"/>
      <c r="BA80" s="161"/>
      <c r="BB80" s="161"/>
      <c r="BC80" s="161"/>
      <c r="BD80" s="161"/>
    </row>
    <row r="81" spans="1:56" x14ac:dyDescent="0.2">
      <c r="A81" s="161"/>
      <c r="B81" s="161"/>
      <c r="C81" s="161"/>
      <c r="D81" s="161"/>
      <c r="E81" s="162"/>
      <c r="F81" s="161"/>
      <c r="G81" s="161"/>
      <c r="H81" s="161"/>
      <c r="I81" s="161"/>
      <c r="J81" s="161"/>
      <c r="K81" s="161"/>
      <c r="L81" s="161"/>
      <c r="M81" s="161"/>
      <c r="N81" s="161"/>
      <c r="O81" s="161"/>
      <c r="P81" s="161"/>
      <c r="Q81" s="160"/>
      <c r="R81" s="161"/>
      <c r="S81" s="161"/>
      <c r="T81" s="161"/>
      <c r="U81" s="161"/>
      <c r="V81" s="161"/>
      <c r="W81" s="161"/>
      <c r="X81" s="161"/>
      <c r="Y81" s="161"/>
      <c r="Z81" s="161"/>
      <c r="AA81" s="161"/>
      <c r="AB81" s="161"/>
      <c r="AC81" s="161"/>
      <c r="AD81" s="161"/>
      <c r="AE81" s="161"/>
      <c r="AF81" s="161"/>
      <c r="AG81" s="161"/>
      <c r="AH81" s="161"/>
      <c r="AI81" s="161"/>
      <c r="AJ81" s="161"/>
      <c r="AK81" s="161"/>
      <c r="AL81" s="161"/>
      <c r="AM81" s="161"/>
      <c r="AN81" s="161"/>
      <c r="AO81" s="161"/>
      <c r="AP81" s="161"/>
      <c r="AQ81" s="161"/>
      <c r="AR81" s="161"/>
      <c r="AS81" s="161"/>
      <c r="AT81" s="161"/>
      <c r="AU81" s="161"/>
      <c r="AV81" s="161"/>
      <c r="AW81" s="161"/>
      <c r="AX81" s="161"/>
      <c r="AY81" s="161"/>
      <c r="AZ81" s="161"/>
      <c r="BA81" s="161"/>
      <c r="BB81" s="161"/>
      <c r="BC81" s="161"/>
      <c r="BD81" s="161"/>
    </row>
    <row r="82" spans="1:56" x14ac:dyDescent="0.2">
      <c r="A82" s="161"/>
      <c r="B82" s="161"/>
      <c r="C82" s="161"/>
      <c r="D82" s="161"/>
      <c r="E82" s="162"/>
      <c r="F82" s="161"/>
      <c r="G82" s="161"/>
      <c r="H82" s="161"/>
      <c r="I82" s="161"/>
      <c r="J82" s="161"/>
      <c r="K82" s="161"/>
      <c r="L82" s="161"/>
      <c r="M82" s="161"/>
      <c r="N82" s="161"/>
      <c r="O82" s="161"/>
      <c r="P82" s="161"/>
      <c r="Q82" s="160"/>
      <c r="R82" s="161"/>
      <c r="S82" s="161"/>
      <c r="T82" s="161"/>
      <c r="U82" s="161"/>
      <c r="V82" s="161"/>
      <c r="W82" s="161"/>
      <c r="X82" s="161"/>
      <c r="Y82" s="161"/>
      <c r="Z82" s="161"/>
      <c r="AA82" s="161"/>
      <c r="AB82" s="161"/>
      <c r="AC82" s="161"/>
      <c r="AD82" s="161"/>
      <c r="AE82" s="161"/>
      <c r="AF82" s="161"/>
      <c r="AG82" s="161"/>
      <c r="AH82" s="161"/>
      <c r="AI82" s="161"/>
      <c r="AJ82" s="161"/>
      <c r="AK82" s="161"/>
      <c r="AL82" s="161"/>
      <c r="AM82" s="161"/>
      <c r="AN82" s="161"/>
      <c r="AO82" s="161"/>
      <c r="AP82" s="161"/>
      <c r="AQ82" s="161"/>
      <c r="AR82" s="161"/>
      <c r="AS82" s="161"/>
      <c r="AT82" s="161"/>
      <c r="AU82" s="161"/>
      <c r="AV82" s="161"/>
      <c r="AW82" s="161"/>
      <c r="AX82" s="161"/>
      <c r="AY82" s="161"/>
      <c r="AZ82" s="161"/>
      <c r="BA82" s="161"/>
      <c r="BB82" s="161"/>
      <c r="BC82" s="161"/>
      <c r="BD82" s="161"/>
    </row>
    <row r="83" spans="1:56" x14ac:dyDescent="0.2">
      <c r="A83" s="161"/>
      <c r="B83" s="161"/>
      <c r="C83" s="161"/>
      <c r="D83" s="161"/>
      <c r="E83" s="162"/>
      <c r="F83" s="161"/>
      <c r="G83" s="161"/>
      <c r="H83" s="161"/>
      <c r="I83" s="161"/>
      <c r="J83" s="161"/>
      <c r="K83" s="161"/>
      <c r="L83" s="161"/>
      <c r="M83" s="161"/>
      <c r="N83" s="161"/>
      <c r="O83" s="161"/>
      <c r="P83" s="161"/>
      <c r="Q83" s="160"/>
      <c r="R83" s="161"/>
      <c r="S83" s="161"/>
      <c r="T83" s="161"/>
      <c r="U83" s="161"/>
      <c r="V83" s="161"/>
      <c r="W83" s="161"/>
      <c r="X83" s="161"/>
      <c r="Y83" s="161"/>
      <c r="Z83" s="161"/>
      <c r="AA83" s="161"/>
      <c r="AB83" s="161"/>
      <c r="AC83" s="161"/>
      <c r="AD83" s="161"/>
      <c r="AE83" s="161"/>
      <c r="AF83" s="161"/>
      <c r="AG83" s="161"/>
      <c r="AH83" s="161"/>
      <c r="AI83" s="161"/>
      <c r="AJ83" s="161"/>
      <c r="AK83" s="161"/>
      <c r="AL83" s="161"/>
      <c r="AM83" s="161"/>
      <c r="AN83" s="161"/>
      <c r="AO83" s="161"/>
      <c r="AP83" s="161"/>
      <c r="AQ83" s="161"/>
      <c r="AR83" s="161"/>
      <c r="AS83" s="161"/>
      <c r="AT83" s="161"/>
      <c r="AU83" s="161"/>
      <c r="AV83" s="161"/>
      <c r="AW83" s="161"/>
      <c r="AX83" s="161"/>
      <c r="AY83" s="161"/>
      <c r="AZ83" s="161"/>
      <c r="BA83" s="161"/>
      <c r="BB83" s="161"/>
      <c r="BC83" s="161"/>
      <c r="BD83" s="161"/>
    </row>
    <row r="84" spans="1:56" x14ac:dyDescent="0.2">
      <c r="A84" s="161"/>
      <c r="B84" s="161"/>
      <c r="C84" s="161"/>
      <c r="D84" s="161"/>
      <c r="E84" s="162"/>
      <c r="F84" s="161"/>
      <c r="G84" s="161"/>
      <c r="H84" s="161"/>
      <c r="I84" s="161"/>
      <c r="J84" s="161"/>
      <c r="K84" s="161"/>
      <c r="L84" s="161"/>
      <c r="M84" s="161"/>
      <c r="N84" s="161"/>
      <c r="O84" s="161"/>
      <c r="P84" s="161"/>
      <c r="Q84" s="160"/>
      <c r="R84" s="161"/>
      <c r="S84" s="161"/>
      <c r="T84" s="161"/>
      <c r="U84" s="161"/>
      <c r="V84" s="161"/>
      <c r="W84" s="161"/>
      <c r="X84" s="161"/>
      <c r="Y84" s="161"/>
      <c r="Z84" s="161"/>
      <c r="AA84" s="161"/>
      <c r="AB84" s="161"/>
      <c r="AC84" s="161"/>
      <c r="AD84" s="161"/>
      <c r="AE84" s="161"/>
      <c r="AF84" s="161"/>
      <c r="AG84" s="161"/>
      <c r="AH84" s="161"/>
      <c r="AI84" s="161"/>
      <c r="AJ84" s="161"/>
      <c r="AK84" s="161"/>
      <c r="AL84" s="161"/>
      <c r="AM84" s="161"/>
      <c r="AN84" s="161"/>
      <c r="AO84" s="161"/>
      <c r="AP84" s="161"/>
      <c r="AQ84" s="161"/>
      <c r="AR84" s="161"/>
      <c r="AS84" s="161"/>
      <c r="AT84" s="161"/>
      <c r="AU84" s="161"/>
      <c r="AV84" s="161"/>
      <c r="AW84" s="161"/>
      <c r="AX84" s="161"/>
      <c r="AY84" s="161"/>
      <c r="AZ84" s="161"/>
      <c r="BA84" s="161"/>
      <c r="BB84" s="161"/>
      <c r="BC84" s="161"/>
      <c r="BD84" s="161"/>
    </row>
    <row r="85" spans="1:56" x14ac:dyDescent="0.2">
      <c r="A85" s="161"/>
      <c r="B85" s="161"/>
      <c r="C85" s="161"/>
      <c r="D85" s="161"/>
      <c r="E85" s="162"/>
      <c r="F85" s="161"/>
      <c r="G85" s="161"/>
      <c r="H85" s="161"/>
      <c r="I85" s="161"/>
      <c r="J85" s="161"/>
      <c r="K85" s="161"/>
      <c r="L85" s="161"/>
      <c r="M85" s="161"/>
      <c r="N85" s="161"/>
      <c r="O85" s="161"/>
      <c r="P85" s="161"/>
      <c r="Q85" s="160"/>
      <c r="R85" s="161"/>
      <c r="S85" s="161"/>
      <c r="T85" s="161"/>
      <c r="U85" s="161"/>
      <c r="V85" s="161"/>
      <c r="W85" s="161"/>
      <c r="X85" s="161"/>
      <c r="Y85" s="161"/>
      <c r="Z85" s="161"/>
      <c r="AA85" s="161"/>
      <c r="AB85" s="161"/>
      <c r="AC85" s="161"/>
      <c r="AD85" s="161"/>
      <c r="AE85" s="161"/>
      <c r="AF85" s="161"/>
      <c r="AG85" s="161"/>
      <c r="AH85" s="161"/>
      <c r="AI85" s="161"/>
      <c r="AJ85" s="161"/>
      <c r="AK85" s="161"/>
      <c r="AL85" s="161"/>
      <c r="AM85" s="161"/>
      <c r="AN85" s="161"/>
      <c r="AO85" s="161"/>
      <c r="AP85" s="161"/>
      <c r="AQ85" s="161"/>
      <c r="AR85" s="161"/>
      <c r="AS85" s="161"/>
      <c r="AT85" s="161"/>
      <c r="AU85" s="161"/>
      <c r="AV85" s="161"/>
      <c r="AW85" s="161"/>
      <c r="AX85" s="161"/>
      <c r="AY85" s="161"/>
      <c r="AZ85" s="161"/>
      <c r="BA85" s="161"/>
      <c r="BB85" s="161"/>
      <c r="BC85" s="161"/>
      <c r="BD85" s="161"/>
    </row>
    <row r="86" spans="1:56" x14ac:dyDescent="0.2">
      <c r="A86" s="161"/>
      <c r="B86" s="161"/>
      <c r="C86" s="161"/>
      <c r="D86" s="161"/>
      <c r="E86" s="162"/>
      <c r="F86" s="161"/>
      <c r="G86" s="161"/>
      <c r="H86" s="161"/>
      <c r="I86" s="161"/>
      <c r="J86" s="161"/>
      <c r="K86" s="161"/>
      <c r="L86" s="161"/>
      <c r="M86" s="161"/>
      <c r="N86" s="161"/>
      <c r="O86" s="161"/>
      <c r="P86" s="161"/>
      <c r="Q86" s="160"/>
      <c r="R86" s="161"/>
      <c r="S86" s="161"/>
      <c r="T86" s="161"/>
      <c r="U86" s="161"/>
      <c r="V86" s="161"/>
      <c r="W86" s="161"/>
      <c r="X86" s="161"/>
      <c r="Y86" s="161"/>
      <c r="Z86" s="161"/>
      <c r="AA86" s="161"/>
      <c r="AB86" s="161"/>
      <c r="AC86" s="161"/>
      <c r="AD86" s="161"/>
      <c r="AE86" s="161"/>
      <c r="AF86" s="161"/>
      <c r="AG86" s="161"/>
      <c r="AH86" s="161"/>
      <c r="AI86" s="161"/>
      <c r="AJ86" s="161"/>
      <c r="AK86" s="161"/>
      <c r="AL86" s="161"/>
      <c r="AM86" s="161"/>
      <c r="AN86" s="161"/>
      <c r="AO86" s="161"/>
      <c r="AP86" s="161"/>
      <c r="AQ86" s="161"/>
      <c r="AR86" s="161"/>
      <c r="AS86" s="161"/>
      <c r="AT86" s="161"/>
      <c r="AU86" s="161"/>
      <c r="AV86" s="161"/>
      <c r="AW86" s="161"/>
      <c r="AX86" s="161"/>
      <c r="AY86" s="161"/>
      <c r="AZ86" s="161"/>
      <c r="BA86" s="161"/>
      <c r="BB86" s="161"/>
      <c r="BC86" s="161"/>
      <c r="BD86" s="161"/>
    </row>
    <row r="87" spans="1:56" x14ac:dyDescent="0.2">
      <c r="A87" s="161"/>
      <c r="B87" s="161"/>
      <c r="C87" s="161"/>
      <c r="D87" s="161"/>
      <c r="E87" s="162"/>
      <c r="F87" s="161"/>
      <c r="G87" s="161"/>
      <c r="H87" s="161"/>
      <c r="I87" s="161"/>
      <c r="J87" s="161"/>
      <c r="K87" s="161"/>
      <c r="L87" s="161"/>
      <c r="M87" s="161"/>
      <c r="N87" s="161"/>
      <c r="O87" s="161"/>
      <c r="P87" s="161"/>
      <c r="Q87" s="160"/>
      <c r="R87" s="161"/>
      <c r="S87" s="161"/>
      <c r="T87" s="161"/>
      <c r="U87" s="161"/>
      <c r="V87" s="161"/>
      <c r="W87" s="161"/>
      <c r="X87" s="161"/>
      <c r="Y87" s="161"/>
      <c r="Z87" s="161"/>
      <c r="AA87" s="161"/>
      <c r="AB87" s="161"/>
      <c r="AC87" s="161"/>
      <c r="AD87" s="161"/>
      <c r="AE87" s="161"/>
      <c r="AF87" s="161"/>
      <c r="AG87" s="161"/>
      <c r="AH87" s="161"/>
      <c r="AI87" s="161"/>
      <c r="AJ87" s="161"/>
      <c r="AK87" s="161"/>
      <c r="AL87" s="161"/>
      <c r="AM87" s="161"/>
      <c r="AN87" s="161"/>
      <c r="AO87" s="161"/>
      <c r="AP87" s="161"/>
      <c r="AQ87" s="161"/>
      <c r="AR87" s="161"/>
      <c r="AS87" s="161"/>
      <c r="AT87" s="161"/>
      <c r="AU87" s="161"/>
      <c r="AV87" s="161"/>
      <c r="AW87" s="161"/>
      <c r="AX87" s="161"/>
      <c r="AY87" s="161"/>
      <c r="AZ87" s="161"/>
      <c r="BA87" s="161"/>
      <c r="BB87" s="161"/>
      <c r="BC87" s="161"/>
      <c r="BD87" s="161"/>
    </row>
    <row r="88" spans="1:56" x14ac:dyDescent="0.2">
      <c r="A88" s="161"/>
      <c r="B88" s="161"/>
      <c r="C88" s="161"/>
      <c r="D88" s="161"/>
      <c r="E88" s="162"/>
      <c r="F88" s="161"/>
      <c r="G88" s="161"/>
      <c r="H88" s="161"/>
      <c r="I88" s="161"/>
      <c r="J88" s="161"/>
      <c r="K88" s="161"/>
      <c r="L88" s="161"/>
      <c r="M88" s="161"/>
      <c r="N88" s="161"/>
      <c r="O88" s="161"/>
      <c r="P88" s="161"/>
      <c r="Q88" s="160"/>
      <c r="R88" s="161"/>
      <c r="S88" s="161"/>
      <c r="T88" s="161"/>
      <c r="U88" s="161"/>
      <c r="V88" s="161"/>
      <c r="W88" s="161"/>
      <c r="X88" s="161"/>
      <c r="Y88" s="161"/>
      <c r="Z88" s="161"/>
      <c r="AA88" s="161"/>
      <c r="AB88" s="161"/>
      <c r="AC88" s="161"/>
      <c r="AD88" s="161"/>
      <c r="AE88" s="161"/>
      <c r="AF88" s="161"/>
      <c r="AG88" s="161"/>
      <c r="AH88" s="161"/>
      <c r="AI88" s="161"/>
      <c r="AJ88" s="161"/>
      <c r="AK88" s="161"/>
      <c r="AL88" s="161"/>
      <c r="AM88" s="161"/>
      <c r="AN88" s="161"/>
      <c r="AO88" s="161"/>
      <c r="AP88" s="161"/>
      <c r="AQ88" s="161"/>
      <c r="AR88" s="161"/>
      <c r="AS88" s="161"/>
      <c r="AT88" s="161"/>
      <c r="AU88" s="161"/>
      <c r="AV88" s="161"/>
      <c r="AW88" s="161"/>
      <c r="AX88" s="161"/>
      <c r="AY88" s="161"/>
      <c r="AZ88" s="161"/>
      <c r="BA88" s="161"/>
      <c r="BB88" s="161"/>
      <c r="BC88" s="161"/>
      <c r="BD88" s="161"/>
    </row>
    <row r="89" spans="1:56" x14ac:dyDescent="0.2">
      <c r="A89" s="161"/>
      <c r="B89" s="161"/>
      <c r="C89" s="161"/>
      <c r="D89" s="161"/>
      <c r="E89" s="162"/>
      <c r="F89" s="161"/>
      <c r="G89" s="161"/>
      <c r="H89" s="161"/>
      <c r="I89" s="161"/>
      <c r="J89" s="161"/>
      <c r="K89" s="161"/>
      <c r="L89" s="161"/>
      <c r="M89" s="161"/>
      <c r="N89" s="161"/>
      <c r="O89" s="161"/>
      <c r="P89" s="161"/>
      <c r="Q89" s="160"/>
      <c r="R89" s="161"/>
      <c r="S89" s="161"/>
      <c r="T89" s="161"/>
      <c r="U89" s="161"/>
      <c r="V89" s="161"/>
      <c r="W89" s="161"/>
      <c r="X89" s="161"/>
      <c r="Y89" s="161"/>
      <c r="Z89" s="161"/>
      <c r="AA89" s="161"/>
      <c r="AB89" s="161"/>
      <c r="AC89" s="161"/>
      <c r="AD89" s="161"/>
      <c r="AE89" s="161"/>
      <c r="AF89" s="161"/>
      <c r="AG89" s="161"/>
      <c r="AH89" s="161"/>
      <c r="AI89" s="161"/>
      <c r="AJ89" s="161"/>
      <c r="AK89" s="161"/>
      <c r="AL89" s="161"/>
      <c r="AM89" s="161"/>
      <c r="AN89" s="161"/>
      <c r="AO89" s="161"/>
      <c r="AP89" s="161"/>
      <c r="AQ89" s="161"/>
      <c r="AR89" s="161"/>
      <c r="AS89" s="161"/>
      <c r="AT89" s="161"/>
      <c r="AU89" s="161"/>
      <c r="AV89" s="161"/>
      <c r="AW89" s="161"/>
      <c r="AX89" s="161"/>
      <c r="AY89" s="161"/>
      <c r="AZ89" s="161"/>
      <c r="BA89" s="161"/>
      <c r="BB89" s="161"/>
      <c r="BC89" s="161"/>
      <c r="BD89" s="161"/>
    </row>
    <row r="90" spans="1:56" x14ac:dyDescent="0.2">
      <c r="A90" s="161"/>
      <c r="B90" s="161"/>
      <c r="C90" s="161"/>
      <c r="D90" s="161"/>
      <c r="E90" s="162"/>
      <c r="F90" s="161"/>
      <c r="G90" s="161"/>
      <c r="H90" s="161"/>
      <c r="I90" s="161"/>
      <c r="J90" s="161"/>
      <c r="K90" s="161"/>
      <c r="L90" s="161"/>
      <c r="M90" s="161"/>
      <c r="N90" s="161"/>
      <c r="O90" s="161"/>
      <c r="P90" s="161"/>
      <c r="Q90" s="160"/>
      <c r="R90" s="161"/>
      <c r="S90" s="161"/>
      <c r="T90" s="161"/>
      <c r="U90" s="161"/>
      <c r="V90" s="161"/>
      <c r="W90" s="161"/>
      <c r="X90" s="161"/>
      <c r="Y90" s="161"/>
      <c r="Z90" s="161"/>
      <c r="AA90" s="161"/>
      <c r="AB90" s="161"/>
      <c r="AC90" s="161"/>
      <c r="AD90" s="161"/>
      <c r="AE90" s="161"/>
      <c r="AF90" s="161"/>
      <c r="AG90" s="161"/>
      <c r="AH90" s="161"/>
      <c r="AI90" s="161"/>
      <c r="AJ90" s="161"/>
      <c r="AK90" s="161"/>
      <c r="AL90" s="161"/>
      <c r="AM90" s="161"/>
      <c r="AN90" s="161"/>
      <c r="AO90" s="161"/>
      <c r="AP90" s="161"/>
      <c r="AQ90" s="161"/>
      <c r="AR90" s="161"/>
      <c r="AS90" s="161"/>
      <c r="AT90" s="161"/>
      <c r="AU90" s="161"/>
      <c r="AV90" s="161"/>
      <c r="AW90" s="161"/>
      <c r="AX90" s="161"/>
      <c r="AY90" s="161"/>
      <c r="AZ90" s="161"/>
      <c r="BA90" s="161"/>
      <c r="BB90" s="161"/>
      <c r="BC90" s="161"/>
      <c r="BD90" s="161"/>
    </row>
    <row r="91" spans="1:56" x14ac:dyDescent="0.2">
      <c r="A91" s="161"/>
      <c r="B91" s="161"/>
      <c r="C91" s="161"/>
      <c r="D91" s="161"/>
      <c r="E91" s="162"/>
      <c r="F91" s="161"/>
      <c r="G91" s="161"/>
      <c r="H91" s="161"/>
      <c r="I91" s="161"/>
      <c r="J91" s="161"/>
      <c r="K91" s="161"/>
      <c r="L91" s="161"/>
      <c r="M91" s="161"/>
      <c r="N91" s="161"/>
      <c r="O91" s="161"/>
      <c r="P91" s="161"/>
      <c r="Q91" s="160"/>
      <c r="R91" s="161"/>
      <c r="S91" s="161"/>
      <c r="T91" s="161"/>
      <c r="U91" s="161"/>
      <c r="V91" s="161"/>
      <c r="W91" s="161"/>
      <c r="X91" s="161"/>
      <c r="Y91" s="161"/>
      <c r="Z91" s="161"/>
      <c r="AA91" s="161"/>
      <c r="AB91" s="161"/>
      <c r="AC91" s="161"/>
      <c r="AD91" s="161"/>
      <c r="AE91" s="161"/>
      <c r="AF91" s="161"/>
      <c r="AG91" s="161"/>
      <c r="AH91" s="161"/>
      <c r="AI91" s="161"/>
      <c r="AJ91" s="161"/>
      <c r="AK91" s="161"/>
      <c r="AL91" s="161"/>
      <c r="AM91" s="161"/>
      <c r="AN91" s="161"/>
      <c r="AO91" s="161"/>
      <c r="AP91" s="161"/>
      <c r="AQ91" s="161"/>
      <c r="AR91" s="161"/>
      <c r="AS91" s="161"/>
      <c r="AT91" s="161"/>
      <c r="AU91" s="161"/>
      <c r="AV91" s="161"/>
      <c r="AW91" s="161"/>
      <c r="AX91" s="161"/>
      <c r="AY91" s="161"/>
      <c r="AZ91" s="161"/>
      <c r="BA91" s="161"/>
      <c r="BB91" s="161"/>
      <c r="BC91" s="161"/>
      <c r="BD91" s="161"/>
    </row>
    <row r="92" spans="1:56" x14ac:dyDescent="0.2">
      <c r="A92" s="161"/>
      <c r="B92" s="161"/>
      <c r="C92" s="161"/>
      <c r="D92" s="161"/>
      <c r="E92" s="162"/>
      <c r="F92" s="161"/>
      <c r="G92" s="161"/>
      <c r="H92" s="161"/>
      <c r="I92" s="161"/>
      <c r="J92" s="161"/>
      <c r="K92" s="161"/>
      <c r="L92" s="161"/>
      <c r="M92" s="161"/>
      <c r="N92" s="161"/>
      <c r="O92" s="161"/>
      <c r="P92" s="161"/>
      <c r="Q92" s="160"/>
      <c r="R92" s="161"/>
      <c r="S92" s="161"/>
      <c r="T92" s="161"/>
      <c r="U92" s="161"/>
      <c r="V92" s="161"/>
      <c r="W92" s="161"/>
      <c r="X92" s="161"/>
      <c r="Y92" s="161"/>
      <c r="Z92" s="161"/>
      <c r="AA92" s="161"/>
      <c r="AB92" s="161"/>
      <c r="AC92" s="161"/>
      <c r="AD92" s="161"/>
      <c r="AE92" s="161"/>
      <c r="AF92" s="161"/>
      <c r="AG92" s="161"/>
      <c r="AH92" s="161"/>
      <c r="AI92" s="161"/>
      <c r="AJ92" s="161"/>
      <c r="AK92" s="161"/>
      <c r="AL92" s="161"/>
      <c r="AM92" s="161"/>
      <c r="AN92" s="161"/>
      <c r="AO92" s="161"/>
      <c r="AP92" s="161"/>
      <c r="AQ92" s="161"/>
      <c r="AR92" s="161"/>
      <c r="AS92" s="161"/>
      <c r="AT92" s="161"/>
      <c r="AU92" s="161"/>
      <c r="AV92" s="161"/>
      <c r="AW92" s="161"/>
      <c r="AX92" s="161"/>
      <c r="AY92" s="161"/>
      <c r="AZ92" s="161"/>
      <c r="BA92" s="161"/>
      <c r="BB92" s="161"/>
      <c r="BC92" s="161"/>
      <c r="BD92" s="161"/>
    </row>
    <row r="93" spans="1:56" x14ac:dyDescent="0.2">
      <c r="A93" s="161"/>
      <c r="B93" s="161"/>
      <c r="C93" s="161"/>
      <c r="D93" s="161"/>
      <c r="E93" s="162"/>
      <c r="F93" s="161"/>
      <c r="G93" s="161"/>
      <c r="H93" s="161"/>
      <c r="I93" s="161"/>
      <c r="J93" s="161"/>
      <c r="K93" s="161"/>
      <c r="L93" s="161"/>
      <c r="M93" s="161"/>
      <c r="N93" s="161"/>
      <c r="O93" s="161"/>
      <c r="P93" s="161"/>
      <c r="Q93" s="160"/>
      <c r="R93" s="161"/>
      <c r="S93" s="161"/>
      <c r="T93" s="161"/>
      <c r="U93" s="161"/>
      <c r="V93" s="161"/>
      <c r="W93" s="161"/>
      <c r="X93" s="161"/>
      <c r="Y93" s="161"/>
      <c r="Z93" s="161"/>
      <c r="AA93" s="161"/>
      <c r="AB93" s="161"/>
      <c r="AC93" s="161"/>
      <c r="AD93" s="161"/>
      <c r="AE93" s="161"/>
      <c r="AF93" s="161"/>
      <c r="AG93" s="161"/>
      <c r="AH93" s="161"/>
      <c r="AI93" s="161"/>
      <c r="AJ93" s="161"/>
      <c r="AK93" s="161"/>
      <c r="AL93" s="161"/>
      <c r="AM93" s="161"/>
      <c r="AN93" s="161"/>
      <c r="AO93" s="161"/>
      <c r="AP93" s="161"/>
      <c r="AQ93" s="161"/>
      <c r="AR93" s="161"/>
      <c r="AS93" s="161"/>
      <c r="AT93" s="161"/>
      <c r="AU93" s="161"/>
      <c r="AV93" s="161"/>
      <c r="AW93" s="161"/>
      <c r="AX93" s="161"/>
      <c r="AY93" s="161"/>
      <c r="AZ93" s="161"/>
      <c r="BA93" s="161"/>
      <c r="BB93" s="161"/>
      <c r="BC93" s="161"/>
      <c r="BD93" s="161"/>
    </row>
    <row r="94" spans="1:56" x14ac:dyDescent="0.2">
      <c r="A94" s="161"/>
      <c r="B94" s="161"/>
      <c r="C94" s="161"/>
      <c r="D94" s="161"/>
      <c r="E94" s="162"/>
      <c r="F94" s="161"/>
      <c r="G94" s="161"/>
      <c r="H94" s="161"/>
      <c r="I94" s="161"/>
      <c r="J94" s="161"/>
      <c r="K94" s="161"/>
      <c r="L94" s="161"/>
      <c r="M94" s="161"/>
      <c r="N94" s="161"/>
      <c r="O94" s="161"/>
      <c r="P94" s="161"/>
      <c r="Q94" s="160"/>
      <c r="R94" s="161"/>
      <c r="S94" s="161"/>
      <c r="T94" s="161"/>
      <c r="U94" s="161"/>
      <c r="V94" s="161"/>
      <c r="W94" s="161"/>
      <c r="X94" s="161"/>
      <c r="Y94" s="161"/>
      <c r="Z94" s="161"/>
      <c r="AA94" s="161"/>
      <c r="AB94" s="161"/>
      <c r="AC94" s="161"/>
      <c r="AD94" s="161"/>
      <c r="AE94" s="161"/>
      <c r="AF94" s="161"/>
      <c r="AG94" s="161"/>
      <c r="AH94" s="161"/>
      <c r="AI94" s="161"/>
      <c r="AJ94" s="161"/>
      <c r="AK94" s="161"/>
      <c r="AL94" s="161"/>
      <c r="AM94" s="161"/>
      <c r="AN94" s="161"/>
      <c r="AO94" s="161"/>
      <c r="AP94" s="161"/>
      <c r="AQ94" s="161"/>
      <c r="AR94" s="161"/>
      <c r="AS94" s="161"/>
      <c r="AT94" s="161"/>
      <c r="AU94" s="161"/>
      <c r="AV94" s="161"/>
      <c r="AW94" s="161"/>
      <c r="AX94" s="161"/>
      <c r="AY94" s="161"/>
      <c r="AZ94" s="161"/>
      <c r="BA94" s="161"/>
      <c r="BB94" s="161"/>
      <c r="BC94" s="161"/>
      <c r="BD94" s="161"/>
    </row>
    <row r="95" spans="1:56" x14ac:dyDescent="0.2">
      <c r="A95" s="161"/>
      <c r="B95" s="161"/>
      <c r="C95" s="161"/>
      <c r="D95" s="161"/>
      <c r="E95" s="162"/>
      <c r="F95" s="161"/>
      <c r="G95" s="161"/>
      <c r="H95" s="161"/>
      <c r="I95" s="161"/>
      <c r="J95" s="161"/>
      <c r="K95" s="161"/>
      <c r="L95" s="161"/>
      <c r="M95" s="161"/>
      <c r="N95" s="161"/>
      <c r="O95" s="161"/>
      <c r="P95" s="161"/>
      <c r="Q95" s="160"/>
      <c r="R95" s="161"/>
      <c r="S95" s="161"/>
      <c r="T95" s="161"/>
      <c r="U95" s="161"/>
      <c r="V95" s="161"/>
      <c r="W95" s="161"/>
      <c r="X95" s="161"/>
      <c r="Y95" s="161"/>
      <c r="Z95" s="161"/>
      <c r="AA95" s="161"/>
      <c r="AB95" s="161"/>
      <c r="AC95" s="161"/>
      <c r="AD95" s="161"/>
      <c r="AE95" s="161"/>
      <c r="AF95" s="161"/>
      <c r="AG95" s="161"/>
      <c r="AH95" s="161"/>
      <c r="AI95" s="161"/>
      <c r="AJ95" s="161"/>
      <c r="AK95" s="161"/>
      <c r="AL95" s="161"/>
      <c r="AM95" s="161"/>
      <c r="AN95" s="161"/>
      <c r="AO95" s="161"/>
      <c r="AP95" s="161"/>
      <c r="AQ95" s="161"/>
      <c r="AR95" s="161"/>
      <c r="AS95" s="161"/>
      <c r="AT95" s="161"/>
      <c r="AU95" s="161"/>
      <c r="AV95" s="161"/>
      <c r="AW95" s="161"/>
      <c r="AX95" s="161"/>
      <c r="AY95" s="161"/>
      <c r="AZ95" s="161"/>
      <c r="BA95" s="161"/>
      <c r="BB95" s="161"/>
      <c r="BC95" s="161"/>
      <c r="BD95" s="161"/>
    </row>
    <row r="96" spans="1:56" x14ac:dyDescent="0.2">
      <c r="A96" s="161"/>
      <c r="B96" s="161"/>
      <c r="C96" s="161"/>
      <c r="D96" s="161"/>
      <c r="E96" s="162"/>
      <c r="F96" s="161"/>
      <c r="G96" s="161"/>
      <c r="H96" s="161"/>
      <c r="I96" s="161"/>
      <c r="J96" s="161"/>
      <c r="K96" s="161"/>
      <c r="L96" s="161"/>
      <c r="M96" s="161"/>
      <c r="N96" s="161"/>
      <c r="O96" s="161"/>
      <c r="P96" s="161"/>
      <c r="Q96" s="160"/>
      <c r="R96" s="161"/>
      <c r="S96" s="161"/>
      <c r="T96" s="161"/>
      <c r="U96" s="161"/>
      <c r="V96" s="161"/>
      <c r="W96" s="161"/>
      <c r="X96" s="161"/>
      <c r="Y96" s="161"/>
      <c r="Z96" s="161"/>
      <c r="AA96" s="161"/>
      <c r="AB96" s="161"/>
      <c r="AC96" s="161"/>
      <c r="AD96" s="161"/>
      <c r="AE96" s="161"/>
      <c r="AF96" s="161"/>
      <c r="AG96" s="161"/>
      <c r="AH96" s="161"/>
      <c r="AI96" s="161"/>
      <c r="AJ96" s="161"/>
      <c r="AK96" s="161"/>
      <c r="AL96" s="161"/>
      <c r="AM96" s="161"/>
      <c r="AN96" s="161"/>
      <c r="AO96" s="161"/>
      <c r="AP96" s="161"/>
      <c r="AQ96" s="161"/>
      <c r="AR96" s="161"/>
      <c r="AS96" s="161"/>
      <c r="AT96" s="161"/>
      <c r="AU96" s="161"/>
      <c r="AV96" s="161"/>
      <c r="AW96" s="161"/>
      <c r="AX96" s="161"/>
      <c r="AY96" s="161"/>
      <c r="AZ96" s="161"/>
      <c r="BA96" s="161"/>
      <c r="BB96" s="161"/>
      <c r="BC96" s="161"/>
      <c r="BD96" s="161"/>
    </row>
    <row r="97" spans="1:56" x14ac:dyDescent="0.2">
      <c r="A97" s="161"/>
      <c r="B97" s="161"/>
      <c r="C97" s="161"/>
      <c r="D97" s="161"/>
      <c r="E97" s="162"/>
      <c r="F97" s="161"/>
      <c r="G97" s="161"/>
      <c r="H97" s="161"/>
      <c r="I97" s="161"/>
      <c r="J97" s="161"/>
      <c r="K97" s="161"/>
      <c r="L97" s="161"/>
      <c r="M97" s="161"/>
      <c r="N97" s="161"/>
      <c r="O97" s="161"/>
      <c r="P97" s="161"/>
      <c r="Q97" s="160"/>
      <c r="R97" s="161"/>
      <c r="S97" s="161"/>
      <c r="T97" s="161"/>
      <c r="U97" s="161"/>
      <c r="V97" s="161"/>
      <c r="W97" s="161"/>
      <c r="X97" s="161"/>
      <c r="Y97" s="161"/>
      <c r="Z97" s="161"/>
      <c r="AA97" s="161"/>
      <c r="AB97" s="161"/>
      <c r="AC97" s="161"/>
      <c r="AD97" s="161"/>
      <c r="AE97" s="161"/>
      <c r="AF97" s="161"/>
      <c r="AG97" s="161"/>
      <c r="AH97" s="161"/>
      <c r="AI97" s="161"/>
      <c r="AJ97" s="161"/>
      <c r="AK97" s="161"/>
      <c r="AL97" s="161"/>
      <c r="AM97" s="161"/>
      <c r="AN97" s="161"/>
      <c r="AO97" s="161"/>
      <c r="AP97" s="161"/>
      <c r="AQ97" s="161"/>
      <c r="AR97" s="161"/>
      <c r="AS97" s="161"/>
      <c r="AT97" s="161"/>
      <c r="AU97" s="161"/>
      <c r="AV97" s="161"/>
      <c r="AW97" s="161"/>
      <c r="AX97" s="161"/>
      <c r="AY97" s="161"/>
      <c r="AZ97" s="161"/>
      <c r="BA97" s="161"/>
      <c r="BB97" s="161"/>
      <c r="BC97" s="161"/>
      <c r="BD97" s="161"/>
    </row>
    <row r="98" spans="1:56" x14ac:dyDescent="0.2">
      <c r="A98" s="161"/>
      <c r="B98" s="161"/>
      <c r="C98" s="161"/>
      <c r="D98" s="161"/>
      <c r="E98" s="162"/>
      <c r="F98" s="161"/>
      <c r="G98" s="161"/>
      <c r="H98" s="161"/>
      <c r="I98" s="161"/>
      <c r="J98" s="161"/>
      <c r="K98" s="161"/>
      <c r="L98" s="161"/>
      <c r="M98" s="161"/>
      <c r="N98" s="161"/>
      <c r="O98" s="161"/>
      <c r="P98" s="161"/>
      <c r="Q98" s="160"/>
      <c r="R98" s="161"/>
      <c r="S98" s="161"/>
      <c r="T98" s="161"/>
      <c r="U98" s="161"/>
      <c r="V98" s="161"/>
      <c r="W98" s="161"/>
      <c r="X98" s="161"/>
      <c r="Y98" s="161"/>
      <c r="Z98" s="161"/>
      <c r="AA98" s="161"/>
      <c r="AB98" s="161"/>
      <c r="AC98" s="161"/>
      <c r="AD98" s="161"/>
      <c r="AE98" s="161"/>
      <c r="AF98" s="161"/>
      <c r="AG98" s="161"/>
      <c r="AH98" s="161"/>
      <c r="AI98" s="161"/>
      <c r="AJ98" s="161"/>
      <c r="AK98" s="161"/>
      <c r="AL98" s="161"/>
      <c r="AM98" s="161"/>
      <c r="AN98" s="161"/>
      <c r="AO98" s="161"/>
      <c r="AP98" s="161"/>
      <c r="AQ98" s="161"/>
      <c r="AR98" s="161"/>
      <c r="AS98" s="161"/>
      <c r="AT98" s="161"/>
      <c r="AU98" s="161"/>
      <c r="AV98" s="161"/>
      <c r="AW98" s="161"/>
      <c r="AX98" s="161"/>
      <c r="AY98" s="161"/>
      <c r="AZ98" s="161"/>
      <c r="BA98" s="161"/>
      <c r="BB98" s="161"/>
      <c r="BC98" s="161"/>
      <c r="BD98" s="161"/>
    </row>
    <row r="99" spans="1:56" x14ac:dyDescent="0.2">
      <c r="A99" s="161"/>
      <c r="B99" s="161"/>
      <c r="C99" s="161"/>
      <c r="D99" s="161"/>
      <c r="E99" s="162"/>
      <c r="F99" s="161"/>
      <c r="G99" s="161"/>
      <c r="H99" s="161"/>
      <c r="I99" s="161"/>
      <c r="J99" s="161"/>
      <c r="K99" s="161"/>
      <c r="L99" s="161"/>
      <c r="M99" s="161"/>
      <c r="N99" s="161"/>
      <c r="O99" s="161"/>
      <c r="P99" s="161"/>
      <c r="Q99" s="160"/>
      <c r="R99" s="161"/>
      <c r="S99" s="161"/>
      <c r="T99" s="161"/>
      <c r="U99" s="161"/>
      <c r="V99" s="161"/>
      <c r="W99" s="161"/>
      <c r="X99" s="161"/>
      <c r="Y99" s="161"/>
      <c r="Z99" s="161"/>
      <c r="AA99" s="161"/>
      <c r="AB99" s="161"/>
      <c r="AC99" s="161"/>
      <c r="AD99" s="161"/>
      <c r="AE99" s="161"/>
      <c r="AF99" s="161"/>
      <c r="AG99" s="161"/>
      <c r="AH99" s="161"/>
      <c r="AI99" s="161"/>
      <c r="AJ99" s="161"/>
      <c r="AK99" s="161"/>
      <c r="AL99" s="161"/>
      <c r="AM99" s="161"/>
      <c r="AN99" s="161"/>
      <c r="AO99" s="161"/>
      <c r="AP99" s="161"/>
      <c r="AQ99" s="161"/>
      <c r="AR99" s="161"/>
      <c r="AS99" s="161"/>
      <c r="AT99" s="161"/>
      <c r="AU99" s="161"/>
      <c r="AV99" s="161"/>
      <c r="AW99" s="161"/>
      <c r="AX99" s="161"/>
      <c r="AY99" s="161"/>
      <c r="AZ99" s="161"/>
      <c r="BA99" s="161"/>
      <c r="BB99" s="161"/>
      <c r="BC99" s="161"/>
      <c r="BD99" s="161"/>
    </row>
    <row r="100" spans="1:56" x14ac:dyDescent="0.2">
      <c r="A100" s="161"/>
      <c r="B100" s="161"/>
      <c r="C100" s="161"/>
      <c r="D100" s="161"/>
      <c r="E100" s="162"/>
      <c r="F100" s="161"/>
      <c r="G100" s="161"/>
      <c r="H100" s="161"/>
      <c r="I100" s="161"/>
      <c r="J100" s="161"/>
      <c r="K100" s="161"/>
      <c r="L100" s="161"/>
      <c r="M100" s="161"/>
      <c r="N100" s="161"/>
      <c r="O100" s="161"/>
      <c r="P100" s="161"/>
      <c r="Q100" s="160"/>
      <c r="R100" s="161"/>
      <c r="S100" s="161"/>
      <c r="T100" s="161"/>
      <c r="U100" s="161"/>
      <c r="V100" s="161"/>
      <c r="W100" s="161"/>
      <c r="X100" s="161"/>
      <c r="Y100" s="161"/>
      <c r="Z100" s="161"/>
      <c r="AA100" s="161"/>
      <c r="AB100" s="161"/>
      <c r="AC100" s="161"/>
      <c r="AD100" s="161"/>
      <c r="AE100" s="161"/>
      <c r="AF100" s="161"/>
      <c r="AG100" s="161"/>
      <c r="AH100" s="161"/>
      <c r="AI100" s="161"/>
      <c r="AJ100" s="161"/>
      <c r="AK100" s="161"/>
      <c r="AL100" s="161"/>
      <c r="AM100" s="161"/>
      <c r="AN100" s="161"/>
      <c r="AO100" s="161"/>
      <c r="AP100" s="161"/>
      <c r="AQ100" s="161"/>
      <c r="AR100" s="161"/>
      <c r="AS100" s="161"/>
      <c r="AT100" s="161"/>
      <c r="AU100" s="161"/>
      <c r="AV100" s="161"/>
      <c r="AW100" s="161"/>
      <c r="AX100" s="161"/>
      <c r="AY100" s="161"/>
      <c r="AZ100" s="161"/>
      <c r="BA100" s="161"/>
      <c r="BB100" s="161"/>
      <c r="BC100" s="161"/>
      <c r="BD100" s="161"/>
    </row>
    <row r="101" spans="1:56" x14ac:dyDescent="0.2">
      <c r="A101" s="161"/>
      <c r="B101" s="161"/>
      <c r="C101" s="161"/>
      <c r="D101" s="161"/>
      <c r="E101" s="162"/>
      <c r="F101" s="161"/>
      <c r="G101" s="161"/>
      <c r="H101" s="161"/>
      <c r="I101" s="161"/>
      <c r="J101" s="161"/>
      <c r="K101" s="161"/>
      <c r="L101" s="161"/>
      <c r="M101" s="161"/>
      <c r="N101" s="161"/>
      <c r="O101" s="161"/>
      <c r="P101" s="161"/>
      <c r="Q101" s="160"/>
      <c r="R101" s="161"/>
      <c r="S101" s="161"/>
      <c r="T101" s="161"/>
      <c r="U101" s="161"/>
      <c r="V101" s="161"/>
      <c r="W101" s="161"/>
      <c r="X101" s="161"/>
      <c r="Y101" s="161"/>
      <c r="Z101" s="161"/>
      <c r="AA101" s="161"/>
      <c r="AB101" s="161"/>
      <c r="AC101" s="161"/>
      <c r="AD101" s="161"/>
      <c r="AE101" s="161"/>
      <c r="AF101" s="161"/>
      <c r="AG101" s="161"/>
      <c r="AH101" s="161"/>
      <c r="AI101" s="161"/>
      <c r="AJ101" s="161"/>
      <c r="AK101" s="161"/>
      <c r="AL101" s="161"/>
      <c r="AM101" s="161"/>
      <c r="AN101" s="161"/>
      <c r="AO101" s="161"/>
      <c r="AP101" s="161"/>
      <c r="AQ101" s="161"/>
      <c r="AR101" s="161"/>
      <c r="AS101" s="161"/>
      <c r="AT101" s="161"/>
      <c r="AU101" s="161"/>
      <c r="AV101" s="161"/>
      <c r="AW101" s="161"/>
      <c r="AX101" s="161"/>
      <c r="AY101" s="161"/>
      <c r="AZ101" s="161"/>
      <c r="BA101" s="161"/>
      <c r="BB101" s="161"/>
      <c r="BC101" s="161"/>
      <c r="BD101" s="161"/>
    </row>
    <row r="102" spans="1:56" x14ac:dyDescent="0.2">
      <c r="A102" s="161"/>
      <c r="B102" s="161"/>
      <c r="C102" s="161"/>
      <c r="D102" s="161"/>
      <c r="E102" s="162"/>
      <c r="F102" s="161"/>
      <c r="G102" s="161"/>
      <c r="H102" s="161"/>
      <c r="I102" s="161"/>
      <c r="J102" s="161"/>
      <c r="K102" s="161"/>
      <c r="L102" s="161"/>
      <c r="M102" s="161"/>
      <c r="N102" s="161"/>
      <c r="O102" s="161"/>
      <c r="P102" s="161"/>
      <c r="Q102" s="160"/>
      <c r="R102" s="161"/>
      <c r="S102" s="161"/>
      <c r="T102" s="161"/>
      <c r="U102" s="161"/>
      <c r="V102" s="161"/>
      <c r="W102" s="161"/>
      <c r="X102" s="161"/>
      <c r="Y102" s="161"/>
      <c r="Z102" s="161"/>
      <c r="AA102" s="161"/>
      <c r="AB102" s="161"/>
      <c r="AC102" s="161"/>
      <c r="AD102" s="161"/>
      <c r="AE102" s="161"/>
      <c r="AF102" s="161"/>
      <c r="AG102" s="161"/>
      <c r="AH102" s="161"/>
      <c r="AI102" s="161"/>
      <c r="AJ102" s="161"/>
      <c r="AK102" s="161"/>
      <c r="AL102" s="161"/>
      <c r="AM102" s="161"/>
      <c r="AN102" s="161"/>
      <c r="AO102" s="161"/>
      <c r="AP102" s="161"/>
      <c r="AQ102" s="161"/>
      <c r="AR102" s="161"/>
      <c r="AS102" s="161"/>
      <c r="AT102" s="161"/>
      <c r="AU102" s="161"/>
      <c r="AV102" s="161"/>
      <c r="AW102" s="161"/>
      <c r="AX102" s="161"/>
      <c r="AY102" s="161"/>
      <c r="AZ102" s="161"/>
      <c r="BA102" s="161"/>
      <c r="BB102" s="161"/>
      <c r="BC102" s="161"/>
      <c r="BD102" s="161"/>
    </row>
    <row r="103" spans="1:56" x14ac:dyDescent="0.2">
      <c r="A103" s="161"/>
      <c r="B103" s="161"/>
      <c r="C103" s="161"/>
      <c r="D103" s="161"/>
      <c r="E103" s="162"/>
      <c r="F103" s="161"/>
      <c r="G103" s="161"/>
      <c r="H103" s="161"/>
      <c r="I103" s="161"/>
      <c r="J103" s="161"/>
      <c r="K103" s="161"/>
      <c r="L103" s="161"/>
      <c r="M103" s="161"/>
      <c r="N103" s="161"/>
      <c r="O103" s="161"/>
      <c r="P103" s="161"/>
      <c r="Q103" s="160"/>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row>
    <row r="104" spans="1:56" x14ac:dyDescent="0.2">
      <c r="A104" s="161"/>
      <c r="B104" s="161"/>
      <c r="C104" s="161"/>
      <c r="D104" s="161"/>
      <c r="E104" s="162"/>
      <c r="F104" s="161"/>
      <c r="G104" s="161"/>
      <c r="H104" s="161"/>
      <c r="I104" s="161"/>
      <c r="J104" s="161"/>
      <c r="K104" s="161"/>
      <c r="L104" s="161"/>
      <c r="M104" s="161"/>
      <c r="N104" s="161"/>
      <c r="O104" s="161"/>
      <c r="P104" s="161"/>
      <c r="Q104" s="160"/>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row>
    <row r="105" spans="1:56" x14ac:dyDescent="0.2">
      <c r="A105" s="161"/>
      <c r="B105" s="161"/>
      <c r="C105" s="161"/>
      <c r="D105" s="161"/>
      <c r="E105" s="162"/>
      <c r="F105" s="161"/>
      <c r="G105" s="161"/>
      <c r="H105" s="161"/>
      <c r="I105" s="161"/>
      <c r="J105" s="161"/>
      <c r="K105" s="161"/>
      <c r="L105" s="161"/>
      <c r="M105" s="161"/>
      <c r="N105" s="161"/>
      <c r="O105" s="161"/>
      <c r="P105" s="161"/>
      <c r="Q105" s="160"/>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row>
    <row r="106" spans="1:56" x14ac:dyDescent="0.2">
      <c r="A106" s="161"/>
      <c r="B106" s="161"/>
      <c r="C106" s="161"/>
      <c r="D106" s="161"/>
      <c r="E106" s="162"/>
      <c r="F106" s="161"/>
      <c r="G106" s="161"/>
      <c r="H106" s="161"/>
      <c r="I106" s="161"/>
      <c r="J106" s="161"/>
      <c r="K106" s="161"/>
      <c r="L106" s="161"/>
      <c r="M106" s="161"/>
      <c r="N106" s="161"/>
      <c r="O106" s="161"/>
      <c r="P106" s="161"/>
      <c r="Q106" s="160"/>
      <c r="R106" s="161"/>
      <c r="S106" s="161"/>
      <c r="T106" s="161"/>
      <c r="U106" s="161"/>
      <c r="V106" s="161"/>
      <c r="W106" s="161"/>
      <c r="X106" s="161"/>
      <c r="Y106" s="161"/>
      <c r="Z106" s="161"/>
      <c r="AA106" s="161"/>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61"/>
      <c r="AX106" s="161"/>
      <c r="AY106" s="161"/>
      <c r="AZ106" s="161"/>
      <c r="BA106" s="161"/>
      <c r="BB106" s="161"/>
      <c r="BC106" s="161"/>
      <c r="BD106" s="161"/>
    </row>
    <row r="107" spans="1:56" x14ac:dyDescent="0.2">
      <c r="A107" s="161"/>
      <c r="B107" s="161"/>
      <c r="C107" s="161"/>
      <c r="D107" s="161"/>
      <c r="E107" s="162"/>
      <c r="F107" s="161"/>
      <c r="G107" s="161"/>
      <c r="H107" s="161"/>
      <c r="I107" s="161"/>
      <c r="J107" s="161"/>
      <c r="K107" s="161"/>
      <c r="L107" s="161"/>
      <c r="M107" s="161"/>
      <c r="N107" s="161"/>
      <c r="O107" s="161"/>
      <c r="P107" s="161"/>
      <c r="Q107" s="160"/>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row>
    <row r="108" spans="1:56" x14ac:dyDescent="0.2">
      <c r="A108" s="161"/>
      <c r="B108" s="161"/>
      <c r="C108" s="161"/>
      <c r="D108" s="161"/>
      <c r="E108" s="162"/>
      <c r="F108" s="161"/>
      <c r="G108" s="161"/>
      <c r="H108" s="161"/>
      <c r="I108" s="161"/>
      <c r="J108" s="161"/>
      <c r="K108" s="161"/>
      <c r="L108" s="161"/>
      <c r="M108" s="161"/>
      <c r="N108" s="161"/>
      <c r="O108" s="161"/>
      <c r="P108" s="161"/>
      <c r="Q108" s="160"/>
      <c r="R108" s="161"/>
      <c r="S108" s="161"/>
      <c r="T108" s="161"/>
      <c r="U108" s="161"/>
      <c r="V108" s="161"/>
      <c r="W108" s="161"/>
      <c r="X108" s="161"/>
      <c r="Y108" s="161"/>
      <c r="Z108" s="161"/>
      <c r="AA108" s="16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61"/>
      <c r="AX108" s="161"/>
      <c r="AY108" s="161"/>
      <c r="AZ108" s="161"/>
      <c r="BA108" s="161"/>
      <c r="BB108" s="161"/>
      <c r="BC108" s="161"/>
      <c r="BD108" s="161"/>
    </row>
    <row r="109" spans="1:56" x14ac:dyDescent="0.2">
      <c r="A109" s="161"/>
      <c r="B109" s="161"/>
      <c r="C109" s="161"/>
      <c r="D109" s="161"/>
      <c r="E109" s="162"/>
      <c r="F109" s="161"/>
      <c r="G109" s="161"/>
      <c r="H109" s="161"/>
      <c r="I109" s="161"/>
      <c r="J109" s="161"/>
      <c r="K109" s="161"/>
      <c r="L109" s="161"/>
      <c r="M109" s="161"/>
      <c r="N109" s="161"/>
      <c r="O109" s="161"/>
      <c r="P109" s="161"/>
      <c r="Q109" s="160"/>
      <c r="R109" s="161"/>
      <c r="S109" s="161"/>
      <c r="T109" s="161"/>
      <c r="U109" s="161"/>
      <c r="V109" s="161"/>
      <c r="W109" s="161"/>
      <c r="X109" s="161"/>
      <c r="Y109" s="161"/>
      <c r="Z109" s="161"/>
      <c r="AA109" s="161"/>
      <c r="AB109" s="161"/>
      <c r="AC109" s="161"/>
      <c r="AD109" s="161"/>
      <c r="AE109" s="161"/>
      <c r="AF109" s="161"/>
      <c r="AG109" s="161"/>
      <c r="AH109" s="161"/>
      <c r="AI109" s="161"/>
      <c r="AJ109" s="161"/>
      <c r="AK109" s="161"/>
      <c r="AL109" s="161"/>
      <c r="AM109" s="161"/>
      <c r="AN109" s="161"/>
      <c r="AO109" s="161"/>
      <c r="AP109" s="161"/>
      <c r="AQ109" s="161"/>
      <c r="AR109" s="161"/>
      <c r="AS109" s="161"/>
      <c r="AT109" s="161"/>
      <c r="AU109" s="161"/>
      <c r="AV109" s="161"/>
      <c r="AW109" s="161"/>
      <c r="AX109" s="161"/>
      <c r="AY109" s="161"/>
      <c r="AZ109" s="161"/>
      <c r="BA109" s="161"/>
      <c r="BB109" s="161"/>
      <c r="BC109" s="161"/>
      <c r="BD109" s="161"/>
    </row>
    <row r="110" spans="1:56" x14ac:dyDescent="0.2">
      <c r="A110" s="161"/>
      <c r="B110" s="161"/>
      <c r="C110" s="161"/>
      <c r="D110" s="161"/>
      <c r="E110" s="162"/>
      <c r="F110" s="161"/>
      <c r="G110" s="161"/>
      <c r="H110" s="161"/>
      <c r="I110" s="161"/>
      <c r="J110" s="161"/>
      <c r="K110" s="161"/>
      <c r="L110" s="161"/>
      <c r="M110" s="161"/>
      <c r="N110" s="161"/>
      <c r="O110" s="161"/>
      <c r="P110" s="161"/>
      <c r="Q110" s="160"/>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row>
    <row r="111" spans="1:56" x14ac:dyDescent="0.2">
      <c r="A111" s="161"/>
      <c r="B111" s="161"/>
      <c r="C111" s="161"/>
      <c r="D111" s="161"/>
      <c r="E111" s="162"/>
      <c r="F111" s="161"/>
      <c r="G111" s="161"/>
      <c r="H111" s="161"/>
      <c r="I111" s="161"/>
      <c r="J111" s="161"/>
      <c r="K111" s="161"/>
      <c r="L111" s="161"/>
      <c r="M111" s="161"/>
      <c r="N111" s="161"/>
      <c r="O111" s="161"/>
      <c r="P111" s="161"/>
      <c r="Q111" s="160"/>
      <c r="R111" s="161"/>
      <c r="S111" s="161"/>
      <c r="T111" s="161"/>
      <c r="U111" s="161"/>
      <c r="V111" s="161"/>
      <c r="W111" s="161"/>
      <c r="X111" s="161"/>
      <c r="Y111" s="161"/>
      <c r="Z111" s="161"/>
      <c r="AA111" s="161"/>
      <c r="AB111" s="161"/>
      <c r="AC111" s="161"/>
      <c r="AD111" s="161"/>
      <c r="AE111" s="161"/>
      <c r="AF111" s="161"/>
      <c r="AG111" s="161"/>
      <c r="AH111" s="161"/>
      <c r="AI111" s="161"/>
      <c r="AJ111" s="161"/>
      <c r="AK111" s="161"/>
      <c r="AL111" s="161"/>
      <c r="AM111" s="161"/>
      <c r="AN111" s="161"/>
      <c r="AO111" s="161"/>
      <c r="AP111" s="161"/>
      <c r="AQ111" s="161"/>
      <c r="AR111" s="161"/>
      <c r="AS111" s="161"/>
      <c r="AT111" s="161"/>
      <c r="AU111" s="161"/>
      <c r="AV111" s="161"/>
      <c r="AW111" s="161"/>
      <c r="AX111" s="161"/>
      <c r="AY111" s="161"/>
      <c r="AZ111" s="161"/>
      <c r="BA111" s="161"/>
      <c r="BB111" s="161"/>
      <c r="BC111" s="161"/>
      <c r="BD111" s="161"/>
    </row>
    <row r="112" spans="1:56" x14ac:dyDescent="0.2">
      <c r="A112" s="161"/>
      <c r="B112" s="161"/>
      <c r="C112" s="161"/>
      <c r="D112" s="161"/>
      <c r="E112" s="162"/>
      <c r="F112" s="161"/>
      <c r="G112" s="161"/>
      <c r="H112" s="161"/>
      <c r="I112" s="161"/>
      <c r="J112" s="161"/>
      <c r="K112" s="161"/>
      <c r="L112" s="161"/>
      <c r="M112" s="161"/>
      <c r="N112" s="161"/>
      <c r="O112" s="161"/>
      <c r="P112" s="161"/>
      <c r="Q112" s="160"/>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row>
    <row r="113" spans="1:56" x14ac:dyDescent="0.2">
      <c r="A113" s="161"/>
      <c r="B113" s="161"/>
      <c r="C113" s="161"/>
      <c r="D113" s="161"/>
      <c r="E113" s="162"/>
      <c r="F113" s="161"/>
      <c r="G113" s="161"/>
      <c r="H113" s="161"/>
      <c r="I113" s="161"/>
      <c r="J113" s="161"/>
      <c r="K113" s="161"/>
      <c r="L113" s="161"/>
      <c r="M113" s="161"/>
      <c r="N113" s="161"/>
      <c r="O113" s="161"/>
      <c r="P113" s="161"/>
      <c r="Q113" s="160"/>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row>
    <row r="114" spans="1:56" x14ac:dyDescent="0.2">
      <c r="A114" s="161"/>
      <c r="B114" s="161"/>
      <c r="C114" s="161"/>
      <c r="D114" s="161"/>
      <c r="E114" s="162"/>
      <c r="F114" s="161"/>
      <c r="G114" s="161"/>
      <c r="H114" s="161"/>
      <c r="I114" s="161"/>
      <c r="J114" s="161"/>
      <c r="K114" s="161"/>
      <c r="L114" s="161"/>
      <c r="M114" s="161"/>
      <c r="N114" s="161"/>
      <c r="O114" s="161"/>
      <c r="P114" s="161"/>
      <c r="Q114" s="160"/>
      <c r="R114" s="161"/>
      <c r="S114" s="161"/>
      <c r="T114" s="161"/>
      <c r="U114" s="161"/>
      <c r="V114" s="161"/>
      <c r="W114" s="161"/>
      <c r="X114" s="161"/>
      <c r="Y114" s="161"/>
      <c r="Z114" s="161"/>
      <c r="AA114" s="16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61"/>
      <c r="AX114" s="161"/>
      <c r="AY114" s="161"/>
      <c r="AZ114" s="161"/>
      <c r="BA114" s="161"/>
      <c r="BB114" s="161"/>
      <c r="BC114" s="161"/>
      <c r="BD114" s="161"/>
    </row>
    <row r="115" spans="1:56" x14ac:dyDescent="0.2">
      <c r="A115" s="161"/>
      <c r="B115" s="161"/>
      <c r="C115" s="161"/>
      <c r="D115" s="161"/>
      <c r="E115" s="162"/>
      <c r="F115" s="161"/>
      <c r="G115" s="161"/>
      <c r="H115" s="161"/>
      <c r="I115" s="161"/>
      <c r="J115" s="161"/>
      <c r="K115" s="161"/>
      <c r="L115" s="161"/>
      <c r="M115" s="161"/>
      <c r="N115" s="161"/>
      <c r="O115" s="161"/>
      <c r="P115" s="161"/>
      <c r="Q115" s="160"/>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row>
    <row r="116" spans="1:56" x14ac:dyDescent="0.2">
      <c r="A116" s="161"/>
      <c r="B116" s="161"/>
      <c r="C116" s="161"/>
      <c r="D116" s="161"/>
      <c r="E116" s="162"/>
      <c r="F116" s="161"/>
      <c r="G116" s="161"/>
      <c r="H116" s="161"/>
      <c r="I116" s="161"/>
      <c r="J116" s="161"/>
      <c r="K116" s="161"/>
      <c r="L116" s="161"/>
      <c r="M116" s="161"/>
      <c r="N116" s="161"/>
      <c r="O116" s="161"/>
      <c r="P116" s="161"/>
      <c r="Q116" s="160"/>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row>
    <row r="117" spans="1:56" x14ac:dyDescent="0.2">
      <c r="A117" s="161"/>
      <c r="B117" s="161"/>
      <c r="C117" s="161"/>
      <c r="D117" s="161"/>
      <c r="E117" s="162"/>
      <c r="F117" s="161"/>
      <c r="G117" s="161"/>
      <c r="H117" s="161"/>
      <c r="I117" s="161"/>
      <c r="J117" s="161"/>
      <c r="K117" s="161"/>
      <c r="L117" s="161"/>
      <c r="M117" s="161"/>
      <c r="N117" s="161"/>
      <c r="O117" s="161"/>
      <c r="P117" s="161"/>
      <c r="Q117" s="160"/>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row>
    <row r="118" spans="1:56" x14ac:dyDescent="0.2">
      <c r="A118" s="161"/>
      <c r="B118" s="161"/>
      <c r="C118" s="161"/>
      <c r="D118" s="161"/>
      <c r="E118" s="162"/>
      <c r="F118" s="161"/>
      <c r="G118" s="161"/>
      <c r="H118" s="161"/>
      <c r="I118" s="161"/>
      <c r="J118" s="161"/>
      <c r="K118" s="161"/>
      <c r="L118" s="161"/>
      <c r="M118" s="161"/>
      <c r="N118" s="161"/>
      <c r="O118" s="161"/>
      <c r="P118" s="161"/>
      <c r="Q118" s="160"/>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row>
    <row r="119" spans="1:56" x14ac:dyDescent="0.2">
      <c r="A119" s="161"/>
      <c r="B119" s="161"/>
      <c r="C119" s="161"/>
      <c r="D119" s="161"/>
      <c r="E119" s="162"/>
      <c r="F119" s="161"/>
      <c r="G119" s="161"/>
      <c r="H119" s="161"/>
      <c r="I119" s="161"/>
      <c r="J119" s="161"/>
      <c r="K119" s="161"/>
      <c r="L119" s="161"/>
      <c r="M119" s="161"/>
      <c r="N119" s="161"/>
      <c r="O119" s="161"/>
      <c r="P119" s="161"/>
      <c r="Q119" s="160"/>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row>
    <row r="120" spans="1:56" x14ac:dyDescent="0.2">
      <c r="A120" s="161"/>
      <c r="B120" s="161"/>
      <c r="C120" s="161"/>
      <c r="D120" s="161"/>
      <c r="E120" s="162"/>
      <c r="F120" s="161"/>
      <c r="G120" s="161"/>
      <c r="H120" s="161"/>
      <c r="I120" s="161"/>
      <c r="J120" s="161"/>
      <c r="K120" s="161"/>
      <c r="L120" s="161"/>
      <c r="M120" s="161"/>
      <c r="N120" s="161"/>
      <c r="O120" s="161"/>
      <c r="P120" s="161"/>
      <c r="Q120" s="160"/>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row>
    <row r="121" spans="1:56" x14ac:dyDescent="0.2">
      <c r="A121" s="161"/>
      <c r="B121" s="161"/>
      <c r="C121" s="161"/>
      <c r="D121" s="161"/>
      <c r="E121" s="162"/>
      <c r="F121" s="161"/>
      <c r="G121" s="161"/>
      <c r="H121" s="161"/>
      <c r="I121" s="161"/>
      <c r="J121" s="161"/>
      <c r="K121" s="161"/>
      <c r="L121" s="161"/>
      <c r="M121" s="161"/>
      <c r="N121" s="161"/>
      <c r="O121" s="161"/>
      <c r="P121" s="161"/>
      <c r="Q121" s="160"/>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row>
    <row r="122" spans="1:56" x14ac:dyDescent="0.2">
      <c r="A122" s="161"/>
      <c r="B122" s="161"/>
      <c r="C122" s="161"/>
      <c r="D122" s="161"/>
      <c r="E122" s="162"/>
      <c r="F122" s="161"/>
      <c r="G122" s="161"/>
      <c r="H122" s="161"/>
      <c r="I122" s="161"/>
      <c r="J122" s="161"/>
      <c r="K122" s="161"/>
      <c r="L122" s="161"/>
      <c r="M122" s="161"/>
      <c r="N122" s="161"/>
      <c r="O122" s="161"/>
      <c r="P122" s="161"/>
      <c r="Q122" s="160"/>
      <c r="R122" s="161"/>
      <c r="S122" s="161"/>
      <c r="T122" s="161"/>
      <c r="U122" s="161"/>
      <c r="V122" s="161"/>
      <c r="W122" s="161"/>
      <c r="X122" s="161"/>
      <c r="Y122" s="161"/>
      <c r="Z122" s="161"/>
      <c r="AA122" s="161"/>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61"/>
      <c r="AX122" s="161"/>
      <c r="AY122" s="161"/>
      <c r="AZ122" s="161"/>
      <c r="BA122" s="161"/>
      <c r="BB122" s="161"/>
      <c r="BC122" s="161"/>
      <c r="BD122" s="161"/>
    </row>
    <row r="123" spans="1:56" x14ac:dyDescent="0.2">
      <c r="A123" s="161"/>
      <c r="B123" s="161"/>
      <c r="C123" s="161"/>
      <c r="D123" s="161"/>
      <c r="E123" s="162"/>
      <c r="F123" s="161"/>
      <c r="G123" s="161"/>
      <c r="H123" s="161"/>
      <c r="I123" s="161"/>
      <c r="J123" s="161"/>
      <c r="K123" s="161"/>
      <c r="L123" s="161"/>
      <c r="M123" s="161"/>
      <c r="N123" s="161"/>
      <c r="O123" s="161"/>
      <c r="P123" s="161"/>
      <c r="Q123" s="160"/>
      <c r="R123" s="161"/>
      <c r="S123" s="161"/>
      <c r="T123" s="161"/>
      <c r="U123" s="161"/>
      <c r="V123" s="161"/>
      <c r="W123" s="161"/>
      <c r="X123" s="161"/>
      <c r="Y123" s="161"/>
      <c r="Z123" s="161"/>
      <c r="AA123" s="161"/>
      <c r="AB123" s="161"/>
      <c r="AC123" s="161"/>
      <c r="AD123" s="161"/>
      <c r="AE123" s="161"/>
      <c r="AF123" s="161"/>
      <c r="AG123" s="161"/>
      <c r="AH123" s="161"/>
      <c r="AI123" s="161"/>
      <c r="AJ123" s="161"/>
      <c r="AK123" s="161"/>
      <c r="AL123" s="161"/>
      <c r="AM123" s="161"/>
      <c r="AN123" s="161"/>
      <c r="AO123" s="161"/>
      <c r="AP123" s="161"/>
      <c r="AQ123" s="161"/>
      <c r="AR123" s="161"/>
      <c r="AS123" s="161"/>
      <c r="AT123" s="161"/>
      <c r="AU123" s="161"/>
      <c r="AV123" s="161"/>
      <c r="AW123" s="161"/>
      <c r="AX123" s="161"/>
      <c r="AY123" s="161"/>
      <c r="AZ123" s="161"/>
      <c r="BA123" s="161"/>
      <c r="BB123" s="161"/>
      <c r="BC123" s="161"/>
      <c r="BD123" s="161"/>
    </row>
    <row r="124" spans="1:56" x14ac:dyDescent="0.2">
      <c r="A124" s="161"/>
      <c r="B124" s="161"/>
      <c r="C124" s="161"/>
      <c r="D124" s="161"/>
      <c r="E124" s="162"/>
      <c r="F124" s="161"/>
      <c r="G124" s="161"/>
      <c r="H124" s="161"/>
      <c r="I124" s="161"/>
      <c r="J124" s="161"/>
      <c r="K124" s="161"/>
      <c r="L124" s="161"/>
      <c r="M124" s="161"/>
      <c r="N124" s="161"/>
      <c r="O124" s="161"/>
      <c r="P124" s="161"/>
      <c r="Q124" s="160"/>
      <c r="R124" s="161"/>
      <c r="S124" s="161"/>
      <c r="T124" s="161"/>
      <c r="U124" s="161"/>
      <c r="V124" s="161"/>
      <c r="W124" s="161"/>
      <c r="X124" s="161"/>
      <c r="Y124" s="161"/>
      <c r="Z124" s="161"/>
      <c r="AA124" s="161"/>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61"/>
      <c r="AX124" s="161"/>
      <c r="AY124" s="161"/>
      <c r="AZ124" s="161"/>
      <c r="BA124" s="161"/>
      <c r="BB124" s="161"/>
      <c r="BC124" s="161"/>
      <c r="BD124" s="161"/>
    </row>
    <row r="125" spans="1:56" x14ac:dyDescent="0.2">
      <c r="A125" s="161"/>
      <c r="B125" s="161"/>
      <c r="C125" s="161"/>
      <c r="D125" s="161"/>
      <c r="E125" s="162"/>
      <c r="F125" s="161"/>
      <c r="G125" s="161"/>
      <c r="H125" s="161"/>
      <c r="I125" s="161"/>
      <c r="J125" s="161"/>
      <c r="K125" s="161"/>
      <c r="L125" s="161"/>
      <c r="M125" s="161"/>
      <c r="N125" s="161"/>
      <c r="O125" s="161"/>
      <c r="P125" s="161"/>
      <c r="Q125" s="160"/>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row>
    <row r="126" spans="1:56" x14ac:dyDescent="0.2">
      <c r="A126" s="161"/>
      <c r="B126" s="161"/>
      <c r="C126" s="161"/>
      <c r="D126" s="161"/>
      <c r="E126" s="162"/>
      <c r="F126" s="161"/>
      <c r="G126" s="161"/>
      <c r="H126" s="161"/>
      <c r="I126" s="161"/>
      <c r="J126" s="161"/>
      <c r="K126" s="161"/>
      <c r="L126" s="161"/>
      <c r="M126" s="161"/>
      <c r="N126" s="161"/>
      <c r="O126" s="161"/>
      <c r="P126" s="161"/>
      <c r="Q126" s="160"/>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row>
    <row r="127" spans="1:56" x14ac:dyDescent="0.2">
      <c r="A127" s="161"/>
      <c r="B127" s="161"/>
      <c r="C127" s="161"/>
      <c r="D127" s="161"/>
      <c r="E127" s="162"/>
      <c r="F127" s="161"/>
      <c r="G127" s="161"/>
      <c r="H127" s="161"/>
      <c r="I127" s="161"/>
      <c r="J127" s="161"/>
      <c r="K127" s="161"/>
      <c r="L127" s="161"/>
      <c r="M127" s="161"/>
      <c r="N127" s="161"/>
      <c r="O127" s="161"/>
      <c r="P127" s="161"/>
      <c r="Q127" s="160"/>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row>
    <row r="128" spans="1:56" x14ac:dyDescent="0.2">
      <c r="A128" s="161"/>
      <c r="B128" s="161"/>
      <c r="C128" s="161"/>
      <c r="D128" s="161"/>
      <c r="E128" s="162"/>
      <c r="F128" s="161"/>
      <c r="G128" s="161"/>
      <c r="H128" s="161"/>
      <c r="I128" s="161"/>
      <c r="J128" s="161"/>
      <c r="K128" s="161"/>
      <c r="L128" s="161"/>
      <c r="M128" s="161"/>
      <c r="N128" s="161"/>
      <c r="O128" s="161"/>
      <c r="P128" s="161"/>
      <c r="Q128" s="160"/>
      <c r="R128" s="161"/>
      <c r="S128" s="161"/>
      <c r="T128" s="161"/>
      <c r="U128" s="161"/>
      <c r="V128" s="161"/>
      <c r="W128" s="161"/>
      <c r="X128" s="161"/>
      <c r="Y128" s="161"/>
      <c r="Z128" s="161"/>
      <c r="AA128" s="161"/>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61"/>
      <c r="AX128" s="161"/>
      <c r="AY128" s="161"/>
      <c r="AZ128" s="161"/>
      <c r="BA128" s="161"/>
      <c r="BB128" s="161"/>
      <c r="BC128" s="161"/>
      <c r="BD128" s="161"/>
    </row>
    <row r="129" spans="1:56" x14ac:dyDescent="0.2">
      <c r="A129" s="161"/>
      <c r="B129" s="161"/>
      <c r="C129" s="161"/>
      <c r="D129" s="161"/>
      <c r="E129" s="162"/>
      <c r="F129" s="161"/>
      <c r="G129" s="161"/>
      <c r="H129" s="161"/>
      <c r="I129" s="161"/>
      <c r="J129" s="161"/>
      <c r="K129" s="161"/>
      <c r="L129" s="161"/>
      <c r="M129" s="161"/>
      <c r="N129" s="161"/>
      <c r="O129" s="161"/>
      <c r="P129" s="161"/>
      <c r="Q129" s="160"/>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row>
    <row r="130" spans="1:56" x14ac:dyDescent="0.2">
      <c r="A130" s="161"/>
      <c r="B130" s="161"/>
      <c r="C130" s="161"/>
      <c r="D130" s="161"/>
      <c r="E130" s="162"/>
      <c r="F130" s="161"/>
      <c r="G130" s="161"/>
      <c r="H130" s="161"/>
      <c r="I130" s="161"/>
      <c r="J130" s="161"/>
      <c r="K130" s="161"/>
      <c r="L130" s="161"/>
      <c r="M130" s="161"/>
      <c r="N130" s="161"/>
      <c r="O130" s="161"/>
      <c r="P130" s="161"/>
      <c r="Q130" s="160"/>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row>
    <row r="131" spans="1:56" x14ac:dyDescent="0.2">
      <c r="A131" s="161"/>
      <c r="B131" s="161"/>
      <c r="C131" s="161"/>
      <c r="D131" s="161"/>
      <c r="E131" s="162"/>
      <c r="F131" s="161"/>
      <c r="G131" s="161"/>
      <c r="H131" s="161"/>
      <c r="I131" s="161"/>
      <c r="J131" s="161"/>
      <c r="K131" s="161"/>
      <c r="L131" s="161"/>
      <c r="M131" s="161"/>
      <c r="N131" s="161"/>
      <c r="O131" s="161"/>
      <c r="P131" s="161"/>
      <c r="Q131" s="160"/>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row>
    <row r="132" spans="1:56" x14ac:dyDescent="0.2">
      <c r="A132" s="161"/>
      <c r="B132" s="161"/>
      <c r="C132" s="161"/>
      <c r="D132" s="161"/>
      <c r="E132" s="162"/>
      <c r="F132" s="161"/>
      <c r="G132" s="161"/>
      <c r="H132" s="161"/>
      <c r="I132" s="161"/>
      <c r="J132" s="161"/>
      <c r="K132" s="161"/>
      <c r="L132" s="161"/>
      <c r="M132" s="161"/>
      <c r="N132" s="161"/>
      <c r="O132" s="161"/>
      <c r="P132" s="161"/>
      <c r="Q132" s="160"/>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row>
    <row r="133" spans="1:56" x14ac:dyDescent="0.2">
      <c r="A133" s="161"/>
      <c r="B133" s="161"/>
      <c r="C133" s="161"/>
      <c r="D133" s="161"/>
      <c r="E133" s="162"/>
      <c r="F133" s="161"/>
      <c r="G133" s="161"/>
      <c r="H133" s="161"/>
      <c r="I133" s="161"/>
      <c r="J133" s="161"/>
      <c r="K133" s="161"/>
      <c r="L133" s="161"/>
      <c r="M133" s="161"/>
      <c r="N133" s="161"/>
      <c r="O133" s="161"/>
      <c r="P133" s="161"/>
      <c r="Q133" s="160"/>
      <c r="R133" s="161"/>
      <c r="S133" s="161"/>
      <c r="T133" s="161"/>
      <c r="U133" s="161"/>
      <c r="V133" s="161"/>
      <c r="W133" s="161"/>
      <c r="X133" s="161"/>
      <c r="Y133" s="161"/>
      <c r="Z133" s="161"/>
      <c r="AA133" s="161"/>
      <c r="AB133" s="161"/>
      <c r="AC133" s="161"/>
      <c r="AD133" s="161"/>
      <c r="AE133" s="161"/>
      <c r="AF133" s="161"/>
      <c r="AG133" s="161"/>
      <c r="AH133" s="161"/>
      <c r="AI133" s="161"/>
      <c r="AJ133" s="161"/>
      <c r="AK133" s="161"/>
      <c r="AL133" s="161"/>
      <c r="AM133" s="161"/>
      <c r="AN133" s="161"/>
      <c r="AO133" s="161"/>
      <c r="AP133" s="161"/>
      <c r="AQ133" s="161"/>
      <c r="AR133" s="161"/>
      <c r="AS133" s="161"/>
      <c r="AT133" s="161"/>
      <c r="AU133" s="161"/>
      <c r="AV133" s="161"/>
      <c r="AW133" s="161"/>
      <c r="AX133" s="161"/>
      <c r="AY133" s="161"/>
      <c r="AZ133" s="161"/>
      <c r="BA133" s="161"/>
      <c r="BB133" s="161"/>
      <c r="BC133" s="161"/>
      <c r="BD133" s="161"/>
    </row>
    <row r="134" spans="1:56" x14ac:dyDescent="0.2">
      <c r="A134" s="161"/>
      <c r="B134" s="161"/>
      <c r="C134" s="161"/>
      <c r="D134" s="161"/>
      <c r="E134" s="162"/>
      <c r="F134" s="161"/>
      <c r="G134" s="161"/>
      <c r="H134" s="161"/>
      <c r="I134" s="161"/>
      <c r="J134" s="161"/>
      <c r="K134" s="161"/>
      <c r="L134" s="161"/>
      <c r="M134" s="161"/>
      <c r="N134" s="161"/>
      <c r="O134" s="161"/>
      <c r="P134" s="161"/>
      <c r="Q134" s="160"/>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row>
    <row r="135" spans="1:56" x14ac:dyDescent="0.2">
      <c r="A135" s="161"/>
      <c r="B135" s="161"/>
      <c r="C135" s="161"/>
      <c r="D135" s="161"/>
      <c r="E135" s="162"/>
      <c r="F135" s="161"/>
      <c r="G135" s="161"/>
      <c r="H135" s="161"/>
      <c r="I135" s="161"/>
      <c r="J135" s="161"/>
      <c r="K135" s="161"/>
      <c r="L135" s="161"/>
      <c r="M135" s="161"/>
      <c r="N135" s="161"/>
      <c r="O135" s="161"/>
      <c r="P135" s="161"/>
      <c r="Q135" s="160"/>
      <c r="R135" s="161"/>
      <c r="S135" s="161"/>
      <c r="T135" s="161"/>
      <c r="U135" s="161"/>
      <c r="V135" s="161"/>
      <c r="W135" s="161"/>
      <c r="X135" s="161"/>
      <c r="Y135" s="161"/>
      <c r="Z135" s="161"/>
      <c r="AA135" s="161"/>
      <c r="AB135" s="161"/>
      <c r="AC135" s="161"/>
      <c r="AD135" s="161"/>
      <c r="AE135" s="161"/>
      <c r="AF135" s="161"/>
      <c r="AG135" s="161"/>
      <c r="AH135" s="161"/>
      <c r="AI135" s="161"/>
      <c r="AJ135" s="161"/>
      <c r="AK135" s="161"/>
      <c r="AL135" s="161"/>
      <c r="AM135" s="161"/>
      <c r="AN135" s="161"/>
      <c r="AO135" s="161"/>
      <c r="AP135" s="161"/>
      <c r="AQ135" s="161"/>
      <c r="AR135" s="161"/>
      <c r="AS135" s="161"/>
      <c r="AT135" s="161"/>
      <c r="AU135" s="161"/>
      <c r="AV135" s="161"/>
      <c r="AW135" s="161"/>
      <c r="AX135" s="161"/>
      <c r="AY135" s="161"/>
      <c r="AZ135" s="161"/>
      <c r="BA135" s="161"/>
      <c r="BB135" s="161"/>
      <c r="BC135" s="161"/>
      <c r="BD135" s="161"/>
    </row>
    <row r="136" spans="1:56" x14ac:dyDescent="0.2">
      <c r="A136" s="161"/>
      <c r="B136" s="161"/>
      <c r="C136" s="161"/>
      <c r="D136" s="161"/>
      <c r="E136" s="162"/>
      <c r="F136" s="161"/>
      <c r="G136" s="161"/>
      <c r="H136" s="161"/>
      <c r="I136" s="161"/>
      <c r="J136" s="161"/>
      <c r="K136" s="161"/>
      <c r="L136" s="161"/>
      <c r="M136" s="161"/>
      <c r="N136" s="161"/>
      <c r="O136" s="161"/>
      <c r="P136" s="161"/>
      <c r="Q136" s="160"/>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row>
    <row r="137" spans="1:56" x14ac:dyDescent="0.2">
      <c r="A137" s="161"/>
      <c r="B137" s="161"/>
      <c r="C137" s="161"/>
      <c r="D137" s="161"/>
      <c r="E137" s="162"/>
      <c r="F137" s="161"/>
      <c r="G137" s="161"/>
      <c r="H137" s="161"/>
      <c r="I137" s="161"/>
      <c r="J137" s="161"/>
      <c r="K137" s="161"/>
      <c r="L137" s="161"/>
      <c r="M137" s="161"/>
      <c r="N137" s="161"/>
      <c r="O137" s="161"/>
      <c r="P137" s="161"/>
      <c r="Q137" s="160"/>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row>
    <row r="138" spans="1:56" x14ac:dyDescent="0.2">
      <c r="A138" s="161"/>
      <c r="B138" s="161"/>
      <c r="C138" s="161"/>
      <c r="D138" s="161"/>
      <c r="E138" s="162"/>
      <c r="F138" s="161"/>
      <c r="G138" s="161"/>
      <c r="H138" s="161"/>
      <c r="I138" s="161"/>
      <c r="J138" s="161"/>
      <c r="K138" s="161"/>
      <c r="L138" s="161"/>
      <c r="M138" s="161"/>
      <c r="N138" s="161"/>
      <c r="O138" s="161"/>
      <c r="P138" s="161"/>
      <c r="Q138" s="160"/>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row>
    <row r="139" spans="1:56" x14ac:dyDescent="0.2">
      <c r="A139" s="161"/>
      <c r="B139" s="161"/>
      <c r="C139" s="161"/>
      <c r="D139" s="161"/>
      <c r="E139" s="162"/>
      <c r="F139" s="161"/>
      <c r="G139" s="161"/>
      <c r="H139" s="161"/>
      <c r="I139" s="161"/>
      <c r="J139" s="161"/>
      <c r="K139" s="161"/>
      <c r="L139" s="161"/>
      <c r="M139" s="161"/>
      <c r="N139" s="161"/>
      <c r="O139" s="161"/>
      <c r="P139" s="161"/>
      <c r="Q139" s="160"/>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161"/>
    </row>
    <row r="140" spans="1:56" x14ac:dyDescent="0.2">
      <c r="A140" s="161"/>
      <c r="B140" s="161"/>
      <c r="C140" s="161"/>
      <c r="D140" s="161"/>
      <c r="E140" s="162"/>
      <c r="F140" s="161"/>
      <c r="G140" s="161"/>
      <c r="H140" s="161"/>
      <c r="I140" s="161"/>
      <c r="J140" s="161"/>
      <c r="K140" s="161"/>
      <c r="L140" s="161"/>
      <c r="M140" s="161"/>
      <c r="N140" s="161"/>
      <c r="O140" s="161"/>
      <c r="P140" s="161"/>
      <c r="Q140" s="160"/>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row>
    <row r="141" spans="1:56" x14ac:dyDescent="0.2">
      <c r="A141" s="161"/>
      <c r="B141" s="161"/>
      <c r="C141" s="161"/>
      <c r="D141" s="161"/>
      <c r="E141" s="162"/>
      <c r="F141" s="161"/>
      <c r="G141" s="161"/>
      <c r="H141" s="161"/>
      <c r="I141" s="161"/>
      <c r="J141" s="161"/>
      <c r="K141" s="161"/>
      <c r="L141" s="161"/>
      <c r="M141" s="161"/>
      <c r="N141" s="161"/>
      <c r="O141" s="161"/>
      <c r="P141" s="161"/>
      <c r="Q141" s="160"/>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161"/>
      <c r="BA141" s="161"/>
      <c r="BB141" s="161"/>
      <c r="BC141" s="161"/>
      <c r="BD141" s="161"/>
    </row>
    <row r="142" spans="1:56" x14ac:dyDescent="0.2">
      <c r="A142" s="161"/>
      <c r="B142" s="161"/>
      <c r="C142" s="161"/>
      <c r="D142" s="161"/>
      <c r="E142" s="162"/>
      <c r="F142" s="161"/>
      <c r="G142" s="161"/>
      <c r="H142" s="161"/>
      <c r="I142" s="161"/>
      <c r="J142" s="161"/>
      <c r="K142" s="161"/>
      <c r="L142" s="161"/>
      <c r="M142" s="161"/>
      <c r="N142" s="161"/>
      <c r="O142" s="161"/>
      <c r="P142" s="161"/>
      <c r="Q142" s="160"/>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row>
    <row r="143" spans="1:56" x14ac:dyDescent="0.2">
      <c r="A143" s="161"/>
      <c r="B143" s="161"/>
      <c r="C143" s="161"/>
      <c r="D143" s="161"/>
      <c r="E143" s="162"/>
      <c r="F143" s="161"/>
      <c r="G143" s="161"/>
      <c r="H143" s="161"/>
      <c r="I143" s="161"/>
      <c r="J143" s="161"/>
      <c r="K143" s="161"/>
      <c r="L143" s="161"/>
      <c r="M143" s="161"/>
      <c r="N143" s="161"/>
      <c r="O143" s="161"/>
      <c r="P143" s="161"/>
      <c r="Q143" s="160"/>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row>
    <row r="144" spans="1:56" x14ac:dyDescent="0.2">
      <c r="A144" s="161"/>
      <c r="B144" s="161"/>
      <c r="C144" s="161"/>
      <c r="D144" s="161"/>
      <c r="E144" s="162"/>
      <c r="F144" s="161"/>
      <c r="G144" s="161"/>
      <c r="H144" s="161"/>
      <c r="I144" s="161"/>
      <c r="J144" s="161"/>
      <c r="K144" s="161"/>
      <c r="L144" s="161"/>
      <c r="M144" s="161"/>
      <c r="N144" s="161"/>
      <c r="O144" s="161"/>
      <c r="P144" s="161"/>
      <c r="Q144" s="160"/>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161"/>
      <c r="BA144" s="161"/>
      <c r="BB144" s="161"/>
      <c r="BC144" s="161"/>
      <c r="BD144" s="161"/>
    </row>
    <row r="145" spans="1:56" x14ac:dyDescent="0.2">
      <c r="A145" s="161"/>
      <c r="B145" s="161"/>
      <c r="C145" s="161"/>
      <c r="D145" s="161"/>
      <c r="E145" s="162"/>
      <c r="F145" s="161"/>
      <c r="G145" s="161"/>
      <c r="H145" s="161"/>
      <c r="I145" s="161"/>
      <c r="J145" s="161"/>
      <c r="K145" s="161"/>
      <c r="L145" s="161"/>
      <c r="M145" s="161"/>
      <c r="N145" s="161"/>
      <c r="O145" s="161"/>
      <c r="P145" s="161"/>
      <c r="Q145" s="160"/>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row>
    <row r="146" spans="1:56" x14ac:dyDescent="0.2">
      <c r="A146" s="161"/>
      <c r="B146" s="161"/>
      <c r="C146" s="161"/>
      <c r="D146" s="161"/>
      <c r="E146" s="162"/>
      <c r="F146" s="161"/>
      <c r="G146" s="161"/>
      <c r="H146" s="161"/>
      <c r="I146" s="161"/>
      <c r="J146" s="161"/>
      <c r="K146" s="161"/>
      <c r="L146" s="161"/>
      <c r="M146" s="161"/>
      <c r="N146" s="161"/>
      <c r="O146" s="161"/>
      <c r="P146" s="161"/>
      <c r="Q146" s="160"/>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row>
    <row r="147" spans="1:56" x14ac:dyDescent="0.2">
      <c r="A147" s="161"/>
      <c r="B147" s="161"/>
      <c r="C147" s="161"/>
      <c r="D147" s="161"/>
      <c r="E147" s="162"/>
      <c r="F147" s="161"/>
      <c r="G147" s="161"/>
      <c r="H147" s="161"/>
      <c r="I147" s="161"/>
      <c r="J147" s="161"/>
      <c r="K147" s="161"/>
      <c r="L147" s="161"/>
      <c r="M147" s="161"/>
      <c r="N147" s="161"/>
      <c r="O147" s="161"/>
      <c r="P147" s="161"/>
      <c r="Q147" s="160"/>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row>
    <row r="148" spans="1:56" x14ac:dyDescent="0.2">
      <c r="A148" s="161"/>
      <c r="B148" s="161"/>
      <c r="C148" s="161"/>
      <c r="D148" s="161"/>
      <c r="E148" s="162"/>
      <c r="F148" s="161"/>
      <c r="G148" s="161"/>
      <c r="H148" s="161"/>
      <c r="I148" s="161"/>
      <c r="J148" s="161"/>
      <c r="K148" s="161"/>
      <c r="L148" s="161"/>
      <c r="M148" s="161"/>
      <c r="N148" s="161"/>
      <c r="O148" s="161"/>
      <c r="P148" s="161"/>
      <c r="Q148" s="160"/>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row>
    <row r="149" spans="1:56" x14ac:dyDescent="0.2">
      <c r="A149" s="161"/>
      <c r="B149" s="161"/>
      <c r="C149" s="161"/>
      <c r="D149" s="161"/>
      <c r="E149" s="162"/>
      <c r="F149" s="161"/>
      <c r="G149" s="161"/>
      <c r="H149" s="161"/>
      <c r="I149" s="161"/>
      <c r="J149" s="161"/>
      <c r="K149" s="161"/>
      <c r="L149" s="161"/>
      <c r="M149" s="161"/>
      <c r="N149" s="161"/>
      <c r="O149" s="161"/>
      <c r="P149" s="161"/>
      <c r="Q149" s="160"/>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row>
    <row r="150" spans="1:56" x14ac:dyDescent="0.2">
      <c r="A150" s="161"/>
      <c r="B150" s="161"/>
      <c r="C150" s="161"/>
      <c r="D150" s="161"/>
      <c r="E150" s="162"/>
      <c r="F150" s="161"/>
      <c r="G150" s="161"/>
      <c r="H150" s="161"/>
      <c r="I150" s="161"/>
      <c r="J150" s="161"/>
      <c r="K150" s="161"/>
      <c r="L150" s="161"/>
      <c r="M150" s="161"/>
      <c r="N150" s="161"/>
      <c r="O150" s="161"/>
      <c r="P150" s="161"/>
      <c r="Q150" s="160"/>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row>
    <row r="151" spans="1:56" x14ac:dyDescent="0.2">
      <c r="A151" s="161"/>
      <c r="B151" s="161"/>
      <c r="C151" s="161"/>
      <c r="D151" s="161"/>
      <c r="E151" s="162"/>
      <c r="F151" s="161"/>
      <c r="G151" s="161"/>
      <c r="H151" s="161"/>
      <c r="I151" s="161"/>
      <c r="J151" s="161"/>
      <c r="K151" s="161"/>
      <c r="L151" s="161"/>
      <c r="M151" s="161"/>
      <c r="N151" s="161"/>
      <c r="O151" s="161"/>
      <c r="P151" s="161"/>
      <c r="Q151" s="160"/>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161"/>
      <c r="BA151" s="161"/>
      <c r="BB151" s="161"/>
      <c r="BC151" s="161"/>
      <c r="BD151" s="161"/>
    </row>
    <row r="152" spans="1:56" x14ac:dyDescent="0.2">
      <c r="A152" s="161"/>
      <c r="B152" s="161"/>
      <c r="C152" s="161"/>
      <c r="D152" s="161"/>
      <c r="E152" s="162"/>
      <c r="F152" s="161"/>
      <c r="G152" s="161"/>
      <c r="H152" s="161"/>
      <c r="I152" s="161"/>
      <c r="J152" s="161"/>
      <c r="K152" s="161"/>
      <c r="L152" s="161"/>
      <c r="M152" s="161"/>
      <c r="N152" s="161"/>
      <c r="O152" s="161"/>
      <c r="P152" s="161"/>
      <c r="Q152" s="160"/>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161"/>
      <c r="BA152" s="161"/>
      <c r="BB152" s="161"/>
      <c r="BC152" s="161"/>
      <c r="BD152" s="161"/>
    </row>
    <row r="153" spans="1:56" x14ac:dyDescent="0.2">
      <c r="A153" s="161"/>
      <c r="B153" s="161"/>
      <c r="C153" s="161"/>
      <c r="D153" s="161"/>
      <c r="E153" s="162"/>
      <c r="F153" s="161"/>
      <c r="G153" s="161"/>
      <c r="H153" s="161"/>
      <c r="I153" s="161"/>
      <c r="J153" s="161"/>
      <c r="K153" s="161"/>
      <c r="L153" s="161"/>
      <c r="M153" s="161"/>
      <c r="N153" s="161"/>
      <c r="O153" s="161"/>
      <c r="P153" s="161"/>
      <c r="Q153" s="160"/>
      <c r="R153" s="161"/>
      <c r="S153" s="161"/>
      <c r="T153" s="161"/>
      <c r="U153" s="161"/>
      <c r="V153" s="161"/>
      <c r="W153" s="161"/>
      <c r="X153" s="161"/>
      <c r="Y153" s="161"/>
      <c r="Z153" s="161"/>
      <c r="AA153" s="161"/>
      <c r="AB153" s="161"/>
      <c r="AC153" s="161"/>
      <c r="AD153" s="161"/>
      <c r="AE153" s="161"/>
      <c r="AF153" s="161"/>
      <c r="AG153" s="161"/>
      <c r="AH153" s="161"/>
      <c r="AI153" s="161"/>
      <c r="AJ153" s="161"/>
      <c r="AK153" s="161"/>
      <c r="AL153" s="161"/>
      <c r="AM153" s="161"/>
      <c r="AN153" s="161"/>
      <c r="AO153" s="161"/>
      <c r="AP153" s="161"/>
      <c r="AQ153" s="161"/>
      <c r="AR153" s="161"/>
      <c r="AS153" s="161"/>
      <c r="AT153" s="161"/>
      <c r="AU153" s="161"/>
      <c r="AV153" s="161"/>
      <c r="AW153" s="161"/>
      <c r="AX153" s="161"/>
      <c r="AY153" s="161"/>
      <c r="AZ153" s="161"/>
      <c r="BA153" s="161"/>
      <c r="BB153" s="161"/>
      <c r="BC153" s="161"/>
      <c r="BD153" s="161"/>
    </row>
    <row r="154" spans="1:56" x14ac:dyDescent="0.2">
      <c r="A154" s="161"/>
      <c r="B154" s="161"/>
      <c r="C154" s="161"/>
      <c r="D154" s="161"/>
      <c r="E154" s="162"/>
      <c r="F154" s="161"/>
      <c r="G154" s="161"/>
      <c r="H154" s="161"/>
      <c r="I154" s="161"/>
      <c r="J154" s="161"/>
      <c r="K154" s="161"/>
      <c r="L154" s="161"/>
      <c r="M154" s="161"/>
      <c r="N154" s="161"/>
      <c r="O154" s="161"/>
      <c r="P154" s="161"/>
      <c r="Q154" s="160"/>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161"/>
      <c r="BA154" s="161"/>
      <c r="BB154" s="161"/>
      <c r="BC154" s="161"/>
      <c r="BD154" s="161"/>
    </row>
    <row r="155" spans="1:56" x14ac:dyDescent="0.2">
      <c r="A155" s="161"/>
      <c r="B155" s="161"/>
      <c r="C155" s="161"/>
      <c r="D155" s="161"/>
      <c r="E155" s="162"/>
      <c r="F155" s="161"/>
      <c r="G155" s="161"/>
      <c r="H155" s="161"/>
      <c r="I155" s="161"/>
      <c r="J155" s="161"/>
      <c r="K155" s="161"/>
      <c r="L155" s="161"/>
      <c r="M155" s="161"/>
      <c r="N155" s="161"/>
      <c r="O155" s="161"/>
      <c r="P155" s="161"/>
      <c r="Q155" s="160"/>
      <c r="R155" s="161"/>
      <c r="S155" s="161"/>
      <c r="T155" s="161"/>
      <c r="U155" s="161"/>
      <c r="V155" s="161"/>
      <c r="W155" s="161"/>
      <c r="X155" s="161"/>
      <c r="Y155" s="161"/>
      <c r="Z155" s="161"/>
      <c r="AA155" s="161"/>
      <c r="AB155" s="161"/>
      <c r="AC155" s="161"/>
      <c r="AD155" s="161"/>
      <c r="AE155" s="161"/>
      <c r="AF155" s="161"/>
      <c r="AG155" s="161"/>
      <c r="AH155" s="161"/>
      <c r="AI155" s="161"/>
      <c r="AJ155" s="161"/>
      <c r="AK155" s="161"/>
      <c r="AL155" s="161"/>
      <c r="AM155" s="161"/>
      <c r="AN155" s="161"/>
      <c r="AO155" s="161"/>
      <c r="AP155" s="161"/>
      <c r="AQ155" s="161"/>
      <c r="AR155" s="161"/>
      <c r="AS155" s="161"/>
      <c r="AT155" s="161"/>
      <c r="AU155" s="161"/>
      <c r="AV155" s="161"/>
      <c r="AW155" s="161"/>
      <c r="AX155" s="161"/>
      <c r="AY155" s="161"/>
      <c r="AZ155" s="161"/>
      <c r="BA155" s="161"/>
      <c r="BB155" s="161"/>
      <c r="BC155" s="161"/>
      <c r="BD155" s="161"/>
    </row>
    <row r="156" spans="1:56" x14ac:dyDescent="0.2">
      <c r="A156" s="161"/>
      <c r="B156" s="161"/>
      <c r="C156" s="161"/>
      <c r="D156" s="161"/>
      <c r="E156" s="162"/>
      <c r="F156" s="161"/>
      <c r="G156" s="161"/>
      <c r="H156" s="161"/>
      <c r="I156" s="161"/>
      <c r="J156" s="161"/>
      <c r="K156" s="161"/>
      <c r="L156" s="161"/>
      <c r="M156" s="161"/>
      <c r="N156" s="161"/>
      <c r="O156" s="161"/>
      <c r="P156" s="161"/>
      <c r="Q156" s="160"/>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161"/>
      <c r="BA156" s="161"/>
      <c r="BB156" s="161"/>
      <c r="BC156" s="161"/>
      <c r="BD156" s="161"/>
    </row>
    <row r="157" spans="1:56" x14ac:dyDescent="0.2">
      <c r="A157" s="161"/>
      <c r="B157" s="161"/>
      <c r="C157" s="161"/>
      <c r="D157" s="161"/>
      <c r="E157" s="162"/>
      <c r="F157" s="161"/>
      <c r="G157" s="161"/>
      <c r="H157" s="161"/>
      <c r="I157" s="161"/>
      <c r="J157" s="161"/>
      <c r="K157" s="161"/>
      <c r="L157" s="161"/>
      <c r="M157" s="161"/>
      <c r="N157" s="161"/>
      <c r="O157" s="161"/>
      <c r="P157" s="161"/>
      <c r="Q157" s="160"/>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161"/>
      <c r="BA157" s="161"/>
      <c r="BB157" s="161"/>
      <c r="BC157" s="161"/>
      <c r="BD157" s="161"/>
    </row>
    <row r="158" spans="1:56" x14ac:dyDescent="0.2">
      <c r="A158" s="161"/>
      <c r="B158" s="161"/>
      <c r="C158" s="161"/>
      <c r="D158" s="161"/>
      <c r="E158" s="162"/>
      <c r="F158" s="161"/>
      <c r="G158" s="161"/>
      <c r="H158" s="161"/>
      <c r="I158" s="161"/>
      <c r="J158" s="161"/>
      <c r="K158" s="161"/>
      <c r="L158" s="161"/>
      <c r="M158" s="161"/>
      <c r="N158" s="161"/>
      <c r="O158" s="161"/>
      <c r="P158" s="161"/>
      <c r="Q158" s="160"/>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161"/>
      <c r="BA158" s="161"/>
      <c r="BB158" s="161"/>
      <c r="BC158" s="161"/>
      <c r="BD158" s="161"/>
    </row>
    <row r="159" spans="1:56" x14ac:dyDescent="0.2">
      <c r="A159" s="161"/>
      <c r="B159" s="161"/>
      <c r="C159" s="161"/>
      <c r="D159" s="161"/>
      <c r="E159" s="162"/>
      <c r="F159" s="161"/>
      <c r="G159" s="161"/>
      <c r="H159" s="161"/>
      <c r="I159" s="161"/>
      <c r="J159" s="161"/>
      <c r="K159" s="161"/>
      <c r="L159" s="161"/>
      <c r="M159" s="161"/>
      <c r="N159" s="161"/>
      <c r="O159" s="161"/>
      <c r="P159" s="161"/>
      <c r="Q159" s="160"/>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161"/>
      <c r="BA159" s="161"/>
      <c r="BB159" s="161"/>
      <c r="BC159" s="161"/>
      <c r="BD159" s="161"/>
    </row>
    <row r="160" spans="1:56" x14ac:dyDescent="0.2">
      <c r="A160" s="161"/>
      <c r="B160" s="161"/>
      <c r="C160" s="161"/>
      <c r="D160" s="161"/>
      <c r="E160" s="162"/>
      <c r="F160" s="161"/>
      <c r="G160" s="161"/>
      <c r="H160" s="161"/>
      <c r="I160" s="161"/>
      <c r="J160" s="161"/>
      <c r="K160" s="161"/>
      <c r="L160" s="161"/>
      <c r="M160" s="161"/>
      <c r="N160" s="161"/>
      <c r="O160" s="161"/>
      <c r="P160" s="161"/>
      <c r="Q160" s="160"/>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161"/>
      <c r="BA160" s="161"/>
      <c r="BB160" s="161"/>
      <c r="BC160" s="161"/>
      <c r="BD160" s="161"/>
    </row>
    <row r="161" spans="1:56" x14ac:dyDescent="0.2">
      <c r="A161" s="161"/>
      <c r="B161" s="161"/>
      <c r="C161" s="161"/>
      <c r="D161" s="161"/>
      <c r="E161" s="162"/>
      <c r="F161" s="161"/>
      <c r="G161" s="161"/>
      <c r="H161" s="161"/>
      <c r="I161" s="161"/>
      <c r="J161" s="161"/>
      <c r="K161" s="161"/>
      <c r="L161" s="161"/>
      <c r="M161" s="161"/>
      <c r="N161" s="161"/>
      <c r="O161" s="161"/>
      <c r="P161" s="161"/>
      <c r="Q161" s="160"/>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161"/>
      <c r="BA161" s="161"/>
      <c r="BB161" s="161"/>
      <c r="BC161" s="161"/>
      <c r="BD161" s="161"/>
    </row>
    <row r="162" spans="1:56" x14ac:dyDescent="0.2">
      <c r="A162" s="161"/>
      <c r="B162" s="161"/>
      <c r="C162" s="161"/>
      <c r="D162" s="161"/>
      <c r="E162" s="162"/>
      <c r="F162" s="161"/>
      <c r="G162" s="161"/>
      <c r="H162" s="161"/>
      <c r="I162" s="161"/>
      <c r="J162" s="161"/>
      <c r="K162" s="161"/>
      <c r="L162" s="161"/>
      <c r="M162" s="161"/>
      <c r="N162" s="161"/>
      <c r="O162" s="161"/>
      <c r="P162" s="161"/>
      <c r="Q162" s="160"/>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161"/>
      <c r="BA162" s="161"/>
      <c r="BB162" s="161"/>
      <c r="BC162" s="161"/>
      <c r="BD162" s="161"/>
    </row>
    <row r="163" spans="1:56" x14ac:dyDescent="0.2">
      <c r="A163" s="161"/>
      <c r="B163" s="161"/>
      <c r="C163" s="161"/>
      <c r="D163" s="161"/>
      <c r="E163" s="162"/>
      <c r="F163" s="161"/>
      <c r="G163" s="161"/>
      <c r="H163" s="161"/>
      <c r="I163" s="161"/>
      <c r="J163" s="161"/>
      <c r="K163" s="161"/>
      <c r="L163" s="161"/>
      <c r="M163" s="161"/>
      <c r="N163" s="161"/>
      <c r="O163" s="161"/>
      <c r="P163" s="161"/>
      <c r="Q163" s="160"/>
      <c r="R163" s="161"/>
      <c r="S163" s="161"/>
      <c r="T163" s="161"/>
      <c r="U163" s="161"/>
      <c r="V163" s="161"/>
      <c r="W163" s="161"/>
      <c r="X163" s="161"/>
      <c r="Y163" s="161"/>
      <c r="Z163" s="161"/>
      <c r="AA163" s="161"/>
      <c r="AB163" s="161"/>
      <c r="AC163" s="161"/>
      <c r="AD163" s="161"/>
      <c r="AE163" s="161"/>
      <c r="AF163" s="161"/>
      <c r="AG163" s="161"/>
      <c r="AH163" s="161"/>
      <c r="AI163" s="161"/>
      <c r="AJ163" s="161"/>
      <c r="AK163" s="161"/>
      <c r="AL163" s="161"/>
      <c r="AM163" s="161"/>
      <c r="AN163" s="161"/>
      <c r="AO163" s="161"/>
      <c r="AP163" s="161"/>
      <c r="AQ163" s="161"/>
      <c r="AR163" s="161"/>
      <c r="AS163" s="161"/>
      <c r="AT163" s="161"/>
      <c r="AU163" s="161"/>
      <c r="AV163" s="161"/>
      <c r="AW163" s="161"/>
      <c r="AX163" s="161"/>
      <c r="AY163" s="161"/>
      <c r="AZ163" s="161"/>
      <c r="BA163" s="161"/>
      <c r="BB163" s="161"/>
      <c r="BC163" s="161"/>
      <c r="BD163" s="161"/>
    </row>
    <row r="164" spans="1:56" x14ac:dyDescent="0.2">
      <c r="A164" s="161"/>
      <c r="B164" s="161"/>
      <c r="C164" s="161"/>
      <c r="D164" s="161"/>
      <c r="E164" s="162"/>
      <c r="F164" s="161"/>
      <c r="G164" s="161"/>
      <c r="H164" s="161"/>
      <c r="I164" s="161"/>
      <c r="J164" s="161"/>
      <c r="K164" s="161"/>
      <c r="L164" s="161"/>
      <c r="M164" s="161"/>
      <c r="N164" s="161"/>
      <c r="O164" s="161"/>
      <c r="P164" s="161"/>
      <c r="Q164" s="160"/>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161"/>
      <c r="BA164" s="161"/>
      <c r="BB164" s="161"/>
      <c r="BC164" s="161"/>
      <c r="BD164" s="161"/>
    </row>
    <row r="165" spans="1:56" x14ac:dyDescent="0.2">
      <c r="A165" s="161"/>
      <c r="B165" s="161"/>
      <c r="C165" s="161"/>
      <c r="D165" s="161"/>
      <c r="E165" s="162"/>
      <c r="F165" s="161"/>
      <c r="G165" s="161"/>
      <c r="H165" s="161"/>
      <c r="I165" s="161"/>
      <c r="J165" s="161"/>
      <c r="K165" s="161"/>
      <c r="L165" s="161"/>
      <c r="M165" s="161"/>
      <c r="N165" s="161"/>
      <c r="O165" s="161"/>
      <c r="P165" s="161"/>
      <c r="Q165" s="160"/>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161"/>
      <c r="BA165" s="161"/>
      <c r="BB165" s="161"/>
      <c r="BC165" s="161"/>
      <c r="BD165" s="161"/>
    </row>
    <row r="166" spans="1:56" x14ac:dyDescent="0.2">
      <c r="A166" s="161"/>
      <c r="B166" s="161"/>
      <c r="C166" s="161"/>
      <c r="D166" s="161"/>
      <c r="E166" s="162"/>
      <c r="F166" s="161"/>
      <c r="G166" s="161"/>
      <c r="H166" s="161"/>
      <c r="I166" s="161"/>
      <c r="J166" s="161"/>
      <c r="K166" s="161"/>
      <c r="L166" s="161"/>
      <c r="M166" s="161"/>
      <c r="N166" s="161"/>
      <c r="O166" s="161"/>
      <c r="P166" s="161"/>
      <c r="Q166" s="160"/>
      <c r="R166" s="161"/>
      <c r="S166" s="161"/>
      <c r="T166" s="161"/>
      <c r="U166" s="161"/>
      <c r="V166" s="161"/>
      <c r="W166" s="161"/>
      <c r="X166" s="161"/>
      <c r="Y166" s="161"/>
      <c r="Z166" s="161"/>
      <c r="AA166" s="161"/>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61"/>
      <c r="AX166" s="161"/>
      <c r="AY166" s="161"/>
      <c r="AZ166" s="161"/>
      <c r="BA166" s="161"/>
      <c r="BB166" s="161"/>
      <c r="BC166" s="161"/>
      <c r="BD166" s="161"/>
    </row>
    <row r="167" spans="1:56" x14ac:dyDescent="0.2">
      <c r="A167" s="161"/>
      <c r="B167" s="161"/>
      <c r="C167" s="161"/>
      <c r="D167" s="161"/>
      <c r="E167" s="162"/>
      <c r="F167" s="161"/>
      <c r="G167" s="161"/>
      <c r="H167" s="161"/>
      <c r="I167" s="161"/>
      <c r="J167" s="161"/>
      <c r="K167" s="161"/>
      <c r="L167" s="161"/>
      <c r="M167" s="161"/>
      <c r="N167" s="161"/>
      <c r="O167" s="161"/>
      <c r="P167" s="161"/>
      <c r="Q167" s="160"/>
      <c r="R167" s="161"/>
      <c r="S167" s="161"/>
      <c r="T167" s="161"/>
      <c r="U167" s="161"/>
      <c r="V167" s="161"/>
      <c r="W167" s="161"/>
      <c r="X167" s="161"/>
      <c r="Y167" s="161"/>
      <c r="Z167" s="161"/>
      <c r="AA167" s="161"/>
      <c r="AB167" s="161"/>
      <c r="AC167" s="161"/>
      <c r="AD167" s="161"/>
      <c r="AE167" s="161"/>
      <c r="AF167" s="161"/>
      <c r="AG167" s="161"/>
      <c r="AH167" s="161"/>
      <c r="AI167" s="161"/>
      <c r="AJ167" s="161"/>
      <c r="AK167" s="161"/>
      <c r="AL167" s="161"/>
      <c r="AM167" s="161"/>
      <c r="AN167" s="161"/>
      <c r="AO167" s="161"/>
      <c r="AP167" s="161"/>
      <c r="AQ167" s="161"/>
      <c r="AR167" s="161"/>
      <c r="AS167" s="161"/>
      <c r="AT167" s="161"/>
      <c r="AU167" s="161"/>
      <c r="AV167" s="161"/>
      <c r="AW167" s="161"/>
      <c r="AX167" s="161"/>
      <c r="AY167" s="161"/>
      <c r="AZ167" s="161"/>
      <c r="BA167" s="161"/>
      <c r="BB167" s="161"/>
      <c r="BC167" s="161"/>
      <c r="BD167" s="161"/>
    </row>
    <row r="168" spans="1:56" x14ac:dyDescent="0.2">
      <c r="A168" s="161"/>
      <c r="B168" s="161"/>
      <c r="C168" s="161"/>
      <c r="D168" s="161"/>
      <c r="E168" s="162"/>
      <c r="F168" s="161"/>
      <c r="G168" s="161"/>
      <c r="H168" s="161"/>
      <c r="I168" s="161"/>
      <c r="J168" s="161"/>
      <c r="K168" s="161"/>
      <c r="L168" s="161"/>
      <c r="M168" s="161"/>
      <c r="N168" s="161"/>
      <c r="O168" s="161"/>
      <c r="P168" s="161"/>
      <c r="Q168" s="160"/>
      <c r="R168" s="161"/>
      <c r="S168" s="161"/>
      <c r="T168" s="161"/>
      <c r="U168" s="161"/>
      <c r="V168" s="161"/>
      <c r="W168" s="161"/>
      <c r="X168" s="161"/>
      <c r="Y168" s="161"/>
      <c r="Z168" s="161"/>
      <c r="AA168" s="161"/>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61"/>
      <c r="AX168" s="161"/>
      <c r="AY168" s="161"/>
      <c r="AZ168" s="161"/>
      <c r="BA168" s="161"/>
      <c r="BB168" s="161"/>
      <c r="BC168" s="161"/>
      <c r="BD168" s="161"/>
    </row>
    <row r="169" spans="1:56" x14ac:dyDescent="0.2">
      <c r="A169" s="161"/>
      <c r="B169" s="161"/>
      <c r="C169" s="161"/>
      <c r="D169" s="161"/>
      <c r="E169" s="162"/>
      <c r="F169" s="161"/>
      <c r="G169" s="161"/>
      <c r="H169" s="161"/>
      <c r="I169" s="161"/>
      <c r="J169" s="161"/>
      <c r="K169" s="161"/>
      <c r="L169" s="161"/>
      <c r="M169" s="161"/>
      <c r="N169" s="161"/>
      <c r="O169" s="161"/>
      <c r="P169" s="161"/>
      <c r="Q169" s="160"/>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161"/>
      <c r="BA169" s="161"/>
      <c r="BB169" s="161"/>
      <c r="BC169" s="161"/>
      <c r="BD169" s="161"/>
    </row>
    <row r="170" spans="1:56" x14ac:dyDescent="0.2">
      <c r="A170" s="161"/>
      <c r="B170" s="161"/>
      <c r="C170" s="161"/>
      <c r="D170" s="161"/>
      <c r="E170" s="162"/>
      <c r="F170" s="161"/>
      <c r="G170" s="161"/>
      <c r="H170" s="161"/>
      <c r="I170" s="161"/>
      <c r="J170" s="161"/>
      <c r="K170" s="161"/>
      <c r="L170" s="161"/>
      <c r="M170" s="161"/>
      <c r="N170" s="161"/>
      <c r="O170" s="161"/>
      <c r="P170" s="161"/>
      <c r="Q170" s="160"/>
      <c r="R170" s="161"/>
      <c r="S170" s="161"/>
      <c r="T170" s="161"/>
      <c r="U170" s="161"/>
      <c r="V170" s="161"/>
      <c r="W170" s="161"/>
      <c r="X170" s="161"/>
      <c r="Y170" s="161"/>
      <c r="Z170" s="161"/>
      <c r="AA170" s="161"/>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61"/>
      <c r="AX170" s="161"/>
      <c r="AY170" s="161"/>
      <c r="AZ170" s="161"/>
      <c r="BA170" s="161"/>
      <c r="BB170" s="161"/>
      <c r="BC170" s="161"/>
      <c r="BD170" s="161"/>
    </row>
    <row r="171" spans="1:56" x14ac:dyDescent="0.2">
      <c r="A171" s="161"/>
      <c r="B171" s="161"/>
      <c r="C171" s="161"/>
      <c r="D171" s="161"/>
      <c r="E171" s="162"/>
      <c r="F171" s="161"/>
      <c r="G171" s="161"/>
      <c r="H171" s="161"/>
      <c r="I171" s="161"/>
      <c r="J171" s="161"/>
      <c r="K171" s="161"/>
      <c r="L171" s="161"/>
      <c r="M171" s="161"/>
      <c r="N171" s="161"/>
      <c r="O171" s="161"/>
      <c r="P171" s="161"/>
      <c r="Q171" s="160"/>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161"/>
      <c r="BA171" s="161"/>
      <c r="BB171" s="161"/>
      <c r="BC171" s="161"/>
      <c r="BD171" s="161"/>
    </row>
    <row r="172" spans="1:56" x14ac:dyDescent="0.2">
      <c r="A172" s="161"/>
      <c r="B172" s="161"/>
      <c r="C172" s="161"/>
      <c r="D172" s="161"/>
      <c r="E172" s="162"/>
      <c r="F172" s="161"/>
      <c r="G172" s="161"/>
      <c r="H172" s="161"/>
      <c r="I172" s="161"/>
      <c r="J172" s="161"/>
      <c r="K172" s="161"/>
      <c r="L172" s="161"/>
      <c r="M172" s="161"/>
      <c r="N172" s="161"/>
      <c r="O172" s="161"/>
      <c r="P172" s="161"/>
      <c r="Q172" s="160"/>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161"/>
      <c r="BA172" s="161"/>
      <c r="BB172" s="161"/>
      <c r="BC172" s="161"/>
      <c r="BD172" s="161"/>
    </row>
    <row r="173" spans="1:56" x14ac:dyDescent="0.2">
      <c r="A173" s="161"/>
      <c r="B173" s="161"/>
      <c r="C173" s="161"/>
      <c r="D173" s="161"/>
      <c r="E173" s="162"/>
      <c r="F173" s="161"/>
      <c r="G173" s="161"/>
      <c r="H173" s="161"/>
      <c r="I173" s="161"/>
      <c r="J173" s="161"/>
      <c r="K173" s="161"/>
      <c r="L173" s="161"/>
      <c r="M173" s="161"/>
      <c r="N173" s="161"/>
      <c r="O173" s="161"/>
      <c r="P173" s="161"/>
      <c r="Q173" s="160"/>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161"/>
      <c r="BA173" s="161"/>
      <c r="BB173" s="161"/>
      <c r="BC173" s="161"/>
      <c r="BD173" s="161"/>
    </row>
    <row r="174" spans="1:56" x14ac:dyDescent="0.2">
      <c r="A174" s="161"/>
      <c r="B174" s="161"/>
      <c r="C174" s="161"/>
      <c r="D174" s="161"/>
      <c r="E174" s="162"/>
      <c r="F174" s="161"/>
      <c r="G174" s="161"/>
      <c r="H174" s="161"/>
      <c r="I174" s="161"/>
      <c r="J174" s="161"/>
      <c r="K174" s="161"/>
      <c r="L174" s="161"/>
      <c r="M174" s="161"/>
      <c r="N174" s="161"/>
      <c r="O174" s="161"/>
      <c r="P174" s="161"/>
      <c r="Q174" s="160"/>
      <c r="R174" s="161"/>
      <c r="S174" s="161"/>
      <c r="T174" s="161"/>
      <c r="U174" s="161"/>
      <c r="V174" s="161"/>
      <c r="W174" s="161"/>
      <c r="X174" s="161"/>
      <c r="Y174" s="161"/>
      <c r="Z174" s="161"/>
      <c r="AA174" s="161"/>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61"/>
      <c r="AX174" s="161"/>
      <c r="AY174" s="161"/>
      <c r="AZ174" s="161"/>
      <c r="BA174" s="161"/>
      <c r="BB174" s="161"/>
      <c r="BC174" s="161"/>
      <c r="BD174" s="161"/>
    </row>
    <row r="175" spans="1:56" x14ac:dyDescent="0.2">
      <c r="A175" s="161"/>
      <c r="B175" s="161"/>
      <c r="C175" s="161"/>
      <c r="D175" s="161"/>
      <c r="E175" s="162"/>
      <c r="F175" s="161"/>
      <c r="G175" s="161"/>
      <c r="H175" s="161"/>
      <c r="I175" s="161"/>
      <c r="J175" s="161"/>
      <c r="K175" s="161"/>
      <c r="L175" s="161"/>
      <c r="M175" s="161"/>
      <c r="N175" s="161"/>
      <c r="O175" s="161"/>
      <c r="P175" s="161"/>
      <c r="Q175" s="160"/>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161"/>
      <c r="BA175" s="161"/>
      <c r="BB175" s="161"/>
      <c r="BC175" s="161"/>
      <c r="BD175" s="161"/>
    </row>
    <row r="176" spans="1:56" x14ac:dyDescent="0.2">
      <c r="A176" s="161"/>
      <c r="B176" s="161"/>
      <c r="C176" s="161"/>
      <c r="D176" s="161"/>
      <c r="E176" s="162"/>
      <c r="F176" s="161"/>
      <c r="G176" s="161"/>
      <c r="H176" s="161"/>
      <c r="I176" s="161"/>
      <c r="J176" s="161"/>
      <c r="K176" s="161"/>
      <c r="L176" s="161"/>
      <c r="M176" s="161"/>
      <c r="N176" s="161"/>
      <c r="O176" s="161"/>
      <c r="P176" s="161"/>
      <c r="Q176" s="160"/>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161"/>
      <c r="BA176" s="161"/>
      <c r="BB176" s="161"/>
      <c r="BC176" s="161"/>
      <c r="BD176" s="161"/>
    </row>
    <row r="177" spans="1:56" x14ac:dyDescent="0.2">
      <c r="A177" s="161"/>
      <c r="B177" s="161"/>
      <c r="C177" s="161"/>
      <c r="D177" s="161"/>
      <c r="E177" s="162"/>
      <c r="F177" s="161"/>
      <c r="G177" s="161"/>
      <c r="H177" s="161"/>
      <c r="I177" s="161"/>
      <c r="J177" s="161"/>
      <c r="K177" s="161"/>
      <c r="L177" s="161"/>
      <c r="M177" s="161"/>
      <c r="N177" s="161"/>
      <c r="O177" s="161"/>
      <c r="P177" s="161"/>
      <c r="Q177" s="160"/>
      <c r="R177" s="161"/>
      <c r="S177" s="161"/>
      <c r="T177" s="161"/>
      <c r="U177" s="161"/>
      <c r="V177" s="161"/>
      <c r="W177" s="161"/>
      <c r="X177" s="161"/>
      <c r="Y177" s="161"/>
      <c r="Z177" s="161"/>
      <c r="AA177" s="161"/>
      <c r="AB177" s="161"/>
      <c r="AC177" s="161"/>
      <c r="AD177" s="161"/>
      <c r="AE177" s="161"/>
      <c r="AF177" s="161"/>
      <c r="AG177" s="161"/>
      <c r="AH177" s="161"/>
      <c r="AI177" s="161"/>
      <c r="AJ177" s="161"/>
      <c r="AK177" s="161"/>
      <c r="AL177" s="161"/>
      <c r="AM177" s="161"/>
      <c r="AN177" s="161"/>
      <c r="AO177" s="161"/>
      <c r="AP177" s="161"/>
      <c r="AQ177" s="161"/>
      <c r="AR177" s="161"/>
      <c r="AS177" s="161"/>
      <c r="AT177" s="161"/>
      <c r="AU177" s="161"/>
      <c r="AV177" s="161"/>
      <c r="AW177" s="161"/>
      <c r="AX177" s="161"/>
      <c r="AY177" s="161"/>
      <c r="AZ177" s="161"/>
      <c r="BA177" s="161"/>
      <c r="BB177" s="161"/>
      <c r="BC177" s="161"/>
      <c r="BD177" s="161"/>
    </row>
    <row r="178" spans="1:56" x14ac:dyDescent="0.2">
      <c r="A178" s="161"/>
      <c r="B178" s="161"/>
      <c r="C178" s="161"/>
      <c r="D178" s="161"/>
      <c r="E178" s="162"/>
      <c r="F178" s="161"/>
      <c r="G178" s="161"/>
      <c r="H178" s="161"/>
      <c r="I178" s="161"/>
      <c r="J178" s="161"/>
      <c r="K178" s="161"/>
      <c r="L178" s="161"/>
      <c r="M178" s="161"/>
      <c r="N178" s="161"/>
      <c r="O178" s="161"/>
      <c r="P178" s="161"/>
      <c r="Q178" s="160"/>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161"/>
      <c r="BA178" s="161"/>
      <c r="BB178" s="161"/>
      <c r="BC178" s="161"/>
      <c r="BD178" s="161"/>
    </row>
    <row r="179" spans="1:56" x14ac:dyDescent="0.2">
      <c r="A179" s="161"/>
      <c r="B179" s="161"/>
      <c r="C179" s="161"/>
      <c r="D179" s="161"/>
      <c r="E179" s="162"/>
      <c r="F179" s="161"/>
      <c r="G179" s="161"/>
      <c r="H179" s="161"/>
      <c r="I179" s="161"/>
      <c r="J179" s="161"/>
      <c r="K179" s="161"/>
      <c r="L179" s="161"/>
      <c r="M179" s="161"/>
      <c r="N179" s="161"/>
      <c r="O179" s="161"/>
      <c r="P179" s="161"/>
      <c r="Q179" s="160"/>
      <c r="R179" s="161"/>
      <c r="S179" s="161"/>
      <c r="T179" s="161"/>
      <c r="U179" s="161"/>
      <c r="V179" s="161"/>
      <c r="W179" s="161"/>
      <c r="X179" s="161"/>
      <c r="Y179" s="161"/>
      <c r="Z179" s="161"/>
      <c r="AA179" s="161"/>
      <c r="AB179" s="161"/>
      <c r="AC179" s="161"/>
      <c r="AD179" s="161"/>
      <c r="AE179" s="161"/>
      <c r="AF179" s="161"/>
      <c r="AG179" s="161"/>
      <c r="AH179" s="161"/>
      <c r="AI179" s="161"/>
      <c r="AJ179" s="161"/>
      <c r="AK179" s="161"/>
      <c r="AL179" s="161"/>
      <c r="AM179" s="161"/>
      <c r="AN179" s="161"/>
      <c r="AO179" s="161"/>
      <c r="AP179" s="161"/>
      <c r="AQ179" s="161"/>
      <c r="AR179" s="161"/>
      <c r="AS179" s="161"/>
      <c r="AT179" s="161"/>
      <c r="AU179" s="161"/>
      <c r="AV179" s="161"/>
      <c r="AW179" s="161"/>
      <c r="AX179" s="161"/>
      <c r="AY179" s="161"/>
      <c r="AZ179" s="161"/>
      <c r="BA179" s="161"/>
      <c r="BB179" s="161"/>
      <c r="BC179" s="161"/>
      <c r="BD179" s="161"/>
    </row>
    <row r="180" spans="1:56" x14ac:dyDescent="0.2">
      <c r="A180" s="161"/>
      <c r="B180" s="161"/>
      <c r="C180" s="161"/>
      <c r="D180" s="161"/>
      <c r="E180" s="162"/>
      <c r="F180" s="161"/>
      <c r="G180" s="161"/>
      <c r="H180" s="161"/>
      <c r="I180" s="161"/>
      <c r="J180" s="161"/>
      <c r="K180" s="161"/>
      <c r="L180" s="161"/>
      <c r="M180" s="161"/>
      <c r="N180" s="161"/>
      <c r="O180" s="161"/>
      <c r="P180" s="161"/>
      <c r="Q180" s="160"/>
      <c r="R180" s="161"/>
      <c r="S180" s="161"/>
      <c r="T180" s="161"/>
      <c r="U180" s="161"/>
      <c r="V180" s="161"/>
      <c r="W180" s="161"/>
      <c r="X180" s="161"/>
      <c r="Y180" s="161"/>
      <c r="Z180" s="161"/>
      <c r="AA180" s="161"/>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61"/>
      <c r="AX180" s="161"/>
      <c r="AY180" s="161"/>
      <c r="AZ180" s="161"/>
      <c r="BA180" s="161"/>
      <c r="BB180" s="161"/>
      <c r="BC180" s="161"/>
      <c r="BD180" s="161"/>
    </row>
    <row r="181" spans="1:56" x14ac:dyDescent="0.2">
      <c r="A181" s="161"/>
      <c r="B181" s="161"/>
      <c r="C181" s="161"/>
      <c r="D181" s="161"/>
      <c r="E181" s="162"/>
      <c r="F181" s="161"/>
      <c r="G181" s="161"/>
      <c r="H181" s="161"/>
      <c r="I181" s="161"/>
      <c r="J181" s="161"/>
      <c r="K181" s="161"/>
      <c r="L181" s="161"/>
      <c r="M181" s="161"/>
      <c r="N181" s="161"/>
      <c r="O181" s="161"/>
      <c r="P181" s="161"/>
      <c r="Q181" s="160"/>
      <c r="R181" s="161"/>
      <c r="S181" s="161"/>
      <c r="T181" s="161"/>
      <c r="U181" s="161"/>
      <c r="V181" s="161"/>
      <c r="W181" s="161"/>
      <c r="X181" s="161"/>
      <c r="Y181" s="161"/>
      <c r="Z181" s="161"/>
      <c r="AA181" s="161"/>
      <c r="AB181" s="161"/>
      <c r="AC181" s="161"/>
      <c r="AD181" s="161"/>
      <c r="AE181" s="161"/>
      <c r="AF181" s="161"/>
      <c r="AG181" s="161"/>
      <c r="AH181" s="161"/>
      <c r="AI181" s="161"/>
      <c r="AJ181" s="161"/>
      <c r="AK181" s="161"/>
      <c r="AL181" s="161"/>
      <c r="AM181" s="161"/>
      <c r="AN181" s="161"/>
      <c r="AO181" s="161"/>
      <c r="AP181" s="161"/>
      <c r="AQ181" s="161"/>
      <c r="AR181" s="161"/>
      <c r="AS181" s="161"/>
      <c r="AT181" s="161"/>
      <c r="AU181" s="161"/>
      <c r="AV181" s="161"/>
      <c r="AW181" s="161"/>
      <c r="AX181" s="161"/>
      <c r="AY181" s="161"/>
      <c r="AZ181" s="161"/>
      <c r="BA181" s="161"/>
      <c r="BB181" s="161"/>
      <c r="BC181" s="161"/>
      <c r="BD181" s="161"/>
    </row>
    <row r="182" spans="1:56" x14ac:dyDescent="0.2">
      <c r="A182" s="161"/>
      <c r="B182" s="161"/>
      <c r="C182" s="161"/>
      <c r="D182" s="161"/>
      <c r="E182" s="162"/>
      <c r="F182" s="161"/>
      <c r="G182" s="161"/>
      <c r="H182" s="161"/>
      <c r="I182" s="161"/>
      <c r="J182" s="161"/>
      <c r="K182" s="161"/>
      <c r="L182" s="161"/>
      <c r="M182" s="161"/>
      <c r="N182" s="161"/>
      <c r="O182" s="161"/>
      <c r="P182" s="161"/>
      <c r="Q182" s="160"/>
      <c r="R182" s="161"/>
      <c r="S182" s="161"/>
      <c r="T182" s="161"/>
      <c r="U182" s="161"/>
      <c r="V182" s="161"/>
      <c r="W182" s="161"/>
      <c r="X182" s="161"/>
      <c r="Y182" s="161"/>
      <c r="Z182" s="161"/>
      <c r="AA182" s="161"/>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61"/>
      <c r="AX182" s="161"/>
      <c r="AY182" s="161"/>
      <c r="AZ182" s="161"/>
      <c r="BA182" s="161"/>
      <c r="BB182" s="161"/>
      <c r="BC182" s="161"/>
      <c r="BD182" s="161"/>
    </row>
    <row r="183" spans="1:56" x14ac:dyDescent="0.2">
      <c r="A183" s="161"/>
      <c r="B183" s="161"/>
      <c r="C183" s="161"/>
      <c r="D183" s="161"/>
      <c r="E183" s="162"/>
      <c r="F183" s="161"/>
      <c r="G183" s="161"/>
      <c r="H183" s="161"/>
      <c r="I183" s="161"/>
      <c r="J183" s="161"/>
      <c r="K183" s="161"/>
      <c r="L183" s="161"/>
      <c r="M183" s="161"/>
      <c r="N183" s="161"/>
      <c r="O183" s="161"/>
      <c r="P183" s="161"/>
      <c r="Q183" s="160"/>
      <c r="R183" s="161"/>
      <c r="S183" s="161"/>
      <c r="T183" s="161"/>
      <c r="U183" s="161"/>
      <c r="V183" s="161"/>
      <c r="W183" s="161"/>
      <c r="X183" s="161"/>
      <c r="Y183" s="161"/>
      <c r="Z183" s="161"/>
      <c r="AA183" s="161"/>
      <c r="AB183" s="161"/>
      <c r="AC183" s="161"/>
      <c r="AD183" s="161"/>
      <c r="AE183" s="161"/>
      <c r="AF183" s="161"/>
      <c r="AG183" s="161"/>
      <c r="AH183" s="161"/>
      <c r="AI183" s="161"/>
      <c r="AJ183" s="161"/>
      <c r="AK183" s="161"/>
      <c r="AL183" s="161"/>
      <c r="AM183" s="161"/>
      <c r="AN183" s="161"/>
      <c r="AO183" s="161"/>
      <c r="AP183" s="161"/>
      <c r="AQ183" s="161"/>
      <c r="AR183" s="161"/>
      <c r="AS183" s="161"/>
      <c r="AT183" s="161"/>
      <c r="AU183" s="161"/>
      <c r="AV183" s="161"/>
      <c r="AW183" s="161"/>
      <c r="AX183" s="161"/>
      <c r="AY183" s="161"/>
      <c r="AZ183" s="161"/>
      <c r="BA183" s="161"/>
      <c r="BB183" s="161"/>
      <c r="BC183" s="161"/>
      <c r="BD183" s="161"/>
    </row>
    <row r="184" spans="1:56" x14ac:dyDescent="0.2">
      <c r="A184" s="161"/>
      <c r="B184" s="161"/>
      <c r="C184" s="161"/>
      <c r="D184" s="161"/>
      <c r="E184" s="162"/>
      <c r="F184" s="161"/>
      <c r="G184" s="161"/>
      <c r="H184" s="161"/>
      <c r="I184" s="161"/>
      <c r="J184" s="161"/>
      <c r="K184" s="161"/>
      <c r="L184" s="161"/>
      <c r="M184" s="161"/>
      <c r="N184" s="161"/>
      <c r="O184" s="161"/>
      <c r="P184" s="161"/>
      <c r="Q184" s="160"/>
      <c r="R184" s="161"/>
      <c r="S184" s="161"/>
      <c r="T184" s="161"/>
      <c r="U184" s="161"/>
      <c r="V184" s="161"/>
      <c r="W184" s="161"/>
      <c r="X184" s="161"/>
      <c r="Y184" s="161"/>
      <c r="Z184" s="161"/>
      <c r="AA184" s="161"/>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61"/>
      <c r="AX184" s="161"/>
      <c r="AY184" s="161"/>
      <c r="AZ184" s="161"/>
      <c r="BA184" s="161"/>
      <c r="BB184" s="161"/>
      <c r="BC184" s="161"/>
      <c r="BD184" s="161"/>
    </row>
    <row r="185" spans="1:56" x14ac:dyDescent="0.2">
      <c r="A185" s="161"/>
      <c r="B185" s="161"/>
      <c r="C185" s="161"/>
      <c r="D185" s="161"/>
      <c r="E185" s="162"/>
      <c r="F185" s="161"/>
      <c r="G185" s="161"/>
      <c r="H185" s="161"/>
      <c r="I185" s="161"/>
      <c r="J185" s="161"/>
      <c r="K185" s="161"/>
      <c r="L185" s="161"/>
      <c r="M185" s="161"/>
      <c r="N185" s="161"/>
      <c r="O185" s="161"/>
      <c r="P185" s="161"/>
      <c r="Q185" s="160"/>
      <c r="R185" s="161"/>
      <c r="S185" s="161"/>
      <c r="T185" s="161"/>
      <c r="U185" s="161"/>
      <c r="V185" s="161"/>
      <c r="W185" s="161"/>
      <c r="X185" s="161"/>
      <c r="Y185" s="161"/>
      <c r="Z185" s="161"/>
      <c r="AA185" s="161"/>
      <c r="AB185" s="161"/>
      <c r="AC185" s="161"/>
      <c r="AD185" s="161"/>
      <c r="AE185" s="161"/>
      <c r="AF185" s="161"/>
      <c r="AG185" s="161"/>
      <c r="AH185" s="161"/>
      <c r="AI185" s="161"/>
      <c r="AJ185" s="161"/>
      <c r="AK185" s="161"/>
      <c r="AL185" s="161"/>
      <c r="AM185" s="161"/>
      <c r="AN185" s="161"/>
      <c r="AO185" s="161"/>
      <c r="AP185" s="161"/>
      <c r="AQ185" s="161"/>
      <c r="AR185" s="161"/>
      <c r="AS185" s="161"/>
      <c r="AT185" s="161"/>
      <c r="AU185" s="161"/>
      <c r="AV185" s="161"/>
      <c r="AW185" s="161"/>
      <c r="AX185" s="161"/>
      <c r="AY185" s="161"/>
      <c r="AZ185" s="161"/>
      <c r="BA185" s="161"/>
      <c r="BB185" s="161"/>
      <c r="BC185" s="161"/>
      <c r="BD185" s="161"/>
    </row>
    <row r="186" spans="1:56" x14ac:dyDescent="0.2">
      <c r="A186" s="161"/>
      <c r="B186" s="161"/>
      <c r="C186" s="161"/>
      <c r="D186" s="161"/>
      <c r="E186" s="162"/>
      <c r="F186" s="161"/>
      <c r="G186" s="161"/>
      <c r="H186" s="161"/>
      <c r="I186" s="161"/>
      <c r="J186" s="161"/>
      <c r="K186" s="161"/>
      <c r="L186" s="161"/>
      <c r="M186" s="161"/>
      <c r="N186" s="161"/>
      <c r="O186" s="161"/>
      <c r="P186" s="161"/>
      <c r="Q186" s="160"/>
      <c r="R186" s="161"/>
      <c r="S186" s="161"/>
      <c r="T186" s="161"/>
      <c r="U186" s="161"/>
      <c r="V186" s="161"/>
      <c r="W186" s="161"/>
      <c r="X186" s="161"/>
      <c r="Y186" s="161"/>
      <c r="Z186" s="161"/>
      <c r="AA186" s="161"/>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61"/>
      <c r="AX186" s="161"/>
      <c r="AY186" s="161"/>
      <c r="AZ186" s="161"/>
      <c r="BA186" s="161"/>
      <c r="BB186" s="161"/>
      <c r="BC186" s="161"/>
      <c r="BD186" s="161"/>
    </row>
    <row r="187" spans="1:56" x14ac:dyDescent="0.2">
      <c r="A187" s="161"/>
      <c r="B187" s="161"/>
      <c r="C187" s="161"/>
      <c r="D187" s="161"/>
      <c r="E187" s="162"/>
      <c r="F187" s="161"/>
      <c r="G187" s="161"/>
      <c r="H187" s="161"/>
      <c r="I187" s="161"/>
      <c r="J187" s="161"/>
      <c r="K187" s="161"/>
      <c r="L187" s="161"/>
      <c r="M187" s="161"/>
      <c r="N187" s="161"/>
      <c r="O187" s="161"/>
      <c r="P187" s="161"/>
      <c r="Q187" s="160"/>
      <c r="R187" s="161"/>
      <c r="S187" s="161"/>
      <c r="T187" s="161"/>
      <c r="U187" s="161"/>
      <c r="V187" s="161"/>
      <c r="W187" s="161"/>
      <c r="X187" s="161"/>
      <c r="Y187" s="161"/>
      <c r="Z187" s="161"/>
      <c r="AA187" s="161"/>
      <c r="AB187" s="161"/>
      <c r="AC187" s="161"/>
      <c r="AD187" s="161"/>
      <c r="AE187" s="161"/>
      <c r="AF187" s="161"/>
      <c r="AG187" s="161"/>
      <c r="AH187" s="161"/>
      <c r="AI187" s="161"/>
      <c r="AJ187" s="161"/>
      <c r="AK187" s="161"/>
      <c r="AL187" s="161"/>
      <c r="AM187" s="161"/>
      <c r="AN187" s="161"/>
      <c r="AO187" s="161"/>
      <c r="AP187" s="161"/>
      <c r="AQ187" s="161"/>
      <c r="AR187" s="161"/>
      <c r="AS187" s="161"/>
      <c r="AT187" s="161"/>
      <c r="AU187" s="161"/>
      <c r="AV187" s="161"/>
      <c r="AW187" s="161"/>
      <c r="AX187" s="161"/>
      <c r="AY187" s="161"/>
      <c r="AZ187" s="161"/>
      <c r="BA187" s="161"/>
      <c r="BB187" s="161"/>
      <c r="BC187" s="161"/>
      <c r="BD187" s="161"/>
    </row>
    <row r="188" spans="1:56" x14ac:dyDescent="0.2">
      <c r="A188" s="161"/>
      <c r="B188" s="161"/>
      <c r="C188" s="161"/>
      <c r="D188" s="161"/>
      <c r="E188" s="162"/>
      <c r="F188" s="161"/>
      <c r="G188" s="161"/>
      <c r="H188" s="161"/>
      <c r="I188" s="161"/>
      <c r="J188" s="161"/>
      <c r="K188" s="161"/>
      <c r="L188" s="161"/>
      <c r="M188" s="161"/>
      <c r="N188" s="161"/>
      <c r="O188" s="161"/>
      <c r="P188" s="161"/>
      <c r="Q188" s="160"/>
      <c r="R188" s="161"/>
      <c r="S188" s="161"/>
      <c r="T188" s="161"/>
      <c r="U188" s="161"/>
      <c r="V188" s="161"/>
      <c r="W188" s="161"/>
      <c r="X188" s="161"/>
      <c r="Y188" s="161"/>
      <c r="Z188" s="161"/>
      <c r="AA188" s="161"/>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61"/>
      <c r="AX188" s="161"/>
      <c r="AY188" s="161"/>
      <c r="AZ188" s="161"/>
      <c r="BA188" s="161"/>
      <c r="BB188" s="161"/>
      <c r="BC188" s="161"/>
      <c r="BD188" s="161"/>
    </row>
    <row r="189" spans="1:56" x14ac:dyDescent="0.2">
      <c r="A189" s="161"/>
      <c r="B189" s="161"/>
      <c r="C189" s="161"/>
      <c r="D189" s="161"/>
      <c r="E189" s="162"/>
      <c r="F189" s="161"/>
      <c r="G189" s="161"/>
      <c r="H189" s="161"/>
      <c r="I189" s="161"/>
      <c r="J189" s="161"/>
      <c r="K189" s="161"/>
      <c r="L189" s="161"/>
      <c r="M189" s="161"/>
      <c r="N189" s="161"/>
      <c r="O189" s="161"/>
      <c r="P189" s="161"/>
      <c r="Q189" s="160"/>
      <c r="R189" s="161"/>
      <c r="S189" s="161"/>
      <c r="T189" s="161"/>
      <c r="U189" s="161"/>
      <c r="V189" s="161"/>
      <c r="W189" s="161"/>
      <c r="X189" s="161"/>
      <c r="Y189" s="161"/>
      <c r="Z189" s="161"/>
      <c r="AA189" s="161"/>
      <c r="AB189" s="161"/>
      <c r="AC189" s="161"/>
      <c r="AD189" s="161"/>
      <c r="AE189" s="161"/>
      <c r="AF189" s="161"/>
      <c r="AG189" s="161"/>
      <c r="AH189" s="161"/>
      <c r="AI189" s="161"/>
      <c r="AJ189" s="161"/>
      <c r="AK189" s="161"/>
      <c r="AL189" s="161"/>
      <c r="AM189" s="161"/>
      <c r="AN189" s="161"/>
      <c r="AO189" s="161"/>
      <c r="AP189" s="161"/>
      <c r="AQ189" s="161"/>
      <c r="AR189" s="161"/>
      <c r="AS189" s="161"/>
      <c r="AT189" s="161"/>
      <c r="AU189" s="161"/>
      <c r="AV189" s="161"/>
      <c r="AW189" s="161"/>
      <c r="AX189" s="161"/>
      <c r="AY189" s="161"/>
      <c r="AZ189" s="161"/>
      <c r="BA189" s="161"/>
      <c r="BB189" s="161"/>
      <c r="BC189" s="161"/>
      <c r="BD189" s="161"/>
    </row>
    <row r="190" spans="1:56" x14ac:dyDescent="0.2">
      <c r="A190" s="161"/>
      <c r="B190" s="161"/>
      <c r="C190" s="161"/>
      <c r="D190" s="161"/>
      <c r="E190" s="162"/>
      <c r="F190" s="161"/>
      <c r="G190" s="161"/>
      <c r="H190" s="161"/>
      <c r="I190" s="161"/>
      <c r="J190" s="161"/>
      <c r="K190" s="161"/>
      <c r="L190" s="161"/>
      <c r="M190" s="161"/>
      <c r="N190" s="161"/>
      <c r="O190" s="161"/>
      <c r="P190" s="161"/>
      <c r="Q190" s="160"/>
      <c r="R190" s="161"/>
      <c r="S190" s="161"/>
      <c r="T190" s="161"/>
      <c r="U190" s="161"/>
      <c r="V190" s="161"/>
      <c r="W190" s="161"/>
      <c r="X190" s="161"/>
      <c r="Y190" s="161"/>
      <c r="Z190" s="161"/>
      <c r="AA190" s="161"/>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61"/>
      <c r="AX190" s="161"/>
      <c r="AY190" s="161"/>
      <c r="AZ190" s="161"/>
      <c r="BA190" s="161"/>
      <c r="BB190" s="161"/>
      <c r="BC190" s="161"/>
      <c r="BD190" s="161"/>
    </row>
    <row r="191" spans="1:56" x14ac:dyDescent="0.2">
      <c r="A191" s="161"/>
      <c r="B191" s="161"/>
      <c r="C191" s="161"/>
      <c r="D191" s="161"/>
      <c r="E191" s="162"/>
      <c r="F191" s="161"/>
      <c r="G191" s="161"/>
      <c r="H191" s="161"/>
      <c r="I191" s="161"/>
      <c r="J191" s="161"/>
      <c r="K191" s="161"/>
      <c r="L191" s="161"/>
      <c r="M191" s="161"/>
      <c r="N191" s="161"/>
      <c r="O191" s="161"/>
      <c r="P191" s="161"/>
      <c r="Q191" s="160"/>
      <c r="R191" s="161"/>
      <c r="S191" s="161"/>
      <c r="T191" s="161"/>
      <c r="U191" s="161"/>
      <c r="V191" s="161"/>
      <c r="W191" s="161"/>
      <c r="X191" s="161"/>
      <c r="Y191" s="161"/>
      <c r="Z191" s="161"/>
      <c r="AA191" s="161"/>
      <c r="AB191" s="161"/>
      <c r="AC191" s="161"/>
      <c r="AD191" s="161"/>
      <c r="AE191" s="161"/>
      <c r="AF191" s="161"/>
      <c r="AG191" s="161"/>
      <c r="AH191" s="161"/>
      <c r="AI191" s="161"/>
      <c r="AJ191" s="161"/>
      <c r="AK191" s="161"/>
      <c r="AL191" s="161"/>
      <c r="AM191" s="161"/>
      <c r="AN191" s="161"/>
      <c r="AO191" s="161"/>
      <c r="AP191" s="161"/>
      <c r="AQ191" s="161"/>
      <c r="AR191" s="161"/>
      <c r="AS191" s="161"/>
      <c r="AT191" s="161"/>
      <c r="AU191" s="161"/>
      <c r="AV191" s="161"/>
      <c r="AW191" s="161"/>
      <c r="AX191" s="161"/>
      <c r="AY191" s="161"/>
      <c r="AZ191" s="161"/>
      <c r="BA191" s="161"/>
      <c r="BB191" s="161"/>
      <c r="BC191" s="161"/>
      <c r="BD191" s="161"/>
    </row>
    <row r="192" spans="1:56" x14ac:dyDescent="0.2">
      <c r="A192" s="161"/>
      <c r="B192" s="161"/>
      <c r="C192" s="161"/>
      <c r="D192" s="161"/>
      <c r="E192" s="162"/>
      <c r="F192" s="161"/>
      <c r="G192" s="161"/>
      <c r="H192" s="161"/>
      <c r="I192" s="161"/>
      <c r="J192" s="161"/>
      <c r="K192" s="161"/>
      <c r="L192" s="161"/>
      <c r="M192" s="161"/>
      <c r="N192" s="161"/>
      <c r="O192" s="161"/>
      <c r="P192" s="161"/>
      <c r="Q192" s="160"/>
      <c r="R192" s="161"/>
      <c r="S192" s="161"/>
      <c r="T192" s="161"/>
      <c r="U192" s="161"/>
      <c r="V192" s="161"/>
      <c r="W192" s="161"/>
      <c r="X192" s="161"/>
      <c r="Y192" s="161"/>
      <c r="Z192" s="161"/>
      <c r="AA192" s="161"/>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61"/>
      <c r="AX192" s="161"/>
      <c r="AY192" s="161"/>
      <c r="AZ192" s="161"/>
      <c r="BA192" s="161"/>
      <c r="BB192" s="161"/>
      <c r="BC192" s="161"/>
      <c r="BD192" s="161"/>
    </row>
    <row r="193" spans="1:56" x14ac:dyDescent="0.2">
      <c r="A193" s="161"/>
      <c r="B193" s="161"/>
      <c r="C193" s="161"/>
      <c r="D193" s="161"/>
      <c r="E193" s="162"/>
      <c r="F193" s="161"/>
      <c r="G193" s="161"/>
      <c r="H193" s="161"/>
      <c r="I193" s="161"/>
      <c r="J193" s="161"/>
      <c r="K193" s="161"/>
      <c r="L193" s="161"/>
      <c r="M193" s="161"/>
      <c r="N193" s="161"/>
      <c r="O193" s="161"/>
      <c r="P193" s="161"/>
      <c r="Q193" s="160"/>
      <c r="R193" s="161"/>
      <c r="S193" s="161"/>
      <c r="T193" s="161"/>
      <c r="U193" s="161"/>
      <c r="V193" s="161"/>
      <c r="W193" s="161"/>
      <c r="X193" s="161"/>
      <c r="Y193" s="161"/>
      <c r="Z193" s="161"/>
      <c r="AA193" s="161"/>
      <c r="AB193" s="161"/>
      <c r="AC193" s="161"/>
      <c r="AD193" s="161"/>
      <c r="AE193" s="161"/>
      <c r="AF193" s="161"/>
      <c r="AG193" s="161"/>
      <c r="AH193" s="161"/>
      <c r="AI193" s="161"/>
      <c r="AJ193" s="161"/>
      <c r="AK193" s="161"/>
      <c r="AL193" s="161"/>
      <c r="AM193" s="161"/>
      <c r="AN193" s="161"/>
      <c r="AO193" s="161"/>
      <c r="AP193" s="161"/>
      <c r="AQ193" s="161"/>
      <c r="AR193" s="161"/>
      <c r="AS193" s="161"/>
      <c r="AT193" s="161"/>
      <c r="AU193" s="161"/>
      <c r="AV193" s="161"/>
      <c r="AW193" s="161"/>
      <c r="AX193" s="161"/>
      <c r="AY193" s="161"/>
      <c r="AZ193" s="161"/>
      <c r="BA193" s="161"/>
      <c r="BB193" s="161"/>
      <c r="BC193" s="161"/>
      <c r="BD193" s="161"/>
    </row>
    <row r="194" spans="1:56" x14ac:dyDescent="0.2">
      <c r="A194" s="161"/>
      <c r="B194" s="161"/>
      <c r="C194" s="161"/>
      <c r="D194" s="161"/>
      <c r="E194" s="162"/>
      <c r="F194" s="161"/>
      <c r="G194" s="161"/>
      <c r="H194" s="161"/>
      <c r="I194" s="161"/>
      <c r="J194" s="161"/>
      <c r="K194" s="161"/>
      <c r="L194" s="161"/>
      <c r="M194" s="161"/>
      <c r="N194" s="161"/>
      <c r="O194" s="161"/>
      <c r="P194" s="161"/>
      <c r="Q194" s="160"/>
      <c r="R194" s="161"/>
      <c r="S194" s="161"/>
      <c r="T194" s="161"/>
      <c r="U194" s="161"/>
      <c r="V194" s="161"/>
      <c r="W194" s="161"/>
      <c r="X194" s="161"/>
      <c r="Y194" s="161"/>
      <c r="Z194" s="161"/>
      <c r="AA194" s="161"/>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61"/>
      <c r="AX194" s="161"/>
      <c r="AY194" s="161"/>
      <c r="AZ194" s="161"/>
      <c r="BA194" s="161"/>
      <c r="BB194" s="161"/>
      <c r="BC194" s="161"/>
      <c r="BD194" s="161"/>
    </row>
    <row r="195" spans="1:56" x14ac:dyDescent="0.2">
      <c r="A195" s="161"/>
      <c r="B195" s="161"/>
      <c r="C195" s="161"/>
      <c r="D195" s="161"/>
      <c r="E195" s="162"/>
      <c r="F195" s="161"/>
      <c r="G195" s="161"/>
      <c r="H195" s="161"/>
      <c r="I195" s="161"/>
      <c r="J195" s="161"/>
      <c r="K195" s="161"/>
      <c r="L195" s="161"/>
      <c r="M195" s="161"/>
      <c r="N195" s="161"/>
      <c r="O195" s="161"/>
      <c r="P195" s="161"/>
      <c r="Q195" s="160"/>
      <c r="R195" s="161"/>
      <c r="S195" s="161"/>
      <c r="T195" s="161"/>
      <c r="U195" s="161"/>
      <c r="V195" s="161"/>
      <c r="W195" s="161"/>
      <c r="X195" s="161"/>
      <c r="Y195" s="161"/>
      <c r="Z195" s="161"/>
      <c r="AA195" s="161"/>
      <c r="AB195" s="161"/>
      <c r="AC195" s="161"/>
      <c r="AD195" s="161"/>
      <c r="AE195" s="161"/>
      <c r="AF195" s="161"/>
      <c r="AG195" s="161"/>
      <c r="AH195" s="161"/>
      <c r="AI195" s="161"/>
      <c r="AJ195" s="161"/>
      <c r="AK195" s="161"/>
      <c r="AL195" s="161"/>
      <c r="AM195" s="161"/>
      <c r="AN195" s="161"/>
      <c r="AO195" s="161"/>
      <c r="AP195" s="161"/>
      <c r="AQ195" s="161"/>
      <c r="AR195" s="161"/>
      <c r="AS195" s="161"/>
      <c r="AT195" s="161"/>
      <c r="AU195" s="161"/>
      <c r="AV195" s="161"/>
      <c r="AW195" s="161"/>
      <c r="AX195" s="161"/>
      <c r="AY195" s="161"/>
      <c r="AZ195" s="161"/>
      <c r="BA195" s="161"/>
      <c r="BB195" s="161"/>
      <c r="BC195" s="161"/>
      <c r="BD195" s="161"/>
    </row>
    <row r="196" spans="1:56" x14ac:dyDescent="0.2">
      <c r="A196" s="161"/>
      <c r="B196" s="161"/>
      <c r="C196" s="161"/>
      <c r="D196" s="161"/>
      <c r="E196" s="162"/>
      <c r="F196" s="161"/>
      <c r="G196" s="161"/>
      <c r="H196" s="161"/>
      <c r="I196" s="161"/>
      <c r="J196" s="161"/>
      <c r="K196" s="161"/>
      <c r="L196" s="161"/>
      <c r="M196" s="161"/>
      <c r="N196" s="161"/>
      <c r="O196" s="161"/>
      <c r="P196" s="161"/>
      <c r="Q196" s="160"/>
      <c r="R196" s="161"/>
      <c r="S196" s="161"/>
      <c r="T196" s="161"/>
      <c r="U196" s="161"/>
      <c r="V196" s="161"/>
      <c r="W196" s="161"/>
      <c r="X196" s="161"/>
      <c r="Y196" s="161"/>
      <c r="Z196" s="161"/>
      <c r="AA196" s="161"/>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61"/>
      <c r="AX196" s="161"/>
      <c r="AY196" s="161"/>
      <c r="AZ196" s="161"/>
      <c r="BA196" s="161"/>
      <c r="BB196" s="161"/>
      <c r="BC196" s="161"/>
      <c r="BD196" s="161"/>
    </row>
    <row r="197" spans="1:56" x14ac:dyDescent="0.2">
      <c r="A197" s="161"/>
      <c r="B197" s="161"/>
      <c r="C197" s="161"/>
      <c r="D197" s="161"/>
      <c r="E197" s="162"/>
      <c r="F197" s="161"/>
      <c r="G197" s="161"/>
      <c r="H197" s="161"/>
      <c r="I197" s="161"/>
      <c r="J197" s="161"/>
      <c r="K197" s="161"/>
      <c r="L197" s="161"/>
      <c r="M197" s="161"/>
      <c r="N197" s="161"/>
      <c r="O197" s="161"/>
      <c r="P197" s="161"/>
      <c r="Q197" s="160"/>
      <c r="R197" s="161"/>
      <c r="S197" s="161"/>
      <c r="T197" s="161"/>
      <c r="U197" s="161"/>
      <c r="V197" s="161"/>
      <c r="W197" s="161"/>
      <c r="X197" s="161"/>
      <c r="Y197" s="161"/>
      <c r="Z197" s="161"/>
      <c r="AA197" s="161"/>
      <c r="AB197" s="161"/>
      <c r="AC197" s="161"/>
      <c r="AD197" s="161"/>
      <c r="AE197" s="161"/>
      <c r="AF197" s="161"/>
      <c r="AG197" s="161"/>
      <c r="AH197" s="161"/>
      <c r="AI197" s="161"/>
      <c r="AJ197" s="161"/>
      <c r="AK197" s="161"/>
      <c r="AL197" s="161"/>
      <c r="AM197" s="161"/>
      <c r="AN197" s="161"/>
      <c r="AO197" s="161"/>
      <c r="AP197" s="161"/>
      <c r="AQ197" s="161"/>
      <c r="AR197" s="161"/>
      <c r="AS197" s="161"/>
      <c r="AT197" s="161"/>
      <c r="AU197" s="161"/>
      <c r="AV197" s="161"/>
      <c r="AW197" s="161"/>
      <c r="AX197" s="161"/>
      <c r="AY197" s="161"/>
      <c r="AZ197" s="161"/>
      <c r="BA197" s="161"/>
      <c r="BB197" s="161"/>
      <c r="BC197" s="161"/>
      <c r="BD197" s="161"/>
    </row>
    <row r="198" spans="1:56" x14ac:dyDescent="0.2">
      <c r="A198" s="161"/>
      <c r="B198" s="161"/>
      <c r="C198" s="161"/>
      <c r="D198" s="161"/>
      <c r="E198" s="162"/>
      <c r="F198" s="161"/>
      <c r="G198" s="161"/>
      <c r="H198" s="161"/>
      <c r="I198" s="161"/>
      <c r="J198" s="161"/>
      <c r="K198" s="161"/>
      <c r="L198" s="161"/>
      <c r="M198" s="161"/>
      <c r="N198" s="161"/>
      <c r="O198" s="161"/>
      <c r="P198" s="161"/>
      <c r="Q198" s="160"/>
      <c r="R198" s="161"/>
      <c r="S198" s="161"/>
      <c r="T198" s="161"/>
      <c r="U198" s="161"/>
      <c r="V198" s="161"/>
      <c r="W198" s="161"/>
      <c r="X198" s="161"/>
      <c r="Y198" s="161"/>
      <c r="Z198" s="161"/>
      <c r="AA198" s="161"/>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61"/>
      <c r="AX198" s="161"/>
      <c r="AY198" s="161"/>
      <c r="AZ198" s="161"/>
      <c r="BA198" s="161"/>
      <c r="BB198" s="161"/>
      <c r="BC198" s="161"/>
      <c r="BD198" s="161"/>
    </row>
    <row r="199" spans="1:56" x14ac:dyDescent="0.2">
      <c r="A199" s="161"/>
      <c r="B199" s="161"/>
      <c r="C199" s="161"/>
      <c r="D199" s="161"/>
      <c r="E199" s="162"/>
      <c r="F199" s="161"/>
      <c r="G199" s="161"/>
      <c r="H199" s="161"/>
      <c r="I199" s="161"/>
      <c r="J199" s="161"/>
      <c r="K199" s="161"/>
      <c r="L199" s="161"/>
      <c r="M199" s="161"/>
      <c r="N199" s="161"/>
      <c r="O199" s="161"/>
      <c r="P199" s="161"/>
      <c r="Q199" s="160"/>
      <c r="R199" s="161"/>
      <c r="S199" s="161"/>
      <c r="T199" s="161"/>
      <c r="U199" s="161"/>
      <c r="V199" s="161"/>
      <c r="W199" s="161"/>
      <c r="X199" s="161"/>
      <c r="Y199" s="161"/>
      <c r="Z199" s="161"/>
      <c r="AA199" s="161"/>
      <c r="AB199" s="161"/>
      <c r="AC199" s="161"/>
      <c r="AD199" s="161"/>
      <c r="AE199" s="161"/>
      <c r="AF199" s="161"/>
      <c r="AG199" s="161"/>
      <c r="AH199" s="161"/>
      <c r="AI199" s="161"/>
      <c r="AJ199" s="161"/>
      <c r="AK199" s="161"/>
      <c r="AL199" s="161"/>
      <c r="AM199" s="161"/>
      <c r="AN199" s="161"/>
      <c r="AO199" s="161"/>
      <c r="AP199" s="161"/>
      <c r="AQ199" s="161"/>
      <c r="AR199" s="161"/>
      <c r="AS199" s="161"/>
      <c r="AT199" s="161"/>
      <c r="AU199" s="161"/>
      <c r="AV199" s="161"/>
      <c r="AW199" s="161"/>
      <c r="AX199" s="161"/>
      <c r="AY199" s="161"/>
      <c r="AZ199" s="161"/>
      <c r="BA199" s="161"/>
      <c r="BB199" s="161"/>
      <c r="BC199" s="161"/>
      <c r="BD199" s="161"/>
    </row>
    <row r="200" spans="1:56" x14ac:dyDescent="0.2">
      <c r="A200" s="161"/>
      <c r="B200" s="161"/>
      <c r="C200" s="161"/>
      <c r="D200" s="161"/>
      <c r="E200" s="162"/>
      <c r="F200" s="161"/>
      <c r="G200" s="161"/>
      <c r="H200" s="161"/>
      <c r="I200" s="161"/>
      <c r="J200" s="161"/>
      <c r="K200" s="161"/>
      <c r="L200" s="161"/>
      <c r="M200" s="161"/>
      <c r="N200" s="161"/>
      <c r="O200" s="161"/>
      <c r="P200" s="161"/>
      <c r="Q200" s="160"/>
      <c r="R200" s="161"/>
      <c r="S200" s="161"/>
      <c r="T200" s="161"/>
      <c r="U200" s="161"/>
      <c r="V200" s="161"/>
      <c r="W200" s="161"/>
      <c r="X200" s="161"/>
      <c r="Y200" s="161"/>
      <c r="Z200" s="161"/>
      <c r="AA200" s="161"/>
      <c r="AB200" s="161"/>
      <c r="AC200" s="161"/>
      <c r="AD200" s="161"/>
      <c r="AE200" s="161"/>
      <c r="AF200" s="161"/>
      <c r="AG200" s="161"/>
      <c r="AH200" s="161"/>
      <c r="AI200" s="161"/>
      <c r="AJ200" s="161"/>
      <c r="AK200" s="161"/>
      <c r="AL200" s="161"/>
      <c r="AM200" s="161"/>
      <c r="AN200" s="161"/>
      <c r="AO200" s="161"/>
      <c r="AP200" s="161"/>
      <c r="AQ200" s="161"/>
      <c r="AR200" s="161"/>
      <c r="AS200" s="161"/>
      <c r="AT200" s="161"/>
      <c r="AU200" s="161"/>
      <c r="AV200" s="161"/>
      <c r="AW200" s="161"/>
      <c r="AX200" s="161"/>
      <c r="AY200" s="161"/>
      <c r="AZ200" s="161"/>
      <c r="BA200" s="161"/>
      <c r="BB200" s="161"/>
      <c r="BC200" s="161"/>
      <c r="BD200" s="161"/>
    </row>
    <row r="201" spans="1:56" x14ac:dyDescent="0.2">
      <c r="A201" s="161"/>
      <c r="B201" s="161"/>
      <c r="C201" s="161"/>
      <c r="D201" s="161"/>
      <c r="E201" s="162"/>
      <c r="F201" s="161"/>
      <c r="G201" s="161"/>
      <c r="H201" s="161"/>
      <c r="I201" s="161"/>
      <c r="J201" s="161"/>
      <c r="K201" s="161"/>
      <c r="L201" s="161"/>
      <c r="M201" s="161"/>
      <c r="N201" s="161"/>
      <c r="O201" s="161"/>
      <c r="P201" s="161"/>
      <c r="Q201" s="160"/>
      <c r="R201" s="161"/>
      <c r="S201" s="161"/>
      <c r="T201" s="161"/>
      <c r="U201" s="161"/>
      <c r="V201" s="161"/>
      <c r="W201" s="161"/>
      <c r="X201" s="161"/>
      <c r="Y201" s="161"/>
      <c r="Z201" s="161"/>
      <c r="AA201" s="161"/>
      <c r="AB201" s="161"/>
      <c r="AC201" s="161"/>
      <c r="AD201" s="161"/>
      <c r="AE201" s="161"/>
      <c r="AF201" s="161"/>
      <c r="AG201" s="161"/>
      <c r="AH201" s="161"/>
      <c r="AI201" s="161"/>
      <c r="AJ201" s="161"/>
      <c r="AK201" s="161"/>
      <c r="AL201" s="161"/>
      <c r="AM201" s="161"/>
      <c r="AN201" s="161"/>
      <c r="AO201" s="161"/>
      <c r="AP201" s="161"/>
      <c r="AQ201" s="161"/>
      <c r="AR201" s="161"/>
      <c r="AS201" s="161"/>
      <c r="AT201" s="161"/>
      <c r="AU201" s="161"/>
      <c r="AV201" s="161"/>
      <c r="AW201" s="161"/>
      <c r="AX201" s="161"/>
      <c r="AY201" s="161"/>
      <c r="AZ201" s="161"/>
      <c r="BA201" s="161"/>
      <c r="BB201" s="161"/>
      <c r="BC201" s="161"/>
      <c r="BD201" s="161"/>
    </row>
    <row r="202" spans="1:56" x14ac:dyDescent="0.2">
      <c r="A202" s="161"/>
      <c r="B202" s="161"/>
      <c r="C202" s="161"/>
      <c r="D202" s="161"/>
      <c r="E202" s="162"/>
      <c r="F202" s="161"/>
      <c r="G202" s="161"/>
      <c r="H202" s="161"/>
      <c r="I202" s="161"/>
      <c r="J202" s="161"/>
      <c r="K202" s="161"/>
      <c r="L202" s="161"/>
      <c r="M202" s="161"/>
      <c r="N202" s="161"/>
      <c r="O202" s="161"/>
      <c r="P202" s="161"/>
      <c r="Q202" s="160"/>
      <c r="R202" s="161"/>
      <c r="S202" s="161"/>
      <c r="T202" s="161"/>
      <c r="U202" s="161"/>
      <c r="V202" s="161"/>
      <c r="W202" s="161"/>
      <c r="X202" s="161"/>
      <c r="Y202" s="161"/>
      <c r="Z202" s="161"/>
      <c r="AA202" s="161"/>
      <c r="AB202" s="161"/>
      <c r="AC202" s="161"/>
      <c r="AD202" s="161"/>
      <c r="AE202" s="161"/>
      <c r="AF202" s="161"/>
      <c r="AG202" s="161"/>
      <c r="AH202" s="161"/>
      <c r="AI202" s="161"/>
      <c r="AJ202" s="161"/>
      <c r="AK202" s="161"/>
      <c r="AL202" s="161"/>
      <c r="AM202" s="161"/>
      <c r="AN202" s="161"/>
      <c r="AO202" s="161"/>
      <c r="AP202" s="161"/>
      <c r="AQ202" s="161"/>
      <c r="AR202" s="161"/>
      <c r="AS202" s="161"/>
      <c r="AT202" s="161"/>
      <c r="AU202" s="161"/>
      <c r="AV202" s="161"/>
      <c r="AW202" s="161"/>
      <c r="AX202" s="161"/>
      <c r="AY202" s="161"/>
      <c r="AZ202" s="161"/>
      <c r="BA202" s="161"/>
      <c r="BB202" s="161"/>
      <c r="BC202" s="161"/>
      <c r="BD202" s="161"/>
    </row>
    <row r="203" spans="1:56" x14ac:dyDescent="0.2">
      <c r="A203" s="161"/>
      <c r="B203" s="161"/>
      <c r="C203" s="161"/>
      <c r="D203" s="161"/>
      <c r="E203" s="162"/>
      <c r="F203" s="161"/>
      <c r="G203" s="161"/>
      <c r="H203" s="161"/>
      <c r="I203" s="161"/>
      <c r="J203" s="161"/>
      <c r="K203" s="161"/>
      <c r="L203" s="161"/>
      <c r="M203" s="161"/>
      <c r="N203" s="161"/>
      <c r="O203" s="161"/>
      <c r="P203" s="161"/>
      <c r="Q203" s="160"/>
      <c r="R203" s="161"/>
      <c r="S203" s="161"/>
      <c r="T203" s="161"/>
      <c r="U203" s="161"/>
      <c r="V203" s="161"/>
      <c r="W203" s="161"/>
      <c r="X203" s="161"/>
      <c r="Y203" s="161"/>
      <c r="Z203" s="161"/>
      <c r="AA203" s="161"/>
      <c r="AB203" s="161"/>
      <c r="AC203" s="161"/>
      <c r="AD203" s="161"/>
      <c r="AE203" s="161"/>
      <c r="AF203" s="161"/>
      <c r="AG203" s="161"/>
      <c r="AH203" s="161"/>
      <c r="AI203" s="161"/>
      <c r="AJ203" s="161"/>
      <c r="AK203" s="161"/>
      <c r="AL203" s="161"/>
      <c r="AM203" s="161"/>
      <c r="AN203" s="161"/>
      <c r="AO203" s="161"/>
      <c r="AP203" s="161"/>
      <c r="AQ203" s="161"/>
      <c r="AR203" s="161"/>
      <c r="AS203" s="161"/>
      <c r="AT203" s="161"/>
      <c r="AU203" s="161"/>
      <c r="AV203" s="161"/>
      <c r="AW203" s="161"/>
      <c r="AX203" s="161"/>
      <c r="AY203" s="161"/>
      <c r="AZ203" s="161"/>
      <c r="BA203" s="161"/>
      <c r="BB203" s="161"/>
      <c r="BC203" s="161"/>
      <c r="BD203" s="161"/>
    </row>
    <row r="204" spans="1:56" x14ac:dyDescent="0.2">
      <c r="A204" s="161"/>
      <c r="B204" s="161"/>
      <c r="C204" s="161"/>
      <c r="D204" s="161"/>
      <c r="E204" s="162"/>
      <c r="F204" s="161"/>
      <c r="G204" s="161"/>
      <c r="H204" s="161"/>
      <c r="I204" s="161"/>
      <c r="J204" s="161"/>
      <c r="K204" s="161"/>
      <c r="L204" s="161"/>
      <c r="M204" s="161"/>
      <c r="N204" s="161"/>
      <c r="O204" s="161"/>
      <c r="P204" s="161"/>
      <c r="Q204" s="160"/>
      <c r="R204" s="161"/>
      <c r="S204" s="161"/>
      <c r="T204" s="161"/>
      <c r="U204" s="161"/>
      <c r="V204" s="161"/>
      <c r="W204" s="161"/>
      <c r="X204" s="161"/>
      <c r="Y204" s="161"/>
      <c r="Z204" s="161"/>
      <c r="AA204" s="161"/>
      <c r="AB204" s="161"/>
      <c r="AC204" s="161"/>
      <c r="AD204" s="161"/>
      <c r="AE204" s="161"/>
      <c r="AF204" s="161"/>
      <c r="AG204" s="161"/>
      <c r="AH204" s="161"/>
      <c r="AI204" s="161"/>
      <c r="AJ204" s="161"/>
      <c r="AK204" s="161"/>
      <c r="AL204" s="161"/>
      <c r="AM204" s="161"/>
      <c r="AN204" s="161"/>
      <c r="AO204" s="161"/>
      <c r="AP204" s="161"/>
      <c r="AQ204" s="161"/>
      <c r="AR204" s="161"/>
      <c r="AS204" s="161"/>
      <c r="AT204" s="161"/>
      <c r="AU204" s="161"/>
      <c r="AV204" s="161"/>
      <c r="AW204" s="161"/>
      <c r="AX204" s="161"/>
      <c r="AY204" s="161"/>
      <c r="AZ204" s="161"/>
      <c r="BA204" s="161"/>
      <c r="BB204" s="161"/>
      <c r="BC204" s="161"/>
      <c r="BD204" s="161"/>
    </row>
    <row r="205" spans="1:56" x14ac:dyDescent="0.2">
      <c r="A205" s="161"/>
      <c r="B205" s="161"/>
      <c r="C205" s="161"/>
      <c r="D205" s="161"/>
      <c r="E205" s="162"/>
      <c r="F205" s="161"/>
      <c r="G205" s="161"/>
      <c r="H205" s="161"/>
      <c r="I205" s="161"/>
      <c r="J205" s="161"/>
      <c r="K205" s="161"/>
      <c r="L205" s="161"/>
      <c r="M205" s="161"/>
      <c r="N205" s="161"/>
      <c r="O205" s="161"/>
      <c r="P205" s="161"/>
      <c r="Q205" s="160"/>
      <c r="R205" s="161"/>
      <c r="S205" s="161"/>
      <c r="T205" s="161"/>
      <c r="U205" s="161"/>
      <c r="V205" s="161"/>
      <c r="W205" s="161"/>
      <c r="X205" s="161"/>
      <c r="Y205" s="161"/>
      <c r="Z205" s="161"/>
      <c r="AA205" s="161"/>
      <c r="AB205" s="161"/>
      <c r="AC205" s="161"/>
      <c r="AD205" s="161"/>
      <c r="AE205" s="161"/>
      <c r="AF205" s="161"/>
      <c r="AG205" s="161"/>
      <c r="AH205" s="161"/>
      <c r="AI205" s="161"/>
      <c r="AJ205" s="161"/>
      <c r="AK205" s="161"/>
      <c r="AL205" s="161"/>
      <c r="AM205" s="161"/>
      <c r="AN205" s="161"/>
      <c r="AO205" s="161"/>
      <c r="AP205" s="161"/>
      <c r="AQ205" s="161"/>
      <c r="AR205" s="161"/>
      <c r="AS205" s="161"/>
      <c r="AT205" s="161"/>
      <c r="AU205" s="161"/>
      <c r="AV205" s="161"/>
      <c r="AW205" s="161"/>
      <c r="AX205" s="161"/>
      <c r="AY205" s="161"/>
      <c r="AZ205" s="161"/>
      <c r="BA205" s="161"/>
      <c r="BB205" s="161"/>
      <c r="BC205" s="161"/>
      <c r="BD205" s="161"/>
    </row>
    <row r="206" spans="1:56" x14ac:dyDescent="0.2">
      <c r="A206" s="161"/>
      <c r="B206" s="161"/>
      <c r="C206" s="161"/>
      <c r="D206" s="161"/>
      <c r="E206" s="162"/>
      <c r="F206" s="161"/>
      <c r="G206" s="161"/>
      <c r="H206" s="161"/>
      <c r="I206" s="161"/>
      <c r="J206" s="161"/>
      <c r="K206" s="161"/>
      <c r="L206" s="161"/>
      <c r="M206" s="161"/>
      <c r="N206" s="161"/>
      <c r="O206" s="161"/>
      <c r="P206" s="161"/>
      <c r="Q206" s="160"/>
      <c r="R206" s="161"/>
      <c r="S206" s="161"/>
      <c r="T206" s="161"/>
      <c r="U206" s="161"/>
      <c r="V206" s="161"/>
      <c r="W206" s="161"/>
      <c r="X206" s="161"/>
      <c r="Y206" s="161"/>
      <c r="Z206" s="161"/>
      <c r="AA206" s="161"/>
      <c r="AB206" s="161"/>
      <c r="AC206" s="161"/>
      <c r="AD206" s="161"/>
      <c r="AE206" s="161"/>
      <c r="AF206" s="161"/>
      <c r="AG206" s="161"/>
      <c r="AH206" s="161"/>
      <c r="AI206" s="161"/>
      <c r="AJ206" s="161"/>
      <c r="AK206" s="161"/>
      <c r="AL206" s="161"/>
      <c r="AM206" s="161"/>
      <c r="AN206" s="161"/>
      <c r="AO206" s="161"/>
      <c r="AP206" s="161"/>
      <c r="AQ206" s="161"/>
      <c r="AR206" s="161"/>
      <c r="AS206" s="161"/>
      <c r="AT206" s="161"/>
      <c r="AU206" s="161"/>
      <c r="AV206" s="161"/>
      <c r="AW206" s="161"/>
      <c r="AX206" s="161"/>
      <c r="AY206" s="161"/>
      <c r="AZ206" s="161"/>
      <c r="BA206" s="161"/>
      <c r="BB206" s="161"/>
      <c r="BC206" s="161"/>
      <c r="BD206" s="161"/>
    </row>
    <row r="207" spans="1:56" x14ac:dyDescent="0.2">
      <c r="A207" s="161"/>
      <c r="B207" s="161"/>
      <c r="C207" s="161"/>
      <c r="D207" s="161"/>
      <c r="E207" s="162"/>
      <c r="F207" s="161"/>
      <c r="G207" s="161"/>
      <c r="H207" s="161"/>
      <c r="I207" s="161"/>
      <c r="J207" s="161"/>
      <c r="K207" s="161"/>
      <c r="L207" s="161"/>
      <c r="M207" s="161"/>
      <c r="N207" s="161"/>
      <c r="O207" s="161"/>
      <c r="P207" s="161"/>
      <c r="Q207" s="160"/>
      <c r="R207" s="161"/>
      <c r="S207" s="161"/>
      <c r="T207" s="161"/>
      <c r="U207" s="161"/>
      <c r="V207" s="161"/>
      <c r="W207" s="161"/>
      <c r="X207" s="161"/>
      <c r="Y207" s="161"/>
      <c r="Z207" s="161"/>
      <c r="AA207" s="161"/>
      <c r="AB207" s="161"/>
      <c r="AC207" s="161"/>
      <c r="AD207" s="161"/>
      <c r="AE207" s="161"/>
      <c r="AF207" s="161"/>
      <c r="AG207" s="161"/>
      <c r="AH207" s="161"/>
      <c r="AI207" s="161"/>
      <c r="AJ207" s="161"/>
      <c r="AK207" s="161"/>
      <c r="AL207" s="161"/>
      <c r="AM207" s="161"/>
      <c r="AN207" s="161"/>
      <c r="AO207" s="161"/>
      <c r="AP207" s="161"/>
      <c r="AQ207" s="161"/>
      <c r="AR207" s="161"/>
      <c r="AS207" s="161"/>
      <c r="AT207" s="161"/>
      <c r="AU207" s="161"/>
      <c r="AV207" s="161"/>
      <c r="AW207" s="161"/>
      <c r="AX207" s="161"/>
      <c r="AY207" s="161"/>
      <c r="AZ207" s="161"/>
      <c r="BA207" s="161"/>
      <c r="BB207" s="161"/>
      <c r="BC207" s="161"/>
      <c r="BD207" s="161"/>
    </row>
    <row r="208" spans="1:56" x14ac:dyDescent="0.2">
      <c r="A208" s="161"/>
      <c r="B208" s="161"/>
      <c r="C208" s="161"/>
      <c r="D208" s="161"/>
      <c r="E208" s="162"/>
      <c r="F208" s="161"/>
      <c r="G208" s="161"/>
      <c r="H208" s="161"/>
      <c r="I208" s="161"/>
      <c r="J208" s="161"/>
      <c r="K208" s="161"/>
      <c r="L208" s="161"/>
      <c r="M208" s="161"/>
      <c r="N208" s="161"/>
      <c r="O208" s="161"/>
      <c r="P208" s="161"/>
      <c r="Q208" s="160"/>
      <c r="R208" s="161"/>
      <c r="S208" s="161"/>
      <c r="T208" s="161"/>
      <c r="U208" s="161"/>
      <c r="V208" s="161"/>
      <c r="W208" s="161"/>
      <c r="X208" s="161"/>
      <c r="Y208" s="161"/>
      <c r="Z208" s="161"/>
      <c r="AA208" s="161"/>
      <c r="AB208" s="161"/>
      <c r="AC208" s="161"/>
      <c r="AD208" s="161"/>
      <c r="AE208" s="161"/>
      <c r="AF208" s="161"/>
      <c r="AG208" s="161"/>
      <c r="AH208" s="161"/>
      <c r="AI208" s="161"/>
      <c r="AJ208" s="161"/>
      <c r="AK208" s="161"/>
      <c r="AL208" s="161"/>
      <c r="AM208" s="161"/>
      <c r="AN208" s="161"/>
      <c r="AO208" s="161"/>
      <c r="AP208" s="161"/>
      <c r="AQ208" s="161"/>
      <c r="AR208" s="161"/>
      <c r="AS208" s="161"/>
      <c r="AT208" s="161"/>
      <c r="AU208" s="161"/>
      <c r="AV208" s="161"/>
      <c r="AW208" s="161"/>
      <c r="AX208" s="161"/>
      <c r="AY208" s="161"/>
      <c r="AZ208" s="161"/>
      <c r="BA208" s="161"/>
      <c r="BB208" s="161"/>
      <c r="BC208" s="161"/>
      <c r="BD208" s="161"/>
    </row>
    <row r="209" spans="1:56" x14ac:dyDescent="0.2">
      <c r="A209" s="161"/>
      <c r="B209" s="161"/>
      <c r="C209" s="161"/>
      <c r="D209" s="161"/>
      <c r="E209" s="162"/>
      <c r="F209" s="161"/>
      <c r="G209" s="161"/>
      <c r="H209" s="161"/>
      <c r="I209" s="161"/>
      <c r="J209" s="161"/>
      <c r="K209" s="161"/>
      <c r="L209" s="161"/>
      <c r="M209" s="161"/>
      <c r="N209" s="161"/>
      <c r="O209" s="161"/>
      <c r="P209" s="161"/>
      <c r="Q209" s="160"/>
      <c r="R209" s="161"/>
      <c r="S209" s="161"/>
      <c r="T209" s="161"/>
      <c r="U209" s="161"/>
      <c r="V209" s="161"/>
      <c r="W209" s="161"/>
      <c r="X209" s="161"/>
      <c r="Y209" s="161"/>
      <c r="Z209" s="161"/>
      <c r="AA209" s="161"/>
      <c r="AB209" s="161"/>
      <c r="AC209" s="161"/>
      <c r="AD209" s="161"/>
      <c r="AE209" s="161"/>
      <c r="AF209" s="161"/>
      <c r="AG209" s="161"/>
      <c r="AH209" s="161"/>
      <c r="AI209" s="161"/>
      <c r="AJ209" s="161"/>
      <c r="AK209" s="161"/>
      <c r="AL209" s="161"/>
      <c r="AM209" s="161"/>
      <c r="AN209" s="161"/>
      <c r="AO209" s="161"/>
      <c r="AP209" s="161"/>
      <c r="AQ209" s="161"/>
      <c r="AR209" s="161"/>
      <c r="AS209" s="161"/>
      <c r="AT209" s="161"/>
      <c r="AU209" s="161"/>
      <c r="AV209" s="161"/>
      <c r="AW209" s="161"/>
      <c r="AX209" s="161"/>
      <c r="AY209" s="161"/>
      <c r="AZ209" s="161"/>
      <c r="BA209" s="161"/>
      <c r="BB209" s="161"/>
      <c r="BC209" s="161"/>
      <c r="BD209" s="161"/>
    </row>
    <row r="210" spans="1:56" x14ac:dyDescent="0.2">
      <c r="A210" s="161"/>
      <c r="B210" s="161"/>
      <c r="C210" s="161"/>
      <c r="D210" s="161"/>
      <c r="E210" s="162"/>
      <c r="F210" s="161"/>
      <c r="G210" s="161"/>
      <c r="H210" s="161"/>
      <c r="I210" s="161"/>
      <c r="J210" s="161"/>
      <c r="K210" s="161"/>
      <c r="L210" s="161"/>
      <c r="M210" s="161"/>
      <c r="N210" s="161"/>
      <c r="O210" s="161"/>
      <c r="P210" s="161"/>
      <c r="Q210" s="160"/>
      <c r="R210" s="161"/>
      <c r="S210" s="161"/>
      <c r="T210" s="161"/>
      <c r="U210" s="161"/>
      <c r="V210" s="161"/>
      <c r="W210" s="161"/>
      <c r="X210" s="161"/>
      <c r="Y210" s="161"/>
      <c r="Z210" s="161"/>
      <c r="AA210" s="161"/>
      <c r="AB210" s="161"/>
      <c r="AC210" s="161"/>
      <c r="AD210" s="161"/>
      <c r="AE210" s="161"/>
      <c r="AF210" s="161"/>
      <c r="AG210" s="161"/>
      <c r="AH210" s="161"/>
      <c r="AI210" s="161"/>
      <c r="AJ210" s="161"/>
      <c r="AK210" s="161"/>
      <c r="AL210" s="161"/>
      <c r="AM210" s="161"/>
      <c r="AN210" s="161"/>
      <c r="AO210" s="161"/>
      <c r="AP210" s="161"/>
      <c r="AQ210" s="161"/>
      <c r="AR210" s="161"/>
      <c r="AS210" s="161"/>
      <c r="AT210" s="161"/>
      <c r="AU210" s="161"/>
      <c r="AV210" s="161"/>
      <c r="AW210" s="161"/>
      <c r="AX210" s="161"/>
      <c r="AY210" s="161"/>
      <c r="AZ210" s="161"/>
      <c r="BA210" s="161"/>
      <c r="BB210" s="161"/>
      <c r="BC210" s="161"/>
      <c r="BD210" s="161"/>
    </row>
    <row r="211" spans="1:56" x14ac:dyDescent="0.2">
      <c r="A211" s="161"/>
      <c r="B211" s="161"/>
      <c r="C211" s="161"/>
      <c r="D211" s="161"/>
      <c r="E211" s="162"/>
      <c r="F211" s="161"/>
      <c r="G211" s="161"/>
      <c r="H211" s="161"/>
      <c r="I211" s="161"/>
      <c r="J211" s="161"/>
      <c r="K211" s="161"/>
      <c r="L211" s="161"/>
      <c r="M211" s="161"/>
      <c r="N211" s="161"/>
      <c r="O211" s="161"/>
      <c r="P211" s="161"/>
      <c r="Q211" s="160"/>
      <c r="R211" s="161"/>
      <c r="S211" s="161"/>
      <c r="T211" s="161"/>
      <c r="U211" s="161"/>
      <c r="V211" s="161"/>
      <c r="W211" s="161"/>
      <c r="X211" s="161"/>
      <c r="Y211" s="161"/>
      <c r="Z211" s="161"/>
      <c r="AA211" s="161"/>
      <c r="AB211" s="161"/>
      <c r="AC211" s="161"/>
      <c r="AD211" s="161"/>
      <c r="AE211" s="161"/>
      <c r="AF211" s="161"/>
      <c r="AG211" s="161"/>
      <c r="AH211" s="161"/>
      <c r="AI211" s="161"/>
      <c r="AJ211" s="161"/>
      <c r="AK211" s="161"/>
      <c r="AL211" s="161"/>
      <c r="AM211" s="161"/>
      <c r="AN211" s="161"/>
      <c r="AO211" s="161"/>
      <c r="AP211" s="161"/>
      <c r="AQ211" s="161"/>
      <c r="AR211" s="161"/>
      <c r="AS211" s="161"/>
      <c r="AT211" s="161"/>
      <c r="AU211" s="161"/>
      <c r="AV211" s="161"/>
      <c r="AW211" s="161"/>
      <c r="AX211" s="161"/>
      <c r="AY211" s="161"/>
      <c r="AZ211" s="161"/>
      <c r="BA211" s="161"/>
      <c r="BB211" s="161"/>
      <c r="BC211" s="161"/>
      <c r="BD211" s="161"/>
    </row>
    <row r="212" spans="1:56" x14ac:dyDescent="0.2">
      <c r="A212" s="161"/>
      <c r="B212" s="161"/>
      <c r="C212" s="161"/>
      <c r="D212" s="161"/>
      <c r="E212" s="162"/>
      <c r="F212" s="161"/>
      <c r="G212" s="161"/>
      <c r="H212" s="161"/>
      <c r="I212" s="161"/>
      <c r="J212" s="161"/>
      <c r="K212" s="161"/>
      <c r="L212" s="161"/>
      <c r="M212" s="161"/>
      <c r="N212" s="161"/>
      <c r="O212" s="161"/>
      <c r="P212" s="161"/>
      <c r="Q212" s="160"/>
      <c r="R212" s="161"/>
      <c r="S212" s="161"/>
      <c r="T212" s="161"/>
      <c r="U212" s="161"/>
      <c r="V212" s="161"/>
      <c r="W212" s="161"/>
      <c r="X212" s="161"/>
      <c r="Y212" s="161"/>
      <c r="Z212" s="161"/>
      <c r="AA212" s="161"/>
      <c r="AB212" s="161"/>
      <c r="AC212" s="161"/>
      <c r="AD212" s="161"/>
      <c r="AE212" s="161"/>
      <c r="AF212" s="161"/>
      <c r="AG212" s="161"/>
      <c r="AH212" s="161"/>
      <c r="AI212" s="161"/>
      <c r="AJ212" s="161"/>
      <c r="AK212" s="161"/>
      <c r="AL212" s="161"/>
      <c r="AM212" s="161"/>
      <c r="AN212" s="161"/>
      <c r="AO212" s="161"/>
      <c r="AP212" s="161"/>
      <c r="AQ212" s="161"/>
      <c r="AR212" s="161"/>
      <c r="AS212" s="161"/>
      <c r="AT212" s="161"/>
      <c r="AU212" s="161"/>
      <c r="AV212" s="161"/>
      <c r="AW212" s="161"/>
      <c r="AX212" s="161"/>
      <c r="AY212" s="161"/>
      <c r="AZ212" s="161"/>
      <c r="BA212" s="161"/>
      <c r="BB212" s="161"/>
      <c r="BC212" s="161"/>
      <c r="BD212" s="161"/>
    </row>
    <row r="213" spans="1:56" x14ac:dyDescent="0.2">
      <c r="A213" s="161"/>
      <c r="B213" s="161"/>
      <c r="C213" s="161"/>
      <c r="D213" s="161"/>
      <c r="E213" s="162"/>
      <c r="F213" s="161"/>
      <c r="G213" s="161"/>
      <c r="H213" s="161"/>
      <c r="I213" s="161"/>
      <c r="J213" s="161"/>
      <c r="K213" s="161"/>
      <c r="L213" s="161"/>
      <c r="M213" s="161"/>
      <c r="N213" s="161"/>
      <c r="O213" s="161"/>
      <c r="P213" s="161"/>
      <c r="Q213" s="160"/>
      <c r="R213" s="161"/>
      <c r="S213" s="161"/>
      <c r="T213" s="161"/>
      <c r="U213" s="161"/>
      <c r="V213" s="161"/>
      <c r="W213" s="161"/>
      <c r="X213" s="161"/>
      <c r="Y213" s="161"/>
      <c r="Z213" s="161"/>
      <c r="AA213" s="161"/>
      <c r="AB213" s="161"/>
      <c r="AC213" s="161"/>
      <c r="AD213" s="161"/>
      <c r="AE213" s="161"/>
      <c r="AF213" s="161"/>
      <c r="AG213" s="161"/>
      <c r="AH213" s="161"/>
      <c r="AI213" s="161"/>
      <c r="AJ213" s="161"/>
      <c r="AK213" s="161"/>
      <c r="AL213" s="161"/>
      <c r="AM213" s="161"/>
      <c r="AN213" s="161"/>
      <c r="AO213" s="161"/>
      <c r="AP213" s="161"/>
      <c r="AQ213" s="161"/>
      <c r="AR213" s="161"/>
      <c r="AS213" s="161"/>
      <c r="AT213" s="161"/>
      <c r="AU213" s="161"/>
      <c r="AV213" s="161"/>
      <c r="AW213" s="161"/>
      <c r="AX213" s="161"/>
      <c r="AY213" s="161"/>
      <c r="AZ213" s="161"/>
      <c r="BA213" s="161"/>
      <c r="BB213" s="161"/>
      <c r="BC213" s="161"/>
      <c r="BD213" s="161"/>
    </row>
    <row r="214" spans="1:56" x14ac:dyDescent="0.2">
      <c r="A214" s="161"/>
      <c r="B214" s="161"/>
      <c r="C214" s="161"/>
      <c r="D214" s="161"/>
      <c r="E214" s="162"/>
      <c r="F214" s="161"/>
      <c r="G214" s="161"/>
      <c r="H214" s="161"/>
      <c r="I214" s="161"/>
      <c r="J214" s="161"/>
      <c r="K214" s="161"/>
      <c r="L214" s="161"/>
      <c r="M214" s="161"/>
      <c r="N214" s="161"/>
      <c r="O214" s="161"/>
      <c r="P214" s="161"/>
      <c r="Q214" s="160"/>
      <c r="R214" s="161"/>
      <c r="S214" s="161"/>
      <c r="T214" s="161"/>
      <c r="U214" s="161"/>
      <c r="V214" s="161"/>
      <c r="W214" s="161"/>
      <c r="X214" s="161"/>
      <c r="Y214" s="161"/>
      <c r="Z214" s="161"/>
      <c r="AA214" s="161"/>
      <c r="AB214" s="161"/>
      <c r="AC214" s="161"/>
      <c r="AD214" s="161"/>
      <c r="AE214" s="161"/>
      <c r="AF214" s="161"/>
      <c r="AG214" s="161"/>
      <c r="AH214" s="161"/>
      <c r="AI214" s="161"/>
      <c r="AJ214" s="161"/>
      <c r="AK214" s="161"/>
      <c r="AL214" s="161"/>
      <c r="AM214" s="161"/>
      <c r="AN214" s="161"/>
      <c r="AO214" s="161"/>
      <c r="AP214" s="161"/>
      <c r="AQ214" s="161"/>
      <c r="AR214" s="161"/>
      <c r="AS214" s="161"/>
      <c r="AT214" s="161"/>
      <c r="AU214" s="161"/>
      <c r="AV214" s="161"/>
      <c r="AW214" s="161"/>
      <c r="AX214" s="161"/>
      <c r="AY214" s="161"/>
      <c r="AZ214" s="161"/>
      <c r="BA214" s="161"/>
      <c r="BB214" s="161"/>
      <c r="BC214" s="161"/>
      <c r="BD214" s="161"/>
    </row>
    <row r="215" spans="1:56" x14ac:dyDescent="0.2">
      <c r="A215" s="161"/>
      <c r="B215" s="161"/>
      <c r="C215" s="161"/>
      <c r="D215" s="161"/>
      <c r="E215" s="162"/>
      <c r="F215" s="161"/>
      <c r="G215" s="161"/>
      <c r="H215" s="161"/>
      <c r="I215" s="161"/>
      <c r="J215" s="161"/>
      <c r="K215" s="161"/>
      <c r="L215" s="161"/>
      <c r="M215" s="161"/>
      <c r="N215" s="161"/>
      <c r="O215" s="161"/>
      <c r="P215" s="161"/>
      <c r="Q215" s="160"/>
      <c r="R215" s="161"/>
      <c r="S215" s="161"/>
      <c r="T215" s="161"/>
      <c r="U215" s="161"/>
      <c r="V215" s="161"/>
      <c r="W215" s="161"/>
      <c r="X215" s="161"/>
      <c r="Y215" s="161"/>
      <c r="Z215" s="161"/>
      <c r="AA215" s="161"/>
      <c r="AB215" s="161"/>
      <c r="AC215" s="161"/>
      <c r="AD215" s="161"/>
      <c r="AE215" s="161"/>
      <c r="AF215" s="161"/>
      <c r="AG215" s="161"/>
      <c r="AH215" s="161"/>
      <c r="AI215" s="161"/>
      <c r="AJ215" s="161"/>
      <c r="AK215" s="161"/>
      <c r="AL215" s="161"/>
      <c r="AM215" s="161"/>
      <c r="AN215" s="161"/>
      <c r="AO215" s="161"/>
      <c r="AP215" s="161"/>
      <c r="AQ215" s="161"/>
      <c r="AR215" s="161"/>
      <c r="AS215" s="161"/>
      <c r="AT215" s="161"/>
      <c r="AU215" s="161"/>
      <c r="AV215" s="161"/>
      <c r="AW215" s="161"/>
      <c r="AX215" s="161"/>
      <c r="AY215" s="161"/>
      <c r="AZ215" s="161"/>
      <c r="BA215" s="161"/>
      <c r="BB215" s="161"/>
      <c r="BC215" s="161"/>
      <c r="BD215" s="161"/>
    </row>
    <row r="216" spans="1:56" x14ac:dyDescent="0.2">
      <c r="A216" s="161"/>
      <c r="B216" s="161"/>
      <c r="C216" s="161"/>
      <c r="D216" s="161"/>
      <c r="E216" s="162"/>
      <c r="F216" s="161"/>
      <c r="G216" s="161"/>
      <c r="H216" s="161"/>
      <c r="I216" s="161"/>
      <c r="J216" s="161"/>
      <c r="K216" s="161"/>
      <c r="L216" s="161"/>
      <c r="M216" s="161"/>
      <c r="N216" s="161"/>
      <c r="O216" s="161"/>
      <c r="P216" s="161"/>
      <c r="Q216" s="160"/>
      <c r="R216" s="161"/>
      <c r="S216" s="161"/>
      <c r="T216" s="161"/>
      <c r="U216" s="161"/>
      <c r="V216" s="161"/>
      <c r="W216" s="161"/>
      <c r="X216" s="161"/>
      <c r="Y216" s="161"/>
      <c r="Z216" s="161"/>
      <c r="AA216" s="161"/>
      <c r="AB216" s="161"/>
      <c r="AC216" s="161"/>
      <c r="AD216" s="161"/>
      <c r="AE216" s="161"/>
      <c r="AF216" s="161"/>
      <c r="AG216" s="161"/>
      <c r="AH216" s="161"/>
      <c r="AI216" s="161"/>
      <c r="AJ216" s="161"/>
      <c r="AK216" s="161"/>
      <c r="AL216" s="161"/>
      <c r="AM216" s="161"/>
      <c r="AN216" s="161"/>
      <c r="AO216" s="161"/>
      <c r="AP216" s="161"/>
      <c r="AQ216" s="161"/>
      <c r="AR216" s="161"/>
      <c r="AS216" s="161"/>
      <c r="AT216" s="161"/>
      <c r="AU216" s="161"/>
      <c r="AV216" s="161"/>
      <c r="AW216" s="161"/>
      <c r="AX216" s="161"/>
      <c r="AY216" s="161"/>
      <c r="AZ216" s="161"/>
      <c r="BA216" s="161"/>
      <c r="BB216" s="161"/>
      <c r="BC216" s="161"/>
      <c r="BD216" s="161"/>
    </row>
    <row r="217" spans="1:56" x14ac:dyDescent="0.2">
      <c r="A217" s="161"/>
      <c r="B217" s="161"/>
      <c r="C217" s="161"/>
      <c r="D217" s="161"/>
      <c r="E217" s="162"/>
      <c r="F217" s="161"/>
      <c r="G217" s="161"/>
      <c r="H217" s="161"/>
      <c r="I217" s="161"/>
      <c r="J217" s="161"/>
      <c r="K217" s="161"/>
      <c r="L217" s="161"/>
      <c r="M217" s="161"/>
      <c r="N217" s="161"/>
      <c r="O217" s="161"/>
      <c r="P217" s="161"/>
      <c r="Q217" s="160"/>
      <c r="R217" s="161"/>
      <c r="S217" s="161"/>
      <c r="T217" s="161"/>
      <c r="U217" s="161"/>
      <c r="V217" s="161"/>
      <c r="W217" s="161"/>
      <c r="X217" s="161"/>
      <c r="Y217" s="161"/>
      <c r="Z217" s="161"/>
      <c r="AA217" s="161"/>
      <c r="AB217" s="161"/>
      <c r="AC217" s="161"/>
      <c r="AD217" s="161"/>
      <c r="AE217" s="161"/>
      <c r="AF217" s="161"/>
      <c r="AG217" s="161"/>
      <c r="AH217" s="161"/>
      <c r="AI217" s="161"/>
      <c r="AJ217" s="161"/>
      <c r="AK217" s="161"/>
      <c r="AL217" s="161"/>
      <c r="AM217" s="161"/>
      <c r="AN217" s="161"/>
      <c r="AO217" s="161"/>
      <c r="AP217" s="161"/>
      <c r="AQ217" s="161"/>
      <c r="AR217" s="161"/>
      <c r="AS217" s="161"/>
      <c r="AT217" s="161"/>
      <c r="AU217" s="161"/>
      <c r="AV217" s="161"/>
      <c r="AW217" s="161"/>
      <c r="AX217" s="161"/>
      <c r="AY217" s="161"/>
      <c r="AZ217" s="161"/>
      <c r="BA217" s="161"/>
      <c r="BB217" s="161"/>
      <c r="BC217" s="161"/>
      <c r="BD217" s="161"/>
    </row>
    <row r="218" spans="1:56" x14ac:dyDescent="0.2">
      <c r="A218" s="161"/>
      <c r="B218" s="161"/>
      <c r="C218" s="161"/>
      <c r="D218" s="161"/>
      <c r="E218" s="162"/>
      <c r="F218" s="161"/>
      <c r="G218" s="161"/>
      <c r="H218" s="161"/>
      <c r="I218" s="161"/>
      <c r="J218" s="161"/>
      <c r="K218" s="161"/>
      <c r="L218" s="161"/>
      <c r="M218" s="161"/>
      <c r="N218" s="161"/>
      <c r="O218" s="161"/>
      <c r="P218" s="161"/>
      <c r="Q218" s="160"/>
      <c r="R218" s="161"/>
      <c r="S218" s="161"/>
      <c r="T218" s="161"/>
      <c r="U218" s="161"/>
      <c r="V218" s="161"/>
      <c r="W218" s="161"/>
      <c r="X218" s="161"/>
      <c r="Y218" s="161"/>
      <c r="Z218" s="161"/>
      <c r="AA218" s="161"/>
      <c r="AB218" s="161"/>
      <c r="AC218" s="161"/>
      <c r="AD218" s="161"/>
      <c r="AE218" s="161"/>
      <c r="AF218" s="161"/>
      <c r="AG218" s="161"/>
      <c r="AH218" s="161"/>
      <c r="AI218" s="161"/>
      <c r="AJ218" s="161"/>
      <c r="AK218" s="161"/>
      <c r="AL218" s="161"/>
      <c r="AM218" s="161"/>
      <c r="AN218" s="161"/>
      <c r="AO218" s="161"/>
      <c r="AP218" s="161"/>
      <c r="AQ218" s="161"/>
      <c r="AR218" s="161"/>
      <c r="AS218" s="161"/>
      <c r="AT218" s="161"/>
      <c r="AU218" s="161"/>
      <c r="AV218" s="161"/>
      <c r="AW218" s="161"/>
      <c r="AX218" s="161"/>
      <c r="AY218" s="161"/>
      <c r="AZ218" s="161"/>
      <c r="BA218" s="161"/>
      <c r="BB218" s="161"/>
      <c r="BC218" s="161"/>
      <c r="BD218" s="161"/>
    </row>
    <row r="219" spans="1:56" x14ac:dyDescent="0.2">
      <c r="A219" s="161"/>
      <c r="B219" s="161"/>
      <c r="C219" s="161"/>
      <c r="D219" s="161"/>
      <c r="E219" s="162"/>
      <c r="F219" s="161"/>
      <c r="G219" s="161"/>
      <c r="H219" s="161"/>
      <c r="I219" s="161"/>
      <c r="J219" s="161"/>
      <c r="K219" s="161"/>
      <c r="L219" s="161"/>
      <c r="M219" s="161"/>
      <c r="N219" s="161"/>
      <c r="O219" s="161"/>
      <c r="P219" s="161"/>
      <c r="Q219" s="160"/>
      <c r="R219" s="161"/>
      <c r="S219" s="161"/>
      <c r="T219" s="161"/>
      <c r="U219" s="161"/>
      <c r="V219" s="161"/>
      <c r="W219" s="161"/>
      <c r="X219" s="161"/>
      <c r="Y219" s="161"/>
      <c r="Z219" s="161"/>
      <c r="AA219" s="161"/>
      <c r="AB219" s="161"/>
      <c r="AC219" s="161"/>
      <c r="AD219" s="161"/>
      <c r="AE219" s="161"/>
      <c r="AF219" s="161"/>
      <c r="AG219" s="161"/>
      <c r="AH219" s="161"/>
      <c r="AI219" s="161"/>
      <c r="AJ219" s="161"/>
      <c r="AK219" s="161"/>
      <c r="AL219" s="161"/>
      <c r="AM219" s="161"/>
      <c r="AN219" s="161"/>
      <c r="AO219" s="161"/>
      <c r="AP219" s="161"/>
      <c r="AQ219" s="161"/>
      <c r="AR219" s="161"/>
      <c r="AS219" s="161"/>
      <c r="AT219" s="161"/>
      <c r="AU219" s="161"/>
      <c r="AV219" s="161"/>
      <c r="AW219" s="161"/>
      <c r="AX219" s="161"/>
      <c r="AY219" s="161"/>
      <c r="AZ219" s="161"/>
      <c r="BA219" s="161"/>
      <c r="BB219" s="161"/>
      <c r="BC219" s="161"/>
      <c r="BD219" s="161"/>
    </row>
    <row r="220" spans="1:56" x14ac:dyDescent="0.2">
      <c r="A220" s="161"/>
      <c r="B220" s="161"/>
      <c r="C220" s="161"/>
      <c r="D220" s="161"/>
      <c r="E220" s="162"/>
      <c r="F220" s="161"/>
      <c r="G220" s="161"/>
      <c r="H220" s="161"/>
      <c r="I220" s="161"/>
      <c r="J220" s="161"/>
      <c r="K220" s="161"/>
      <c r="L220" s="161"/>
      <c r="M220" s="161"/>
      <c r="N220" s="161"/>
      <c r="O220" s="161"/>
      <c r="P220" s="161"/>
      <c r="Q220" s="160"/>
      <c r="R220" s="161"/>
      <c r="S220" s="161"/>
      <c r="T220" s="161"/>
      <c r="U220" s="161"/>
      <c r="V220" s="161"/>
      <c r="W220" s="161"/>
      <c r="X220" s="161"/>
      <c r="Y220" s="161"/>
      <c r="Z220" s="161"/>
      <c r="AA220" s="161"/>
      <c r="AB220" s="161"/>
      <c r="AC220" s="161"/>
      <c r="AD220" s="161"/>
      <c r="AE220" s="161"/>
      <c r="AF220" s="161"/>
      <c r="AG220" s="161"/>
      <c r="AH220" s="161"/>
      <c r="AI220" s="161"/>
      <c r="AJ220" s="161"/>
      <c r="AK220" s="161"/>
      <c r="AL220" s="161"/>
      <c r="AM220" s="161"/>
      <c r="AN220" s="161"/>
      <c r="AO220" s="161"/>
      <c r="AP220" s="161"/>
      <c r="AQ220" s="161"/>
      <c r="AR220" s="161"/>
      <c r="AS220" s="161"/>
      <c r="AT220" s="161"/>
      <c r="AU220" s="161"/>
      <c r="AV220" s="161"/>
      <c r="AW220" s="161"/>
      <c r="AX220" s="161"/>
      <c r="AY220" s="161"/>
      <c r="AZ220" s="161"/>
      <c r="BA220" s="161"/>
      <c r="BB220" s="161"/>
      <c r="BC220" s="161"/>
      <c r="BD220" s="161"/>
    </row>
    <row r="221" spans="1:56" x14ac:dyDescent="0.2">
      <c r="A221" s="161"/>
      <c r="B221" s="161"/>
      <c r="C221" s="161"/>
      <c r="D221" s="161"/>
      <c r="E221" s="162"/>
      <c r="F221" s="161"/>
      <c r="G221" s="161"/>
      <c r="H221" s="161"/>
      <c r="I221" s="161"/>
      <c r="J221" s="161"/>
      <c r="K221" s="161"/>
      <c r="L221" s="161"/>
      <c r="M221" s="161"/>
      <c r="N221" s="161"/>
      <c r="O221" s="161"/>
      <c r="P221" s="161"/>
      <c r="Q221" s="160"/>
      <c r="R221" s="161"/>
      <c r="S221" s="161"/>
      <c r="T221" s="161"/>
      <c r="U221" s="161"/>
      <c r="V221" s="161"/>
      <c r="W221" s="161"/>
      <c r="X221" s="161"/>
      <c r="Y221" s="161"/>
      <c r="Z221" s="161"/>
      <c r="AA221" s="161"/>
      <c r="AB221" s="161"/>
      <c r="AC221" s="161"/>
      <c r="AD221" s="161"/>
      <c r="AE221" s="161"/>
      <c r="AF221" s="161"/>
      <c r="AG221" s="161"/>
      <c r="AH221" s="161"/>
      <c r="AI221" s="161"/>
      <c r="AJ221" s="161"/>
      <c r="AK221" s="161"/>
      <c r="AL221" s="161"/>
      <c r="AM221" s="161"/>
      <c r="AN221" s="161"/>
      <c r="AO221" s="161"/>
      <c r="AP221" s="161"/>
      <c r="AQ221" s="161"/>
      <c r="AR221" s="161"/>
      <c r="AS221" s="161"/>
      <c r="AT221" s="161"/>
      <c r="AU221" s="161"/>
      <c r="AV221" s="161"/>
      <c r="AW221" s="161"/>
      <c r="AX221" s="161"/>
      <c r="AY221" s="161"/>
      <c r="AZ221" s="161"/>
      <c r="BA221" s="161"/>
      <c r="BB221" s="161"/>
      <c r="BC221" s="161"/>
      <c r="BD221" s="161"/>
    </row>
    <row r="222" spans="1:56" x14ac:dyDescent="0.2">
      <c r="A222" s="161"/>
      <c r="B222" s="161"/>
      <c r="C222" s="161"/>
      <c r="D222" s="161"/>
      <c r="E222" s="162"/>
      <c r="F222" s="161"/>
      <c r="G222" s="161"/>
      <c r="H222" s="161"/>
      <c r="I222" s="161"/>
      <c r="J222" s="161"/>
      <c r="K222" s="161"/>
      <c r="L222" s="161"/>
      <c r="M222" s="161"/>
      <c r="N222" s="161"/>
      <c r="O222" s="161"/>
      <c r="P222" s="161"/>
      <c r="Q222" s="160"/>
      <c r="R222" s="161"/>
      <c r="S222" s="161"/>
      <c r="T222" s="161"/>
      <c r="U222" s="161"/>
      <c r="V222" s="161"/>
      <c r="W222" s="161"/>
      <c r="X222" s="161"/>
      <c r="Y222" s="161"/>
      <c r="Z222" s="161"/>
      <c r="AA222" s="161"/>
      <c r="AB222" s="161"/>
      <c r="AC222" s="161"/>
      <c r="AD222" s="161"/>
      <c r="AE222" s="161"/>
      <c r="AF222" s="161"/>
      <c r="AG222" s="161"/>
      <c r="AH222" s="161"/>
      <c r="AI222" s="161"/>
      <c r="AJ222" s="161"/>
      <c r="AK222" s="161"/>
      <c r="AL222" s="161"/>
      <c r="AM222" s="161"/>
      <c r="AN222" s="161"/>
      <c r="AO222" s="161"/>
      <c r="AP222" s="161"/>
      <c r="AQ222" s="161"/>
      <c r="AR222" s="161"/>
      <c r="AS222" s="161"/>
      <c r="AT222" s="161"/>
      <c r="AU222" s="161"/>
      <c r="AV222" s="161"/>
      <c r="AW222" s="161"/>
      <c r="AX222" s="161"/>
      <c r="AY222" s="161"/>
      <c r="AZ222" s="161"/>
      <c r="BA222" s="161"/>
      <c r="BB222" s="161"/>
      <c r="BC222" s="161"/>
      <c r="BD222" s="161"/>
    </row>
    <row r="223" spans="1:56" x14ac:dyDescent="0.2">
      <c r="A223" s="161"/>
      <c r="B223" s="161"/>
      <c r="C223" s="161"/>
      <c r="D223" s="161"/>
      <c r="E223" s="162"/>
      <c r="F223" s="161"/>
      <c r="G223" s="161"/>
      <c r="H223" s="161"/>
      <c r="I223" s="161"/>
      <c r="J223" s="161"/>
      <c r="K223" s="161"/>
      <c r="L223" s="161"/>
      <c r="M223" s="161"/>
      <c r="N223" s="161"/>
      <c r="O223" s="161"/>
      <c r="P223" s="161"/>
      <c r="Q223" s="160"/>
      <c r="R223" s="161"/>
      <c r="S223" s="161"/>
      <c r="T223" s="161"/>
      <c r="U223" s="161"/>
      <c r="V223" s="161"/>
      <c r="W223" s="161"/>
      <c r="X223" s="161"/>
      <c r="Y223" s="161"/>
      <c r="Z223" s="161"/>
      <c r="AA223" s="161"/>
      <c r="AB223" s="161"/>
      <c r="AC223" s="161"/>
      <c r="AD223" s="161"/>
      <c r="AE223" s="161"/>
      <c r="AF223" s="161"/>
      <c r="AG223" s="161"/>
      <c r="AH223" s="161"/>
      <c r="AI223" s="161"/>
      <c r="AJ223" s="161"/>
      <c r="AK223" s="161"/>
      <c r="AL223" s="161"/>
      <c r="AM223" s="161"/>
      <c r="AN223" s="161"/>
      <c r="AO223" s="161"/>
      <c r="AP223" s="161"/>
      <c r="AQ223" s="161"/>
      <c r="AR223" s="161"/>
      <c r="AS223" s="161"/>
      <c r="AT223" s="161"/>
      <c r="AU223" s="161"/>
      <c r="AV223" s="161"/>
      <c r="AW223" s="161"/>
      <c r="AX223" s="161"/>
      <c r="AY223" s="161"/>
      <c r="AZ223" s="161"/>
      <c r="BA223" s="161"/>
      <c r="BB223" s="161"/>
      <c r="BC223" s="161"/>
      <c r="BD223" s="161"/>
    </row>
    <row r="224" spans="1:56" x14ac:dyDescent="0.2">
      <c r="A224" s="161"/>
      <c r="B224" s="161"/>
      <c r="C224" s="161"/>
      <c r="D224" s="161"/>
      <c r="E224" s="162"/>
      <c r="F224" s="161"/>
      <c r="G224" s="161"/>
      <c r="H224" s="161"/>
      <c r="I224" s="161"/>
      <c r="J224" s="161"/>
      <c r="K224" s="161"/>
      <c r="L224" s="161"/>
      <c r="M224" s="161"/>
      <c r="N224" s="161"/>
      <c r="O224" s="161"/>
      <c r="P224" s="161"/>
      <c r="Q224" s="160"/>
      <c r="R224" s="161"/>
      <c r="S224" s="161"/>
      <c r="T224" s="161"/>
      <c r="U224" s="161"/>
      <c r="V224" s="161"/>
      <c r="W224" s="161"/>
      <c r="X224" s="161"/>
      <c r="Y224" s="161"/>
      <c r="Z224" s="161"/>
      <c r="AA224" s="161"/>
      <c r="AB224" s="161"/>
      <c r="AC224" s="161"/>
      <c r="AD224" s="161"/>
      <c r="AE224" s="161"/>
      <c r="AF224" s="161"/>
      <c r="AG224" s="161"/>
      <c r="AH224" s="161"/>
      <c r="AI224" s="161"/>
      <c r="AJ224" s="161"/>
      <c r="AK224" s="161"/>
      <c r="AL224" s="161"/>
      <c r="AM224" s="161"/>
      <c r="AN224" s="161"/>
      <c r="AO224" s="161"/>
      <c r="AP224" s="161"/>
      <c r="AQ224" s="161"/>
      <c r="AR224" s="161"/>
      <c r="AS224" s="161"/>
      <c r="AT224" s="161"/>
      <c r="AU224" s="161"/>
      <c r="AV224" s="161"/>
      <c r="AW224" s="161"/>
      <c r="AX224" s="161"/>
      <c r="AY224" s="161"/>
      <c r="AZ224" s="161"/>
      <c r="BA224" s="161"/>
      <c r="BB224" s="161"/>
      <c r="BC224" s="161"/>
      <c r="BD224" s="161"/>
    </row>
    <row r="225" spans="1:56" x14ac:dyDescent="0.2">
      <c r="A225" s="161"/>
      <c r="B225" s="161"/>
      <c r="C225" s="161"/>
      <c r="D225" s="161"/>
      <c r="E225" s="162"/>
      <c r="F225" s="161"/>
      <c r="G225" s="161"/>
      <c r="H225" s="161"/>
      <c r="I225" s="161"/>
      <c r="J225" s="161"/>
      <c r="K225" s="161"/>
      <c r="L225" s="161"/>
      <c r="M225" s="161"/>
      <c r="N225" s="161"/>
      <c r="O225" s="161"/>
      <c r="P225" s="161"/>
      <c r="Q225" s="160"/>
      <c r="R225" s="161"/>
      <c r="S225" s="161"/>
      <c r="T225" s="161"/>
      <c r="U225" s="161"/>
      <c r="V225" s="161"/>
      <c r="W225" s="161"/>
      <c r="X225" s="161"/>
      <c r="Y225" s="161"/>
      <c r="Z225" s="161"/>
      <c r="AA225" s="161"/>
      <c r="AB225" s="161"/>
      <c r="AC225" s="161"/>
      <c r="AD225" s="161"/>
      <c r="AE225" s="161"/>
      <c r="AF225" s="161"/>
      <c r="AG225" s="161"/>
      <c r="AH225" s="161"/>
      <c r="AI225" s="161"/>
      <c r="AJ225" s="161"/>
      <c r="AK225" s="161"/>
      <c r="AL225" s="161"/>
      <c r="AM225" s="161"/>
      <c r="AN225" s="161"/>
      <c r="AO225" s="161"/>
      <c r="AP225" s="161"/>
      <c r="AQ225" s="161"/>
      <c r="AR225" s="161"/>
      <c r="AS225" s="161"/>
      <c r="AT225" s="161"/>
      <c r="AU225" s="161"/>
      <c r="AV225" s="161"/>
      <c r="AW225" s="161"/>
      <c r="AX225" s="161"/>
      <c r="AY225" s="161"/>
      <c r="AZ225" s="161"/>
      <c r="BA225" s="161"/>
      <c r="BB225" s="161"/>
      <c r="BC225" s="161"/>
      <c r="BD225" s="161"/>
    </row>
    <row r="226" spans="1:56" x14ac:dyDescent="0.2">
      <c r="A226" s="161"/>
      <c r="B226" s="161"/>
      <c r="C226" s="161"/>
      <c r="D226" s="161"/>
      <c r="E226" s="162"/>
      <c r="F226" s="161"/>
      <c r="G226" s="161"/>
      <c r="H226" s="161"/>
      <c r="I226" s="161"/>
      <c r="J226" s="161"/>
      <c r="K226" s="161"/>
      <c r="L226" s="161"/>
      <c r="M226" s="161"/>
      <c r="N226" s="161"/>
      <c r="O226" s="161"/>
      <c r="P226" s="161"/>
      <c r="Q226" s="160"/>
      <c r="R226" s="161"/>
      <c r="S226" s="161"/>
      <c r="T226" s="161"/>
      <c r="U226" s="161"/>
      <c r="V226" s="161"/>
      <c r="W226" s="161"/>
      <c r="X226" s="161"/>
      <c r="Y226" s="161"/>
      <c r="Z226" s="161"/>
      <c r="AA226" s="161"/>
      <c r="AB226" s="161"/>
      <c r="AC226" s="161"/>
      <c r="AD226" s="161"/>
      <c r="AE226" s="161"/>
      <c r="AF226" s="161"/>
      <c r="AG226" s="161"/>
      <c r="AH226" s="161"/>
      <c r="AI226" s="161"/>
      <c r="AJ226" s="161"/>
      <c r="AK226" s="161"/>
      <c r="AL226" s="161"/>
      <c r="AM226" s="161"/>
      <c r="AN226" s="161"/>
      <c r="AO226" s="161"/>
      <c r="AP226" s="161"/>
      <c r="AQ226" s="161"/>
      <c r="AR226" s="161"/>
      <c r="AS226" s="161"/>
      <c r="AT226" s="161"/>
      <c r="AU226" s="161"/>
      <c r="AV226" s="161"/>
      <c r="AW226" s="161"/>
      <c r="AX226" s="161"/>
      <c r="AY226" s="161"/>
      <c r="AZ226" s="161"/>
      <c r="BA226" s="161"/>
      <c r="BB226" s="161"/>
      <c r="BC226" s="161"/>
      <c r="BD226" s="161"/>
    </row>
    <row r="227" spans="1:56" x14ac:dyDescent="0.2">
      <c r="A227" s="161"/>
      <c r="B227" s="161"/>
      <c r="C227" s="161"/>
      <c r="D227" s="161"/>
      <c r="E227" s="162"/>
      <c r="F227" s="161"/>
      <c r="G227" s="161"/>
      <c r="H227" s="161"/>
      <c r="I227" s="161"/>
      <c r="J227" s="161"/>
      <c r="K227" s="161"/>
      <c r="L227" s="161"/>
      <c r="M227" s="161"/>
      <c r="N227" s="161"/>
      <c r="O227" s="161"/>
      <c r="P227" s="161"/>
      <c r="Q227" s="160"/>
      <c r="R227" s="161"/>
      <c r="S227" s="161"/>
      <c r="T227" s="161"/>
      <c r="U227" s="161"/>
      <c r="V227" s="161"/>
      <c r="W227" s="161"/>
      <c r="X227" s="161"/>
      <c r="Y227" s="161"/>
      <c r="Z227" s="161"/>
      <c r="AA227" s="161"/>
      <c r="AB227" s="161"/>
      <c r="AC227" s="161"/>
      <c r="AD227" s="161"/>
      <c r="AE227" s="161"/>
      <c r="AF227" s="161"/>
      <c r="AG227" s="161"/>
      <c r="AH227" s="161"/>
      <c r="AI227" s="161"/>
      <c r="AJ227" s="161"/>
      <c r="AK227" s="161"/>
      <c r="AL227" s="161"/>
      <c r="AM227" s="161"/>
      <c r="AN227" s="161"/>
      <c r="AO227" s="161"/>
      <c r="AP227" s="161"/>
      <c r="AQ227" s="161"/>
      <c r="AR227" s="161"/>
      <c r="AS227" s="161"/>
      <c r="AT227" s="161"/>
      <c r="AU227" s="161"/>
      <c r="AV227" s="161"/>
      <c r="AW227" s="161"/>
      <c r="AX227" s="161"/>
      <c r="AY227" s="161"/>
      <c r="AZ227" s="161"/>
      <c r="BA227" s="161"/>
      <c r="BB227" s="161"/>
      <c r="BC227" s="161"/>
      <c r="BD227" s="161"/>
    </row>
    <row r="228" spans="1:56" x14ac:dyDescent="0.2">
      <c r="A228" s="161"/>
      <c r="B228" s="161"/>
      <c r="C228" s="161"/>
      <c r="D228" s="161"/>
      <c r="E228" s="162"/>
      <c r="F228" s="161"/>
      <c r="G228" s="161"/>
      <c r="H228" s="161"/>
      <c r="I228" s="161"/>
      <c r="J228" s="161"/>
      <c r="K228" s="161"/>
      <c r="L228" s="161"/>
      <c r="M228" s="161"/>
      <c r="N228" s="161"/>
      <c r="O228" s="161"/>
      <c r="P228" s="161"/>
      <c r="Q228" s="160"/>
      <c r="R228" s="161"/>
      <c r="S228" s="161"/>
      <c r="T228" s="161"/>
      <c r="U228" s="161"/>
      <c r="V228" s="161"/>
      <c r="W228" s="161"/>
      <c r="X228" s="161"/>
      <c r="Y228" s="161"/>
      <c r="Z228" s="161"/>
      <c r="AA228" s="161"/>
      <c r="AB228" s="161"/>
      <c r="AC228" s="161"/>
      <c r="AD228" s="161"/>
      <c r="AE228" s="161"/>
      <c r="AF228" s="161"/>
      <c r="AG228" s="161"/>
      <c r="AH228" s="161"/>
      <c r="AI228" s="161"/>
      <c r="AJ228" s="161"/>
      <c r="AK228" s="161"/>
      <c r="AL228" s="161"/>
      <c r="AM228" s="161"/>
      <c r="AN228" s="161"/>
      <c r="AO228" s="161"/>
      <c r="AP228" s="161"/>
      <c r="AQ228" s="161"/>
      <c r="AR228" s="161"/>
      <c r="AS228" s="161"/>
      <c r="AT228" s="161"/>
      <c r="AU228" s="161"/>
      <c r="AV228" s="161"/>
      <c r="AW228" s="161"/>
      <c r="AX228" s="161"/>
      <c r="AY228" s="161"/>
      <c r="AZ228" s="161"/>
      <c r="BA228" s="161"/>
      <c r="BB228" s="161"/>
      <c r="BC228" s="161"/>
      <c r="BD228" s="161"/>
    </row>
    <row r="229" spans="1:56" x14ac:dyDescent="0.2">
      <c r="A229" s="161"/>
      <c r="B229" s="161"/>
      <c r="C229" s="161"/>
      <c r="D229" s="161"/>
      <c r="E229" s="162"/>
      <c r="F229" s="161"/>
      <c r="G229" s="161"/>
      <c r="H229" s="161"/>
      <c r="I229" s="161"/>
      <c r="J229" s="161"/>
      <c r="K229" s="161"/>
      <c r="L229" s="161"/>
      <c r="M229" s="161"/>
      <c r="N229" s="161"/>
      <c r="O229" s="161"/>
      <c r="P229" s="161"/>
      <c r="Q229" s="160"/>
      <c r="R229" s="161"/>
      <c r="S229" s="161"/>
      <c r="T229" s="161"/>
      <c r="U229" s="161"/>
      <c r="V229" s="161"/>
      <c r="W229" s="161"/>
      <c r="X229" s="161"/>
      <c r="Y229" s="161"/>
      <c r="Z229" s="161"/>
      <c r="AA229" s="161"/>
      <c r="AB229" s="161"/>
      <c r="AC229" s="161"/>
      <c r="AD229" s="161"/>
      <c r="AE229" s="161"/>
      <c r="AF229" s="161"/>
      <c r="AG229" s="161"/>
      <c r="AH229" s="161"/>
      <c r="AI229" s="161"/>
      <c r="AJ229" s="161"/>
      <c r="AK229" s="161"/>
      <c r="AL229" s="161"/>
      <c r="AM229" s="161"/>
      <c r="AN229" s="161"/>
      <c r="AO229" s="161"/>
      <c r="AP229" s="161"/>
      <c r="AQ229" s="161"/>
      <c r="AR229" s="161"/>
      <c r="AS229" s="161"/>
      <c r="AT229" s="161"/>
      <c r="AU229" s="161"/>
      <c r="AV229" s="161"/>
      <c r="AW229" s="161"/>
      <c r="AX229" s="161"/>
      <c r="AY229" s="161"/>
      <c r="AZ229" s="161"/>
      <c r="BA229" s="161"/>
      <c r="BB229" s="161"/>
      <c r="BC229" s="161"/>
      <c r="BD229" s="161"/>
    </row>
    <row r="230" spans="1:56" x14ac:dyDescent="0.2">
      <c r="A230" s="161"/>
      <c r="B230" s="161"/>
      <c r="C230" s="161"/>
      <c r="D230" s="161"/>
      <c r="E230" s="162"/>
      <c r="F230" s="161"/>
      <c r="G230" s="161"/>
      <c r="H230" s="161"/>
      <c r="I230" s="161"/>
      <c r="J230" s="161"/>
      <c r="K230" s="161"/>
      <c r="L230" s="161"/>
      <c r="M230" s="161"/>
      <c r="N230" s="161"/>
      <c r="O230" s="161"/>
      <c r="P230" s="161"/>
      <c r="Q230" s="160"/>
      <c r="R230" s="161"/>
      <c r="S230" s="161"/>
      <c r="T230" s="161"/>
      <c r="U230" s="161"/>
      <c r="V230" s="161"/>
      <c r="W230" s="161"/>
      <c r="X230" s="161"/>
      <c r="Y230" s="161"/>
      <c r="Z230" s="161"/>
      <c r="AA230" s="161"/>
      <c r="AB230" s="161"/>
      <c r="AC230" s="161"/>
      <c r="AD230" s="161"/>
      <c r="AE230" s="161"/>
      <c r="AF230" s="161"/>
      <c r="AG230" s="161"/>
      <c r="AH230" s="161"/>
      <c r="AI230" s="161"/>
      <c r="AJ230" s="161"/>
      <c r="AK230" s="161"/>
      <c r="AL230" s="161"/>
      <c r="AM230" s="161"/>
      <c r="AN230" s="161"/>
      <c r="AO230" s="161"/>
      <c r="AP230" s="161"/>
      <c r="AQ230" s="161"/>
      <c r="AR230" s="161"/>
      <c r="AS230" s="161"/>
      <c r="AT230" s="161"/>
      <c r="AU230" s="161"/>
      <c r="AV230" s="161"/>
      <c r="AW230" s="161"/>
      <c r="AX230" s="161"/>
      <c r="AY230" s="161"/>
      <c r="AZ230" s="161"/>
      <c r="BA230" s="161"/>
      <c r="BB230" s="161"/>
      <c r="BC230" s="161"/>
      <c r="BD230" s="161"/>
    </row>
    <row r="231" spans="1:56" x14ac:dyDescent="0.2">
      <c r="A231" s="161"/>
      <c r="B231" s="161"/>
      <c r="C231" s="161"/>
      <c r="D231" s="161"/>
      <c r="E231" s="162"/>
      <c r="F231" s="161"/>
      <c r="G231" s="161"/>
      <c r="H231" s="161"/>
      <c r="I231" s="161"/>
      <c r="J231" s="161"/>
      <c r="K231" s="161"/>
      <c r="L231" s="161"/>
      <c r="M231" s="161"/>
      <c r="N231" s="161"/>
      <c r="O231" s="161"/>
      <c r="P231" s="161"/>
      <c r="Q231" s="160"/>
      <c r="R231" s="161"/>
      <c r="S231" s="161"/>
      <c r="T231" s="161"/>
      <c r="U231" s="161"/>
      <c r="V231" s="161"/>
      <c r="W231" s="161"/>
      <c r="X231" s="161"/>
      <c r="Y231" s="161"/>
      <c r="Z231" s="161"/>
      <c r="AA231" s="161"/>
      <c r="AB231" s="161"/>
      <c r="AC231" s="161"/>
      <c r="AD231" s="161"/>
      <c r="AE231" s="161"/>
      <c r="AF231" s="161"/>
      <c r="AG231" s="161"/>
      <c r="AH231" s="161"/>
      <c r="AI231" s="161"/>
      <c r="AJ231" s="161"/>
      <c r="AK231" s="161"/>
      <c r="AL231" s="161"/>
      <c r="AM231" s="161"/>
      <c r="AN231" s="161"/>
      <c r="AO231" s="161"/>
      <c r="AP231" s="161"/>
      <c r="AQ231" s="161"/>
      <c r="AR231" s="161"/>
      <c r="AS231" s="161"/>
      <c r="AT231" s="161"/>
      <c r="AU231" s="161"/>
      <c r="AV231" s="161"/>
      <c r="AW231" s="161"/>
      <c r="AX231" s="161"/>
      <c r="AY231" s="161"/>
      <c r="AZ231" s="161"/>
      <c r="BA231" s="161"/>
      <c r="BB231" s="161"/>
      <c r="BC231" s="161"/>
      <c r="BD231" s="161"/>
    </row>
    <row r="232" spans="1:56" x14ac:dyDescent="0.2">
      <c r="A232" s="161"/>
      <c r="B232" s="161"/>
      <c r="C232" s="161"/>
      <c r="D232" s="161"/>
      <c r="E232" s="162"/>
      <c r="F232" s="161"/>
      <c r="G232" s="161"/>
      <c r="H232" s="161"/>
      <c r="I232" s="161"/>
      <c r="J232" s="161"/>
      <c r="K232" s="161"/>
      <c r="L232" s="161"/>
      <c r="M232" s="161"/>
      <c r="N232" s="161"/>
      <c r="O232" s="161"/>
      <c r="P232" s="161"/>
      <c r="Q232" s="160"/>
      <c r="R232" s="161"/>
      <c r="S232" s="161"/>
      <c r="T232" s="161"/>
      <c r="U232" s="161"/>
      <c r="V232" s="161"/>
      <c r="W232" s="161"/>
      <c r="X232" s="161"/>
      <c r="Y232" s="161"/>
      <c r="Z232" s="161"/>
      <c r="AA232" s="161"/>
      <c r="AB232" s="161"/>
      <c r="AC232" s="161"/>
      <c r="AD232" s="161"/>
      <c r="AE232" s="161"/>
      <c r="AF232" s="161"/>
      <c r="AG232" s="161"/>
      <c r="AH232" s="161"/>
      <c r="AI232" s="161"/>
      <c r="AJ232" s="161"/>
      <c r="AK232" s="161"/>
      <c r="AL232" s="161"/>
      <c r="AM232" s="161"/>
      <c r="AN232" s="161"/>
      <c r="AO232" s="161"/>
      <c r="AP232" s="161"/>
      <c r="AQ232" s="161"/>
      <c r="AR232" s="161"/>
      <c r="AS232" s="161"/>
      <c r="AT232" s="161"/>
      <c r="AU232" s="161"/>
      <c r="AV232" s="161"/>
      <c r="AW232" s="161"/>
      <c r="AX232" s="161"/>
      <c r="AY232" s="161"/>
      <c r="AZ232" s="161"/>
      <c r="BA232" s="161"/>
      <c r="BB232" s="161"/>
      <c r="BC232" s="161"/>
      <c r="BD232" s="161"/>
    </row>
    <row r="233" spans="1:56" x14ac:dyDescent="0.2">
      <c r="A233" s="161"/>
      <c r="B233" s="161"/>
      <c r="C233" s="161"/>
      <c r="D233" s="161"/>
      <c r="E233" s="162"/>
      <c r="F233" s="161"/>
      <c r="G233" s="161"/>
      <c r="H233" s="161"/>
      <c r="I233" s="161"/>
      <c r="J233" s="161"/>
      <c r="K233" s="161"/>
      <c r="L233" s="161"/>
      <c r="M233" s="161"/>
      <c r="N233" s="161"/>
      <c r="O233" s="161"/>
      <c r="P233" s="161"/>
      <c r="Q233" s="160"/>
      <c r="R233" s="161"/>
      <c r="S233" s="161"/>
      <c r="T233" s="161"/>
      <c r="U233" s="161"/>
      <c r="V233" s="161"/>
      <c r="W233" s="161"/>
      <c r="X233" s="161"/>
      <c r="Y233" s="161"/>
      <c r="Z233" s="161"/>
      <c r="AA233" s="161"/>
      <c r="AB233" s="161"/>
      <c r="AC233" s="161"/>
      <c r="AD233" s="161"/>
      <c r="AE233" s="161"/>
      <c r="AF233" s="161"/>
      <c r="AG233" s="161"/>
      <c r="AH233" s="161"/>
      <c r="AI233" s="161"/>
      <c r="AJ233" s="161"/>
      <c r="AK233" s="161"/>
      <c r="AL233" s="161"/>
      <c r="AM233" s="161"/>
      <c r="AN233" s="161"/>
      <c r="AO233" s="161"/>
      <c r="AP233" s="161"/>
      <c r="AQ233" s="161"/>
      <c r="AR233" s="161"/>
      <c r="AS233" s="161"/>
      <c r="AT233" s="161"/>
      <c r="AU233" s="161"/>
      <c r="AV233" s="161"/>
      <c r="AW233" s="161"/>
      <c r="AX233" s="161"/>
      <c r="AY233" s="161"/>
      <c r="AZ233" s="161"/>
      <c r="BA233" s="161"/>
      <c r="BB233" s="161"/>
      <c r="BC233" s="161"/>
      <c r="BD233" s="161"/>
    </row>
    <row r="234" spans="1:56" x14ac:dyDescent="0.2">
      <c r="A234" s="161"/>
      <c r="B234" s="161"/>
      <c r="C234" s="161"/>
      <c r="D234" s="161"/>
      <c r="E234" s="162"/>
      <c r="F234" s="161"/>
      <c r="G234" s="161"/>
      <c r="H234" s="161"/>
      <c r="I234" s="161"/>
      <c r="J234" s="161"/>
      <c r="K234" s="161"/>
      <c r="L234" s="161"/>
      <c r="M234" s="161"/>
      <c r="N234" s="161"/>
      <c r="O234" s="161"/>
      <c r="P234" s="161"/>
      <c r="Q234" s="160"/>
      <c r="R234" s="161"/>
      <c r="S234" s="161"/>
      <c r="T234" s="161"/>
      <c r="U234" s="161"/>
      <c r="V234" s="161"/>
      <c r="W234" s="161"/>
      <c r="X234" s="161"/>
      <c r="Y234" s="161"/>
      <c r="Z234" s="161"/>
      <c r="AA234" s="161"/>
      <c r="AB234" s="161"/>
      <c r="AC234" s="161"/>
      <c r="AD234" s="161"/>
      <c r="AE234" s="161"/>
      <c r="AF234" s="161"/>
      <c r="AG234" s="161"/>
      <c r="AH234" s="161"/>
      <c r="AI234" s="161"/>
      <c r="AJ234" s="161"/>
      <c r="AK234" s="161"/>
      <c r="AL234" s="161"/>
      <c r="AM234" s="161"/>
      <c r="AN234" s="161"/>
      <c r="AO234" s="161"/>
      <c r="AP234" s="161"/>
      <c r="AQ234" s="161"/>
      <c r="AR234" s="161"/>
      <c r="AS234" s="161"/>
      <c r="AT234" s="161"/>
      <c r="AU234" s="161"/>
      <c r="AV234" s="161"/>
      <c r="AW234" s="161"/>
      <c r="AX234" s="161"/>
      <c r="AY234" s="161"/>
      <c r="AZ234" s="161"/>
      <c r="BA234" s="161"/>
      <c r="BB234" s="161"/>
      <c r="BC234" s="161"/>
      <c r="BD234" s="161"/>
    </row>
    <row r="235" spans="1:56" x14ac:dyDescent="0.2">
      <c r="A235" s="161"/>
      <c r="B235" s="161"/>
      <c r="C235" s="161"/>
      <c r="D235" s="161"/>
      <c r="E235" s="162"/>
      <c r="F235" s="161"/>
      <c r="G235" s="161"/>
      <c r="H235" s="161"/>
      <c r="I235" s="161"/>
      <c r="J235" s="161"/>
      <c r="K235" s="161"/>
      <c r="L235" s="161"/>
      <c r="M235" s="161"/>
      <c r="N235" s="161"/>
      <c r="O235" s="161"/>
      <c r="P235" s="161"/>
      <c r="Q235" s="160"/>
      <c r="R235" s="161"/>
      <c r="S235" s="161"/>
      <c r="T235" s="161"/>
      <c r="U235" s="161"/>
      <c r="V235" s="161"/>
      <c r="W235" s="161"/>
      <c r="X235" s="161"/>
      <c r="Y235" s="161"/>
      <c r="Z235" s="161"/>
      <c r="AA235" s="161"/>
      <c r="AB235" s="161"/>
      <c r="AC235" s="161"/>
      <c r="AD235" s="161"/>
      <c r="AE235" s="161"/>
      <c r="AF235" s="161"/>
      <c r="AG235" s="161"/>
      <c r="AH235" s="161"/>
      <c r="AI235" s="161"/>
      <c r="AJ235" s="161"/>
      <c r="AK235" s="161"/>
      <c r="AL235" s="161"/>
      <c r="AM235" s="161"/>
      <c r="AN235" s="161"/>
      <c r="AO235" s="161"/>
      <c r="AP235" s="161"/>
      <c r="AQ235" s="161"/>
      <c r="AR235" s="161"/>
      <c r="AS235" s="161"/>
      <c r="AT235" s="161"/>
      <c r="AU235" s="161"/>
      <c r="AV235" s="161"/>
      <c r="AW235" s="161"/>
      <c r="AX235" s="161"/>
      <c r="AY235" s="161"/>
      <c r="AZ235" s="161"/>
      <c r="BA235" s="161"/>
      <c r="BB235" s="161"/>
      <c r="BC235" s="161"/>
      <c r="BD235" s="161"/>
    </row>
    <row r="236" spans="1:56" x14ac:dyDescent="0.2">
      <c r="A236" s="161"/>
      <c r="B236" s="161"/>
      <c r="C236" s="161"/>
      <c r="D236" s="161"/>
      <c r="E236" s="162"/>
      <c r="F236" s="161"/>
      <c r="G236" s="161"/>
      <c r="H236" s="161"/>
      <c r="I236" s="161"/>
      <c r="J236" s="161"/>
      <c r="K236" s="161"/>
      <c r="L236" s="161"/>
      <c r="M236" s="161"/>
      <c r="N236" s="161"/>
      <c r="O236" s="161"/>
      <c r="P236" s="161"/>
      <c r="Q236" s="160"/>
      <c r="R236" s="161"/>
      <c r="S236" s="161"/>
      <c r="T236" s="161"/>
      <c r="U236" s="161"/>
      <c r="V236" s="161"/>
      <c r="W236" s="161"/>
      <c r="X236" s="161"/>
      <c r="Y236" s="161"/>
      <c r="Z236" s="161"/>
      <c r="AA236" s="161"/>
      <c r="AB236" s="161"/>
      <c r="AC236" s="161"/>
      <c r="AD236" s="161"/>
      <c r="AE236" s="161"/>
      <c r="AF236" s="161"/>
      <c r="AG236" s="161"/>
      <c r="AH236" s="161"/>
      <c r="AI236" s="161"/>
      <c r="AJ236" s="161"/>
      <c r="AK236" s="161"/>
      <c r="AL236" s="161"/>
      <c r="AM236" s="161"/>
      <c r="AN236" s="161"/>
      <c r="AO236" s="161"/>
      <c r="AP236" s="161"/>
      <c r="AQ236" s="161"/>
      <c r="AR236" s="161"/>
      <c r="AS236" s="161"/>
      <c r="AT236" s="161"/>
      <c r="AU236" s="161"/>
      <c r="AV236" s="161"/>
      <c r="AW236" s="161"/>
      <c r="AX236" s="161"/>
      <c r="AY236" s="161"/>
      <c r="AZ236" s="161"/>
      <c r="BA236" s="161"/>
      <c r="BB236" s="161"/>
      <c r="BC236" s="161"/>
      <c r="BD236" s="161"/>
    </row>
    <row r="237" spans="1:56" x14ac:dyDescent="0.2">
      <c r="A237" s="161"/>
      <c r="B237" s="161"/>
      <c r="C237" s="161"/>
      <c r="D237" s="161"/>
      <c r="E237" s="162"/>
      <c r="F237" s="161"/>
      <c r="G237" s="161"/>
      <c r="H237" s="161"/>
      <c r="I237" s="161"/>
      <c r="J237" s="161"/>
      <c r="K237" s="161"/>
      <c r="L237" s="161"/>
      <c r="M237" s="161"/>
      <c r="N237" s="161"/>
      <c r="O237" s="161"/>
      <c r="P237" s="161"/>
      <c r="Q237" s="160"/>
      <c r="R237" s="161"/>
      <c r="S237" s="161"/>
      <c r="T237" s="161"/>
      <c r="U237" s="161"/>
      <c r="V237" s="161"/>
      <c r="W237" s="161"/>
      <c r="X237" s="161"/>
      <c r="Y237" s="161"/>
      <c r="Z237" s="161"/>
      <c r="AA237" s="161"/>
      <c r="AB237" s="161"/>
      <c r="AC237" s="161"/>
      <c r="AD237" s="161"/>
      <c r="AE237" s="161"/>
      <c r="AF237" s="161"/>
      <c r="AG237" s="161"/>
      <c r="AH237" s="161"/>
      <c r="AI237" s="161"/>
      <c r="AJ237" s="161"/>
      <c r="AK237" s="161"/>
      <c r="AL237" s="161"/>
      <c r="AM237" s="161"/>
      <c r="AN237" s="161"/>
      <c r="AO237" s="161"/>
      <c r="AP237" s="161"/>
      <c r="AQ237" s="161"/>
      <c r="AR237" s="161"/>
      <c r="AS237" s="161"/>
      <c r="AT237" s="161"/>
      <c r="AU237" s="161"/>
      <c r="AV237" s="161"/>
      <c r="AW237" s="161"/>
      <c r="AX237" s="161"/>
      <c r="AY237" s="161"/>
      <c r="AZ237" s="161"/>
      <c r="BA237" s="161"/>
      <c r="BB237" s="161"/>
      <c r="BC237" s="161"/>
      <c r="BD237" s="161"/>
    </row>
    <row r="238" spans="1:56" x14ac:dyDescent="0.2">
      <c r="A238" s="161"/>
      <c r="B238" s="161"/>
      <c r="C238" s="161"/>
      <c r="D238" s="161"/>
      <c r="E238" s="162"/>
      <c r="F238" s="161"/>
      <c r="G238" s="161"/>
      <c r="H238" s="161"/>
      <c r="I238" s="161"/>
      <c r="J238" s="161"/>
      <c r="K238" s="161"/>
      <c r="L238" s="161"/>
      <c r="M238" s="161"/>
      <c r="N238" s="161"/>
      <c r="O238" s="161"/>
      <c r="P238" s="161"/>
      <c r="Q238" s="160"/>
      <c r="R238" s="161"/>
      <c r="S238" s="161"/>
      <c r="T238" s="161"/>
      <c r="U238" s="161"/>
      <c r="V238" s="161"/>
      <c r="W238" s="161"/>
      <c r="X238" s="161"/>
      <c r="Y238" s="161"/>
      <c r="Z238" s="161"/>
      <c r="AA238" s="161"/>
      <c r="AB238" s="161"/>
      <c r="AC238" s="161"/>
      <c r="AD238" s="161"/>
      <c r="AE238" s="161"/>
      <c r="AF238" s="161"/>
      <c r="AG238" s="161"/>
      <c r="AH238" s="161"/>
      <c r="AI238" s="161"/>
      <c r="AJ238" s="161"/>
      <c r="AK238" s="161"/>
      <c r="AL238" s="161"/>
      <c r="AM238" s="161"/>
      <c r="AN238" s="161"/>
      <c r="AO238" s="161"/>
      <c r="AP238" s="161"/>
      <c r="AQ238" s="161"/>
      <c r="AR238" s="161"/>
      <c r="AS238" s="161"/>
      <c r="AT238" s="161"/>
      <c r="AU238" s="161"/>
      <c r="AV238" s="161"/>
      <c r="AW238" s="161"/>
      <c r="AX238" s="161"/>
      <c r="AY238" s="161"/>
      <c r="AZ238" s="161"/>
      <c r="BA238" s="161"/>
      <c r="BB238" s="161"/>
      <c r="BC238" s="161"/>
      <c r="BD238" s="161"/>
    </row>
    <row r="239" spans="1:56" x14ac:dyDescent="0.2">
      <c r="A239" s="161"/>
      <c r="B239" s="161"/>
      <c r="C239" s="161"/>
      <c r="D239" s="161"/>
      <c r="E239" s="162"/>
      <c r="F239" s="161"/>
      <c r="G239" s="161"/>
      <c r="H239" s="161"/>
      <c r="I239" s="161"/>
      <c r="J239" s="161"/>
      <c r="K239" s="161"/>
      <c r="L239" s="161"/>
      <c r="M239" s="161"/>
      <c r="N239" s="161"/>
      <c r="O239" s="161"/>
      <c r="P239" s="161"/>
      <c r="Q239" s="160"/>
      <c r="R239" s="161"/>
      <c r="S239" s="161"/>
      <c r="T239" s="161"/>
      <c r="U239" s="161"/>
      <c r="V239" s="161"/>
      <c r="W239" s="161"/>
      <c r="X239" s="161"/>
      <c r="Y239" s="161"/>
      <c r="Z239" s="161"/>
      <c r="AA239" s="161"/>
      <c r="AB239" s="161"/>
      <c r="AC239" s="161"/>
      <c r="AD239" s="161"/>
      <c r="AE239" s="161"/>
      <c r="AF239" s="161"/>
      <c r="AG239" s="161"/>
      <c r="AH239" s="161"/>
      <c r="AI239" s="161"/>
      <c r="AJ239" s="161"/>
      <c r="AK239" s="161"/>
      <c r="AL239" s="161"/>
      <c r="AM239" s="161"/>
      <c r="AN239" s="161"/>
      <c r="AO239" s="161"/>
      <c r="AP239" s="161"/>
      <c r="AQ239" s="161"/>
      <c r="AR239" s="161"/>
      <c r="AS239" s="161"/>
      <c r="AT239" s="161"/>
      <c r="AU239" s="161"/>
      <c r="AV239" s="161"/>
      <c r="AW239" s="161"/>
      <c r="AX239" s="161"/>
      <c r="AY239" s="161"/>
      <c r="AZ239" s="161"/>
      <c r="BA239" s="161"/>
      <c r="BB239" s="161"/>
      <c r="BC239" s="161"/>
      <c r="BD239" s="161"/>
    </row>
    <row r="240" spans="1:56" x14ac:dyDescent="0.2">
      <c r="A240" s="161"/>
      <c r="B240" s="161"/>
      <c r="C240" s="161"/>
      <c r="D240" s="161"/>
      <c r="E240" s="162"/>
      <c r="F240" s="161"/>
      <c r="G240" s="161"/>
      <c r="H240" s="161"/>
      <c r="I240" s="161"/>
      <c r="J240" s="161"/>
      <c r="K240" s="161"/>
      <c r="L240" s="161"/>
      <c r="M240" s="161"/>
      <c r="N240" s="161"/>
      <c r="O240" s="161"/>
      <c r="P240" s="161"/>
      <c r="Q240" s="160"/>
      <c r="R240" s="161"/>
      <c r="S240" s="161"/>
      <c r="T240" s="161"/>
      <c r="U240" s="161"/>
      <c r="V240" s="161"/>
      <c r="W240" s="161"/>
      <c r="X240" s="161"/>
      <c r="Y240" s="161"/>
      <c r="Z240" s="161"/>
      <c r="AA240" s="161"/>
      <c r="AB240" s="161"/>
      <c r="AC240" s="161"/>
      <c r="AD240" s="161"/>
      <c r="AE240" s="161"/>
      <c r="AF240" s="161"/>
      <c r="AG240" s="161"/>
      <c r="AH240" s="161"/>
      <c r="AI240" s="161"/>
      <c r="AJ240" s="161"/>
      <c r="AK240" s="161"/>
      <c r="AL240" s="161"/>
      <c r="AM240" s="161"/>
      <c r="AN240" s="161"/>
      <c r="AO240" s="161"/>
      <c r="AP240" s="161"/>
      <c r="AQ240" s="161"/>
      <c r="AR240" s="161"/>
      <c r="AS240" s="161"/>
      <c r="AT240" s="161"/>
      <c r="AU240" s="161"/>
      <c r="AV240" s="161"/>
      <c r="AW240" s="161"/>
      <c r="AX240" s="161"/>
      <c r="AY240" s="161"/>
      <c r="AZ240" s="161"/>
      <c r="BA240" s="161"/>
      <c r="BB240" s="161"/>
      <c r="BC240" s="161"/>
      <c r="BD240" s="161"/>
    </row>
    <row r="241" spans="1:56" x14ac:dyDescent="0.2">
      <c r="A241" s="161"/>
      <c r="B241" s="161"/>
      <c r="C241" s="161"/>
      <c r="D241" s="161"/>
      <c r="E241" s="162"/>
      <c r="F241" s="161"/>
      <c r="G241" s="161"/>
      <c r="H241" s="161"/>
      <c r="I241" s="161"/>
      <c r="J241" s="161"/>
      <c r="K241" s="161"/>
      <c r="L241" s="161"/>
      <c r="M241" s="161"/>
      <c r="N241" s="161"/>
      <c r="O241" s="161"/>
      <c r="P241" s="161"/>
      <c r="Q241" s="160"/>
      <c r="R241" s="161"/>
      <c r="S241" s="161"/>
      <c r="T241" s="161"/>
      <c r="U241" s="161"/>
      <c r="V241" s="161"/>
      <c r="W241" s="161"/>
      <c r="X241" s="161"/>
      <c r="Y241" s="161"/>
      <c r="Z241" s="161"/>
      <c r="AA241" s="161"/>
      <c r="AB241" s="161"/>
      <c r="AC241" s="161"/>
      <c r="AD241" s="161"/>
      <c r="AE241" s="161"/>
      <c r="AF241" s="161"/>
      <c r="AG241" s="161"/>
      <c r="AH241" s="161"/>
      <c r="AI241" s="161"/>
      <c r="AJ241" s="161"/>
      <c r="AK241" s="161"/>
      <c r="AL241" s="161"/>
      <c r="AM241" s="161"/>
      <c r="AN241" s="161"/>
      <c r="AO241" s="161"/>
      <c r="AP241" s="161"/>
      <c r="AQ241" s="161"/>
      <c r="AR241" s="161"/>
      <c r="AS241" s="161"/>
      <c r="AT241" s="161"/>
      <c r="AU241" s="161"/>
      <c r="AV241" s="161"/>
      <c r="AW241" s="161"/>
      <c r="AX241" s="161"/>
      <c r="AY241" s="161"/>
      <c r="AZ241" s="161"/>
      <c r="BA241" s="161"/>
      <c r="BB241" s="161"/>
      <c r="BC241" s="161"/>
      <c r="BD241" s="161"/>
    </row>
    <row r="242" spans="1:56" x14ac:dyDescent="0.2">
      <c r="A242" s="161"/>
      <c r="B242" s="161"/>
      <c r="C242" s="161"/>
      <c r="D242" s="161"/>
      <c r="E242" s="162"/>
      <c r="F242" s="161"/>
      <c r="G242" s="161"/>
      <c r="H242" s="161"/>
      <c r="I242" s="161"/>
      <c r="J242" s="161"/>
      <c r="K242" s="161"/>
      <c r="L242" s="161"/>
      <c r="M242" s="161"/>
      <c r="N242" s="161"/>
      <c r="O242" s="161"/>
      <c r="P242" s="161"/>
      <c r="Q242" s="160"/>
      <c r="R242" s="161"/>
      <c r="S242" s="161"/>
      <c r="T242" s="161"/>
      <c r="U242" s="161"/>
      <c r="V242" s="161"/>
      <c r="W242" s="161"/>
      <c r="X242" s="161"/>
      <c r="Y242" s="161"/>
      <c r="Z242" s="161"/>
      <c r="AA242" s="161"/>
      <c r="AB242" s="161"/>
      <c r="AC242" s="161"/>
      <c r="AD242" s="161"/>
      <c r="AE242" s="161"/>
      <c r="AF242" s="161"/>
      <c r="AG242" s="161"/>
      <c r="AH242" s="161"/>
      <c r="AI242" s="161"/>
      <c r="AJ242" s="161"/>
      <c r="AK242" s="161"/>
      <c r="AL242" s="161"/>
      <c r="AM242" s="161"/>
      <c r="AN242" s="161"/>
      <c r="AO242" s="161"/>
      <c r="AP242" s="161"/>
      <c r="AQ242" s="161"/>
      <c r="AR242" s="161"/>
      <c r="AS242" s="161"/>
      <c r="AT242" s="161"/>
      <c r="AU242" s="161"/>
      <c r="AV242" s="161"/>
      <c r="AW242" s="161"/>
      <c r="AX242" s="161"/>
      <c r="AY242" s="161"/>
      <c r="AZ242" s="161"/>
      <c r="BA242" s="161"/>
      <c r="BB242" s="161"/>
      <c r="BC242" s="161"/>
      <c r="BD242" s="161"/>
    </row>
    <row r="243" spans="1:56" x14ac:dyDescent="0.2">
      <c r="A243" s="161"/>
      <c r="B243" s="161"/>
      <c r="C243" s="161"/>
      <c r="D243" s="161"/>
      <c r="E243" s="162"/>
      <c r="F243" s="161"/>
      <c r="G243" s="161"/>
      <c r="H243" s="161"/>
      <c r="I243" s="161"/>
      <c r="J243" s="161"/>
      <c r="K243" s="161"/>
      <c r="L243" s="161"/>
      <c r="M243" s="161"/>
      <c r="N243" s="161"/>
      <c r="O243" s="161"/>
      <c r="P243" s="161"/>
      <c r="Q243" s="160"/>
      <c r="R243" s="161"/>
      <c r="S243" s="161"/>
      <c r="T243" s="161"/>
      <c r="U243" s="161"/>
      <c r="V243" s="161"/>
      <c r="W243" s="161"/>
      <c r="X243" s="161"/>
      <c r="Y243" s="161"/>
      <c r="Z243" s="161"/>
      <c r="AA243" s="161"/>
      <c r="AB243" s="161"/>
      <c r="AC243" s="161"/>
      <c r="AD243" s="161"/>
      <c r="AE243" s="161"/>
      <c r="AF243" s="161"/>
      <c r="AG243" s="161"/>
      <c r="AH243" s="161"/>
      <c r="AI243" s="161"/>
      <c r="AJ243" s="161"/>
      <c r="AK243" s="161"/>
      <c r="AL243" s="161"/>
      <c r="AM243" s="161"/>
      <c r="AN243" s="161"/>
      <c r="AO243" s="161"/>
      <c r="AP243" s="161"/>
      <c r="AQ243" s="161"/>
      <c r="AR243" s="161"/>
      <c r="AS243" s="161"/>
      <c r="AT243" s="161"/>
      <c r="AU243" s="161"/>
      <c r="AV243" s="161"/>
      <c r="AW243" s="161"/>
      <c r="AX243" s="161"/>
      <c r="AY243" s="161"/>
      <c r="AZ243" s="161"/>
      <c r="BA243" s="161"/>
      <c r="BB243" s="161"/>
      <c r="BC243" s="161"/>
      <c r="BD243" s="161"/>
    </row>
    <row r="244" spans="1:56" x14ac:dyDescent="0.2">
      <c r="A244" s="161"/>
      <c r="B244" s="161"/>
      <c r="C244" s="161"/>
      <c r="D244" s="161"/>
      <c r="E244" s="162"/>
      <c r="F244" s="161"/>
      <c r="G244" s="161"/>
      <c r="H244" s="161"/>
      <c r="I244" s="161"/>
      <c r="J244" s="161"/>
      <c r="K244" s="161"/>
      <c r="L244" s="161"/>
      <c r="M244" s="161"/>
      <c r="N244" s="161"/>
      <c r="O244" s="161"/>
      <c r="P244" s="161"/>
      <c r="Q244" s="160"/>
      <c r="R244" s="161"/>
      <c r="S244" s="161"/>
      <c r="T244" s="161"/>
      <c r="U244" s="161"/>
      <c r="V244" s="161"/>
      <c r="W244" s="161"/>
      <c r="X244" s="161"/>
      <c r="Y244" s="161"/>
      <c r="Z244" s="161"/>
      <c r="AA244" s="161"/>
      <c r="AB244" s="161"/>
      <c r="AC244" s="161"/>
      <c r="AD244" s="161"/>
      <c r="AE244" s="161"/>
      <c r="AF244" s="161"/>
      <c r="AG244" s="161"/>
      <c r="AH244" s="161"/>
      <c r="AI244" s="161"/>
      <c r="AJ244" s="161"/>
      <c r="AK244" s="161"/>
      <c r="AL244" s="161"/>
      <c r="AM244" s="161"/>
      <c r="AN244" s="161"/>
      <c r="AO244" s="161"/>
      <c r="AP244" s="161"/>
      <c r="AQ244" s="161"/>
      <c r="AR244" s="161"/>
      <c r="AS244" s="161"/>
      <c r="AT244" s="161"/>
      <c r="AU244" s="161"/>
      <c r="AV244" s="161"/>
      <c r="AW244" s="161"/>
      <c r="AX244" s="161"/>
      <c r="AY244" s="161"/>
      <c r="AZ244" s="161"/>
      <c r="BA244" s="161"/>
      <c r="BB244" s="161"/>
      <c r="BC244" s="161"/>
      <c r="BD244" s="161"/>
    </row>
    <row r="245" spans="1:56" x14ac:dyDescent="0.2">
      <c r="A245" s="161"/>
      <c r="B245" s="161"/>
      <c r="C245" s="161"/>
      <c r="D245" s="161"/>
      <c r="E245" s="162"/>
      <c r="F245" s="161"/>
      <c r="G245" s="161"/>
      <c r="H245" s="161"/>
      <c r="I245" s="161"/>
      <c r="J245" s="161"/>
      <c r="K245" s="161"/>
      <c r="L245" s="161"/>
      <c r="M245" s="161"/>
      <c r="N245" s="161"/>
      <c r="O245" s="161"/>
      <c r="P245" s="161"/>
      <c r="Q245" s="160"/>
      <c r="R245" s="161"/>
      <c r="S245" s="161"/>
      <c r="T245" s="161"/>
      <c r="U245" s="161"/>
      <c r="V245" s="161"/>
      <c r="W245" s="161"/>
      <c r="X245" s="161"/>
      <c r="Y245" s="161"/>
      <c r="Z245" s="161"/>
      <c r="AA245" s="161"/>
      <c r="AB245" s="161"/>
      <c r="AC245" s="161"/>
      <c r="AD245" s="161"/>
      <c r="AE245" s="161"/>
      <c r="AF245" s="161"/>
      <c r="AG245" s="161"/>
      <c r="AH245" s="161"/>
      <c r="AI245" s="161"/>
      <c r="AJ245" s="161"/>
      <c r="AK245" s="161"/>
      <c r="AL245" s="161"/>
      <c r="AM245" s="161"/>
      <c r="AN245" s="161"/>
      <c r="AO245" s="161"/>
      <c r="AP245" s="161"/>
      <c r="AQ245" s="161"/>
      <c r="AR245" s="161"/>
      <c r="AS245" s="161"/>
      <c r="AT245" s="161"/>
      <c r="AU245" s="161"/>
      <c r="AV245" s="161"/>
      <c r="AW245" s="161"/>
      <c r="AX245" s="161"/>
      <c r="AY245" s="161"/>
      <c r="AZ245" s="161"/>
      <c r="BA245" s="161"/>
      <c r="BB245" s="161"/>
      <c r="BC245" s="161"/>
      <c r="BD245" s="161"/>
    </row>
    <row r="246" spans="1:56" x14ac:dyDescent="0.2">
      <c r="A246" s="161"/>
      <c r="B246" s="161"/>
      <c r="C246" s="161"/>
      <c r="D246" s="161"/>
      <c r="E246" s="162"/>
      <c r="F246" s="161"/>
      <c r="G246" s="161"/>
      <c r="H246" s="161"/>
      <c r="I246" s="161"/>
      <c r="J246" s="161"/>
      <c r="K246" s="161"/>
      <c r="L246" s="161"/>
      <c r="M246" s="161"/>
      <c r="N246" s="161"/>
      <c r="O246" s="161"/>
      <c r="P246" s="161"/>
      <c r="Q246" s="160"/>
      <c r="R246" s="161"/>
      <c r="S246" s="161"/>
      <c r="T246" s="161"/>
      <c r="U246" s="161"/>
      <c r="V246" s="161"/>
      <c r="W246" s="161"/>
      <c r="X246" s="161"/>
      <c r="Y246" s="161"/>
      <c r="Z246" s="161"/>
      <c r="AA246" s="161"/>
      <c r="AB246" s="161"/>
      <c r="AC246" s="161"/>
      <c r="AD246" s="161"/>
      <c r="AE246" s="161"/>
      <c r="AF246" s="161"/>
      <c r="AG246" s="161"/>
      <c r="AH246" s="161"/>
      <c r="AI246" s="161"/>
      <c r="AJ246" s="161"/>
      <c r="AK246" s="161"/>
      <c r="AL246" s="161"/>
      <c r="AM246" s="161"/>
      <c r="AN246" s="161"/>
      <c r="AO246" s="161"/>
      <c r="AP246" s="161"/>
      <c r="AQ246" s="161"/>
      <c r="AR246" s="161"/>
      <c r="AS246" s="161"/>
      <c r="AT246" s="161"/>
      <c r="AU246" s="161"/>
      <c r="AV246" s="161"/>
      <c r="AW246" s="161"/>
      <c r="AX246" s="161"/>
      <c r="AY246" s="161"/>
      <c r="AZ246" s="161"/>
      <c r="BA246" s="161"/>
      <c r="BB246" s="161"/>
      <c r="BC246" s="161"/>
      <c r="BD246" s="161"/>
    </row>
    <row r="247" spans="1:56" x14ac:dyDescent="0.2">
      <c r="A247" s="161"/>
      <c r="B247" s="161"/>
      <c r="C247" s="161"/>
      <c r="D247" s="161"/>
      <c r="E247" s="162"/>
      <c r="F247" s="161"/>
      <c r="G247" s="161"/>
      <c r="H247" s="161"/>
      <c r="I247" s="161"/>
      <c r="J247" s="161"/>
      <c r="K247" s="161"/>
      <c r="L247" s="161"/>
      <c r="M247" s="161"/>
      <c r="N247" s="161"/>
      <c r="O247" s="161"/>
      <c r="P247" s="161"/>
      <c r="Q247" s="160"/>
      <c r="R247" s="161"/>
      <c r="S247" s="161"/>
      <c r="T247" s="161"/>
      <c r="U247" s="161"/>
      <c r="V247" s="161"/>
      <c r="W247" s="161"/>
      <c r="X247" s="161"/>
      <c r="Y247" s="161"/>
      <c r="Z247" s="161"/>
      <c r="AA247" s="161"/>
      <c r="AB247" s="161"/>
      <c r="AC247" s="161"/>
      <c r="AD247" s="161"/>
      <c r="AE247" s="161"/>
      <c r="AF247" s="161"/>
      <c r="AG247" s="161"/>
      <c r="AH247" s="161"/>
      <c r="AI247" s="161"/>
      <c r="AJ247" s="161"/>
      <c r="AK247" s="161"/>
      <c r="AL247" s="161"/>
      <c r="AM247" s="161"/>
      <c r="AN247" s="161"/>
      <c r="AO247" s="161"/>
      <c r="AP247" s="161"/>
      <c r="AQ247" s="161"/>
      <c r="AR247" s="161"/>
      <c r="AS247" s="161"/>
      <c r="AT247" s="161"/>
      <c r="AU247" s="161"/>
      <c r="AV247" s="161"/>
      <c r="AW247" s="161"/>
      <c r="AX247" s="161"/>
      <c r="AY247" s="161"/>
      <c r="AZ247" s="161"/>
      <c r="BA247" s="161"/>
      <c r="BB247" s="161"/>
      <c r="BC247" s="161"/>
      <c r="BD247" s="161"/>
    </row>
    <row r="248" spans="1:56" x14ac:dyDescent="0.2">
      <c r="A248" s="161"/>
      <c r="B248" s="161"/>
      <c r="C248" s="161"/>
      <c r="D248" s="161"/>
      <c r="E248" s="162"/>
      <c r="F248" s="161"/>
      <c r="G248" s="161"/>
      <c r="H248" s="161"/>
      <c r="I248" s="161"/>
      <c r="J248" s="161"/>
      <c r="K248" s="161"/>
      <c r="L248" s="161"/>
      <c r="M248" s="161"/>
      <c r="N248" s="161"/>
      <c r="O248" s="161"/>
      <c r="P248" s="161"/>
      <c r="Q248" s="160"/>
      <c r="R248" s="161"/>
      <c r="S248" s="161"/>
      <c r="T248" s="161"/>
      <c r="U248" s="161"/>
      <c r="V248" s="161"/>
      <c r="W248" s="161"/>
      <c r="X248" s="161"/>
      <c r="Y248" s="161"/>
      <c r="Z248" s="161"/>
      <c r="AA248" s="161"/>
      <c r="AB248" s="161"/>
      <c r="AC248" s="161"/>
      <c r="AD248" s="161"/>
      <c r="AE248" s="161"/>
      <c r="AF248" s="161"/>
      <c r="AG248" s="161"/>
      <c r="AH248" s="161"/>
      <c r="AI248" s="161"/>
      <c r="AJ248" s="161"/>
      <c r="AK248" s="161"/>
      <c r="AL248" s="161"/>
      <c r="AM248" s="161"/>
      <c r="AN248" s="161"/>
      <c r="AO248" s="161"/>
      <c r="AP248" s="161"/>
      <c r="AQ248" s="161"/>
      <c r="AR248" s="161"/>
      <c r="AS248" s="161"/>
      <c r="AT248" s="161"/>
      <c r="AU248" s="161"/>
      <c r="AV248" s="161"/>
      <c r="AW248" s="161"/>
      <c r="AX248" s="161"/>
      <c r="AY248" s="161"/>
      <c r="AZ248" s="161"/>
      <c r="BA248" s="161"/>
      <c r="BB248" s="161"/>
      <c r="BC248" s="161"/>
      <c r="BD248" s="161"/>
    </row>
    <row r="249" spans="1:56" x14ac:dyDescent="0.2">
      <c r="A249" s="161"/>
      <c r="B249" s="161"/>
      <c r="C249" s="161"/>
      <c r="D249" s="161"/>
      <c r="E249" s="162"/>
      <c r="F249" s="161"/>
      <c r="G249" s="161"/>
      <c r="H249" s="161"/>
      <c r="I249" s="161"/>
      <c r="J249" s="161"/>
      <c r="K249" s="161"/>
      <c r="L249" s="161"/>
      <c r="M249" s="161"/>
      <c r="N249" s="161"/>
      <c r="O249" s="161"/>
      <c r="P249" s="161"/>
      <c r="Q249" s="160"/>
      <c r="R249" s="161"/>
      <c r="S249" s="161"/>
      <c r="T249" s="161"/>
      <c r="U249" s="161"/>
      <c r="V249" s="161"/>
      <c r="W249" s="161"/>
      <c r="X249" s="161"/>
      <c r="Y249" s="161"/>
      <c r="Z249" s="161"/>
      <c r="AA249" s="161"/>
      <c r="AB249" s="161"/>
      <c r="AC249" s="161"/>
      <c r="AD249" s="161"/>
      <c r="AE249" s="161"/>
      <c r="AF249" s="161"/>
      <c r="AG249" s="161"/>
      <c r="AH249" s="161"/>
      <c r="AI249" s="161"/>
      <c r="AJ249" s="161"/>
      <c r="AK249" s="161"/>
      <c r="AL249" s="161"/>
      <c r="AM249" s="161"/>
      <c r="AN249" s="161"/>
      <c r="AO249" s="161"/>
      <c r="AP249" s="161"/>
      <c r="AQ249" s="161"/>
      <c r="AR249" s="161"/>
      <c r="AS249" s="161"/>
      <c r="AT249" s="161"/>
      <c r="AU249" s="161"/>
      <c r="AV249" s="161"/>
      <c r="AW249" s="161"/>
      <c r="AX249" s="161"/>
      <c r="AY249" s="161"/>
      <c r="AZ249" s="161"/>
      <c r="BA249" s="161"/>
      <c r="BB249" s="161"/>
      <c r="BC249" s="161"/>
      <c r="BD249" s="161"/>
    </row>
    <row r="250" spans="1:56" x14ac:dyDescent="0.2">
      <c r="A250" s="161"/>
      <c r="B250" s="161"/>
      <c r="C250" s="161"/>
      <c r="D250" s="161"/>
      <c r="E250" s="162"/>
      <c r="F250" s="161"/>
      <c r="G250" s="161"/>
      <c r="H250" s="161"/>
      <c r="I250" s="161"/>
      <c r="J250" s="161"/>
      <c r="K250" s="161"/>
      <c r="L250" s="161"/>
      <c r="M250" s="161"/>
      <c r="N250" s="161"/>
      <c r="O250" s="161"/>
      <c r="P250" s="161"/>
      <c r="Q250" s="160"/>
      <c r="R250" s="161"/>
      <c r="S250" s="161"/>
      <c r="T250" s="161"/>
      <c r="U250" s="161"/>
      <c r="V250" s="161"/>
      <c r="W250" s="161"/>
      <c r="X250" s="161"/>
      <c r="Y250" s="161"/>
      <c r="Z250" s="161"/>
      <c r="AA250" s="161"/>
      <c r="AB250" s="161"/>
      <c r="AC250" s="161"/>
      <c r="AD250" s="161"/>
      <c r="AE250" s="161"/>
      <c r="AF250" s="161"/>
      <c r="AG250" s="161"/>
      <c r="AH250" s="161"/>
      <c r="AI250" s="161"/>
      <c r="AJ250" s="161"/>
      <c r="AK250" s="161"/>
      <c r="AL250" s="161"/>
      <c r="AM250" s="161"/>
      <c r="AN250" s="161"/>
      <c r="AO250" s="161"/>
      <c r="AP250" s="161"/>
      <c r="AQ250" s="161"/>
      <c r="AR250" s="161"/>
      <c r="AS250" s="161"/>
      <c r="AT250" s="161"/>
      <c r="AU250" s="161"/>
      <c r="AV250" s="161"/>
      <c r="AW250" s="161"/>
      <c r="AX250" s="161"/>
      <c r="AY250" s="161"/>
      <c r="AZ250" s="161"/>
      <c r="BA250" s="161"/>
      <c r="BB250" s="161"/>
      <c r="BC250" s="161"/>
      <c r="BD250" s="161"/>
    </row>
    <row r="251" spans="1:56" x14ac:dyDescent="0.2">
      <c r="A251" s="161"/>
      <c r="B251" s="161"/>
      <c r="C251" s="161"/>
      <c r="D251" s="161"/>
      <c r="E251" s="162"/>
      <c r="F251" s="161"/>
      <c r="G251" s="161"/>
      <c r="H251" s="161"/>
      <c r="I251" s="161"/>
      <c r="J251" s="161"/>
      <c r="K251" s="161"/>
      <c r="L251" s="161"/>
      <c r="M251" s="161"/>
      <c r="N251" s="161"/>
      <c r="O251" s="161"/>
      <c r="P251" s="161"/>
      <c r="Q251" s="160"/>
      <c r="R251" s="161"/>
      <c r="S251" s="161"/>
      <c r="T251" s="161"/>
      <c r="U251" s="161"/>
      <c r="V251" s="161"/>
      <c r="W251" s="161"/>
      <c r="X251" s="161"/>
      <c r="Y251" s="161"/>
      <c r="Z251" s="161"/>
      <c r="AA251" s="161"/>
      <c r="AB251" s="161"/>
      <c r="AC251" s="161"/>
      <c r="AD251" s="161"/>
      <c r="AE251" s="161"/>
      <c r="AF251" s="161"/>
      <c r="AG251" s="161"/>
      <c r="AH251" s="161"/>
      <c r="AI251" s="161"/>
      <c r="AJ251" s="161"/>
      <c r="AK251" s="161"/>
      <c r="AL251" s="161"/>
      <c r="AM251" s="161"/>
      <c r="AN251" s="161"/>
      <c r="AO251" s="161"/>
      <c r="AP251" s="161"/>
      <c r="AQ251" s="161"/>
      <c r="AR251" s="161"/>
      <c r="AS251" s="161"/>
      <c r="AT251" s="161"/>
      <c r="AU251" s="161"/>
      <c r="AV251" s="161"/>
      <c r="AW251" s="161"/>
      <c r="AX251" s="161"/>
      <c r="AY251" s="161"/>
      <c r="AZ251" s="161"/>
      <c r="BA251" s="161"/>
      <c r="BB251" s="161"/>
      <c r="BC251" s="161"/>
      <c r="BD251" s="161"/>
    </row>
    <row r="252" spans="1:56" x14ac:dyDescent="0.2">
      <c r="A252" s="161"/>
      <c r="B252" s="161"/>
      <c r="C252" s="161"/>
      <c r="D252" s="161"/>
      <c r="E252" s="162"/>
      <c r="F252" s="161"/>
      <c r="G252" s="161"/>
      <c r="H252" s="161"/>
      <c r="I252" s="161"/>
      <c r="J252" s="161"/>
      <c r="K252" s="161"/>
      <c r="L252" s="161"/>
      <c r="M252" s="161"/>
      <c r="N252" s="161"/>
      <c r="O252" s="161"/>
      <c r="P252" s="161"/>
      <c r="Q252" s="160"/>
      <c r="R252" s="161"/>
      <c r="S252" s="161"/>
      <c r="T252" s="161"/>
      <c r="U252" s="161"/>
      <c r="V252" s="161"/>
      <c r="W252" s="161"/>
      <c r="X252" s="161"/>
      <c r="Y252" s="161"/>
      <c r="Z252" s="161"/>
      <c r="AA252" s="161"/>
      <c r="AB252" s="161"/>
      <c r="AC252" s="161"/>
      <c r="AD252" s="161"/>
      <c r="AE252" s="161"/>
      <c r="AF252" s="161"/>
      <c r="AG252" s="161"/>
      <c r="AH252" s="161"/>
      <c r="AI252" s="161"/>
      <c r="AJ252" s="161"/>
      <c r="AK252" s="161"/>
      <c r="AL252" s="161"/>
      <c r="AM252" s="161"/>
      <c r="AN252" s="161"/>
      <c r="AO252" s="161"/>
      <c r="AP252" s="161"/>
      <c r="AQ252" s="161"/>
      <c r="AR252" s="161"/>
      <c r="AS252" s="161"/>
      <c r="AT252" s="161"/>
      <c r="AU252" s="161"/>
      <c r="AV252" s="161"/>
      <c r="AW252" s="161"/>
      <c r="AX252" s="161"/>
      <c r="AY252" s="161"/>
      <c r="AZ252" s="161"/>
      <c r="BA252" s="161"/>
      <c r="BB252" s="161"/>
      <c r="BC252" s="161"/>
      <c r="BD252" s="161"/>
    </row>
    <row r="253" spans="1:56" x14ac:dyDescent="0.2">
      <c r="A253" s="161"/>
      <c r="B253" s="161"/>
      <c r="C253" s="161"/>
      <c r="D253" s="161"/>
      <c r="E253" s="162"/>
      <c r="F253" s="161"/>
      <c r="G253" s="161"/>
      <c r="H253" s="161"/>
      <c r="I253" s="161"/>
      <c r="J253" s="161"/>
      <c r="K253" s="161"/>
      <c r="L253" s="161"/>
      <c r="M253" s="161"/>
      <c r="N253" s="161"/>
      <c r="O253" s="161"/>
      <c r="P253" s="161"/>
      <c r="Q253" s="160"/>
      <c r="R253" s="161"/>
      <c r="S253" s="161"/>
      <c r="T253" s="161"/>
      <c r="U253" s="161"/>
      <c r="V253" s="161"/>
      <c r="W253" s="161"/>
      <c r="X253" s="161"/>
      <c r="Y253" s="161"/>
      <c r="Z253" s="161"/>
      <c r="AA253" s="161"/>
      <c r="AB253" s="161"/>
      <c r="AC253" s="161"/>
      <c r="AD253" s="161"/>
      <c r="AE253" s="161"/>
      <c r="AF253" s="161"/>
      <c r="AG253" s="161"/>
      <c r="AH253" s="161"/>
      <c r="AI253" s="161"/>
      <c r="AJ253" s="161"/>
      <c r="AK253" s="161"/>
      <c r="AL253" s="161"/>
      <c r="AM253" s="161"/>
      <c r="AN253" s="161"/>
      <c r="AO253" s="161"/>
      <c r="AP253" s="161"/>
      <c r="AQ253" s="161"/>
      <c r="AR253" s="161"/>
      <c r="AS253" s="161"/>
      <c r="AT253" s="161"/>
      <c r="AU253" s="161"/>
      <c r="AV253" s="161"/>
      <c r="AW253" s="161"/>
      <c r="AX253" s="161"/>
      <c r="AY253" s="161"/>
      <c r="AZ253" s="161"/>
      <c r="BA253" s="161"/>
      <c r="BB253" s="161"/>
      <c r="BC253" s="161"/>
      <c r="BD253" s="161"/>
    </row>
    <row r="254" spans="1:56" x14ac:dyDescent="0.2">
      <c r="A254" s="161"/>
      <c r="B254" s="161"/>
      <c r="C254" s="161"/>
      <c r="D254" s="161"/>
      <c r="E254" s="162"/>
      <c r="F254" s="161"/>
      <c r="G254" s="161"/>
      <c r="H254" s="161"/>
      <c r="I254" s="161"/>
      <c r="J254" s="161"/>
      <c r="K254" s="161"/>
      <c r="L254" s="161"/>
      <c r="M254" s="161"/>
      <c r="N254" s="161"/>
      <c r="O254" s="161"/>
      <c r="P254" s="161"/>
      <c r="Q254" s="160"/>
      <c r="R254" s="161"/>
      <c r="S254" s="161"/>
      <c r="T254" s="161"/>
      <c r="U254" s="161"/>
      <c r="V254" s="161"/>
      <c r="W254" s="161"/>
      <c r="X254" s="161"/>
      <c r="Y254" s="161"/>
      <c r="Z254" s="161"/>
      <c r="AA254" s="161"/>
      <c r="AB254" s="161"/>
      <c r="AC254" s="161"/>
      <c r="AD254" s="161"/>
      <c r="AE254" s="161"/>
      <c r="AF254" s="161"/>
      <c r="AG254" s="161"/>
      <c r="AH254" s="161"/>
      <c r="AI254" s="161"/>
      <c r="AJ254" s="161"/>
      <c r="AK254" s="161"/>
      <c r="AL254" s="161"/>
      <c r="AM254" s="161"/>
      <c r="AN254" s="161"/>
      <c r="AO254" s="161"/>
      <c r="AP254" s="161"/>
      <c r="AQ254" s="161"/>
      <c r="AR254" s="161"/>
      <c r="AS254" s="161"/>
      <c r="AT254" s="161"/>
      <c r="AU254" s="161"/>
      <c r="AV254" s="161"/>
      <c r="AW254" s="161"/>
      <c r="AX254" s="161"/>
      <c r="AY254" s="161"/>
      <c r="AZ254" s="161"/>
      <c r="BA254" s="161"/>
      <c r="BB254" s="161"/>
      <c r="BC254" s="161"/>
      <c r="BD254" s="161"/>
    </row>
    <row r="255" spans="1:56" x14ac:dyDescent="0.2">
      <c r="A255" s="161"/>
      <c r="B255" s="161"/>
      <c r="C255" s="161"/>
      <c r="D255" s="161"/>
      <c r="E255" s="162"/>
      <c r="F255" s="161"/>
      <c r="G255" s="161"/>
      <c r="H255" s="161"/>
      <c r="I255" s="161"/>
      <c r="J255" s="161"/>
      <c r="K255" s="161"/>
      <c r="L255" s="161"/>
      <c r="M255" s="161"/>
      <c r="N255" s="161"/>
      <c r="O255" s="161"/>
      <c r="P255" s="161"/>
      <c r="Q255" s="160"/>
      <c r="R255" s="161"/>
      <c r="S255" s="161"/>
      <c r="T255" s="161"/>
      <c r="U255" s="161"/>
      <c r="V255" s="161"/>
      <c r="W255" s="161"/>
      <c r="X255" s="161"/>
      <c r="Y255" s="161"/>
      <c r="Z255" s="161"/>
      <c r="AA255" s="161"/>
      <c r="AB255" s="161"/>
      <c r="AC255" s="161"/>
      <c r="AD255" s="161"/>
      <c r="AE255" s="161"/>
      <c r="AF255" s="161"/>
      <c r="AG255" s="161"/>
      <c r="AH255" s="161"/>
      <c r="AI255" s="161"/>
      <c r="AJ255" s="161"/>
      <c r="AK255" s="161"/>
      <c r="AL255" s="161"/>
      <c r="AM255" s="161"/>
      <c r="AN255" s="161"/>
      <c r="AO255" s="161"/>
      <c r="AP255" s="161"/>
      <c r="AQ255" s="161"/>
      <c r="AR255" s="161"/>
      <c r="AS255" s="161"/>
      <c r="AT255" s="161"/>
      <c r="AU255" s="161"/>
      <c r="AV255" s="161"/>
      <c r="AW255" s="161"/>
      <c r="AX255" s="161"/>
      <c r="AY255" s="161"/>
      <c r="AZ255" s="161"/>
      <c r="BA255" s="161"/>
      <c r="BB255" s="161"/>
      <c r="BC255" s="161"/>
      <c r="BD255" s="161"/>
    </row>
    <row r="256" spans="1:56" x14ac:dyDescent="0.2">
      <c r="A256" s="161"/>
      <c r="B256" s="161"/>
      <c r="C256" s="161"/>
      <c r="D256" s="161"/>
      <c r="E256" s="162"/>
      <c r="F256" s="161"/>
      <c r="G256" s="161"/>
      <c r="H256" s="161"/>
      <c r="I256" s="161"/>
      <c r="J256" s="161"/>
      <c r="K256" s="161"/>
      <c r="L256" s="161"/>
      <c r="M256" s="161"/>
      <c r="N256" s="161"/>
      <c r="O256" s="161"/>
      <c r="P256" s="161"/>
      <c r="Q256" s="160"/>
      <c r="R256" s="161"/>
      <c r="S256" s="161"/>
      <c r="T256" s="161"/>
      <c r="U256" s="161"/>
      <c r="V256" s="161"/>
      <c r="W256" s="161"/>
      <c r="X256" s="161"/>
      <c r="Y256" s="161"/>
      <c r="Z256" s="161"/>
      <c r="AA256" s="161"/>
      <c r="AB256" s="161"/>
      <c r="AC256" s="161"/>
      <c r="AD256" s="161"/>
      <c r="AE256" s="161"/>
      <c r="AF256" s="161"/>
      <c r="AG256" s="161"/>
      <c r="AH256" s="161"/>
      <c r="AI256" s="161"/>
      <c r="AJ256" s="161"/>
      <c r="AK256" s="161"/>
      <c r="AL256" s="161"/>
      <c r="AM256" s="161"/>
      <c r="AN256" s="161"/>
      <c r="AO256" s="161"/>
      <c r="AP256" s="161"/>
      <c r="AQ256" s="161"/>
      <c r="AR256" s="161"/>
      <c r="AS256" s="161"/>
      <c r="AT256" s="161"/>
      <c r="AU256" s="161"/>
      <c r="AV256" s="161"/>
      <c r="AW256" s="161"/>
      <c r="AX256" s="161"/>
      <c r="AY256" s="161"/>
      <c r="AZ256" s="161"/>
      <c r="BA256" s="161"/>
      <c r="BB256" s="161"/>
      <c r="BC256" s="161"/>
      <c r="BD256" s="161"/>
    </row>
    <row r="257" spans="1:56" x14ac:dyDescent="0.2">
      <c r="A257" s="161"/>
      <c r="B257" s="161"/>
      <c r="C257" s="161"/>
      <c r="D257" s="161"/>
      <c r="E257" s="162"/>
      <c r="F257" s="161"/>
      <c r="G257" s="161"/>
      <c r="H257" s="161"/>
      <c r="I257" s="161"/>
      <c r="J257" s="161"/>
      <c r="K257" s="161"/>
      <c r="L257" s="161"/>
      <c r="M257" s="161"/>
      <c r="N257" s="161"/>
      <c r="O257" s="161"/>
      <c r="P257" s="161"/>
      <c r="Q257" s="160"/>
      <c r="R257" s="161"/>
      <c r="S257" s="161"/>
      <c r="T257" s="161"/>
      <c r="U257" s="161"/>
      <c r="V257" s="161"/>
      <c r="W257" s="161"/>
      <c r="X257" s="161"/>
      <c r="Y257" s="161"/>
      <c r="Z257" s="161"/>
      <c r="AA257" s="161"/>
      <c r="AB257" s="161"/>
      <c r="AC257" s="161"/>
      <c r="AD257" s="161"/>
      <c r="AE257" s="161"/>
      <c r="AF257" s="161"/>
      <c r="AG257" s="161"/>
      <c r="AH257" s="161"/>
      <c r="AI257" s="161"/>
      <c r="AJ257" s="161"/>
      <c r="AK257" s="161"/>
      <c r="AL257" s="161"/>
      <c r="AM257" s="161"/>
      <c r="AN257" s="161"/>
      <c r="AO257" s="161"/>
      <c r="AP257" s="161"/>
      <c r="AQ257" s="161"/>
      <c r="AR257" s="161"/>
      <c r="AS257" s="161"/>
      <c r="AT257" s="161"/>
      <c r="AU257" s="161"/>
      <c r="AV257" s="161"/>
      <c r="AW257" s="161"/>
      <c r="AX257" s="161"/>
      <c r="AY257" s="161"/>
      <c r="AZ257" s="161"/>
      <c r="BA257" s="161"/>
      <c r="BB257" s="161"/>
      <c r="BC257" s="161"/>
      <c r="BD257" s="161"/>
    </row>
    <row r="258" spans="1:56" x14ac:dyDescent="0.2">
      <c r="A258" s="161"/>
      <c r="B258" s="161"/>
      <c r="C258" s="161"/>
      <c r="D258" s="161"/>
      <c r="E258" s="162"/>
      <c r="F258" s="161"/>
      <c r="G258" s="161"/>
      <c r="H258" s="161"/>
      <c r="I258" s="161"/>
      <c r="J258" s="161"/>
      <c r="K258" s="161"/>
      <c r="L258" s="161"/>
      <c r="M258" s="161"/>
      <c r="N258" s="161"/>
      <c r="O258" s="161"/>
      <c r="P258" s="161"/>
      <c r="Q258" s="160"/>
      <c r="R258" s="161"/>
      <c r="S258" s="161"/>
      <c r="T258" s="161"/>
      <c r="U258" s="161"/>
      <c r="V258" s="161"/>
      <c r="W258" s="161"/>
      <c r="X258" s="161"/>
      <c r="Y258" s="161"/>
      <c r="Z258" s="161"/>
      <c r="AA258" s="161"/>
      <c r="AB258" s="161"/>
      <c r="AC258" s="161"/>
      <c r="AD258" s="161"/>
      <c r="AE258" s="161"/>
      <c r="AF258" s="161"/>
      <c r="AG258" s="161"/>
      <c r="AH258" s="161"/>
      <c r="AI258" s="161"/>
      <c r="AJ258" s="161"/>
      <c r="AK258" s="161"/>
      <c r="AL258" s="161"/>
      <c r="AM258" s="161"/>
      <c r="AN258" s="161"/>
      <c r="AO258" s="161"/>
      <c r="AP258" s="161"/>
      <c r="AQ258" s="161"/>
      <c r="AR258" s="161"/>
      <c r="AS258" s="161"/>
      <c r="AT258" s="161"/>
      <c r="AU258" s="161"/>
      <c r="AV258" s="161"/>
      <c r="AW258" s="161"/>
      <c r="AX258" s="161"/>
      <c r="AY258" s="161"/>
      <c r="AZ258" s="161"/>
      <c r="BA258" s="161"/>
      <c r="BB258" s="161"/>
      <c r="BC258" s="161"/>
      <c r="BD258" s="161"/>
    </row>
    <row r="259" spans="1:56" x14ac:dyDescent="0.2">
      <c r="A259" s="161"/>
      <c r="B259" s="161"/>
      <c r="C259" s="161"/>
      <c r="D259" s="161"/>
      <c r="E259" s="162"/>
      <c r="F259" s="161"/>
      <c r="G259" s="161"/>
      <c r="H259" s="161"/>
      <c r="I259" s="161"/>
      <c r="J259" s="161"/>
      <c r="K259" s="161"/>
      <c r="L259" s="161"/>
      <c r="M259" s="161"/>
      <c r="N259" s="161"/>
      <c r="O259" s="161"/>
      <c r="P259" s="161"/>
      <c r="Q259" s="160"/>
      <c r="R259" s="161"/>
      <c r="S259" s="161"/>
      <c r="T259" s="161"/>
      <c r="U259" s="161"/>
      <c r="V259" s="161"/>
      <c r="W259" s="161"/>
      <c r="X259" s="161"/>
      <c r="Y259" s="161"/>
      <c r="Z259" s="161"/>
      <c r="AA259" s="161"/>
      <c r="AB259" s="161"/>
      <c r="AC259" s="161"/>
      <c r="AD259" s="161"/>
      <c r="AE259" s="161"/>
      <c r="AF259" s="161"/>
      <c r="AG259" s="161"/>
      <c r="AH259" s="161"/>
      <c r="AI259" s="161"/>
      <c r="AJ259" s="161"/>
      <c r="AK259" s="161"/>
      <c r="AL259" s="161"/>
      <c r="AM259" s="161"/>
      <c r="AN259" s="161"/>
      <c r="AO259" s="161"/>
      <c r="AP259" s="161"/>
      <c r="AQ259" s="161"/>
      <c r="AR259" s="161"/>
      <c r="AS259" s="161"/>
      <c r="AT259" s="161"/>
      <c r="AU259" s="161"/>
      <c r="AV259" s="161"/>
      <c r="AW259" s="161"/>
      <c r="AX259" s="161"/>
      <c r="AY259" s="161"/>
      <c r="AZ259" s="161"/>
      <c r="BA259" s="161"/>
      <c r="BB259" s="161"/>
      <c r="BC259" s="161"/>
      <c r="BD259" s="161"/>
    </row>
    <row r="260" spans="1:56" x14ac:dyDescent="0.2">
      <c r="A260" s="161"/>
      <c r="B260" s="161"/>
      <c r="C260" s="161"/>
      <c r="D260" s="161"/>
      <c r="E260" s="162"/>
      <c r="F260" s="161"/>
      <c r="G260" s="161"/>
      <c r="H260" s="161"/>
      <c r="I260" s="161"/>
      <c r="J260" s="161"/>
      <c r="K260" s="161"/>
      <c r="L260" s="161"/>
      <c r="M260" s="161"/>
      <c r="N260" s="161"/>
      <c r="O260" s="161"/>
      <c r="P260" s="161"/>
      <c r="Q260" s="160"/>
      <c r="R260" s="161"/>
      <c r="S260" s="161"/>
      <c r="T260" s="161"/>
      <c r="U260" s="161"/>
      <c r="V260" s="161"/>
      <c r="W260" s="161"/>
      <c r="X260" s="161"/>
      <c r="Y260" s="161"/>
      <c r="Z260" s="161"/>
      <c r="AA260" s="161"/>
      <c r="AB260" s="161"/>
      <c r="AC260" s="161"/>
      <c r="AD260" s="161"/>
      <c r="AE260" s="161"/>
      <c r="AF260" s="161"/>
      <c r="AG260" s="161"/>
      <c r="AH260" s="161"/>
      <c r="AI260" s="161"/>
      <c r="AJ260" s="161"/>
      <c r="AK260" s="161"/>
      <c r="AL260" s="161"/>
      <c r="AM260" s="161"/>
      <c r="AN260" s="161"/>
      <c r="AO260" s="161"/>
      <c r="AP260" s="161"/>
      <c r="AQ260" s="161"/>
      <c r="AR260" s="161"/>
      <c r="AS260" s="161"/>
      <c r="AT260" s="161"/>
      <c r="AU260" s="161"/>
      <c r="AV260" s="161"/>
      <c r="AW260" s="161"/>
      <c r="AX260" s="161"/>
      <c r="AY260" s="161"/>
      <c r="AZ260" s="161"/>
      <c r="BA260" s="161"/>
      <c r="BB260" s="161"/>
      <c r="BC260" s="161"/>
      <c r="BD260" s="161"/>
    </row>
    <row r="261" spans="1:56" x14ac:dyDescent="0.2">
      <c r="A261" s="161"/>
      <c r="B261" s="161"/>
      <c r="C261" s="161"/>
      <c r="D261" s="161"/>
      <c r="E261" s="162"/>
      <c r="F261" s="161"/>
      <c r="G261" s="161"/>
      <c r="H261" s="161"/>
      <c r="I261" s="161"/>
      <c r="J261" s="161"/>
      <c r="K261" s="161"/>
      <c r="L261" s="161"/>
      <c r="M261" s="161"/>
      <c r="N261" s="161"/>
      <c r="O261" s="161"/>
      <c r="P261" s="161"/>
      <c r="Q261" s="160"/>
      <c r="R261" s="161"/>
      <c r="S261" s="161"/>
      <c r="T261" s="161"/>
      <c r="U261" s="161"/>
      <c r="V261" s="161"/>
      <c r="W261" s="161"/>
      <c r="X261" s="161"/>
      <c r="Y261" s="161"/>
      <c r="Z261" s="161"/>
      <c r="AA261" s="161"/>
      <c r="AB261" s="161"/>
      <c r="AC261" s="161"/>
      <c r="AD261" s="161"/>
      <c r="AE261" s="161"/>
      <c r="AF261" s="161"/>
      <c r="AG261" s="161"/>
      <c r="AH261" s="161"/>
      <c r="AI261" s="161"/>
      <c r="AJ261" s="161"/>
      <c r="AK261" s="161"/>
      <c r="AL261" s="161"/>
      <c r="AM261" s="161"/>
      <c r="AN261" s="161"/>
      <c r="AO261" s="161"/>
      <c r="AP261" s="161"/>
      <c r="AQ261" s="161"/>
      <c r="AR261" s="161"/>
      <c r="AS261" s="161"/>
      <c r="AT261" s="161"/>
      <c r="AU261" s="161"/>
      <c r="AV261" s="161"/>
      <c r="AW261" s="161"/>
      <c r="AX261" s="161"/>
      <c r="AY261" s="161"/>
      <c r="AZ261" s="161"/>
      <c r="BA261" s="161"/>
      <c r="BB261" s="161"/>
      <c r="BC261" s="161"/>
      <c r="BD261" s="161"/>
    </row>
    <row r="262" spans="1:56" x14ac:dyDescent="0.2">
      <c r="A262" s="161"/>
      <c r="B262" s="161"/>
      <c r="C262" s="161"/>
      <c r="D262" s="161"/>
      <c r="E262" s="162"/>
      <c r="F262" s="161"/>
      <c r="G262" s="161"/>
      <c r="H262" s="161"/>
      <c r="I262" s="161"/>
      <c r="J262" s="161"/>
      <c r="K262" s="161"/>
      <c r="L262" s="161"/>
      <c r="M262" s="161"/>
      <c r="N262" s="161"/>
      <c r="O262" s="161"/>
      <c r="P262" s="161"/>
      <c r="Q262" s="160"/>
      <c r="R262" s="161"/>
      <c r="S262" s="161"/>
      <c r="T262" s="161"/>
      <c r="U262" s="161"/>
      <c r="V262" s="161"/>
      <c r="W262" s="161"/>
      <c r="X262" s="161"/>
      <c r="Y262" s="161"/>
      <c r="Z262" s="161"/>
      <c r="AA262" s="161"/>
      <c r="AB262" s="161"/>
      <c r="AC262" s="161"/>
      <c r="AD262" s="161"/>
      <c r="AE262" s="161"/>
      <c r="AF262" s="161"/>
      <c r="AG262" s="161"/>
      <c r="AH262" s="161"/>
      <c r="AI262" s="161"/>
      <c r="AJ262" s="161"/>
      <c r="AK262" s="161"/>
      <c r="AL262" s="161"/>
      <c r="AM262" s="161"/>
      <c r="AN262" s="161"/>
      <c r="AO262" s="161"/>
      <c r="AP262" s="161"/>
      <c r="AQ262" s="161"/>
      <c r="AR262" s="161"/>
      <c r="AS262" s="161"/>
      <c r="AT262" s="161"/>
      <c r="AU262" s="161"/>
      <c r="AV262" s="161"/>
      <c r="AW262" s="161"/>
      <c r="AX262" s="161"/>
      <c r="AY262" s="161"/>
      <c r="AZ262" s="161"/>
      <c r="BA262" s="161"/>
      <c r="BB262" s="161"/>
      <c r="BC262" s="161"/>
      <c r="BD262" s="161"/>
    </row>
    <row r="263" spans="1:56" x14ac:dyDescent="0.2">
      <c r="A263" s="161"/>
      <c r="B263" s="161"/>
      <c r="C263" s="161"/>
      <c r="D263" s="161"/>
      <c r="E263" s="162"/>
      <c r="F263" s="161"/>
      <c r="G263" s="161"/>
      <c r="H263" s="161"/>
      <c r="I263" s="161"/>
      <c r="J263" s="161"/>
      <c r="K263" s="161"/>
      <c r="L263" s="161"/>
      <c r="M263" s="161"/>
      <c r="N263" s="161"/>
      <c r="O263" s="161"/>
      <c r="P263" s="161"/>
      <c r="Q263" s="160"/>
      <c r="R263" s="161"/>
      <c r="S263" s="161"/>
      <c r="T263" s="161"/>
      <c r="U263" s="161"/>
      <c r="V263" s="161"/>
      <c r="W263" s="161"/>
      <c r="X263" s="161"/>
      <c r="Y263" s="161"/>
      <c r="Z263" s="161"/>
      <c r="AA263" s="161"/>
      <c r="AB263" s="161"/>
      <c r="AC263" s="161"/>
      <c r="AD263" s="161"/>
      <c r="AE263" s="161"/>
      <c r="AF263" s="161"/>
      <c r="AG263" s="161"/>
      <c r="AH263" s="161"/>
      <c r="AI263" s="161"/>
      <c r="AJ263" s="161"/>
      <c r="AK263" s="161"/>
      <c r="AL263" s="161"/>
      <c r="AM263" s="161"/>
      <c r="AN263" s="161"/>
      <c r="AO263" s="161"/>
      <c r="AP263" s="161"/>
      <c r="AQ263" s="161"/>
      <c r="AR263" s="161"/>
      <c r="AS263" s="161"/>
      <c r="AT263" s="161"/>
      <c r="AU263" s="161"/>
      <c r="AV263" s="161"/>
      <c r="AW263" s="161"/>
      <c r="AX263" s="161"/>
      <c r="AY263" s="161"/>
      <c r="AZ263" s="161"/>
      <c r="BA263" s="161"/>
      <c r="BB263" s="161"/>
      <c r="BC263" s="161"/>
      <c r="BD263" s="161"/>
    </row>
    <row r="264" spans="1:56" x14ac:dyDescent="0.2">
      <c r="A264" s="161"/>
      <c r="B264" s="161"/>
      <c r="C264" s="161"/>
      <c r="D264" s="161"/>
      <c r="E264" s="162"/>
      <c r="F264" s="161"/>
      <c r="G264" s="161"/>
      <c r="H264" s="161"/>
      <c r="I264" s="161"/>
      <c r="J264" s="161"/>
      <c r="K264" s="161"/>
      <c r="L264" s="161"/>
      <c r="M264" s="161"/>
      <c r="N264" s="161"/>
      <c r="O264" s="161"/>
      <c r="P264" s="161"/>
      <c r="Q264" s="160"/>
      <c r="R264" s="161"/>
      <c r="S264" s="161"/>
      <c r="T264" s="161"/>
      <c r="U264" s="161"/>
      <c r="V264" s="161"/>
      <c r="W264" s="161"/>
      <c r="X264" s="161"/>
      <c r="Y264" s="161"/>
      <c r="Z264" s="161"/>
      <c r="AA264" s="161"/>
      <c r="AB264" s="161"/>
      <c r="AC264" s="161"/>
      <c r="AD264" s="161"/>
      <c r="AE264" s="161"/>
      <c r="AF264" s="161"/>
      <c r="AG264" s="161"/>
      <c r="AH264" s="161"/>
      <c r="AI264" s="161"/>
      <c r="AJ264" s="161"/>
      <c r="AK264" s="161"/>
      <c r="AL264" s="161"/>
      <c r="AM264" s="161"/>
      <c r="AN264" s="161"/>
      <c r="AO264" s="161"/>
      <c r="AP264" s="161"/>
      <c r="AQ264" s="161"/>
      <c r="AR264" s="161"/>
      <c r="AS264" s="161"/>
      <c r="AT264" s="161"/>
      <c r="AU264" s="161"/>
      <c r="AV264" s="161"/>
      <c r="AW264" s="161"/>
      <c r="AX264" s="161"/>
      <c r="AY264" s="161"/>
      <c r="AZ264" s="161"/>
      <c r="BA264" s="161"/>
      <c r="BB264" s="161"/>
      <c r="BC264" s="161"/>
      <c r="BD264" s="161"/>
    </row>
    <row r="265" spans="1:56" x14ac:dyDescent="0.2">
      <c r="A265" s="161"/>
      <c r="B265" s="161"/>
      <c r="C265" s="161"/>
      <c r="D265" s="161"/>
      <c r="E265" s="162"/>
      <c r="F265" s="161"/>
      <c r="G265" s="161"/>
      <c r="H265" s="161"/>
      <c r="I265" s="161"/>
      <c r="J265" s="161"/>
      <c r="K265" s="161"/>
      <c r="L265" s="161"/>
      <c r="M265" s="161"/>
      <c r="N265" s="161"/>
      <c r="O265" s="161"/>
      <c r="P265" s="161"/>
      <c r="Q265" s="160"/>
      <c r="R265" s="161"/>
      <c r="S265" s="161"/>
      <c r="T265" s="161"/>
      <c r="U265" s="161"/>
      <c r="V265" s="161"/>
      <c r="W265" s="161"/>
      <c r="X265" s="161"/>
      <c r="Y265" s="161"/>
      <c r="Z265" s="161"/>
      <c r="AA265" s="161"/>
      <c r="AB265" s="161"/>
      <c r="AC265" s="161"/>
      <c r="AD265" s="161"/>
      <c r="AE265" s="161"/>
      <c r="AF265" s="161"/>
      <c r="AG265" s="161"/>
      <c r="AH265" s="161"/>
      <c r="AI265" s="161"/>
      <c r="AJ265" s="161"/>
      <c r="AK265" s="161"/>
      <c r="AL265" s="161"/>
      <c r="AM265" s="161"/>
      <c r="AN265" s="161"/>
      <c r="AO265" s="161"/>
      <c r="AP265" s="161"/>
      <c r="AQ265" s="161"/>
      <c r="AR265" s="161"/>
      <c r="AS265" s="161"/>
      <c r="AT265" s="161"/>
      <c r="AU265" s="161"/>
      <c r="AV265" s="161"/>
      <c r="AW265" s="161"/>
      <c r="AX265" s="161"/>
      <c r="AY265" s="161"/>
      <c r="AZ265" s="161"/>
      <c r="BA265" s="161"/>
      <c r="BB265" s="161"/>
      <c r="BC265" s="161"/>
      <c r="BD265" s="161"/>
    </row>
    <row r="266" spans="1:56" x14ac:dyDescent="0.2">
      <c r="A266" s="161"/>
      <c r="B266" s="161"/>
      <c r="C266" s="161"/>
      <c r="D266" s="161"/>
      <c r="E266" s="162"/>
      <c r="F266" s="161"/>
      <c r="G266" s="161"/>
      <c r="H266" s="161"/>
      <c r="I266" s="161"/>
      <c r="J266" s="161"/>
      <c r="K266" s="161"/>
      <c r="L266" s="161"/>
      <c r="M266" s="161"/>
      <c r="N266" s="161"/>
      <c r="O266" s="161"/>
      <c r="P266" s="161"/>
      <c r="Q266" s="160"/>
      <c r="R266" s="161"/>
      <c r="S266" s="161"/>
      <c r="T266" s="161"/>
      <c r="U266" s="161"/>
      <c r="V266" s="161"/>
      <c r="W266" s="161"/>
      <c r="X266" s="161"/>
      <c r="Y266" s="161"/>
      <c r="Z266" s="161"/>
      <c r="AA266" s="161"/>
      <c r="AB266" s="161"/>
      <c r="AC266" s="161"/>
      <c r="AD266" s="161"/>
      <c r="AE266" s="161"/>
      <c r="AF266" s="161"/>
      <c r="AG266" s="161"/>
      <c r="AH266" s="161"/>
      <c r="AI266" s="161"/>
      <c r="AJ266" s="161"/>
      <c r="AK266" s="161"/>
      <c r="AL266" s="161"/>
      <c r="AM266" s="161"/>
      <c r="AN266" s="161"/>
      <c r="AO266" s="161"/>
      <c r="AP266" s="161"/>
      <c r="AQ266" s="161"/>
      <c r="AR266" s="161"/>
      <c r="AS266" s="161"/>
      <c r="AT266" s="161"/>
      <c r="AU266" s="161"/>
      <c r="AV266" s="161"/>
      <c r="AW266" s="161"/>
      <c r="AX266" s="161"/>
      <c r="AY266" s="161"/>
      <c r="AZ266" s="161"/>
      <c r="BA266" s="161"/>
      <c r="BB266" s="161"/>
      <c r="BC266" s="161"/>
      <c r="BD266" s="161"/>
    </row>
    <row r="267" spans="1:56" x14ac:dyDescent="0.2">
      <c r="A267" s="161"/>
      <c r="B267" s="161"/>
      <c r="C267" s="161"/>
      <c r="D267" s="161"/>
      <c r="E267" s="162"/>
      <c r="F267" s="161"/>
      <c r="G267" s="161"/>
      <c r="H267" s="161"/>
      <c r="I267" s="161"/>
      <c r="J267" s="161"/>
      <c r="K267" s="161"/>
      <c r="L267" s="161"/>
      <c r="M267" s="161"/>
      <c r="N267" s="161"/>
      <c r="O267" s="161"/>
      <c r="P267" s="161"/>
      <c r="Q267" s="160"/>
      <c r="R267" s="161"/>
      <c r="S267" s="161"/>
      <c r="T267" s="161"/>
      <c r="U267" s="161"/>
      <c r="V267" s="161"/>
      <c r="W267" s="161"/>
      <c r="X267" s="161"/>
      <c r="Y267" s="161"/>
      <c r="Z267" s="161"/>
      <c r="AA267" s="161"/>
      <c r="AB267" s="161"/>
      <c r="AC267" s="161"/>
      <c r="AD267" s="161"/>
      <c r="AE267" s="161"/>
      <c r="AF267" s="161"/>
      <c r="AG267" s="161"/>
      <c r="AH267" s="161"/>
      <c r="AI267" s="161"/>
      <c r="AJ267" s="161"/>
      <c r="AK267" s="161"/>
      <c r="AL267" s="161"/>
      <c r="AM267" s="161"/>
      <c r="AN267" s="161"/>
      <c r="AO267" s="161"/>
      <c r="AP267" s="161"/>
      <c r="AQ267" s="161"/>
      <c r="AR267" s="161"/>
      <c r="AS267" s="161"/>
      <c r="AT267" s="161"/>
      <c r="AU267" s="161"/>
      <c r="AV267" s="161"/>
      <c r="AW267" s="161"/>
      <c r="AX267" s="161"/>
      <c r="AY267" s="161"/>
      <c r="AZ267" s="161"/>
      <c r="BA267" s="161"/>
      <c r="BB267" s="161"/>
      <c r="BC267" s="161"/>
      <c r="BD267" s="161"/>
    </row>
    <row r="268" spans="1:56" x14ac:dyDescent="0.2">
      <c r="A268" s="161"/>
      <c r="B268" s="161"/>
      <c r="C268" s="161"/>
      <c r="D268" s="161"/>
      <c r="E268" s="162"/>
      <c r="F268" s="161"/>
      <c r="G268" s="161"/>
      <c r="H268" s="161"/>
      <c r="I268" s="161"/>
      <c r="J268" s="161"/>
      <c r="K268" s="161"/>
      <c r="L268" s="161"/>
      <c r="M268" s="161"/>
      <c r="N268" s="161"/>
      <c r="O268" s="161"/>
      <c r="P268" s="161"/>
      <c r="Q268" s="160"/>
      <c r="R268" s="161"/>
      <c r="S268" s="161"/>
      <c r="T268" s="161"/>
      <c r="U268" s="161"/>
      <c r="V268" s="161"/>
      <c r="W268" s="161"/>
      <c r="X268" s="161"/>
      <c r="Y268" s="161"/>
      <c r="Z268" s="161"/>
      <c r="AA268" s="161"/>
      <c r="AB268" s="161"/>
      <c r="AC268" s="161"/>
      <c r="AD268" s="161"/>
      <c r="AE268" s="161"/>
      <c r="AF268" s="161"/>
      <c r="AG268" s="161"/>
      <c r="AH268" s="161"/>
      <c r="AI268" s="161"/>
      <c r="AJ268" s="161"/>
      <c r="AK268" s="161"/>
      <c r="AL268" s="161"/>
      <c r="AM268" s="161"/>
      <c r="AN268" s="161"/>
      <c r="AO268" s="161"/>
      <c r="AP268" s="161"/>
      <c r="AQ268" s="161"/>
      <c r="AR268" s="161"/>
      <c r="AS268" s="161"/>
      <c r="AT268" s="161"/>
      <c r="AU268" s="161"/>
      <c r="AV268" s="161"/>
      <c r="AW268" s="161"/>
      <c r="AX268" s="161"/>
      <c r="AY268" s="161"/>
      <c r="AZ268" s="161"/>
      <c r="BA268" s="161"/>
      <c r="BB268" s="161"/>
      <c r="BC268" s="161"/>
      <c r="BD268" s="161"/>
    </row>
    <row r="269" spans="1:56" x14ac:dyDescent="0.2">
      <c r="A269" s="161"/>
      <c r="B269" s="161"/>
      <c r="C269" s="161"/>
      <c r="D269" s="161"/>
      <c r="E269" s="162"/>
      <c r="F269" s="161"/>
      <c r="G269" s="161"/>
      <c r="H269" s="161"/>
      <c r="I269" s="161"/>
      <c r="J269" s="161"/>
      <c r="K269" s="161"/>
      <c r="L269" s="161"/>
      <c r="M269" s="161"/>
      <c r="N269" s="161"/>
      <c r="O269" s="161"/>
      <c r="P269" s="161"/>
      <c r="Q269" s="160"/>
      <c r="R269" s="161"/>
      <c r="S269" s="161"/>
      <c r="T269" s="161"/>
      <c r="U269" s="161"/>
      <c r="V269" s="161"/>
      <c r="W269" s="161"/>
      <c r="X269" s="161"/>
      <c r="Y269" s="161"/>
      <c r="Z269" s="161"/>
      <c r="AA269" s="161"/>
      <c r="AB269" s="161"/>
      <c r="AC269" s="161"/>
      <c r="AD269" s="161"/>
      <c r="AE269" s="161"/>
      <c r="AF269" s="161"/>
      <c r="AG269" s="161"/>
      <c r="AH269" s="161"/>
      <c r="AI269" s="161"/>
      <c r="AJ269" s="161"/>
      <c r="AK269" s="161"/>
      <c r="AL269" s="161"/>
      <c r="AM269" s="161"/>
      <c r="AN269" s="161"/>
      <c r="AO269" s="161"/>
      <c r="AP269" s="161"/>
      <c r="AQ269" s="161"/>
      <c r="AR269" s="161"/>
      <c r="AS269" s="161"/>
      <c r="AT269" s="161"/>
      <c r="AU269" s="161"/>
      <c r="AV269" s="161"/>
      <c r="AW269" s="161"/>
      <c r="AX269" s="161"/>
      <c r="AY269" s="161"/>
      <c r="AZ269" s="161"/>
      <c r="BA269" s="161"/>
      <c r="BB269" s="161"/>
      <c r="BC269" s="161"/>
      <c r="BD269" s="161"/>
    </row>
    <row r="270" spans="1:56" x14ac:dyDescent="0.2">
      <c r="A270" s="161"/>
      <c r="B270" s="161"/>
      <c r="C270" s="161"/>
      <c r="D270" s="161"/>
      <c r="E270" s="162"/>
      <c r="F270" s="161"/>
      <c r="G270" s="161"/>
      <c r="H270" s="161"/>
      <c r="I270" s="161"/>
      <c r="J270" s="161"/>
      <c r="K270" s="161"/>
      <c r="L270" s="161"/>
      <c r="M270" s="161"/>
      <c r="N270" s="161"/>
      <c r="O270" s="161"/>
      <c r="P270" s="161"/>
      <c r="Q270" s="160"/>
      <c r="R270" s="161"/>
      <c r="S270" s="161"/>
      <c r="T270" s="161"/>
      <c r="U270" s="161"/>
      <c r="V270" s="161"/>
      <c r="W270" s="161"/>
      <c r="X270" s="161"/>
      <c r="Y270" s="161"/>
      <c r="Z270" s="161"/>
      <c r="AA270" s="161"/>
      <c r="AB270" s="161"/>
      <c r="AC270" s="161"/>
      <c r="AD270" s="161"/>
      <c r="AE270" s="161"/>
      <c r="AF270" s="161"/>
      <c r="AG270" s="161"/>
      <c r="AH270" s="161"/>
      <c r="AI270" s="161"/>
      <c r="AJ270" s="161"/>
      <c r="AK270" s="161"/>
      <c r="AL270" s="161"/>
      <c r="AM270" s="161"/>
      <c r="AN270" s="161"/>
      <c r="AO270" s="161"/>
      <c r="AP270" s="161"/>
      <c r="AQ270" s="161"/>
      <c r="AR270" s="161"/>
      <c r="AS270" s="161"/>
      <c r="AT270" s="161"/>
      <c r="AU270" s="161"/>
      <c r="AV270" s="161"/>
      <c r="AW270" s="161"/>
      <c r="AX270" s="161"/>
      <c r="AY270" s="161"/>
      <c r="AZ270" s="161"/>
      <c r="BA270" s="161"/>
      <c r="BB270" s="161"/>
      <c r="BC270" s="161"/>
      <c r="BD270" s="161"/>
    </row>
    <row r="271" spans="1:56" x14ac:dyDescent="0.2">
      <c r="A271" s="161"/>
      <c r="B271" s="161"/>
      <c r="C271" s="161"/>
      <c r="D271" s="161"/>
      <c r="E271" s="162"/>
      <c r="F271" s="161"/>
      <c r="G271" s="161"/>
      <c r="H271" s="161"/>
      <c r="I271" s="161"/>
      <c r="J271" s="161"/>
      <c r="K271" s="161"/>
      <c r="L271" s="161"/>
      <c r="M271" s="161"/>
      <c r="N271" s="161"/>
      <c r="O271" s="161"/>
      <c r="P271" s="161"/>
      <c r="Q271" s="160"/>
      <c r="R271" s="161"/>
      <c r="S271" s="161"/>
      <c r="T271" s="161"/>
      <c r="U271" s="161"/>
      <c r="V271" s="161"/>
      <c r="W271" s="161"/>
      <c r="X271" s="161"/>
      <c r="Y271" s="161"/>
      <c r="Z271" s="161"/>
      <c r="AA271" s="161"/>
      <c r="AB271" s="161"/>
      <c r="AC271" s="161"/>
      <c r="AD271" s="161"/>
      <c r="AE271" s="161"/>
      <c r="AF271" s="161"/>
      <c r="AG271" s="161"/>
      <c r="AH271" s="161"/>
      <c r="AI271" s="161"/>
      <c r="AJ271" s="161"/>
      <c r="AK271" s="161"/>
      <c r="AL271" s="161"/>
      <c r="AM271" s="161"/>
      <c r="AN271" s="161"/>
      <c r="AO271" s="161"/>
      <c r="AP271" s="161"/>
      <c r="AQ271" s="161"/>
      <c r="AR271" s="161"/>
      <c r="AS271" s="161"/>
      <c r="AT271" s="161"/>
      <c r="AU271" s="161"/>
      <c r="AV271" s="161"/>
      <c r="AW271" s="161"/>
      <c r="AX271" s="161"/>
      <c r="AY271" s="161"/>
      <c r="AZ271" s="161"/>
      <c r="BA271" s="161"/>
      <c r="BB271" s="161"/>
      <c r="BC271" s="161"/>
      <c r="BD271" s="161"/>
    </row>
    <row r="272" spans="1:56" x14ac:dyDescent="0.2">
      <c r="A272" s="161"/>
      <c r="B272" s="161"/>
      <c r="C272" s="161"/>
      <c r="D272" s="161"/>
      <c r="E272" s="162"/>
      <c r="F272" s="161"/>
      <c r="G272" s="161"/>
      <c r="H272" s="161"/>
      <c r="I272" s="161"/>
      <c r="J272" s="161"/>
      <c r="K272" s="161"/>
      <c r="L272" s="161"/>
      <c r="M272" s="161"/>
      <c r="N272" s="161"/>
      <c r="O272" s="161"/>
      <c r="P272" s="161"/>
      <c r="Q272" s="160"/>
      <c r="R272" s="161"/>
      <c r="S272" s="161"/>
      <c r="T272" s="161"/>
      <c r="U272" s="161"/>
      <c r="V272" s="161"/>
      <c r="W272" s="161"/>
      <c r="X272" s="161"/>
      <c r="Y272" s="161"/>
      <c r="Z272" s="161"/>
      <c r="AA272" s="161"/>
      <c r="AB272" s="161"/>
      <c r="AC272" s="161"/>
      <c r="AD272" s="161"/>
      <c r="AE272" s="161"/>
      <c r="AF272" s="161"/>
      <c r="AG272" s="161"/>
      <c r="AH272" s="161"/>
      <c r="AI272" s="161"/>
      <c r="AJ272" s="161"/>
      <c r="AK272" s="161"/>
      <c r="AL272" s="161"/>
      <c r="AM272" s="161"/>
      <c r="AN272" s="161"/>
      <c r="AO272" s="161"/>
      <c r="AP272" s="161"/>
      <c r="AQ272" s="161"/>
      <c r="AR272" s="161"/>
      <c r="AS272" s="161"/>
      <c r="AT272" s="161"/>
      <c r="AU272" s="161"/>
      <c r="AV272" s="161"/>
      <c r="AW272" s="161"/>
      <c r="AX272" s="161"/>
      <c r="AY272" s="161"/>
      <c r="AZ272" s="161"/>
      <c r="BA272" s="161"/>
      <c r="BB272" s="161"/>
      <c r="BC272" s="161"/>
      <c r="BD272" s="161"/>
    </row>
    <row r="273" spans="1:56" x14ac:dyDescent="0.2">
      <c r="A273" s="161"/>
      <c r="B273" s="161"/>
      <c r="C273" s="161"/>
      <c r="D273" s="161"/>
      <c r="E273" s="162"/>
      <c r="F273" s="161"/>
      <c r="G273" s="161"/>
      <c r="H273" s="161"/>
      <c r="I273" s="161"/>
      <c r="J273" s="161"/>
      <c r="K273" s="161"/>
      <c r="L273" s="161"/>
      <c r="M273" s="161"/>
      <c r="N273" s="161"/>
      <c r="O273" s="161"/>
      <c r="P273" s="161"/>
      <c r="Q273" s="160"/>
      <c r="R273" s="161"/>
      <c r="S273" s="161"/>
      <c r="T273" s="161"/>
      <c r="U273" s="161"/>
      <c r="V273" s="161"/>
      <c r="W273" s="161"/>
      <c r="X273" s="161"/>
      <c r="Y273" s="161"/>
      <c r="Z273" s="161"/>
      <c r="AA273" s="161"/>
      <c r="AB273" s="161"/>
      <c r="AC273" s="161"/>
      <c r="AD273" s="161"/>
      <c r="AE273" s="161"/>
      <c r="AF273" s="161"/>
      <c r="AG273" s="161"/>
      <c r="AH273" s="161"/>
      <c r="AI273" s="161"/>
      <c r="AJ273" s="161"/>
      <c r="AK273" s="161"/>
      <c r="AL273" s="161"/>
      <c r="AM273" s="161"/>
      <c r="AN273" s="161"/>
      <c r="AO273" s="161"/>
      <c r="AP273" s="161"/>
      <c r="AQ273" s="161"/>
      <c r="AR273" s="161"/>
      <c r="AS273" s="161"/>
      <c r="AT273" s="161"/>
      <c r="AU273" s="161"/>
      <c r="AV273" s="161"/>
      <c r="AW273" s="161"/>
      <c r="AX273" s="161"/>
      <c r="AY273" s="161"/>
      <c r="AZ273" s="161"/>
      <c r="BA273" s="161"/>
      <c r="BB273" s="161"/>
      <c r="BC273" s="161"/>
      <c r="BD273" s="161"/>
    </row>
    <row r="274" spans="1:56" x14ac:dyDescent="0.2">
      <c r="A274" s="161"/>
      <c r="B274" s="161"/>
      <c r="C274" s="161"/>
      <c r="D274" s="161"/>
      <c r="E274" s="162"/>
      <c r="F274" s="161"/>
      <c r="G274" s="161"/>
      <c r="H274" s="161"/>
      <c r="I274" s="161"/>
      <c r="J274" s="161"/>
      <c r="K274" s="161"/>
      <c r="L274" s="161"/>
      <c r="M274" s="161"/>
      <c r="N274" s="161"/>
      <c r="O274" s="161"/>
      <c r="P274" s="161"/>
      <c r="Q274" s="160"/>
      <c r="R274" s="161"/>
      <c r="S274" s="161"/>
      <c r="T274" s="161"/>
      <c r="U274" s="161"/>
      <c r="V274" s="161"/>
      <c r="W274" s="161"/>
      <c r="X274" s="161"/>
      <c r="Y274" s="161"/>
      <c r="Z274" s="161"/>
      <c r="AA274" s="161"/>
      <c r="AB274" s="161"/>
      <c r="AC274" s="161"/>
      <c r="AD274" s="161"/>
      <c r="AE274" s="161"/>
      <c r="AF274" s="161"/>
      <c r="AG274" s="161"/>
      <c r="AH274" s="161"/>
      <c r="AI274" s="161"/>
      <c r="AJ274" s="161"/>
      <c r="AK274" s="161"/>
      <c r="AL274" s="161"/>
      <c r="AM274" s="161"/>
      <c r="AN274" s="161"/>
      <c r="AO274" s="161"/>
      <c r="AP274" s="161"/>
      <c r="AQ274" s="161"/>
      <c r="AR274" s="161"/>
      <c r="AS274" s="161"/>
      <c r="AT274" s="161"/>
      <c r="AU274" s="161"/>
      <c r="AV274" s="161"/>
      <c r="AW274" s="161"/>
      <c r="AX274" s="161"/>
      <c r="AY274" s="161"/>
      <c r="AZ274" s="161"/>
      <c r="BA274" s="161"/>
      <c r="BB274" s="161"/>
      <c r="BC274" s="161"/>
      <c r="BD274" s="161"/>
    </row>
    <row r="275" spans="1:56" x14ac:dyDescent="0.2">
      <c r="A275" s="161"/>
      <c r="B275" s="161"/>
      <c r="C275" s="161"/>
      <c r="D275" s="161"/>
      <c r="E275" s="162"/>
      <c r="F275" s="161"/>
      <c r="G275" s="161"/>
      <c r="H275" s="161"/>
      <c r="I275" s="161"/>
      <c r="J275" s="161"/>
      <c r="K275" s="161"/>
      <c r="L275" s="161"/>
      <c r="M275" s="161"/>
      <c r="N275" s="161"/>
      <c r="O275" s="161"/>
      <c r="P275" s="161"/>
      <c r="Q275" s="160"/>
      <c r="R275" s="161"/>
      <c r="S275" s="161"/>
      <c r="T275" s="161"/>
      <c r="U275" s="161"/>
      <c r="V275" s="161"/>
      <c r="W275" s="161"/>
      <c r="X275" s="161"/>
      <c r="Y275" s="161"/>
      <c r="Z275" s="161"/>
      <c r="AA275" s="161"/>
      <c r="AB275" s="161"/>
      <c r="AC275" s="161"/>
      <c r="AD275" s="161"/>
      <c r="AE275" s="161"/>
      <c r="AF275" s="161"/>
      <c r="AG275" s="161"/>
      <c r="AH275" s="161"/>
      <c r="AI275" s="161"/>
      <c r="AJ275" s="161"/>
      <c r="AK275" s="161"/>
      <c r="AL275" s="161"/>
      <c r="AM275" s="161"/>
      <c r="AN275" s="161"/>
      <c r="AO275" s="161"/>
      <c r="AP275" s="161"/>
      <c r="AQ275" s="161"/>
      <c r="AR275" s="161"/>
      <c r="AS275" s="161"/>
      <c r="AT275" s="161"/>
      <c r="AU275" s="161"/>
      <c r="AV275" s="161"/>
      <c r="AW275" s="161"/>
      <c r="AX275" s="161"/>
      <c r="AY275" s="161"/>
      <c r="AZ275" s="161"/>
      <c r="BA275" s="161"/>
      <c r="BB275" s="161"/>
      <c r="BC275" s="161"/>
      <c r="BD275" s="161"/>
    </row>
    <row r="276" spans="1:56" x14ac:dyDescent="0.2">
      <c r="A276" s="161"/>
      <c r="B276" s="161"/>
      <c r="C276" s="161"/>
      <c r="D276" s="161"/>
      <c r="E276" s="162"/>
      <c r="F276" s="161"/>
      <c r="G276" s="161"/>
      <c r="H276" s="161"/>
      <c r="I276" s="161"/>
      <c r="J276" s="161"/>
      <c r="K276" s="161"/>
      <c r="L276" s="161"/>
      <c r="M276" s="161"/>
      <c r="N276" s="161"/>
      <c r="O276" s="161"/>
      <c r="P276" s="161"/>
      <c r="Q276" s="160"/>
      <c r="R276" s="161"/>
      <c r="S276" s="161"/>
      <c r="T276" s="161"/>
      <c r="U276" s="161"/>
      <c r="V276" s="161"/>
      <c r="W276" s="161"/>
      <c r="X276" s="161"/>
      <c r="Y276" s="161"/>
      <c r="Z276" s="161"/>
      <c r="AA276" s="161"/>
      <c r="AB276" s="161"/>
      <c r="AC276" s="161"/>
      <c r="AD276" s="161"/>
      <c r="AE276" s="161"/>
      <c r="AF276" s="161"/>
      <c r="AG276" s="161"/>
      <c r="AH276" s="161"/>
      <c r="AI276" s="161"/>
      <c r="AJ276" s="161"/>
      <c r="AK276" s="161"/>
      <c r="AL276" s="161"/>
      <c r="AM276" s="161"/>
      <c r="AN276" s="161"/>
      <c r="AO276" s="161"/>
      <c r="AP276" s="161"/>
      <c r="AQ276" s="161"/>
      <c r="AR276" s="161"/>
      <c r="AS276" s="161"/>
      <c r="AT276" s="161"/>
      <c r="AU276" s="161"/>
      <c r="AV276" s="161"/>
      <c r="AW276" s="161"/>
      <c r="AX276" s="161"/>
      <c r="AY276" s="161"/>
      <c r="AZ276" s="161"/>
      <c r="BA276" s="161"/>
      <c r="BB276" s="161"/>
      <c r="BC276" s="161"/>
      <c r="BD276" s="161"/>
    </row>
    <row r="277" spans="1:56" x14ac:dyDescent="0.2">
      <c r="A277" s="161"/>
      <c r="B277" s="161"/>
      <c r="C277" s="161"/>
      <c r="D277" s="161"/>
      <c r="E277" s="162"/>
      <c r="F277" s="161"/>
      <c r="G277" s="161"/>
      <c r="H277" s="161"/>
      <c r="I277" s="161"/>
      <c r="J277" s="161"/>
      <c r="K277" s="161"/>
      <c r="L277" s="161"/>
      <c r="M277" s="161"/>
      <c r="N277" s="161"/>
      <c r="O277" s="161"/>
      <c r="P277" s="161"/>
      <c r="Q277" s="160"/>
      <c r="R277" s="161"/>
      <c r="S277" s="161"/>
      <c r="T277" s="161"/>
      <c r="U277" s="161"/>
      <c r="V277" s="161"/>
      <c r="W277" s="161"/>
      <c r="X277" s="161"/>
      <c r="Y277" s="161"/>
      <c r="Z277" s="161"/>
      <c r="AA277" s="161"/>
      <c r="AB277" s="161"/>
      <c r="AC277" s="161"/>
      <c r="AD277" s="161"/>
      <c r="AE277" s="161"/>
      <c r="AF277" s="161"/>
      <c r="AG277" s="161"/>
      <c r="AH277" s="161"/>
      <c r="AI277" s="161"/>
      <c r="AJ277" s="161"/>
      <c r="AK277" s="161"/>
      <c r="AL277" s="161"/>
      <c r="AM277" s="161"/>
      <c r="AN277" s="161"/>
      <c r="AO277" s="161"/>
      <c r="AP277" s="161"/>
      <c r="AQ277" s="161"/>
      <c r="AR277" s="161"/>
      <c r="AS277" s="161"/>
      <c r="AT277" s="161"/>
      <c r="AU277" s="161"/>
      <c r="AV277" s="161"/>
      <c r="AW277" s="161"/>
      <c r="AX277" s="161"/>
      <c r="AY277" s="161"/>
      <c r="AZ277" s="161"/>
      <c r="BA277" s="161"/>
      <c r="BB277" s="161"/>
      <c r="BC277" s="161"/>
      <c r="BD277" s="161"/>
    </row>
    <row r="278" spans="1:56" x14ac:dyDescent="0.2">
      <c r="A278" s="161"/>
      <c r="B278" s="161"/>
      <c r="C278" s="161"/>
      <c r="D278" s="161"/>
      <c r="E278" s="162"/>
      <c r="F278" s="161"/>
      <c r="G278" s="161"/>
      <c r="H278" s="161"/>
      <c r="I278" s="161"/>
      <c r="J278" s="161"/>
      <c r="K278" s="161"/>
      <c r="L278" s="161"/>
      <c r="M278" s="161"/>
      <c r="N278" s="161"/>
      <c r="O278" s="161"/>
      <c r="P278" s="161"/>
      <c r="Q278" s="160"/>
      <c r="R278" s="161"/>
      <c r="S278" s="161"/>
      <c r="T278" s="161"/>
      <c r="U278" s="161"/>
      <c r="V278" s="161"/>
      <c r="W278" s="161"/>
      <c r="X278" s="161"/>
      <c r="Y278" s="161"/>
      <c r="Z278" s="161"/>
      <c r="AA278" s="161"/>
      <c r="AB278" s="161"/>
      <c r="AC278" s="161"/>
      <c r="AD278" s="161"/>
      <c r="AE278" s="161"/>
      <c r="AF278" s="161"/>
      <c r="AG278" s="161"/>
      <c r="AH278" s="161"/>
      <c r="AI278" s="161"/>
      <c r="AJ278" s="161"/>
      <c r="AK278" s="161"/>
      <c r="AL278" s="161"/>
      <c r="AM278" s="161"/>
      <c r="AN278" s="161"/>
      <c r="AO278" s="161"/>
      <c r="AP278" s="161"/>
      <c r="AQ278" s="161"/>
      <c r="AR278" s="161"/>
      <c r="AS278" s="161"/>
      <c r="AT278" s="161"/>
      <c r="AU278" s="161"/>
      <c r="AV278" s="161"/>
      <c r="AW278" s="161"/>
      <c r="AX278" s="161"/>
      <c r="AY278" s="161"/>
      <c r="AZ278" s="161"/>
      <c r="BA278" s="161"/>
      <c r="BB278" s="161"/>
      <c r="BC278" s="161"/>
      <c r="BD278" s="161"/>
    </row>
    <row r="279" spans="1:56" x14ac:dyDescent="0.2">
      <c r="A279" s="161"/>
      <c r="B279" s="161"/>
      <c r="C279" s="161"/>
      <c r="D279" s="161"/>
      <c r="E279" s="162"/>
      <c r="F279" s="161"/>
      <c r="G279" s="161"/>
      <c r="H279" s="161"/>
      <c r="I279" s="161"/>
      <c r="J279" s="161"/>
      <c r="K279" s="161"/>
      <c r="L279" s="161"/>
      <c r="M279" s="161"/>
      <c r="N279" s="161"/>
      <c r="O279" s="161"/>
      <c r="P279" s="161"/>
      <c r="Q279" s="160"/>
      <c r="R279" s="161"/>
      <c r="S279" s="161"/>
      <c r="T279" s="161"/>
      <c r="U279" s="161"/>
      <c r="V279" s="161"/>
      <c r="W279" s="161"/>
      <c r="X279" s="161"/>
      <c r="Y279" s="161"/>
      <c r="Z279" s="161"/>
      <c r="AA279" s="161"/>
      <c r="AB279" s="161"/>
      <c r="AC279" s="161"/>
      <c r="AD279" s="161"/>
      <c r="AE279" s="161"/>
      <c r="AF279" s="161"/>
      <c r="AG279" s="161"/>
      <c r="AH279" s="161"/>
      <c r="AI279" s="161"/>
      <c r="AJ279" s="161"/>
      <c r="AK279" s="161"/>
      <c r="AL279" s="161"/>
      <c r="AM279" s="161"/>
      <c r="AN279" s="161"/>
      <c r="AO279" s="161"/>
      <c r="AP279" s="161"/>
      <c r="AQ279" s="161"/>
      <c r="AR279" s="161"/>
      <c r="AS279" s="161"/>
      <c r="AT279" s="161"/>
      <c r="AU279" s="161"/>
      <c r="AV279" s="161"/>
      <c r="AW279" s="161"/>
      <c r="AX279" s="161"/>
      <c r="AY279" s="161"/>
      <c r="AZ279" s="161"/>
      <c r="BA279" s="161"/>
      <c r="BB279" s="161"/>
      <c r="BC279" s="161"/>
      <c r="BD279" s="161"/>
    </row>
    <row r="280" spans="1:56" x14ac:dyDescent="0.2">
      <c r="A280" s="161"/>
      <c r="B280" s="161"/>
      <c r="C280" s="161"/>
      <c r="D280" s="161"/>
      <c r="E280" s="162"/>
      <c r="F280" s="161"/>
      <c r="G280" s="161"/>
      <c r="H280" s="161"/>
      <c r="I280" s="161"/>
      <c r="J280" s="161"/>
      <c r="K280" s="161"/>
      <c r="L280" s="161"/>
      <c r="M280" s="161"/>
      <c r="N280" s="161"/>
      <c r="O280" s="161"/>
      <c r="P280" s="161"/>
      <c r="Q280" s="160"/>
      <c r="R280" s="161"/>
      <c r="S280" s="161"/>
      <c r="T280" s="161"/>
      <c r="U280" s="161"/>
      <c r="V280" s="161"/>
      <c r="W280" s="161"/>
      <c r="X280" s="161"/>
      <c r="Y280" s="161"/>
      <c r="Z280" s="161"/>
      <c r="AA280" s="161"/>
      <c r="AB280" s="161"/>
      <c r="AC280" s="161"/>
      <c r="AD280" s="161"/>
      <c r="AE280" s="161"/>
      <c r="AF280" s="161"/>
      <c r="AG280" s="161"/>
      <c r="AH280" s="161"/>
      <c r="AI280" s="161"/>
      <c r="AJ280" s="161"/>
      <c r="AK280" s="161"/>
      <c r="AL280" s="161"/>
      <c r="AM280" s="161"/>
      <c r="AN280" s="161"/>
      <c r="AO280" s="161"/>
      <c r="AP280" s="161"/>
      <c r="AQ280" s="161"/>
      <c r="AR280" s="161"/>
      <c r="AS280" s="161"/>
      <c r="AT280" s="161"/>
      <c r="AU280" s="161"/>
      <c r="AV280" s="161"/>
      <c r="AW280" s="161"/>
      <c r="AX280" s="161"/>
      <c r="AY280" s="161"/>
      <c r="AZ280" s="161"/>
      <c r="BA280" s="161"/>
      <c r="BB280" s="161"/>
      <c r="BC280" s="161"/>
      <c r="BD280" s="161"/>
    </row>
    <row r="281" spans="1:56" x14ac:dyDescent="0.2">
      <c r="A281" s="161"/>
      <c r="B281" s="161"/>
      <c r="C281" s="161"/>
      <c r="D281" s="161"/>
      <c r="E281" s="162"/>
      <c r="F281" s="161"/>
      <c r="G281" s="161"/>
      <c r="H281" s="161"/>
      <c r="I281" s="161"/>
      <c r="J281" s="161"/>
      <c r="K281" s="161"/>
      <c r="L281" s="161"/>
      <c r="M281" s="161"/>
      <c r="N281" s="161"/>
      <c r="O281" s="161"/>
      <c r="P281" s="161"/>
      <c r="Q281" s="160"/>
      <c r="R281" s="161"/>
      <c r="S281" s="161"/>
      <c r="T281" s="161"/>
      <c r="U281" s="161"/>
      <c r="V281" s="161"/>
      <c r="W281" s="161"/>
      <c r="X281" s="161"/>
      <c r="Y281" s="161"/>
      <c r="Z281" s="161"/>
      <c r="AA281" s="161"/>
      <c r="AB281" s="161"/>
      <c r="AC281" s="161"/>
      <c r="AD281" s="161"/>
      <c r="AE281" s="161"/>
      <c r="AF281" s="161"/>
      <c r="AG281" s="161"/>
      <c r="AH281" s="161"/>
      <c r="AI281" s="161"/>
      <c r="AJ281" s="161"/>
      <c r="AK281" s="161"/>
      <c r="AL281" s="161"/>
      <c r="AM281" s="161"/>
      <c r="AN281" s="161"/>
      <c r="AO281" s="161"/>
      <c r="AP281" s="161"/>
      <c r="AQ281" s="161"/>
      <c r="AR281" s="161"/>
      <c r="AS281" s="161"/>
      <c r="AT281" s="161"/>
      <c r="AU281" s="161"/>
      <c r="AV281" s="161"/>
      <c r="AW281" s="161"/>
      <c r="AX281" s="161"/>
      <c r="AY281" s="161"/>
      <c r="AZ281" s="161"/>
      <c r="BA281" s="161"/>
      <c r="BB281" s="161"/>
      <c r="BC281" s="161"/>
      <c r="BD281" s="161"/>
    </row>
    <row r="282" spans="1:56" x14ac:dyDescent="0.2">
      <c r="A282" s="161"/>
      <c r="B282" s="161"/>
      <c r="C282" s="161"/>
      <c r="D282" s="161"/>
      <c r="E282" s="162"/>
      <c r="F282" s="161"/>
      <c r="G282" s="161"/>
      <c r="H282" s="161"/>
      <c r="I282" s="161"/>
      <c r="J282" s="161"/>
      <c r="K282" s="161"/>
      <c r="L282" s="161"/>
      <c r="M282" s="161"/>
      <c r="N282" s="161"/>
      <c r="O282" s="161"/>
      <c r="P282" s="161"/>
      <c r="Q282" s="160"/>
      <c r="R282" s="161"/>
      <c r="S282" s="161"/>
      <c r="T282" s="161"/>
      <c r="U282" s="161"/>
      <c r="V282" s="161"/>
      <c r="W282" s="161"/>
      <c r="X282" s="161"/>
      <c r="Y282" s="161"/>
      <c r="Z282" s="161"/>
      <c r="AA282" s="161"/>
      <c r="AB282" s="161"/>
      <c r="AC282" s="161"/>
      <c r="AD282" s="161"/>
      <c r="AE282" s="161"/>
      <c r="AF282" s="161"/>
      <c r="AG282" s="161"/>
      <c r="AH282" s="161"/>
      <c r="AI282" s="161"/>
      <c r="AJ282" s="161"/>
      <c r="AK282" s="161"/>
      <c r="AL282" s="161"/>
      <c r="AM282" s="161"/>
      <c r="AN282" s="161"/>
      <c r="AO282" s="161"/>
      <c r="AP282" s="161"/>
      <c r="AQ282" s="161"/>
      <c r="AR282" s="161"/>
      <c r="AS282" s="161"/>
      <c r="AT282" s="161"/>
      <c r="AU282" s="161"/>
      <c r="AV282" s="161"/>
      <c r="AW282" s="161"/>
      <c r="AX282" s="161"/>
      <c r="AY282" s="161"/>
      <c r="AZ282" s="161"/>
      <c r="BA282" s="161"/>
      <c r="BB282" s="161"/>
      <c r="BC282" s="161"/>
      <c r="BD282" s="161"/>
    </row>
    <row r="283" spans="1:56" x14ac:dyDescent="0.2">
      <c r="A283" s="161"/>
      <c r="B283" s="161"/>
      <c r="C283" s="161"/>
      <c r="D283" s="161"/>
      <c r="E283" s="162"/>
      <c r="F283" s="161"/>
      <c r="G283" s="161"/>
      <c r="H283" s="161"/>
      <c r="I283" s="161"/>
      <c r="J283" s="161"/>
      <c r="K283" s="161"/>
      <c r="L283" s="161"/>
      <c r="M283" s="161"/>
      <c r="N283" s="161"/>
      <c r="O283" s="161"/>
      <c r="P283" s="161"/>
      <c r="Q283" s="160"/>
      <c r="R283" s="161"/>
      <c r="S283" s="161"/>
      <c r="T283" s="161"/>
      <c r="U283" s="161"/>
      <c r="V283" s="161"/>
      <c r="W283" s="161"/>
      <c r="X283" s="161"/>
      <c r="Y283" s="161"/>
      <c r="Z283" s="161"/>
      <c r="AA283" s="161"/>
      <c r="AB283" s="161"/>
      <c r="AC283" s="161"/>
      <c r="AD283" s="161"/>
      <c r="AE283" s="161"/>
      <c r="AF283" s="161"/>
      <c r="AG283" s="161"/>
      <c r="AH283" s="161"/>
      <c r="AI283" s="161"/>
      <c r="AJ283" s="161"/>
      <c r="AK283" s="161"/>
      <c r="AL283" s="161"/>
      <c r="AM283" s="161"/>
      <c r="AN283" s="161"/>
      <c r="AO283" s="161"/>
      <c r="AP283" s="161"/>
      <c r="AQ283" s="161"/>
      <c r="AR283" s="161"/>
      <c r="AS283" s="161"/>
      <c r="AT283" s="161"/>
      <c r="AU283" s="161"/>
      <c r="AV283" s="161"/>
      <c r="AW283" s="161"/>
      <c r="AX283" s="161"/>
      <c r="AY283" s="161"/>
      <c r="AZ283" s="161"/>
      <c r="BA283" s="161"/>
      <c r="BB283" s="161"/>
      <c r="BC283" s="161"/>
      <c r="BD283" s="161"/>
    </row>
    <row r="284" spans="1:56" x14ac:dyDescent="0.2">
      <c r="A284" s="161"/>
      <c r="B284" s="161"/>
      <c r="C284" s="161"/>
      <c r="D284" s="161"/>
      <c r="E284" s="162"/>
      <c r="F284" s="161"/>
      <c r="G284" s="161"/>
      <c r="H284" s="161"/>
      <c r="I284" s="161"/>
      <c r="J284" s="161"/>
      <c r="K284" s="161"/>
      <c r="L284" s="161"/>
      <c r="M284" s="161"/>
      <c r="N284" s="161"/>
      <c r="O284" s="161"/>
      <c r="P284" s="161"/>
      <c r="Q284" s="160"/>
      <c r="R284" s="161"/>
      <c r="S284" s="161"/>
      <c r="T284" s="161"/>
      <c r="U284" s="161"/>
      <c r="V284" s="161"/>
      <c r="W284" s="161"/>
      <c r="X284" s="161"/>
      <c r="Y284" s="161"/>
      <c r="Z284" s="161"/>
      <c r="AA284" s="161"/>
      <c r="AB284" s="161"/>
      <c r="AC284" s="161"/>
      <c r="AD284" s="161"/>
      <c r="AE284" s="161"/>
      <c r="AF284" s="161"/>
      <c r="AG284" s="161"/>
      <c r="AH284" s="161"/>
      <c r="AI284" s="161"/>
      <c r="AJ284" s="161"/>
      <c r="AK284" s="161"/>
      <c r="AL284" s="161"/>
      <c r="AM284" s="161"/>
      <c r="AN284" s="161"/>
      <c r="AO284" s="161"/>
      <c r="AP284" s="161"/>
      <c r="AQ284" s="161"/>
      <c r="AR284" s="161"/>
      <c r="AS284" s="161"/>
      <c r="AT284" s="161"/>
      <c r="AU284" s="161"/>
      <c r="AV284" s="161"/>
      <c r="AW284" s="161"/>
      <c r="AX284" s="161"/>
      <c r="AY284" s="161"/>
      <c r="AZ284" s="161"/>
      <c r="BA284" s="161"/>
      <c r="BB284" s="161"/>
      <c r="BC284" s="161"/>
      <c r="BD284" s="161"/>
    </row>
    <row r="285" spans="1:56" x14ac:dyDescent="0.2">
      <c r="A285" s="161"/>
      <c r="B285" s="161"/>
      <c r="C285" s="161"/>
      <c r="D285" s="161"/>
      <c r="E285" s="162"/>
      <c r="F285" s="161"/>
      <c r="G285" s="161"/>
      <c r="H285" s="161"/>
      <c r="I285" s="161"/>
      <c r="J285" s="161"/>
      <c r="K285" s="161"/>
      <c r="L285" s="161"/>
      <c r="M285" s="161"/>
      <c r="N285" s="161"/>
      <c r="O285" s="161"/>
      <c r="P285" s="161"/>
      <c r="Q285" s="160"/>
      <c r="R285" s="161"/>
      <c r="S285" s="161"/>
      <c r="T285" s="161"/>
      <c r="U285" s="161"/>
      <c r="V285" s="161"/>
      <c r="W285" s="161"/>
      <c r="X285" s="161"/>
      <c r="Y285" s="161"/>
      <c r="Z285" s="161"/>
      <c r="AA285" s="161"/>
      <c r="AB285" s="161"/>
      <c r="AC285" s="161"/>
      <c r="AD285" s="161"/>
      <c r="AE285" s="161"/>
      <c r="AF285" s="161"/>
      <c r="AG285" s="161"/>
      <c r="AH285" s="161"/>
      <c r="AI285" s="161"/>
      <c r="AJ285" s="161"/>
      <c r="AK285" s="161"/>
      <c r="AL285" s="161"/>
      <c r="AM285" s="161"/>
      <c r="AN285" s="161"/>
      <c r="AO285" s="161"/>
      <c r="AP285" s="161"/>
      <c r="AQ285" s="161"/>
      <c r="AR285" s="161"/>
      <c r="AS285" s="161"/>
      <c r="AT285" s="161"/>
      <c r="AU285" s="161"/>
      <c r="AV285" s="161"/>
      <c r="AW285" s="161"/>
      <c r="AX285" s="161"/>
      <c r="AY285" s="161"/>
      <c r="AZ285" s="161"/>
      <c r="BA285" s="161"/>
      <c r="BB285" s="161"/>
      <c r="BC285" s="161"/>
      <c r="BD285" s="161"/>
    </row>
    <row r="286" spans="1:56" x14ac:dyDescent="0.2">
      <c r="A286" s="161"/>
      <c r="B286" s="161"/>
      <c r="C286" s="161"/>
      <c r="D286" s="161"/>
      <c r="E286" s="162"/>
      <c r="F286" s="161"/>
      <c r="G286" s="161"/>
      <c r="H286" s="161"/>
      <c r="I286" s="161"/>
      <c r="J286" s="161"/>
      <c r="K286" s="161"/>
      <c r="L286" s="161"/>
      <c r="M286" s="161"/>
      <c r="N286" s="161"/>
      <c r="O286" s="161"/>
      <c r="P286" s="161"/>
      <c r="Q286" s="160"/>
      <c r="R286" s="161"/>
      <c r="S286" s="161"/>
      <c r="T286" s="161"/>
      <c r="U286" s="161"/>
      <c r="V286" s="161"/>
      <c r="W286" s="161"/>
      <c r="X286" s="161"/>
      <c r="Y286" s="161"/>
      <c r="Z286" s="161"/>
      <c r="AA286" s="161"/>
      <c r="AB286" s="161"/>
      <c r="AC286" s="161"/>
      <c r="AD286" s="161"/>
      <c r="AE286" s="161"/>
      <c r="AF286" s="161"/>
      <c r="AG286" s="161"/>
      <c r="AH286" s="161"/>
      <c r="AI286" s="161"/>
      <c r="AJ286" s="161"/>
      <c r="AK286" s="161"/>
      <c r="AL286" s="161"/>
      <c r="AM286" s="161"/>
      <c r="AN286" s="161"/>
      <c r="AO286" s="161"/>
      <c r="AP286" s="161"/>
      <c r="AQ286" s="161"/>
      <c r="AR286" s="161"/>
      <c r="AS286" s="161"/>
      <c r="AT286" s="161"/>
      <c r="AU286" s="161"/>
      <c r="AV286" s="161"/>
      <c r="AW286" s="161"/>
      <c r="AX286" s="161"/>
      <c r="AY286" s="161"/>
      <c r="AZ286" s="161"/>
      <c r="BA286" s="161"/>
      <c r="BB286" s="161"/>
      <c r="BC286" s="161"/>
      <c r="BD286" s="161"/>
    </row>
    <row r="287" spans="1:56" x14ac:dyDescent="0.2">
      <c r="A287" s="161"/>
      <c r="B287" s="161"/>
      <c r="C287" s="161"/>
      <c r="D287" s="161"/>
      <c r="E287" s="162"/>
      <c r="F287" s="161"/>
      <c r="G287" s="161"/>
      <c r="H287" s="161"/>
      <c r="I287" s="161"/>
      <c r="J287" s="161"/>
      <c r="K287" s="161"/>
      <c r="L287" s="161"/>
      <c r="M287" s="161"/>
      <c r="N287" s="161"/>
      <c r="O287" s="161"/>
      <c r="P287" s="161"/>
      <c r="Q287" s="160"/>
      <c r="R287" s="161"/>
      <c r="S287" s="161"/>
      <c r="T287" s="161"/>
      <c r="U287" s="161"/>
      <c r="V287" s="161"/>
      <c r="W287" s="161"/>
      <c r="X287" s="161"/>
      <c r="Y287" s="161"/>
      <c r="Z287" s="161"/>
      <c r="AA287" s="161"/>
      <c r="AB287" s="161"/>
      <c r="AC287" s="161"/>
      <c r="AD287" s="161"/>
      <c r="AE287" s="161"/>
      <c r="AF287" s="161"/>
      <c r="AG287" s="161"/>
      <c r="AH287" s="161"/>
      <c r="AI287" s="161"/>
      <c r="AJ287" s="161"/>
      <c r="AK287" s="161"/>
      <c r="AL287" s="161"/>
      <c r="AM287" s="161"/>
      <c r="AN287" s="161"/>
      <c r="AO287" s="161"/>
      <c r="AP287" s="161"/>
      <c r="AQ287" s="161"/>
      <c r="AR287" s="161"/>
      <c r="AS287" s="161"/>
      <c r="AT287" s="161"/>
      <c r="AU287" s="161"/>
      <c r="AV287" s="161"/>
      <c r="AW287" s="161"/>
      <c r="AX287" s="161"/>
      <c r="AY287" s="161"/>
      <c r="AZ287" s="161"/>
      <c r="BA287" s="161"/>
      <c r="BB287" s="161"/>
      <c r="BC287" s="161"/>
      <c r="BD287" s="161"/>
    </row>
    <row r="288" spans="1:56" x14ac:dyDescent="0.2">
      <c r="A288" s="161"/>
      <c r="B288" s="161"/>
      <c r="C288" s="161"/>
      <c r="D288" s="161"/>
      <c r="E288" s="162"/>
      <c r="F288" s="161"/>
      <c r="G288" s="161"/>
      <c r="H288" s="161"/>
      <c r="I288" s="161"/>
      <c r="J288" s="161"/>
      <c r="K288" s="161"/>
      <c r="L288" s="161"/>
      <c r="M288" s="161"/>
      <c r="N288" s="161"/>
      <c r="O288" s="161"/>
      <c r="P288" s="161"/>
      <c r="Q288" s="160"/>
      <c r="R288" s="161"/>
      <c r="S288" s="161"/>
      <c r="T288" s="161"/>
      <c r="U288" s="161"/>
      <c r="V288" s="161"/>
      <c r="W288" s="161"/>
      <c r="X288" s="161"/>
      <c r="Y288" s="161"/>
      <c r="Z288" s="161"/>
      <c r="AA288" s="161"/>
      <c r="AB288" s="161"/>
      <c r="AC288" s="161"/>
      <c r="AD288" s="161"/>
      <c r="AE288" s="161"/>
      <c r="AF288" s="161"/>
      <c r="AG288" s="161"/>
      <c r="AH288" s="161"/>
      <c r="AI288" s="161"/>
      <c r="AJ288" s="161"/>
      <c r="AK288" s="161"/>
      <c r="AL288" s="161"/>
      <c r="AM288" s="161"/>
      <c r="AN288" s="161"/>
      <c r="AO288" s="161"/>
      <c r="AP288" s="161"/>
      <c r="AQ288" s="161"/>
      <c r="AR288" s="161"/>
      <c r="AS288" s="161"/>
      <c r="AT288" s="161"/>
      <c r="AU288" s="161"/>
      <c r="AV288" s="161"/>
      <c r="AW288" s="161"/>
      <c r="AX288" s="161"/>
      <c r="AY288" s="161"/>
      <c r="AZ288" s="161"/>
      <c r="BA288" s="161"/>
      <c r="BB288" s="161"/>
      <c r="BC288" s="161"/>
      <c r="BD288" s="161"/>
    </row>
    <row r="289" spans="1:56" x14ac:dyDescent="0.2">
      <c r="A289" s="161"/>
      <c r="B289" s="161"/>
      <c r="C289" s="161"/>
      <c r="D289" s="161"/>
      <c r="E289" s="162"/>
      <c r="F289" s="161"/>
      <c r="G289" s="161"/>
      <c r="H289" s="161"/>
      <c r="I289" s="161"/>
      <c r="J289" s="161"/>
      <c r="K289" s="161"/>
      <c r="L289" s="161"/>
      <c r="M289" s="161"/>
      <c r="N289" s="161"/>
      <c r="O289" s="161"/>
      <c r="P289" s="161"/>
      <c r="Q289" s="160"/>
      <c r="R289" s="161"/>
      <c r="S289" s="161"/>
      <c r="T289" s="161"/>
      <c r="U289" s="161"/>
      <c r="V289" s="161"/>
      <c r="W289" s="161"/>
      <c r="X289" s="161"/>
      <c r="Y289" s="161"/>
      <c r="Z289" s="161"/>
      <c r="AA289" s="161"/>
      <c r="AB289" s="161"/>
      <c r="AC289" s="161"/>
      <c r="AD289" s="161"/>
      <c r="AE289" s="161"/>
      <c r="AF289" s="161"/>
      <c r="AG289" s="161"/>
      <c r="AH289" s="161"/>
      <c r="AI289" s="161"/>
      <c r="AJ289" s="161"/>
      <c r="AK289" s="161"/>
      <c r="AL289" s="161"/>
      <c r="AM289" s="161"/>
      <c r="AN289" s="161"/>
      <c r="AO289" s="161"/>
      <c r="AP289" s="161"/>
      <c r="AQ289" s="161"/>
      <c r="AR289" s="161"/>
      <c r="AS289" s="161"/>
      <c r="AT289" s="161"/>
      <c r="AU289" s="161"/>
      <c r="AV289" s="161"/>
      <c r="AW289" s="161"/>
      <c r="AX289" s="161"/>
      <c r="AY289" s="161"/>
      <c r="AZ289" s="161"/>
      <c r="BA289" s="161"/>
      <c r="BB289" s="161"/>
      <c r="BC289" s="161"/>
      <c r="BD289" s="161"/>
    </row>
    <row r="290" spans="1:56" x14ac:dyDescent="0.2">
      <c r="A290" s="161"/>
      <c r="B290" s="161"/>
      <c r="C290" s="161"/>
      <c r="D290" s="161"/>
      <c r="E290" s="162"/>
      <c r="F290" s="161"/>
      <c r="G290" s="161"/>
      <c r="H290" s="161"/>
      <c r="I290" s="161"/>
      <c r="J290" s="161"/>
      <c r="K290" s="161"/>
      <c r="L290" s="161"/>
      <c r="M290" s="161"/>
      <c r="N290" s="161"/>
      <c r="O290" s="161"/>
      <c r="P290" s="161"/>
      <c r="Q290" s="160"/>
      <c r="R290" s="161"/>
      <c r="S290" s="161"/>
      <c r="T290" s="161"/>
      <c r="U290" s="161"/>
      <c r="V290" s="161"/>
      <c r="W290" s="161"/>
      <c r="X290" s="161"/>
      <c r="Y290" s="161"/>
      <c r="Z290" s="161"/>
      <c r="AA290" s="161"/>
      <c r="AB290" s="161"/>
      <c r="AC290" s="161"/>
      <c r="AD290" s="161"/>
      <c r="AE290" s="161"/>
      <c r="AF290" s="161"/>
      <c r="AG290" s="161"/>
      <c r="AH290" s="161"/>
      <c r="AI290" s="161"/>
      <c r="AJ290" s="161"/>
      <c r="AK290" s="161"/>
      <c r="AL290" s="161"/>
      <c r="AM290" s="161"/>
      <c r="AN290" s="161"/>
      <c r="AO290" s="161"/>
      <c r="AP290" s="161"/>
      <c r="AQ290" s="161"/>
      <c r="AR290" s="161"/>
      <c r="AS290" s="161"/>
      <c r="AT290" s="161"/>
      <c r="AU290" s="161"/>
      <c r="AV290" s="161"/>
      <c r="AW290" s="161"/>
      <c r="AX290" s="161"/>
      <c r="AY290" s="161"/>
      <c r="AZ290" s="161"/>
      <c r="BA290" s="161"/>
      <c r="BB290" s="161"/>
      <c r="BC290" s="161"/>
      <c r="BD290" s="161"/>
    </row>
    <row r="291" spans="1:56" x14ac:dyDescent="0.2">
      <c r="A291" s="161"/>
      <c r="B291" s="161"/>
      <c r="C291" s="161"/>
      <c r="D291" s="161"/>
      <c r="E291" s="162"/>
      <c r="F291" s="161"/>
      <c r="G291" s="161"/>
      <c r="H291" s="161"/>
      <c r="I291" s="161"/>
      <c r="J291" s="161"/>
      <c r="K291" s="161"/>
      <c r="L291" s="161"/>
      <c r="M291" s="161"/>
      <c r="N291" s="161"/>
      <c r="O291" s="161"/>
      <c r="P291" s="161"/>
      <c r="Q291" s="160"/>
      <c r="R291" s="161"/>
      <c r="S291" s="161"/>
      <c r="T291" s="161"/>
      <c r="U291" s="161"/>
      <c r="V291" s="161"/>
      <c r="W291" s="161"/>
      <c r="X291" s="161"/>
      <c r="Y291" s="161"/>
      <c r="Z291" s="161"/>
      <c r="AA291" s="161"/>
      <c r="AB291" s="161"/>
      <c r="AC291" s="161"/>
      <c r="AD291" s="161"/>
      <c r="AE291" s="161"/>
      <c r="AF291" s="161"/>
      <c r="AG291" s="161"/>
      <c r="AH291" s="161"/>
      <c r="AI291" s="161"/>
      <c r="AJ291" s="161"/>
      <c r="AK291" s="161"/>
      <c r="AL291" s="161"/>
      <c r="AM291" s="161"/>
      <c r="AN291" s="161"/>
      <c r="AO291" s="161"/>
      <c r="AP291" s="161"/>
      <c r="AQ291" s="161"/>
      <c r="AR291" s="161"/>
      <c r="AS291" s="161"/>
      <c r="AT291" s="161"/>
      <c r="AU291" s="161"/>
      <c r="AV291" s="161"/>
      <c r="AW291" s="161"/>
      <c r="AX291" s="161"/>
      <c r="AY291" s="161"/>
      <c r="AZ291" s="161"/>
      <c r="BA291" s="161"/>
      <c r="BB291" s="161"/>
      <c r="BC291" s="161"/>
      <c r="BD291" s="161"/>
    </row>
    <row r="292" spans="1:56" x14ac:dyDescent="0.2">
      <c r="A292" s="161"/>
      <c r="B292" s="161"/>
      <c r="C292" s="161"/>
      <c r="D292" s="161"/>
      <c r="E292" s="162"/>
      <c r="F292" s="161"/>
      <c r="G292" s="161"/>
      <c r="H292" s="161"/>
      <c r="I292" s="161"/>
      <c r="J292" s="161"/>
      <c r="K292" s="161"/>
      <c r="L292" s="161"/>
      <c r="M292" s="161"/>
      <c r="N292" s="161"/>
      <c r="O292" s="161"/>
      <c r="P292" s="161"/>
      <c r="Q292" s="160"/>
      <c r="R292" s="161"/>
      <c r="S292" s="161"/>
      <c r="T292" s="161"/>
      <c r="U292" s="161"/>
      <c r="V292" s="161"/>
      <c r="W292" s="161"/>
      <c r="X292" s="161"/>
      <c r="Y292" s="161"/>
      <c r="Z292" s="161"/>
      <c r="AA292" s="161"/>
      <c r="AB292" s="161"/>
      <c r="AC292" s="161"/>
      <c r="AD292" s="161"/>
      <c r="AE292" s="161"/>
      <c r="AF292" s="161"/>
      <c r="AG292" s="161"/>
      <c r="AH292" s="161"/>
      <c r="AI292" s="161"/>
      <c r="AJ292" s="161"/>
      <c r="AK292" s="161"/>
      <c r="AL292" s="161"/>
      <c r="AM292" s="161"/>
      <c r="AN292" s="161"/>
      <c r="AO292" s="161"/>
      <c r="AP292" s="161"/>
      <c r="AQ292" s="161"/>
      <c r="AR292" s="161"/>
      <c r="AS292" s="161"/>
      <c r="AT292" s="161"/>
      <c r="AU292" s="161"/>
      <c r="AV292" s="161"/>
      <c r="AW292" s="161"/>
      <c r="AX292" s="161"/>
      <c r="AY292" s="161"/>
      <c r="AZ292" s="161"/>
      <c r="BA292" s="161"/>
      <c r="BB292" s="161"/>
      <c r="BC292" s="161"/>
      <c r="BD292" s="161"/>
    </row>
    <row r="293" spans="1:56" x14ac:dyDescent="0.2">
      <c r="A293" s="161"/>
      <c r="B293" s="161"/>
      <c r="C293" s="161"/>
      <c r="D293" s="161"/>
      <c r="E293" s="162"/>
      <c r="F293" s="161"/>
      <c r="G293" s="161"/>
      <c r="H293" s="161"/>
      <c r="I293" s="161"/>
      <c r="J293" s="161"/>
      <c r="K293" s="161"/>
      <c r="L293" s="161"/>
      <c r="M293" s="161"/>
      <c r="N293" s="161"/>
      <c r="O293" s="161"/>
      <c r="P293" s="161"/>
      <c r="Q293" s="160"/>
      <c r="R293" s="161"/>
      <c r="S293" s="161"/>
      <c r="T293" s="161"/>
      <c r="U293" s="161"/>
      <c r="V293" s="161"/>
      <c r="W293" s="161"/>
      <c r="X293" s="161"/>
      <c r="Y293" s="161"/>
      <c r="Z293" s="161"/>
      <c r="AA293" s="161"/>
      <c r="AB293" s="161"/>
      <c r="AC293" s="161"/>
      <c r="AD293" s="161"/>
      <c r="AE293" s="161"/>
      <c r="AF293" s="161"/>
      <c r="AG293" s="161"/>
      <c r="AH293" s="161"/>
      <c r="AI293" s="161"/>
      <c r="AJ293" s="161"/>
      <c r="AK293" s="161"/>
      <c r="AL293" s="161"/>
      <c r="AM293" s="161"/>
      <c r="AN293" s="161"/>
      <c r="AO293" s="161"/>
      <c r="AP293" s="161"/>
      <c r="AQ293" s="161"/>
      <c r="AR293" s="161"/>
      <c r="AS293" s="161"/>
      <c r="AT293" s="161"/>
      <c r="AU293" s="161"/>
      <c r="AV293" s="161"/>
      <c r="AW293" s="161"/>
      <c r="AX293" s="161"/>
      <c r="AY293" s="161"/>
      <c r="AZ293" s="161"/>
      <c r="BA293" s="161"/>
      <c r="BB293" s="161"/>
      <c r="BC293" s="161"/>
      <c r="BD293" s="161"/>
    </row>
    <row r="294" spans="1:56" x14ac:dyDescent="0.2">
      <c r="A294" s="161"/>
      <c r="B294" s="161"/>
      <c r="C294" s="161"/>
      <c r="D294" s="161"/>
      <c r="E294" s="162"/>
      <c r="F294" s="161"/>
      <c r="G294" s="161"/>
      <c r="H294" s="161"/>
      <c r="I294" s="161"/>
      <c r="J294" s="161"/>
      <c r="K294" s="161"/>
      <c r="L294" s="161"/>
      <c r="M294" s="161"/>
      <c r="N294" s="161"/>
      <c r="O294" s="161"/>
      <c r="P294" s="161"/>
      <c r="Q294" s="160"/>
      <c r="R294" s="161"/>
      <c r="S294" s="161"/>
      <c r="T294" s="161"/>
      <c r="U294" s="161"/>
      <c r="V294" s="161"/>
      <c r="W294" s="161"/>
      <c r="X294" s="161"/>
      <c r="Y294" s="161"/>
      <c r="Z294" s="161"/>
      <c r="AA294" s="161"/>
      <c r="AB294" s="161"/>
      <c r="AC294" s="161"/>
      <c r="AD294" s="161"/>
      <c r="AE294" s="161"/>
      <c r="AF294" s="161"/>
      <c r="AG294" s="161"/>
      <c r="AH294" s="161"/>
      <c r="AI294" s="161"/>
      <c r="AJ294" s="161"/>
      <c r="AK294" s="161"/>
      <c r="AL294" s="161"/>
      <c r="AM294" s="161"/>
      <c r="AN294" s="161"/>
      <c r="AO294" s="161"/>
      <c r="AP294" s="161"/>
      <c r="AQ294" s="161"/>
      <c r="AR294" s="161"/>
      <c r="AS294" s="161"/>
      <c r="AT294" s="161"/>
      <c r="AU294" s="161"/>
      <c r="AV294" s="161"/>
      <c r="AW294" s="161"/>
      <c r="AX294" s="161"/>
      <c r="AY294" s="161"/>
      <c r="AZ294" s="161"/>
      <c r="BA294" s="161"/>
      <c r="BB294" s="161"/>
      <c r="BC294" s="161"/>
      <c r="BD294" s="161"/>
    </row>
    <row r="295" spans="1:56" x14ac:dyDescent="0.2">
      <c r="A295" s="161"/>
      <c r="B295" s="161"/>
      <c r="C295" s="161"/>
      <c r="D295" s="161"/>
      <c r="E295" s="162"/>
      <c r="F295" s="161"/>
      <c r="G295" s="161"/>
      <c r="H295" s="161"/>
      <c r="I295" s="161"/>
      <c r="J295" s="161"/>
      <c r="K295" s="161"/>
      <c r="L295" s="161"/>
      <c r="M295" s="161"/>
      <c r="N295" s="161"/>
      <c r="O295" s="161"/>
      <c r="P295" s="161"/>
      <c r="Q295" s="160"/>
      <c r="R295" s="161"/>
      <c r="S295" s="161"/>
      <c r="T295" s="161"/>
      <c r="U295" s="161"/>
      <c r="V295" s="161"/>
      <c r="W295" s="161"/>
      <c r="X295" s="161"/>
      <c r="Y295" s="161"/>
      <c r="Z295" s="161"/>
      <c r="AA295" s="161"/>
      <c r="AB295" s="161"/>
      <c r="AC295" s="161"/>
      <c r="AD295" s="161"/>
      <c r="AE295" s="161"/>
      <c r="AF295" s="161"/>
      <c r="AG295" s="161"/>
      <c r="AH295" s="161"/>
      <c r="AI295" s="161"/>
      <c r="AJ295" s="161"/>
      <c r="AK295" s="161"/>
      <c r="AL295" s="161"/>
      <c r="AM295" s="161"/>
      <c r="AN295" s="161"/>
      <c r="AO295" s="161"/>
      <c r="AP295" s="161"/>
      <c r="AQ295" s="161"/>
      <c r="AR295" s="161"/>
      <c r="AS295" s="161"/>
      <c r="AT295" s="161"/>
      <c r="AU295" s="161"/>
      <c r="AV295" s="161"/>
      <c r="AW295" s="161"/>
      <c r="AX295" s="161"/>
      <c r="AY295" s="161"/>
      <c r="AZ295" s="161"/>
      <c r="BA295" s="161"/>
      <c r="BB295" s="161"/>
      <c r="BC295" s="161"/>
      <c r="BD295" s="161"/>
    </row>
    <row r="296" spans="1:56" x14ac:dyDescent="0.2">
      <c r="A296" s="161"/>
      <c r="B296" s="161"/>
      <c r="C296" s="161"/>
      <c r="D296" s="161"/>
      <c r="E296" s="162"/>
      <c r="F296" s="161"/>
      <c r="G296" s="161"/>
      <c r="H296" s="161"/>
      <c r="I296" s="161"/>
      <c r="J296" s="161"/>
      <c r="K296" s="161"/>
      <c r="L296" s="161"/>
      <c r="M296" s="161"/>
      <c r="N296" s="161"/>
      <c r="O296" s="161"/>
      <c r="P296" s="161"/>
      <c r="Q296" s="160"/>
      <c r="R296" s="161"/>
      <c r="S296" s="161"/>
      <c r="T296" s="161"/>
      <c r="U296" s="161"/>
      <c r="V296" s="161"/>
      <c r="W296" s="161"/>
      <c r="X296" s="161"/>
      <c r="Y296" s="161"/>
      <c r="Z296" s="161"/>
      <c r="AA296" s="161"/>
      <c r="AB296" s="161"/>
      <c r="AC296" s="161"/>
      <c r="AD296" s="161"/>
      <c r="AE296" s="161"/>
      <c r="AF296" s="161"/>
      <c r="AG296" s="161"/>
      <c r="AH296" s="161"/>
      <c r="AI296" s="161"/>
      <c r="AJ296" s="161"/>
      <c r="AK296" s="161"/>
      <c r="AL296" s="161"/>
      <c r="AM296" s="161"/>
      <c r="AN296" s="161"/>
      <c r="AO296" s="161"/>
      <c r="AP296" s="161"/>
      <c r="AQ296" s="161"/>
      <c r="AR296" s="161"/>
      <c r="AS296" s="161"/>
      <c r="AT296" s="161"/>
      <c r="AU296" s="161"/>
      <c r="AV296" s="161"/>
      <c r="AW296" s="161"/>
      <c r="AX296" s="161"/>
      <c r="AY296" s="161"/>
      <c r="AZ296" s="161"/>
      <c r="BA296" s="161"/>
      <c r="BB296" s="161"/>
      <c r="BC296" s="161"/>
      <c r="BD296" s="161"/>
    </row>
    <row r="297" spans="1:56" x14ac:dyDescent="0.2">
      <c r="A297" s="161"/>
      <c r="B297" s="161"/>
      <c r="C297" s="161"/>
      <c r="D297" s="161"/>
      <c r="E297" s="162"/>
      <c r="F297" s="161"/>
      <c r="G297" s="161"/>
      <c r="H297" s="161"/>
      <c r="I297" s="161"/>
      <c r="J297" s="161"/>
      <c r="K297" s="161"/>
      <c r="L297" s="161"/>
      <c r="M297" s="161"/>
      <c r="N297" s="161"/>
      <c r="O297" s="161"/>
      <c r="P297" s="161"/>
      <c r="Q297" s="160"/>
      <c r="R297" s="161"/>
      <c r="S297" s="161"/>
      <c r="T297" s="161"/>
      <c r="U297" s="161"/>
      <c r="V297" s="161"/>
      <c r="W297" s="161"/>
      <c r="X297" s="161"/>
      <c r="Y297" s="161"/>
      <c r="Z297" s="161"/>
      <c r="AA297" s="161"/>
      <c r="AB297" s="161"/>
      <c r="AC297" s="161"/>
      <c r="AD297" s="161"/>
      <c r="AE297" s="161"/>
      <c r="AF297" s="161"/>
      <c r="AG297" s="161"/>
      <c r="AH297" s="161"/>
      <c r="AI297" s="161"/>
      <c r="AJ297" s="161"/>
      <c r="AK297" s="161"/>
      <c r="AL297" s="161"/>
      <c r="AM297" s="161"/>
      <c r="AN297" s="161"/>
      <c r="AO297" s="161"/>
      <c r="AP297" s="161"/>
      <c r="AQ297" s="161"/>
      <c r="AR297" s="161"/>
      <c r="AS297" s="161"/>
      <c r="AT297" s="161"/>
      <c r="AU297" s="161"/>
      <c r="AV297" s="161"/>
      <c r="AW297" s="161"/>
      <c r="AX297" s="161"/>
      <c r="AY297" s="161"/>
      <c r="AZ297" s="161"/>
      <c r="BA297" s="161"/>
      <c r="BB297" s="161"/>
      <c r="BC297" s="161"/>
      <c r="BD297" s="161"/>
    </row>
    <row r="298" spans="1:56" x14ac:dyDescent="0.2">
      <c r="A298" s="161"/>
      <c r="B298" s="161"/>
      <c r="C298" s="161"/>
      <c r="D298" s="161"/>
      <c r="E298" s="162"/>
      <c r="F298" s="161"/>
      <c r="G298" s="161"/>
      <c r="H298" s="161"/>
      <c r="I298" s="161"/>
      <c r="J298" s="161"/>
      <c r="K298" s="161"/>
      <c r="L298" s="161"/>
      <c r="M298" s="161"/>
      <c r="N298" s="161"/>
      <c r="O298" s="161"/>
      <c r="P298" s="161"/>
      <c r="Q298" s="160"/>
      <c r="R298" s="161"/>
      <c r="S298" s="161"/>
      <c r="T298" s="161"/>
      <c r="U298" s="161"/>
      <c r="V298" s="161"/>
      <c r="W298" s="161"/>
      <c r="X298" s="161"/>
      <c r="Y298" s="161"/>
      <c r="Z298" s="161"/>
      <c r="AA298" s="161"/>
      <c r="AB298" s="161"/>
      <c r="AC298" s="161"/>
      <c r="AD298" s="161"/>
      <c r="AE298" s="161"/>
      <c r="AF298" s="161"/>
      <c r="AG298" s="161"/>
      <c r="AH298" s="161"/>
      <c r="AI298" s="161"/>
      <c r="AJ298" s="161"/>
      <c r="AK298" s="161"/>
      <c r="AL298" s="161"/>
      <c r="AM298" s="161"/>
      <c r="AN298" s="161"/>
      <c r="AO298" s="161"/>
      <c r="AP298" s="161"/>
      <c r="AQ298" s="161"/>
      <c r="AR298" s="161"/>
      <c r="AS298" s="161"/>
      <c r="AT298" s="161"/>
      <c r="AU298" s="161"/>
      <c r="AV298" s="161"/>
      <c r="AW298" s="161"/>
      <c r="AX298" s="161"/>
      <c r="AY298" s="161"/>
      <c r="AZ298" s="161"/>
      <c r="BA298" s="161"/>
      <c r="BB298" s="161"/>
      <c r="BC298" s="161"/>
      <c r="BD298" s="161"/>
    </row>
    <row r="299" spans="1:56" x14ac:dyDescent="0.2">
      <c r="A299" s="161"/>
      <c r="B299" s="161"/>
      <c r="C299" s="161"/>
      <c r="D299" s="161"/>
      <c r="E299" s="162"/>
      <c r="F299" s="161"/>
      <c r="G299" s="161"/>
      <c r="H299" s="161"/>
      <c r="I299" s="161"/>
      <c r="J299" s="161"/>
      <c r="K299" s="161"/>
      <c r="L299" s="161"/>
      <c r="M299" s="161"/>
      <c r="N299" s="161"/>
      <c r="O299" s="161"/>
      <c r="P299" s="161"/>
      <c r="Q299" s="160"/>
      <c r="R299" s="161"/>
      <c r="S299" s="161"/>
      <c r="T299" s="161"/>
      <c r="U299" s="161"/>
      <c r="V299" s="161"/>
      <c r="W299" s="161"/>
      <c r="X299" s="161"/>
      <c r="Y299" s="161"/>
      <c r="Z299" s="161"/>
      <c r="AA299" s="161"/>
      <c r="AB299" s="161"/>
      <c r="AC299" s="161"/>
      <c r="AD299" s="161"/>
      <c r="AE299" s="161"/>
      <c r="AF299" s="161"/>
      <c r="AG299" s="161"/>
      <c r="AH299" s="161"/>
      <c r="AI299" s="161"/>
      <c r="AJ299" s="161"/>
      <c r="AK299" s="161"/>
      <c r="AL299" s="161"/>
      <c r="AM299" s="161"/>
      <c r="AN299" s="161"/>
      <c r="AO299" s="161"/>
      <c r="AP299" s="161"/>
      <c r="AQ299" s="161"/>
      <c r="AR299" s="161"/>
      <c r="AS299" s="161"/>
      <c r="AT299" s="161"/>
      <c r="AU299" s="161"/>
      <c r="AV299" s="161"/>
      <c r="AW299" s="161"/>
      <c r="AX299" s="161"/>
      <c r="AY299" s="161"/>
      <c r="AZ299" s="161"/>
      <c r="BA299" s="161"/>
      <c r="BB299" s="161"/>
      <c r="BC299" s="161"/>
      <c r="BD299" s="161"/>
    </row>
    <row r="300" spans="1:56" x14ac:dyDescent="0.2">
      <c r="A300" s="161"/>
      <c r="B300" s="161"/>
      <c r="C300" s="161"/>
      <c r="D300" s="161"/>
      <c r="E300" s="162"/>
      <c r="F300" s="161"/>
      <c r="G300" s="161"/>
      <c r="H300" s="161"/>
      <c r="I300" s="161"/>
      <c r="J300" s="161"/>
      <c r="K300" s="161"/>
      <c r="L300" s="161"/>
      <c r="M300" s="161"/>
      <c r="N300" s="161"/>
      <c r="O300" s="161"/>
      <c r="P300" s="161"/>
      <c r="Q300" s="160"/>
      <c r="R300" s="161"/>
      <c r="S300" s="161"/>
      <c r="T300" s="161"/>
      <c r="U300" s="161"/>
      <c r="V300" s="161"/>
      <c r="W300" s="161"/>
      <c r="X300" s="161"/>
      <c r="Y300" s="161"/>
      <c r="Z300" s="161"/>
      <c r="AA300" s="161"/>
      <c r="AB300" s="161"/>
      <c r="AC300" s="161"/>
      <c r="AD300" s="161"/>
      <c r="AE300" s="161"/>
      <c r="AF300" s="161"/>
      <c r="AG300" s="161"/>
      <c r="AH300" s="161"/>
      <c r="AI300" s="161"/>
      <c r="AJ300" s="161"/>
      <c r="AK300" s="161"/>
      <c r="AL300" s="161"/>
      <c r="AM300" s="161"/>
      <c r="AN300" s="161"/>
      <c r="AO300" s="161"/>
      <c r="AP300" s="161"/>
      <c r="AQ300" s="161"/>
      <c r="AR300" s="161"/>
      <c r="AS300" s="161"/>
      <c r="AT300" s="161"/>
      <c r="AU300" s="161"/>
      <c r="AV300" s="161"/>
      <c r="AW300" s="161"/>
      <c r="AX300" s="161"/>
      <c r="AY300" s="161"/>
      <c r="AZ300" s="161"/>
      <c r="BA300" s="161"/>
      <c r="BB300" s="161"/>
      <c r="BC300" s="161"/>
      <c r="BD300" s="161"/>
    </row>
    <row r="301" spans="1:56" x14ac:dyDescent="0.2">
      <c r="A301" s="161"/>
      <c r="B301" s="161"/>
      <c r="C301" s="161"/>
      <c r="D301" s="161"/>
      <c r="E301" s="162"/>
      <c r="F301" s="161"/>
      <c r="G301" s="161"/>
      <c r="H301" s="161"/>
      <c r="I301" s="161"/>
      <c r="J301" s="161"/>
      <c r="K301" s="161"/>
      <c r="L301" s="161"/>
      <c r="M301" s="161"/>
      <c r="N301" s="161"/>
      <c r="O301" s="161"/>
      <c r="P301" s="161"/>
      <c r="Q301" s="160"/>
      <c r="R301" s="161"/>
      <c r="S301" s="161"/>
      <c r="T301" s="161"/>
      <c r="U301" s="161"/>
      <c r="V301" s="161"/>
      <c r="W301" s="161"/>
      <c r="X301" s="161"/>
      <c r="Y301" s="161"/>
      <c r="Z301" s="161"/>
      <c r="AA301" s="161"/>
      <c r="AB301" s="161"/>
      <c r="AC301" s="161"/>
      <c r="AD301" s="161"/>
      <c r="AE301" s="161"/>
      <c r="AF301" s="161"/>
      <c r="AG301" s="161"/>
      <c r="AH301" s="161"/>
      <c r="AI301" s="161"/>
      <c r="AJ301" s="161"/>
      <c r="AK301" s="161"/>
      <c r="AL301" s="161"/>
      <c r="AM301" s="161"/>
      <c r="AN301" s="161"/>
      <c r="AO301" s="161"/>
      <c r="AP301" s="161"/>
      <c r="AQ301" s="161"/>
      <c r="AR301" s="161"/>
      <c r="AS301" s="161"/>
      <c r="AT301" s="161"/>
      <c r="AU301" s="161"/>
      <c r="AV301" s="161"/>
      <c r="AW301" s="161"/>
      <c r="AX301" s="161"/>
      <c r="AY301" s="161"/>
      <c r="AZ301" s="161"/>
      <c r="BA301" s="161"/>
      <c r="BB301" s="161"/>
      <c r="BC301" s="161"/>
      <c r="BD301" s="161"/>
    </row>
    <row r="302" spans="1:56" x14ac:dyDescent="0.2">
      <c r="A302" s="161"/>
      <c r="B302" s="161"/>
      <c r="C302" s="161"/>
      <c r="D302" s="161"/>
      <c r="E302" s="162"/>
      <c r="F302" s="161"/>
      <c r="G302" s="161"/>
      <c r="H302" s="161"/>
      <c r="I302" s="161"/>
      <c r="J302" s="161"/>
      <c r="K302" s="161"/>
      <c r="L302" s="161"/>
      <c r="M302" s="161"/>
      <c r="N302" s="161"/>
      <c r="O302" s="161"/>
      <c r="P302" s="161"/>
      <c r="Q302" s="160"/>
      <c r="R302" s="161"/>
      <c r="S302" s="161"/>
      <c r="T302" s="161"/>
      <c r="U302" s="161"/>
      <c r="V302" s="161"/>
      <c r="W302" s="161"/>
      <c r="X302" s="161"/>
      <c r="Y302" s="161"/>
      <c r="Z302" s="161"/>
      <c r="AA302" s="161"/>
      <c r="AB302" s="161"/>
      <c r="AC302" s="161"/>
      <c r="AD302" s="161"/>
      <c r="AE302" s="161"/>
      <c r="AF302" s="161"/>
      <c r="AG302" s="161"/>
      <c r="AH302" s="161"/>
      <c r="AI302" s="161"/>
      <c r="AJ302" s="161"/>
      <c r="AK302" s="161"/>
      <c r="AL302" s="161"/>
      <c r="AM302" s="161"/>
      <c r="AN302" s="161"/>
      <c r="AO302" s="161"/>
      <c r="AP302" s="161"/>
      <c r="AQ302" s="161"/>
      <c r="AR302" s="161"/>
      <c r="AS302" s="161"/>
      <c r="AT302" s="161"/>
      <c r="AU302" s="161"/>
      <c r="AV302" s="161"/>
      <c r="AW302" s="161"/>
      <c r="AX302" s="161"/>
      <c r="AY302" s="161"/>
      <c r="AZ302" s="161"/>
      <c r="BA302" s="161"/>
      <c r="BB302" s="161"/>
      <c r="BC302" s="161"/>
      <c r="BD302" s="161"/>
    </row>
    <row r="303" spans="1:56" x14ac:dyDescent="0.2">
      <c r="A303" s="161"/>
      <c r="B303" s="161"/>
      <c r="C303" s="161"/>
      <c r="D303" s="161"/>
      <c r="E303" s="162"/>
      <c r="F303" s="161"/>
      <c r="G303" s="161"/>
      <c r="H303" s="161"/>
      <c r="I303" s="161"/>
      <c r="J303" s="161"/>
      <c r="K303" s="161"/>
      <c r="L303" s="161"/>
      <c r="M303" s="161"/>
      <c r="N303" s="161"/>
      <c r="O303" s="161"/>
      <c r="P303" s="161"/>
      <c r="Q303" s="160"/>
      <c r="R303" s="161"/>
      <c r="S303" s="161"/>
      <c r="T303" s="161"/>
      <c r="U303" s="161"/>
      <c r="V303" s="161"/>
      <c r="W303" s="161"/>
      <c r="X303" s="161"/>
      <c r="Y303" s="161"/>
      <c r="Z303" s="161"/>
      <c r="AA303" s="161"/>
      <c r="AB303" s="161"/>
      <c r="AC303" s="161"/>
      <c r="AD303" s="161"/>
      <c r="AE303" s="161"/>
      <c r="AF303" s="161"/>
      <c r="AG303" s="161"/>
      <c r="AH303" s="161"/>
      <c r="AI303" s="161"/>
      <c r="AJ303" s="161"/>
      <c r="AK303" s="161"/>
      <c r="AL303" s="161"/>
      <c r="AM303" s="161"/>
      <c r="AN303" s="161"/>
      <c r="AO303" s="161"/>
      <c r="AP303" s="161"/>
      <c r="AQ303" s="161"/>
      <c r="AR303" s="161"/>
      <c r="AS303" s="161"/>
      <c r="AT303" s="161"/>
      <c r="AU303" s="161"/>
      <c r="AV303" s="161"/>
      <c r="AW303" s="161"/>
      <c r="AX303" s="161"/>
      <c r="AY303" s="161"/>
      <c r="AZ303" s="161"/>
      <c r="BA303" s="161"/>
      <c r="BB303" s="161"/>
      <c r="BC303" s="161"/>
      <c r="BD303" s="161"/>
    </row>
    <row r="304" spans="1:56" x14ac:dyDescent="0.2">
      <c r="A304" s="161"/>
      <c r="B304" s="161"/>
      <c r="C304" s="161"/>
      <c r="D304" s="161"/>
      <c r="E304" s="162"/>
      <c r="F304" s="161"/>
      <c r="G304" s="161"/>
      <c r="H304" s="161"/>
      <c r="I304" s="161"/>
      <c r="J304" s="161"/>
      <c r="K304" s="161"/>
      <c r="L304" s="161"/>
      <c r="M304" s="161"/>
      <c r="N304" s="161"/>
      <c r="O304" s="161"/>
      <c r="P304" s="161"/>
      <c r="Q304" s="160"/>
      <c r="R304" s="161"/>
      <c r="S304" s="161"/>
      <c r="T304" s="161"/>
      <c r="U304" s="161"/>
      <c r="V304" s="161"/>
      <c r="W304" s="161"/>
      <c r="X304" s="161"/>
      <c r="Y304" s="161"/>
      <c r="Z304" s="161"/>
      <c r="AA304" s="161"/>
      <c r="AB304" s="161"/>
      <c r="AC304" s="161"/>
      <c r="AD304" s="161"/>
      <c r="AE304" s="161"/>
      <c r="AF304" s="161"/>
      <c r="AG304" s="161"/>
      <c r="AH304" s="161"/>
      <c r="AI304" s="161"/>
      <c r="AJ304" s="161"/>
      <c r="AK304" s="161"/>
      <c r="AL304" s="161"/>
      <c r="AM304" s="161"/>
      <c r="AN304" s="161"/>
      <c r="AO304" s="161"/>
      <c r="AP304" s="161"/>
      <c r="AQ304" s="161"/>
      <c r="AR304" s="161"/>
      <c r="AS304" s="161"/>
      <c r="AT304" s="161"/>
      <c r="AU304" s="161"/>
      <c r="AV304" s="161"/>
      <c r="AW304" s="161"/>
      <c r="AX304" s="161"/>
      <c r="AY304" s="161"/>
      <c r="AZ304" s="161"/>
      <c r="BA304" s="161"/>
      <c r="BB304" s="161"/>
      <c r="BC304" s="161"/>
      <c r="BD304" s="161"/>
    </row>
    <row r="305" spans="1:56" x14ac:dyDescent="0.2">
      <c r="A305" s="161"/>
      <c r="B305" s="161"/>
      <c r="C305" s="161"/>
      <c r="D305" s="161"/>
      <c r="E305" s="162"/>
      <c r="F305" s="161"/>
      <c r="G305" s="161"/>
      <c r="H305" s="161"/>
      <c r="I305" s="161"/>
      <c r="J305" s="161"/>
      <c r="K305" s="161"/>
      <c r="L305" s="161"/>
      <c r="M305" s="161"/>
      <c r="N305" s="161"/>
      <c r="O305" s="161"/>
      <c r="P305" s="161"/>
      <c r="Q305" s="160"/>
      <c r="R305" s="161"/>
      <c r="S305" s="161"/>
      <c r="T305" s="161"/>
      <c r="U305" s="161"/>
      <c r="V305" s="161"/>
      <c r="W305" s="161"/>
      <c r="X305" s="161"/>
      <c r="Y305" s="161"/>
      <c r="Z305" s="161"/>
      <c r="AA305" s="161"/>
      <c r="AB305" s="161"/>
      <c r="AC305" s="161"/>
      <c r="AD305" s="161"/>
      <c r="AE305" s="161"/>
      <c r="AF305" s="161"/>
      <c r="AG305" s="161"/>
      <c r="AH305" s="161"/>
      <c r="AI305" s="161"/>
      <c r="AJ305" s="161"/>
      <c r="AK305" s="161"/>
      <c r="AL305" s="161"/>
      <c r="AM305" s="161"/>
      <c r="AN305" s="161"/>
      <c r="AO305" s="161"/>
      <c r="AP305" s="161"/>
      <c r="AQ305" s="161"/>
      <c r="AR305" s="161"/>
      <c r="AS305" s="161"/>
      <c r="AT305" s="161"/>
      <c r="AU305" s="161"/>
      <c r="AV305" s="161"/>
      <c r="AW305" s="161"/>
      <c r="AX305" s="161"/>
      <c r="AY305" s="161"/>
      <c r="AZ305" s="161"/>
      <c r="BA305" s="161"/>
      <c r="BB305" s="161"/>
      <c r="BC305" s="161"/>
      <c r="BD305" s="161"/>
    </row>
    <row r="306" spans="1:56" x14ac:dyDescent="0.2">
      <c r="A306" s="161"/>
      <c r="B306" s="161"/>
      <c r="C306" s="161"/>
      <c r="D306" s="161"/>
      <c r="E306" s="162"/>
      <c r="F306" s="161"/>
      <c r="G306" s="161"/>
      <c r="H306" s="161"/>
      <c r="I306" s="161"/>
      <c r="J306" s="161"/>
      <c r="K306" s="161"/>
      <c r="L306" s="161"/>
      <c r="M306" s="161"/>
      <c r="N306" s="161"/>
      <c r="O306" s="161"/>
      <c r="P306" s="161"/>
      <c r="Q306" s="160"/>
      <c r="R306" s="161"/>
      <c r="S306" s="161"/>
      <c r="T306" s="161"/>
      <c r="U306" s="161"/>
      <c r="V306" s="161"/>
      <c r="W306" s="161"/>
      <c r="X306" s="161"/>
      <c r="Y306" s="161"/>
      <c r="Z306" s="161"/>
      <c r="AA306" s="161"/>
      <c r="AB306" s="161"/>
      <c r="AC306" s="161"/>
      <c r="AD306" s="161"/>
      <c r="AE306" s="161"/>
      <c r="AF306" s="161"/>
      <c r="AG306" s="161"/>
      <c r="AH306" s="161"/>
      <c r="AI306" s="161"/>
      <c r="AJ306" s="161"/>
      <c r="AK306" s="161"/>
      <c r="AL306" s="161"/>
      <c r="AM306" s="161"/>
      <c r="AN306" s="161"/>
      <c r="AO306" s="161"/>
      <c r="AP306" s="161"/>
      <c r="AQ306" s="161"/>
      <c r="AR306" s="161"/>
      <c r="AS306" s="161"/>
      <c r="AT306" s="161"/>
      <c r="AU306" s="161"/>
      <c r="AV306" s="161"/>
      <c r="AW306" s="161"/>
      <c r="AX306" s="161"/>
      <c r="AY306" s="161"/>
      <c r="AZ306" s="161"/>
      <c r="BA306" s="161"/>
      <c r="BB306" s="161"/>
      <c r="BC306" s="161"/>
      <c r="BD306" s="161"/>
    </row>
    <row r="307" spans="1:56" x14ac:dyDescent="0.2">
      <c r="A307" s="161"/>
      <c r="B307" s="161"/>
      <c r="C307" s="161"/>
      <c r="D307" s="161"/>
      <c r="E307" s="162"/>
      <c r="F307" s="161"/>
      <c r="G307" s="161"/>
      <c r="H307" s="161"/>
      <c r="I307" s="161"/>
      <c r="J307" s="161"/>
      <c r="K307" s="161"/>
      <c r="L307" s="161"/>
      <c r="M307" s="161"/>
      <c r="N307" s="161"/>
      <c r="O307" s="161"/>
      <c r="P307" s="161"/>
      <c r="Q307" s="160"/>
      <c r="R307" s="161"/>
      <c r="S307" s="161"/>
      <c r="T307" s="161"/>
      <c r="U307" s="161"/>
      <c r="V307" s="161"/>
      <c r="W307" s="161"/>
      <c r="X307" s="161"/>
      <c r="Y307" s="161"/>
      <c r="Z307" s="161"/>
      <c r="AA307" s="161"/>
      <c r="AB307" s="161"/>
      <c r="AC307" s="161"/>
      <c r="AD307" s="161"/>
      <c r="AE307" s="161"/>
      <c r="AF307" s="161"/>
      <c r="AG307" s="161"/>
      <c r="AH307" s="161"/>
      <c r="AI307" s="161"/>
      <c r="AJ307" s="161"/>
      <c r="AK307" s="161"/>
      <c r="AL307" s="161"/>
      <c r="AM307" s="161"/>
      <c r="AN307" s="161"/>
      <c r="AO307" s="161"/>
      <c r="AP307" s="161"/>
      <c r="AQ307" s="161"/>
      <c r="AR307" s="161"/>
      <c r="AS307" s="161"/>
      <c r="AT307" s="161"/>
      <c r="AU307" s="161"/>
      <c r="AV307" s="161"/>
      <c r="AW307" s="161"/>
      <c r="AX307" s="161"/>
      <c r="AY307" s="161"/>
      <c r="AZ307" s="161"/>
      <c r="BA307" s="161"/>
      <c r="BB307" s="161"/>
      <c r="BC307" s="161"/>
      <c r="BD307" s="161"/>
    </row>
    <row r="308" spans="1:56" x14ac:dyDescent="0.2">
      <c r="A308" s="161"/>
      <c r="B308" s="161"/>
      <c r="C308" s="161"/>
      <c r="D308" s="161"/>
      <c r="E308" s="162"/>
      <c r="F308" s="161"/>
      <c r="G308" s="161"/>
      <c r="H308" s="161"/>
      <c r="I308" s="161"/>
      <c r="J308" s="161"/>
      <c r="K308" s="161"/>
      <c r="L308" s="161"/>
      <c r="M308" s="161"/>
      <c r="N308" s="161"/>
      <c r="O308" s="161"/>
      <c r="P308" s="161"/>
      <c r="Q308" s="160"/>
      <c r="R308" s="161"/>
      <c r="S308" s="161"/>
      <c r="T308" s="161"/>
      <c r="U308" s="161"/>
      <c r="V308" s="161"/>
      <c r="W308" s="161"/>
      <c r="X308" s="161"/>
      <c r="Y308" s="161"/>
      <c r="Z308" s="161"/>
      <c r="AA308" s="161"/>
      <c r="AB308" s="161"/>
      <c r="AC308" s="161"/>
      <c r="AD308" s="161"/>
      <c r="AE308" s="161"/>
      <c r="AF308" s="161"/>
      <c r="AG308" s="161"/>
      <c r="AH308" s="161"/>
      <c r="AI308" s="161"/>
      <c r="AJ308" s="161"/>
      <c r="AK308" s="161"/>
      <c r="AL308" s="161"/>
      <c r="AM308" s="161"/>
      <c r="AN308" s="161"/>
      <c r="AO308" s="161"/>
      <c r="AP308" s="161"/>
      <c r="AQ308" s="161"/>
      <c r="AR308" s="161"/>
      <c r="AS308" s="161"/>
      <c r="AT308" s="161"/>
      <c r="AU308" s="161"/>
      <c r="AV308" s="161"/>
      <c r="AW308" s="161"/>
      <c r="AX308" s="161"/>
      <c r="AY308" s="161"/>
      <c r="AZ308" s="161"/>
      <c r="BA308" s="161"/>
      <c r="BB308" s="161"/>
      <c r="BC308" s="161"/>
      <c r="BD308" s="161"/>
    </row>
    <row r="309" spans="1:56" x14ac:dyDescent="0.2">
      <c r="A309" s="161"/>
      <c r="B309" s="161"/>
      <c r="C309" s="161"/>
      <c r="D309" s="161"/>
      <c r="E309" s="162"/>
      <c r="F309" s="161"/>
      <c r="G309" s="161"/>
      <c r="H309" s="161"/>
      <c r="I309" s="161"/>
      <c r="J309" s="161"/>
      <c r="K309" s="161"/>
      <c r="L309" s="161"/>
      <c r="M309" s="161"/>
      <c r="N309" s="161"/>
      <c r="O309" s="161"/>
      <c r="P309" s="161"/>
      <c r="Q309" s="160"/>
      <c r="R309" s="161"/>
      <c r="S309" s="161"/>
      <c r="T309" s="161"/>
      <c r="U309" s="161"/>
      <c r="V309" s="161"/>
      <c r="W309" s="161"/>
      <c r="X309" s="161"/>
      <c r="Y309" s="161"/>
      <c r="Z309" s="161"/>
      <c r="AA309" s="161"/>
      <c r="AB309" s="161"/>
      <c r="AC309" s="161"/>
      <c r="AD309" s="161"/>
      <c r="AE309" s="161"/>
      <c r="AF309" s="161"/>
      <c r="AG309" s="161"/>
      <c r="AH309" s="161"/>
      <c r="AI309" s="161"/>
      <c r="AJ309" s="161"/>
      <c r="AK309" s="161"/>
      <c r="AL309" s="161"/>
      <c r="AM309" s="161"/>
      <c r="AN309" s="161"/>
      <c r="AO309" s="161"/>
      <c r="AP309" s="161"/>
      <c r="AQ309" s="161"/>
      <c r="AR309" s="161"/>
      <c r="AS309" s="161"/>
      <c r="AT309" s="161"/>
      <c r="AU309" s="161"/>
      <c r="AV309" s="161"/>
      <c r="AW309" s="161"/>
      <c r="AX309" s="161"/>
      <c r="AY309" s="161"/>
      <c r="AZ309" s="161"/>
      <c r="BA309" s="161"/>
      <c r="BB309" s="161"/>
      <c r="BC309" s="161"/>
      <c r="BD309" s="161"/>
    </row>
    <row r="310" spans="1:56" x14ac:dyDescent="0.2">
      <c r="A310" s="161"/>
      <c r="B310" s="161"/>
      <c r="C310" s="161"/>
      <c r="D310" s="161"/>
      <c r="E310" s="162"/>
      <c r="F310" s="161"/>
      <c r="G310" s="161"/>
      <c r="H310" s="161"/>
      <c r="I310" s="161"/>
      <c r="J310" s="161"/>
      <c r="K310" s="161"/>
      <c r="L310" s="161"/>
      <c r="M310" s="161"/>
      <c r="N310" s="161"/>
      <c r="O310" s="161"/>
      <c r="P310" s="161"/>
      <c r="Q310" s="160"/>
      <c r="R310" s="161"/>
      <c r="S310" s="161"/>
      <c r="T310" s="161"/>
      <c r="U310" s="161"/>
      <c r="V310" s="161"/>
      <c r="W310" s="161"/>
      <c r="X310" s="161"/>
      <c r="Y310" s="161"/>
      <c r="Z310" s="161"/>
      <c r="AA310" s="161"/>
      <c r="AB310" s="161"/>
      <c r="AC310" s="161"/>
      <c r="AD310" s="161"/>
      <c r="AE310" s="161"/>
      <c r="AF310" s="161"/>
      <c r="AG310" s="161"/>
      <c r="AH310" s="161"/>
      <c r="AI310" s="161"/>
      <c r="AJ310" s="161"/>
      <c r="AK310" s="161"/>
      <c r="AL310" s="161"/>
      <c r="AM310" s="161"/>
      <c r="AN310" s="161"/>
      <c r="AO310" s="161"/>
      <c r="AP310" s="161"/>
      <c r="AQ310" s="161"/>
      <c r="AR310" s="161"/>
      <c r="AS310" s="161"/>
      <c r="AT310" s="161"/>
      <c r="AU310" s="161"/>
      <c r="AV310" s="161"/>
      <c r="AW310" s="161"/>
      <c r="AX310" s="161"/>
      <c r="AY310" s="161"/>
      <c r="AZ310" s="161"/>
      <c r="BA310" s="161"/>
      <c r="BB310" s="161"/>
      <c r="BC310" s="161"/>
      <c r="BD310" s="161"/>
    </row>
    <row r="311" spans="1:56" x14ac:dyDescent="0.2">
      <c r="A311" s="161"/>
      <c r="B311" s="161"/>
      <c r="C311" s="161"/>
      <c r="D311" s="161"/>
      <c r="E311" s="162"/>
      <c r="F311" s="161"/>
      <c r="G311" s="161"/>
      <c r="H311" s="161"/>
      <c r="I311" s="161"/>
      <c r="J311" s="161"/>
      <c r="K311" s="161"/>
      <c r="L311" s="161"/>
      <c r="M311" s="161"/>
      <c r="N311" s="161"/>
      <c r="O311" s="161"/>
      <c r="P311" s="161"/>
      <c r="Q311" s="160"/>
      <c r="R311" s="161"/>
      <c r="S311" s="161"/>
      <c r="T311" s="161"/>
      <c r="U311" s="161"/>
      <c r="V311" s="161"/>
      <c r="W311" s="161"/>
      <c r="X311" s="161"/>
      <c r="Y311" s="161"/>
      <c r="Z311" s="161"/>
      <c r="AA311" s="161"/>
      <c r="AB311" s="161"/>
      <c r="AC311" s="161"/>
      <c r="AD311" s="161"/>
      <c r="AE311" s="161"/>
      <c r="AF311" s="161"/>
      <c r="AG311" s="161"/>
      <c r="AH311" s="161"/>
      <c r="AI311" s="161"/>
      <c r="AJ311" s="161"/>
      <c r="AK311" s="161"/>
      <c r="AL311" s="161"/>
      <c r="AM311" s="161"/>
      <c r="AN311" s="161"/>
      <c r="AO311" s="161"/>
      <c r="AP311" s="161"/>
      <c r="AQ311" s="161"/>
      <c r="AR311" s="161"/>
      <c r="AS311" s="161"/>
      <c r="AT311" s="161"/>
      <c r="AU311" s="161"/>
      <c r="AV311" s="161"/>
      <c r="AW311" s="161"/>
      <c r="AX311" s="161"/>
      <c r="AY311" s="161"/>
      <c r="AZ311" s="161"/>
      <c r="BA311" s="161"/>
      <c r="BB311" s="161"/>
      <c r="BC311" s="161"/>
      <c r="BD311" s="161"/>
    </row>
    <row r="312" spans="1:56" x14ac:dyDescent="0.2">
      <c r="A312" s="161"/>
      <c r="B312" s="161"/>
      <c r="C312" s="161"/>
      <c r="D312" s="161"/>
      <c r="E312" s="162"/>
      <c r="F312" s="161"/>
      <c r="G312" s="161"/>
      <c r="H312" s="161"/>
      <c r="I312" s="161"/>
      <c r="J312" s="161"/>
      <c r="K312" s="161"/>
      <c r="L312" s="161"/>
      <c r="M312" s="161"/>
      <c r="N312" s="161"/>
      <c r="O312" s="161"/>
      <c r="P312" s="161"/>
      <c r="Q312" s="160"/>
      <c r="R312" s="161"/>
      <c r="S312" s="161"/>
      <c r="T312" s="161"/>
      <c r="U312" s="161"/>
      <c r="V312" s="161"/>
      <c r="W312" s="161"/>
      <c r="X312" s="161"/>
      <c r="Y312" s="161"/>
      <c r="Z312" s="161"/>
      <c r="AA312" s="161"/>
      <c r="AB312" s="161"/>
      <c r="AC312" s="161"/>
      <c r="AD312" s="161"/>
      <c r="AE312" s="161"/>
      <c r="AF312" s="161"/>
      <c r="AG312" s="161"/>
      <c r="AH312" s="161"/>
      <c r="AI312" s="161"/>
      <c r="AJ312" s="161"/>
      <c r="AK312" s="161"/>
      <c r="AL312" s="161"/>
      <c r="AM312" s="161"/>
      <c r="AN312" s="161"/>
      <c r="AO312" s="161"/>
      <c r="AP312" s="161"/>
      <c r="AQ312" s="161"/>
      <c r="AR312" s="161"/>
      <c r="AS312" s="161"/>
      <c r="AT312" s="161"/>
      <c r="AU312" s="161"/>
      <c r="AV312" s="161"/>
      <c r="AW312" s="161"/>
      <c r="AX312" s="161"/>
      <c r="AY312" s="161"/>
      <c r="AZ312" s="161"/>
      <c r="BA312" s="161"/>
      <c r="BB312" s="161"/>
      <c r="BC312" s="161"/>
      <c r="BD312" s="161"/>
    </row>
    <row r="313" spans="1:56" x14ac:dyDescent="0.2">
      <c r="A313" s="161"/>
      <c r="B313" s="161"/>
      <c r="C313" s="161"/>
      <c r="D313" s="161"/>
      <c r="E313" s="162"/>
      <c r="F313" s="161"/>
      <c r="G313" s="161"/>
      <c r="H313" s="161"/>
      <c r="I313" s="161"/>
      <c r="J313" s="161"/>
      <c r="K313" s="161"/>
      <c r="L313" s="161"/>
      <c r="M313" s="161"/>
      <c r="N313" s="161"/>
      <c r="O313" s="161"/>
      <c r="P313" s="161"/>
      <c r="Q313" s="160"/>
      <c r="R313" s="161"/>
      <c r="S313" s="161"/>
      <c r="T313" s="161"/>
      <c r="U313" s="161"/>
      <c r="V313" s="161"/>
      <c r="W313" s="161"/>
      <c r="X313" s="161"/>
      <c r="Y313" s="161"/>
      <c r="Z313" s="161"/>
      <c r="AA313" s="161"/>
      <c r="AB313" s="161"/>
      <c r="AC313" s="161"/>
      <c r="AD313" s="161"/>
      <c r="AE313" s="161"/>
      <c r="AF313" s="161"/>
      <c r="AG313" s="161"/>
      <c r="AH313" s="161"/>
      <c r="AI313" s="161"/>
      <c r="AJ313" s="161"/>
      <c r="AK313" s="161"/>
      <c r="AL313" s="161"/>
      <c r="AM313" s="161"/>
      <c r="AN313" s="161"/>
      <c r="AO313" s="161"/>
      <c r="AP313" s="161"/>
      <c r="AQ313" s="161"/>
      <c r="AR313" s="161"/>
      <c r="AS313" s="161"/>
      <c r="AT313" s="161"/>
      <c r="AU313" s="161"/>
      <c r="AV313" s="161"/>
      <c r="AW313" s="161"/>
      <c r="AX313" s="161"/>
      <c r="AY313" s="161"/>
      <c r="AZ313" s="161"/>
      <c r="BA313" s="161"/>
      <c r="BB313" s="161"/>
      <c r="BC313" s="161"/>
      <c r="BD313" s="161"/>
    </row>
    <row r="314" spans="1:56" x14ac:dyDescent="0.2">
      <c r="A314" s="161"/>
      <c r="B314" s="161"/>
      <c r="C314" s="161"/>
      <c r="D314" s="161"/>
      <c r="E314" s="162"/>
      <c r="F314" s="161"/>
      <c r="G314" s="161"/>
      <c r="H314" s="161"/>
      <c r="I314" s="161"/>
      <c r="J314" s="161"/>
      <c r="K314" s="161"/>
      <c r="L314" s="161"/>
      <c r="M314" s="161"/>
      <c r="N314" s="161"/>
      <c r="O314" s="161"/>
      <c r="P314" s="161"/>
      <c r="Q314" s="160"/>
      <c r="R314" s="161"/>
      <c r="S314" s="161"/>
      <c r="T314" s="161"/>
      <c r="U314" s="161"/>
      <c r="V314" s="161"/>
      <c r="W314" s="161"/>
      <c r="X314" s="161"/>
      <c r="Y314" s="161"/>
      <c r="Z314" s="161"/>
      <c r="AA314" s="161"/>
      <c r="AB314" s="161"/>
      <c r="AC314" s="161"/>
      <c r="AD314" s="161"/>
      <c r="AE314" s="161"/>
      <c r="AF314" s="161"/>
      <c r="AG314" s="161"/>
      <c r="AH314" s="161"/>
      <c r="AI314" s="161"/>
      <c r="AJ314" s="161"/>
      <c r="AK314" s="161"/>
      <c r="AL314" s="161"/>
      <c r="AM314" s="161"/>
      <c r="AN314" s="161"/>
      <c r="AO314" s="161"/>
      <c r="AP314" s="161"/>
      <c r="AQ314" s="161"/>
      <c r="AR314" s="161"/>
      <c r="AS314" s="161"/>
      <c r="AT314" s="161"/>
      <c r="AU314" s="161"/>
      <c r="AV314" s="161"/>
      <c r="AW314" s="161"/>
      <c r="AX314" s="161"/>
      <c r="AY314" s="161"/>
      <c r="AZ314" s="161"/>
      <c r="BA314" s="161"/>
      <c r="BB314" s="161"/>
      <c r="BC314" s="161"/>
      <c r="BD314" s="161"/>
    </row>
    <row r="315" spans="1:56" x14ac:dyDescent="0.2">
      <c r="A315" s="161"/>
      <c r="B315" s="161"/>
      <c r="C315" s="161"/>
      <c r="D315" s="161"/>
      <c r="E315" s="162"/>
      <c r="F315" s="161"/>
      <c r="G315" s="161"/>
      <c r="H315" s="161"/>
      <c r="I315" s="161"/>
      <c r="J315" s="161"/>
      <c r="K315" s="161"/>
      <c r="L315" s="161"/>
      <c r="M315" s="161"/>
      <c r="N315" s="161"/>
      <c r="O315" s="161"/>
      <c r="P315" s="161"/>
      <c r="Q315" s="160"/>
      <c r="R315" s="161"/>
      <c r="S315" s="161"/>
      <c r="T315" s="161"/>
      <c r="U315" s="161"/>
      <c r="V315" s="161"/>
      <c r="W315" s="161"/>
      <c r="X315" s="161"/>
      <c r="Y315" s="161"/>
      <c r="Z315" s="161"/>
      <c r="AA315" s="161"/>
      <c r="AB315" s="161"/>
      <c r="AC315" s="161"/>
      <c r="AD315" s="161"/>
      <c r="AE315" s="161"/>
      <c r="AF315" s="161"/>
      <c r="AG315" s="161"/>
      <c r="AH315" s="161"/>
      <c r="AI315" s="161"/>
      <c r="AJ315" s="161"/>
      <c r="AK315" s="161"/>
      <c r="AL315" s="161"/>
      <c r="AM315" s="161"/>
      <c r="AN315" s="161"/>
      <c r="AO315" s="161"/>
      <c r="AP315" s="161"/>
      <c r="AQ315" s="161"/>
      <c r="AR315" s="161"/>
      <c r="AS315" s="161"/>
      <c r="AT315" s="161"/>
      <c r="AU315" s="161"/>
      <c r="AV315" s="161"/>
      <c r="AW315" s="161"/>
      <c r="AX315" s="161"/>
      <c r="AY315" s="161"/>
      <c r="AZ315" s="161"/>
      <c r="BA315" s="161"/>
      <c r="BB315" s="161"/>
      <c r="BC315" s="161"/>
      <c r="BD315" s="161"/>
    </row>
    <row r="316" spans="1:56" x14ac:dyDescent="0.2">
      <c r="A316" s="161"/>
      <c r="B316" s="161"/>
      <c r="C316" s="161"/>
      <c r="D316" s="161"/>
      <c r="E316" s="162"/>
      <c r="F316" s="161"/>
      <c r="G316" s="161"/>
      <c r="H316" s="161"/>
      <c r="I316" s="161"/>
      <c r="J316" s="161"/>
      <c r="K316" s="161"/>
      <c r="L316" s="161"/>
      <c r="M316" s="161"/>
      <c r="N316" s="161"/>
      <c r="O316" s="161"/>
      <c r="P316" s="161"/>
      <c r="Q316" s="160"/>
      <c r="R316" s="161"/>
      <c r="S316" s="161"/>
      <c r="T316" s="161"/>
      <c r="U316" s="161"/>
      <c r="V316" s="161"/>
      <c r="W316" s="161"/>
      <c r="X316" s="161"/>
      <c r="Y316" s="161"/>
      <c r="Z316" s="161"/>
      <c r="AA316" s="161"/>
      <c r="AB316" s="161"/>
      <c r="AC316" s="161"/>
      <c r="AD316" s="161"/>
      <c r="AE316" s="161"/>
      <c r="AF316" s="161"/>
      <c r="AG316" s="161"/>
      <c r="AH316" s="161"/>
      <c r="AI316" s="161"/>
      <c r="AJ316" s="161"/>
      <c r="AK316" s="161"/>
      <c r="AL316" s="161"/>
      <c r="AM316" s="161"/>
      <c r="AN316" s="161"/>
      <c r="AO316" s="161"/>
      <c r="AP316" s="161"/>
      <c r="AQ316" s="161"/>
      <c r="AR316" s="161"/>
      <c r="AS316" s="161"/>
      <c r="AT316" s="161"/>
      <c r="AU316" s="161"/>
      <c r="AV316" s="161"/>
      <c r="AW316" s="161"/>
      <c r="AX316" s="161"/>
      <c r="AY316" s="161"/>
      <c r="AZ316" s="161"/>
      <c r="BA316" s="161"/>
      <c r="BB316" s="161"/>
      <c r="BC316" s="161"/>
      <c r="BD316" s="161"/>
    </row>
    <row r="317" spans="1:56" x14ac:dyDescent="0.2">
      <c r="A317" s="161"/>
      <c r="B317" s="161"/>
      <c r="C317" s="161"/>
      <c r="D317" s="161"/>
      <c r="E317" s="162"/>
      <c r="F317" s="161"/>
      <c r="G317" s="161"/>
      <c r="H317" s="161"/>
      <c r="I317" s="161"/>
      <c r="J317" s="161"/>
      <c r="K317" s="161"/>
      <c r="L317" s="161"/>
      <c r="M317" s="161"/>
      <c r="N317" s="161"/>
      <c r="O317" s="161"/>
      <c r="P317" s="161"/>
      <c r="Q317" s="160"/>
      <c r="R317" s="161"/>
      <c r="S317" s="161"/>
      <c r="T317" s="161"/>
      <c r="U317" s="161"/>
      <c r="V317" s="161"/>
      <c r="W317" s="161"/>
      <c r="X317" s="161"/>
      <c r="Y317" s="161"/>
      <c r="Z317" s="161"/>
      <c r="AA317" s="161"/>
      <c r="AB317" s="161"/>
      <c r="AC317" s="161"/>
      <c r="AD317" s="161"/>
      <c r="AE317" s="161"/>
      <c r="AF317" s="161"/>
      <c r="AG317" s="161"/>
      <c r="AH317" s="161"/>
      <c r="AI317" s="161"/>
      <c r="AJ317" s="161"/>
      <c r="AK317" s="161"/>
      <c r="AL317" s="161"/>
      <c r="AM317" s="161"/>
      <c r="AN317" s="161"/>
      <c r="AO317" s="161"/>
      <c r="AP317" s="161"/>
      <c r="AQ317" s="161"/>
      <c r="AR317" s="161"/>
      <c r="AS317" s="161"/>
      <c r="AT317" s="161"/>
      <c r="AU317" s="161"/>
      <c r="AV317" s="161"/>
      <c r="AW317" s="161"/>
      <c r="AX317" s="161"/>
      <c r="AY317" s="161"/>
      <c r="AZ317" s="161"/>
      <c r="BA317" s="161"/>
      <c r="BB317" s="161"/>
      <c r="BC317" s="161"/>
      <c r="BD317" s="161"/>
    </row>
    <row r="318" spans="1:56" x14ac:dyDescent="0.2">
      <c r="A318" s="161"/>
      <c r="B318" s="161"/>
      <c r="C318" s="161"/>
      <c r="D318" s="161"/>
      <c r="E318" s="162"/>
      <c r="F318" s="161"/>
      <c r="G318" s="161"/>
      <c r="H318" s="161"/>
      <c r="I318" s="161"/>
      <c r="J318" s="161"/>
      <c r="K318" s="161"/>
      <c r="L318" s="161"/>
      <c r="M318" s="161"/>
      <c r="N318" s="161"/>
      <c r="O318" s="161"/>
      <c r="P318" s="161"/>
      <c r="Q318" s="160"/>
      <c r="R318" s="161"/>
      <c r="S318" s="161"/>
      <c r="T318" s="161"/>
      <c r="U318" s="161"/>
      <c r="V318" s="161"/>
      <c r="W318" s="161"/>
      <c r="X318" s="161"/>
      <c r="Y318" s="161"/>
      <c r="Z318" s="161"/>
      <c r="AA318" s="161"/>
      <c r="AB318" s="161"/>
      <c r="AC318" s="161"/>
      <c r="AD318" s="161"/>
      <c r="AE318" s="161"/>
      <c r="AF318" s="161"/>
      <c r="AG318" s="161"/>
      <c r="AH318" s="161"/>
      <c r="AI318" s="161"/>
      <c r="AJ318" s="161"/>
      <c r="AK318" s="161"/>
      <c r="AL318" s="161"/>
      <c r="AM318" s="161"/>
      <c r="AN318" s="161"/>
      <c r="AO318" s="161"/>
      <c r="AP318" s="161"/>
      <c r="AQ318" s="161"/>
      <c r="AR318" s="161"/>
      <c r="AS318" s="161"/>
      <c r="AT318" s="161"/>
      <c r="AU318" s="161"/>
      <c r="AV318" s="161"/>
      <c r="AW318" s="161"/>
      <c r="AX318" s="161"/>
      <c r="AY318" s="161"/>
      <c r="AZ318" s="161"/>
      <c r="BA318" s="161"/>
      <c r="BB318" s="161"/>
      <c r="BC318" s="161"/>
      <c r="BD318" s="161"/>
    </row>
    <row r="319" spans="1:56" x14ac:dyDescent="0.2">
      <c r="A319" s="161"/>
      <c r="B319" s="161"/>
      <c r="C319" s="161"/>
      <c r="D319" s="161"/>
      <c r="E319" s="162"/>
      <c r="F319" s="161"/>
      <c r="G319" s="161"/>
      <c r="H319" s="161"/>
      <c r="I319" s="161"/>
      <c r="J319" s="161"/>
      <c r="K319" s="161"/>
      <c r="L319" s="161"/>
      <c r="M319" s="161"/>
      <c r="N319" s="161"/>
      <c r="O319" s="161"/>
      <c r="P319" s="161"/>
      <c r="Q319" s="160"/>
      <c r="R319" s="161"/>
      <c r="S319" s="161"/>
      <c r="T319" s="161"/>
      <c r="U319" s="161"/>
      <c r="V319" s="161"/>
      <c r="W319" s="161"/>
      <c r="X319" s="161"/>
      <c r="Y319" s="161"/>
      <c r="Z319" s="161"/>
      <c r="AA319" s="161"/>
      <c r="AB319" s="161"/>
      <c r="AC319" s="161"/>
      <c r="AD319" s="161"/>
      <c r="AE319" s="161"/>
      <c r="AF319" s="161"/>
      <c r="AG319" s="161"/>
      <c r="AH319" s="161"/>
      <c r="AI319" s="161"/>
      <c r="AJ319" s="161"/>
      <c r="AK319" s="161"/>
      <c r="AL319" s="161"/>
      <c r="AM319" s="161"/>
      <c r="AN319" s="161"/>
      <c r="AO319" s="161"/>
      <c r="AP319" s="161"/>
      <c r="AQ319" s="161"/>
      <c r="AR319" s="161"/>
      <c r="AS319" s="161"/>
      <c r="AT319" s="161"/>
      <c r="AU319" s="161"/>
      <c r="AV319" s="161"/>
      <c r="AW319" s="161"/>
      <c r="AX319" s="161"/>
      <c r="AY319" s="161"/>
      <c r="AZ319" s="161"/>
      <c r="BA319" s="161"/>
      <c r="BB319" s="161"/>
      <c r="BC319" s="161"/>
      <c r="BD319" s="161"/>
    </row>
    <row r="320" spans="1:56" x14ac:dyDescent="0.2">
      <c r="A320" s="161"/>
      <c r="B320" s="161"/>
      <c r="C320" s="161"/>
      <c r="D320" s="161"/>
      <c r="E320" s="162"/>
      <c r="F320" s="161"/>
      <c r="G320" s="161"/>
      <c r="H320" s="161"/>
      <c r="I320" s="161"/>
      <c r="J320" s="161"/>
      <c r="K320" s="161"/>
      <c r="L320" s="161"/>
      <c r="M320" s="161"/>
      <c r="N320" s="161"/>
      <c r="O320" s="161"/>
      <c r="P320" s="161"/>
      <c r="Q320" s="160"/>
      <c r="R320" s="161"/>
      <c r="S320" s="161"/>
      <c r="T320" s="161"/>
      <c r="U320" s="161"/>
      <c r="V320" s="161"/>
      <c r="W320" s="161"/>
      <c r="X320" s="161"/>
      <c r="Y320" s="161"/>
      <c r="Z320" s="161"/>
      <c r="AA320" s="161"/>
      <c r="AB320" s="161"/>
      <c r="AC320" s="161"/>
      <c r="AD320" s="161"/>
      <c r="AE320" s="161"/>
      <c r="AF320" s="161"/>
      <c r="AG320" s="161"/>
      <c r="AH320" s="161"/>
      <c r="AI320" s="161"/>
      <c r="AJ320" s="161"/>
      <c r="AK320" s="161"/>
      <c r="AL320" s="161"/>
      <c r="AM320" s="161"/>
      <c r="AN320" s="161"/>
      <c r="AO320" s="161"/>
      <c r="AP320" s="161"/>
      <c r="AQ320" s="161"/>
      <c r="AR320" s="161"/>
      <c r="AS320" s="161"/>
      <c r="AT320" s="161"/>
      <c r="AU320" s="161"/>
      <c r="AV320" s="161"/>
      <c r="AW320" s="161"/>
      <c r="AX320" s="161"/>
      <c r="AY320" s="161"/>
      <c r="AZ320" s="161"/>
      <c r="BA320" s="161"/>
      <c r="BB320" s="161"/>
      <c r="BC320" s="161"/>
      <c r="BD320" s="161"/>
    </row>
    <row r="321" spans="1:56" x14ac:dyDescent="0.2">
      <c r="A321" s="161"/>
      <c r="B321" s="161"/>
      <c r="C321" s="161"/>
      <c r="D321" s="161"/>
      <c r="E321" s="162"/>
      <c r="F321" s="161"/>
      <c r="G321" s="161"/>
      <c r="H321" s="161"/>
      <c r="I321" s="161"/>
      <c r="J321" s="161"/>
      <c r="K321" s="161"/>
      <c r="L321" s="161"/>
      <c r="M321" s="161"/>
      <c r="N321" s="161"/>
      <c r="O321" s="161"/>
      <c r="P321" s="161"/>
      <c r="Q321" s="160"/>
      <c r="R321" s="161"/>
      <c r="S321" s="161"/>
      <c r="T321" s="161"/>
      <c r="U321" s="161"/>
      <c r="V321" s="161"/>
      <c r="W321" s="161"/>
      <c r="X321" s="161"/>
      <c r="Y321" s="161"/>
      <c r="Z321" s="161"/>
      <c r="AA321" s="161"/>
      <c r="AB321" s="161"/>
      <c r="AC321" s="161"/>
      <c r="AD321" s="161"/>
      <c r="AE321" s="161"/>
      <c r="AF321" s="161"/>
      <c r="AG321" s="161"/>
      <c r="AH321" s="161"/>
      <c r="AI321" s="161"/>
      <c r="AJ321" s="161"/>
      <c r="AK321" s="161"/>
      <c r="AL321" s="161"/>
      <c r="AM321" s="161"/>
      <c r="AN321" s="161"/>
      <c r="AO321" s="161"/>
      <c r="AP321" s="161"/>
      <c r="AQ321" s="161"/>
      <c r="AR321" s="161"/>
      <c r="AS321" s="161"/>
      <c r="AT321" s="161"/>
      <c r="AU321" s="161"/>
      <c r="AV321" s="161"/>
      <c r="AW321" s="161"/>
      <c r="AX321" s="161"/>
      <c r="AY321" s="161"/>
      <c r="AZ321" s="161"/>
      <c r="BA321" s="161"/>
      <c r="BB321" s="161"/>
      <c r="BC321" s="161"/>
      <c r="BD321" s="161"/>
    </row>
    <row r="322" spans="1:56" x14ac:dyDescent="0.2">
      <c r="A322" s="161"/>
      <c r="B322" s="161"/>
      <c r="C322" s="161"/>
      <c r="D322" s="161"/>
      <c r="E322" s="162"/>
      <c r="F322" s="161"/>
      <c r="G322" s="161"/>
      <c r="H322" s="161"/>
      <c r="I322" s="161"/>
      <c r="J322" s="161"/>
      <c r="K322" s="161"/>
      <c r="L322" s="161"/>
      <c r="M322" s="161"/>
      <c r="N322" s="161"/>
      <c r="O322" s="161"/>
      <c r="P322" s="161"/>
      <c r="Q322" s="160"/>
      <c r="R322" s="161"/>
      <c r="S322" s="161"/>
      <c r="T322" s="161"/>
      <c r="U322" s="161"/>
      <c r="V322" s="161"/>
      <c r="W322" s="161"/>
      <c r="X322" s="161"/>
      <c r="Y322" s="161"/>
      <c r="Z322" s="161"/>
      <c r="AA322" s="161"/>
      <c r="AB322" s="161"/>
      <c r="AC322" s="161"/>
      <c r="AD322" s="161"/>
      <c r="AE322" s="161"/>
      <c r="AF322" s="161"/>
      <c r="AG322" s="161"/>
      <c r="AH322" s="161"/>
      <c r="AI322" s="161"/>
      <c r="AJ322" s="161"/>
      <c r="AK322" s="161"/>
      <c r="AL322" s="161"/>
      <c r="AM322" s="161"/>
      <c r="AN322" s="161"/>
      <c r="AO322" s="161"/>
      <c r="AP322" s="161"/>
      <c r="AQ322" s="161"/>
      <c r="AR322" s="161"/>
      <c r="AS322" s="161"/>
      <c r="AT322" s="161"/>
      <c r="AU322" s="161"/>
      <c r="AV322" s="161"/>
      <c r="AW322" s="161"/>
      <c r="AX322" s="161"/>
      <c r="AY322" s="161"/>
      <c r="AZ322" s="161"/>
      <c r="BA322" s="161"/>
      <c r="BB322" s="161"/>
      <c r="BC322" s="161"/>
      <c r="BD322" s="161"/>
    </row>
    <row r="323" spans="1:56" x14ac:dyDescent="0.2">
      <c r="A323" s="161"/>
      <c r="B323" s="161"/>
      <c r="C323" s="161"/>
      <c r="D323" s="161"/>
      <c r="E323" s="162"/>
      <c r="F323" s="161"/>
      <c r="G323" s="161"/>
      <c r="H323" s="161"/>
      <c r="I323" s="161"/>
      <c r="J323" s="161"/>
      <c r="K323" s="161"/>
      <c r="L323" s="161"/>
      <c r="M323" s="161"/>
      <c r="N323" s="161"/>
      <c r="O323" s="161"/>
      <c r="P323" s="161"/>
      <c r="Q323" s="160"/>
      <c r="R323" s="161"/>
      <c r="S323" s="161"/>
      <c r="T323" s="161"/>
      <c r="U323" s="161"/>
      <c r="V323" s="161"/>
      <c r="W323" s="161"/>
      <c r="X323" s="161"/>
      <c r="Y323" s="161"/>
      <c r="Z323" s="161"/>
      <c r="AA323" s="161"/>
      <c r="AB323" s="161"/>
      <c r="AC323" s="161"/>
      <c r="AD323" s="161"/>
      <c r="AE323" s="161"/>
      <c r="AF323" s="161"/>
      <c r="AG323" s="161"/>
      <c r="AH323" s="161"/>
      <c r="AI323" s="161"/>
      <c r="AJ323" s="161"/>
      <c r="AK323" s="161"/>
      <c r="AL323" s="161"/>
      <c r="AM323" s="161"/>
      <c r="AN323" s="161"/>
      <c r="AO323" s="161"/>
      <c r="AP323" s="161"/>
      <c r="AQ323" s="161"/>
      <c r="AR323" s="161"/>
      <c r="AS323" s="161"/>
      <c r="AT323" s="161"/>
      <c r="AU323" s="161"/>
      <c r="AV323" s="161"/>
      <c r="AW323" s="161"/>
      <c r="AX323" s="161"/>
      <c r="AY323" s="161"/>
      <c r="AZ323" s="161"/>
      <c r="BA323" s="161"/>
      <c r="BB323" s="161"/>
      <c r="BC323" s="161"/>
      <c r="BD323" s="161"/>
    </row>
    <row r="324" spans="1:56" x14ac:dyDescent="0.2">
      <c r="A324" s="161"/>
      <c r="B324" s="161"/>
      <c r="C324" s="161"/>
      <c r="D324" s="161"/>
      <c r="E324" s="162"/>
      <c r="F324" s="161"/>
      <c r="G324" s="161"/>
      <c r="H324" s="161"/>
      <c r="I324" s="161"/>
      <c r="J324" s="161"/>
      <c r="K324" s="161"/>
      <c r="L324" s="161"/>
      <c r="M324" s="161"/>
      <c r="N324" s="161"/>
      <c r="O324" s="161"/>
      <c r="P324" s="161"/>
      <c r="Q324" s="160"/>
      <c r="R324" s="161"/>
      <c r="S324" s="161"/>
      <c r="T324" s="161"/>
      <c r="U324" s="161"/>
      <c r="V324" s="161"/>
      <c r="W324" s="161"/>
      <c r="X324" s="161"/>
      <c r="Y324" s="161"/>
      <c r="Z324" s="161"/>
      <c r="AA324" s="161"/>
      <c r="AB324" s="161"/>
      <c r="AC324" s="161"/>
      <c r="AD324" s="161"/>
      <c r="AE324" s="161"/>
      <c r="AF324" s="161"/>
      <c r="AG324" s="161"/>
      <c r="AH324" s="161"/>
      <c r="AI324" s="161"/>
      <c r="AJ324" s="161"/>
      <c r="AK324" s="161"/>
      <c r="AL324" s="161"/>
      <c r="AM324" s="161"/>
      <c r="AN324" s="161"/>
      <c r="AO324" s="161"/>
      <c r="AP324" s="161"/>
      <c r="AQ324" s="161"/>
      <c r="AR324" s="161"/>
      <c r="AS324" s="161"/>
      <c r="AT324" s="161"/>
      <c r="AU324" s="161"/>
      <c r="AV324" s="161"/>
      <c r="AW324" s="161"/>
      <c r="AX324" s="161"/>
      <c r="AY324" s="161"/>
      <c r="AZ324" s="161"/>
      <c r="BA324" s="161"/>
      <c r="BB324" s="161"/>
      <c r="BC324" s="161"/>
      <c r="BD324" s="161"/>
    </row>
    <row r="325" spans="1:56" x14ac:dyDescent="0.2">
      <c r="A325" s="161"/>
      <c r="B325" s="161"/>
      <c r="C325" s="161"/>
      <c r="D325" s="161"/>
      <c r="E325" s="162"/>
      <c r="F325" s="161"/>
      <c r="G325" s="161"/>
      <c r="H325" s="161"/>
      <c r="I325" s="161"/>
      <c r="J325" s="161"/>
      <c r="K325" s="161"/>
      <c r="L325" s="161"/>
      <c r="M325" s="161"/>
      <c r="N325" s="161"/>
      <c r="O325" s="161"/>
      <c r="P325" s="161"/>
      <c r="Q325" s="160"/>
      <c r="R325" s="161"/>
      <c r="S325" s="161"/>
      <c r="T325" s="161"/>
      <c r="U325" s="161"/>
      <c r="V325" s="161"/>
      <c r="W325" s="161"/>
      <c r="X325" s="161"/>
      <c r="Y325" s="161"/>
      <c r="Z325" s="161"/>
      <c r="AA325" s="161"/>
      <c r="AB325" s="161"/>
      <c r="AC325" s="161"/>
      <c r="AD325" s="161"/>
      <c r="AE325" s="161"/>
      <c r="AF325" s="161"/>
      <c r="AG325" s="161"/>
      <c r="AH325" s="161"/>
      <c r="AI325" s="161"/>
      <c r="AJ325" s="161"/>
      <c r="AK325" s="161"/>
      <c r="AL325" s="161"/>
      <c r="AM325" s="161"/>
      <c r="AN325" s="161"/>
      <c r="AO325" s="161"/>
      <c r="AP325" s="161"/>
      <c r="AQ325" s="161"/>
      <c r="AR325" s="161"/>
      <c r="AS325" s="161"/>
      <c r="AT325" s="161"/>
      <c r="AU325" s="161"/>
      <c r="AV325" s="161"/>
      <c r="AW325" s="161"/>
      <c r="AX325" s="161"/>
      <c r="AY325" s="161"/>
      <c r="AZ325" s="161"/>
      <c r="BA325" s="161"/>
      <c r="BB325" s="161"/>
      <c r="BC325" s="161"/>
      <c r="BD325" s="161"/>
    </row>
    <row r="326" spans="1:56" x14ac:dyDescent="0.2">
      <c r="A326" s="161"/>
      <c r="B326" s="161"/>
      <c r="C326" s="161"/>
      <c r="D326" s="161"/>
      <c r="E326" s="162"/>
      <c r="F326" s="161"/>
      <c r="G326" s="161"/>
      <c r="H326" s="161"/>
      <c r="I326" s="161"/>
      <c r="J326" s="161"/>
      <c r="K326" s="161"/>
      <c r="L326" s="161"/>
      <c r="M326" s="161"/>
      <c r="N326" s="161"/>
      <c r="O326" s="161"/>
      <c r="P326" s="161"/>
      <c r="Q326" s="160"/>
      <c r="R326" s="161"/>
      <c r="S326" s="161"/>
      <c r="T326" s="161"/>
      <c r="U326" s="161"/>
      <c r="V326" s="161"/>
      <c r="W326" s="161"/>
      <c r="X326" s="161"/>
      <c r="Y326" s="161"/>
      <c r="Z326" s="161"/>
      <c r="AA326" s="161"/>
      <c r="AB326" s="161"/>
      <c r="AC326" s="161"/>
      <c r="AD326" s="161"/>
      <c r="AE326" s="161"/>
      <c r="AF326" s="161"/>
      <c r="AG326" s="161"/>
      <c r="AH326" s="161"/>
      <c r="AI326" s="161"/>
      <c r="AJ326" s="161"/>
      <c r="AK326" s="161"/>
      <c r="AL326" s="161"/>
      <c r="AM326" s="161"/>
      <c r="AN326" s="161"/>
      <c r="AO326" s="161"/>
      <c r="AP326" s="161"/>
      <c r="AQ326" s="161"/>
      <c r="AR326" s="161"/>
      <c r="AS326" s="161"/>
      <c r="AT326" s="161"/>
      <c r="AU326" s="161"/>
      <c r="AV326" s="161"/>
      <c r="AW326" s="161"/>
      <c r="AX326" s="161"/>
      <c r="AY326" s="161"/>
      <c r="AZ326" s="161"/>
      <c r="BA326" s="161"/>
      <c r="BB326" s="161"/>
      <c r="BC326" s="161"/>
      <c r="BD326" s="161"/>
    </row>
    <row r="327" spans="1:56" x14ac:dyDescent="0.2">
      <c r="A327" s="161"/>
      <c r="B327" s="161"/>
      <c r="C327" s="161"/>
      <c r="D327" s="161"/>
      <c r="E327" s="162"/>
      <c r="F327" s="161"/>
      <c r="G327" s="161"/>
      <c r="H327" s="161"/>
      <c r="I327" s="161"/>
      <c r="J327" s="161"/>
      <c r="K327" s="161"/>
      <c r="L327" s="161"/>
      <c r="M327" s="161"/>
      <c r="N327" s="161"/>
      <c r="O327" s="161"/>
      <c r="P327" s="161"/>
      <c r="Q327" s="160"/>
      <c r="R327" s="161"/>
      <c r="S327" s="161"/>
      <c r="T327" s="161"/>
      <c r="U327" s="161"/>
      <c r="V327" s="161"/>
      <c r="W327" s="161"/>
      <c r="X327" s="161"/>
      <c r="Y327" s="161"/>
      <c r="Z327" s="161"/>
      <c r="AA327" s="161"/>
      <c r="AB327" s="161"/>
      <c r="AC327" s="161"/>
      <c r="AD327" s="161"/>
      <c r="AE327" s="161"/>
      <c r="AF327" s="161"/>
      <c r="AG327" s="161"/>
      <c r="AH327" s="161"/>
      <c r="AI327" s="161"/>
      <c r="AJ327" s="161"/>
      <c r="AK327" s="161"/>
      <c r="AL327" s="161"/>
      <c r="AM327" s="161"/>
      <c r="AN327" s="161"/>
      <c r="AO327" s="161"/>
      <c r="AP327" s="161"/>
      <c r="AQ327" s="161"/>
      <c r="AR327" s="161"/>
      <c r="AS327" s="161"/>
      <c r="AT327" s="161"/>
      <c r="AU327" s="161"/>
      <c r="AV327" s="161"/>
      <c r="AW327" s="161"/>
      <c r="AX327" s="161"/>
      <c r="AY327" s="161"/>
      <c r="AZ327" s="161"/>
      <c r="BA327" s="161"/>
      <c r="BB327" s="161"/>
      <c r="BC327" s="161"/>
      <c r="BD327" s="161"/>
    </row>
    <row r="328" spans="1:56" x14ac:dyDescent="0.2">
      <c r="A328" s="161"/>
      <c r="B328" s="161"/>
      <c r="C328" s="161"/>
      <c r="D328" s="161"/>
      <c r="E328" s="162"/>
      <c r="F328" s="161"/>
      <c r="G328" s="161"/>
      <c r="H328" s="161"/>
      <c r="I328" s="161"/>
      <c r="J328" s="161"/>
      <c r="K328" s="161"/>
      <c r="L328" s="161"/>
      <c r="M328" s="161"/>
      <c r="N328" s="161"/>
      <c r="O328" s="161"/>
      <c r="P328" s="161"/>
      <c r="Q328" s="160"/>
      <c r="R328" s="161"/>
      <c r="S328" s="161"/>
      <c r="T328" s="161"/>
      <c r="U328" s="161"/>
      <c r="V328" s="161"/>
      <c r="W328" s="161"/>
      <c r="X328" s="161"/>
      <c r="Y328" s="161"/>
      <c r="Z328" s="161"/>
      <c r="AA328" s="161"/>
      <c r="AB328" s="161"/>
      <c r="AC328" s="161"/>
      <c r="AD328" s="161"/>
      <c r="AE328" s="161"/>
      <c r="AF328" s="161"/>
      <c r="AG328" s="161"/>
      <c r="AH328" s="161"/>
      <c r="AI328" s="161"/>
      <c r="AJ328" s="161"/>
      <c r="AK328" s="161"/>
      <c r="AL328" s="161"/>
      <c r="AM328" s="161"/>
      <c r="AN328" s="161"/>
      <c r="AO328" s="161"/>
      <c r="AP328" s="161"/>
      <c r="AQ328" s="161"/>
      <c r="AR328" s="161"/>
      <c r="AS328" s="161"/>
      <c r="AT328" s="161"/>
      <c r="AU328" s="161"/>
      <c r="AV328" s="161"/>
      <c r="AW328" s="161"/>
      <c r="AX328" s="161"/>
      <c r="AY328" s="161"/>
      <c r="AZ328" s="161"/>
      <c r="BA328" s="161"/>
      <c r="BB328" s="161"/>
      <c r="BC328" s="161"/>
      <c r="BD328" s="161"/>
    </row>
    <row r="329" spans="1:56" x14ac:dyDescent="0.2">
      <c r="A329" s="161"/>
      <c r="B329" s="161"/>
      <c r="C329" s="161"/>
      <c r="D329" s="161"/>
      <c r="E329" s="162"/>
      <c r="F329" s="161"/>
      <c r="G329" s="161"/>
      <c r="H329" s="161"/>
      <c r="I329" s="161"/>
      <c r="J329" s="161"/>
      <c r="K329" s="161"/>
      <c r="L329" s="161"/>
      <c r="M329" s="161"/>
      <c r="N329" s="161"/>
      <c r="O329" s="161"/>
      <c r="P329" s="161"/>
      <c r="Q329" s="160"/>
      <c r="R329" s="161"/>
      <c r="S329" s="161"/>
      <c r="T329" s="161"/>
      <c r="U329" s="161"/>
      <c r="V329" s="161"/>
      <c r="W329" s="161"/>
      <c r="X329" s="161"/>
      <c r="Y329" s="161"/>
      <c r="Z329" s="161"/>
      <c r="AA329" s="161"/>
      <c r="AB329" s="161"/>
      <c r="AC329" s="161"/>
      <c r="AD329" s="161"/>
      <c r="AE329" s="161"/>
      <c r="AF329" s="161"/>
      <c r="AG329" s="161"/>
      <c r="AH329" s="161"/>
      <c r="AI329" s="161"/>
      <c r="AJ329" s="161"/>
      <c r="AK329" s="161"/>
      <c r="AL329" s="161"/>
      <c r="AM329" s="161"/>
      <c r="AN329" s="161"/>
      <c r="AO329" s="161"/>
      <c r="AP329" s="161"/>
      <c r="AQ329" s="161"/>
      <c r="AR329" s="161"/>
      <c r="AS329" s="161"/>
      <c r="AT329" s="161"/>
      <c r="AU329" s="161"/>
      <c r="AV329" s="161"/>
      <c r="AW329" s="161"/>
      <c r="AX329" s="161"/>
      <c r="AY329" s="161"/>
      <c r="AZ329" s="161"/>
      <c r="BA329" s="161"/>
      <c r="BB329" s="161"/>
      <c r="BC329" s="161"/>
      <c r="BD329" s="161"/>
    </row>
    <row r="330" spans="1:56" x14ac:dyDescent="0.2">
      <c r="A330" s="161"/>
      <c r="B330" s="161"/>
      <c r="C330" s="161"/>
      <c r="D330" s="161"/>
      <c r="E330" s="162"/>
      <c r="F330" s="161"/>
      <c r="G330" s="161"/>
      <c r="H330" s="161"/>
      <c r="I330" s="161"/>
      <c r="J330" s="161"/>
      <c r="K330" s="161"/>
      <c r="L330" s="161"/>
      <c r="M330" s="161"/>
      <c r="N330" s="161"/>
      <c r="O330" s="161"/>
      <c r="P330" s="161"/>
      <c r="Q330" s="160"/>
      <c r="R330" s="161"/>
      <c r="S330" s="161"/>
      <c r="T330" s="161"/>
      <c r="U330" s="161"/>
      <c r="V330" s="161"/>
      <c r="W330" s="161"/>
      <c r="X330" s="161"/>
      <c r="Y330" s="161"/>
      <c r="Z330" s="161"/>
      <c r="AA330" s="161"/>
      <c r="AB330" s="161"/>
      <c r="AC330" s="161"/>
      <c r="AD330" s="161"/>
      <c r="AE330" s="161"/>
      <c r="AF330" s="161"/>
      <c r="AG330" s="161"/>
      <c r="AH330" s="161"/>
      <c r="AI330" s="161"/>
      <c r="AJ330" s="161"/>
      <c r="AK330" s="161"/>
      <c r="AL330" s="161"/>
      <c r="AM330" s="161"/>
      <c r="AN330" s="161"/>
      <c r="AO330" s="161"/>
      <c r="AP330" s="161"/>
      <c r="AQ330" s="161"/>
      <c r="AR330" s="161"/>
      <c r="AS330" s="161"/>
      <c r="AT330" s="161"/>
      <c r="AU330" s="161"/>
      <c r="AV330" s="161"/>
      <c r="AW330" s="161"/>
      <c r="AX330" s="161"/>
      <c r="AY330" s="161"/>
      <c r="AZ330" s="161"/>
      <c r="BA330" s="161"/>
      <c r="BB330" s="161"/>
      <c r="BC330" s="161"/>
      <c r="BD330" s="161"/>
    </row>
    <row r="331" spans="1:56" x14ac:dyDescent="0.2">
      <c r="A331" s="161"/>
      <c r="B331" s="161"/>
      <c r="C331" s="161"/>
      <c r="D331" s="161"/>
      <c r="E331" s="162"/>
      <c r="F331" s="161"/>
      <c r="G331" s="161"/>
      <c r="H331" s="161"/>
      <c r="I331" s="161"/>
      <c r="J331" s="161"/>
      <c r="K331" s="161"/>
      <c r="L331" s="161"/>
      <c r="M331" s="161"/>
      <c r="N331" s="161"/>
      <c r="O331" s="161"/>
      <c r="P331" s="161"/>
      <c r="Q331" s="160"/>
      <c r="R331" s="161"/>
      <c r="S331" s="161"/>
      <c r="T331" s="161"/>
      <c r="U331" s="161"/>
      <c r="V331" s="161"/>
      <c r="W331" s="161"/>
      <c r="X331" s="161"/>
      <c r="Y331" s="161"/>
      <c r="Z331" s="161"/>
      <c r="AA331" s="161"/>
      <c r="AB331" s="161"/>
      <c r="AC331" s="161"/>
      <c r="AD331" s="161"/>
      <c r="AE331" s="161"/>
      <c r="AF331" s="161"/>
      <c r="AG331" s="161"/>
      <c r="AH331" s="161"/>
      <c r="AI331" s="161"/>
      <c r="AJ331" s="161"/>
      <c r="AK331" s="161"/>
      <c r="AL331" s="161"/>
      <c r="AM331" s="161"/>
      <c r="AN331" s="161"/>
      <c r="AO331" s="161"/>
      <c r="AP331" s="161"/>
      <c r="AQ331" s="161"/>
      <c r="AR331" s="161"/>
      <c r="AS331" s="161"/>
      <c r="AT331" s="161"/>
      <c r="AU331" s="161"/>
      <c r="AV331" s="161"/>
      <c r="AW331" s="161"/>
      <c r="AX331" s="161"/>
      <c r="AY331" s="161"/>
      <c r="AZ331" s="161"/>
      <c r="BA331" s="161"/>
      <c r="BB331" s="161"/>
      <c r="BC331" s="161"/>
      <c r="BD331" s="161"/>
    </row>
    <row r="332" spans="1:56" x14ac:dyDescent="0.2">
      <c r="A332" s="161"/>
      <c r="B332" s="161"/>
      <c r="C332" s="161"/>
      <c r="D332" s="161"/>
      <c r="E332" s="162"/>
      <c r="F332" s="161"/>
      <c r="G332" s="161"/>
      <c r="H332" s="161"/>
      <c r="I332" s="161"/>
      <c r="J332" s="161"/>
      <c r="K332" s="161"/>
      <c r="L332" s="161"/>
      <c r="M332" s="161"/>
      <c r="N332" s="161"/>
      <c r="O332" s="161"/>
      <c r="P332" s="161"/>
      <c r="Q332" s="160"/>
      <c r="R332" s="161"/>
      <c r="S332" s="161"/>
      <c r="T332" s="161"/>
      <c r="U332" s="161"/>
      <c r="V332" s="161"/>
      <c r="W332" s="161"/>
      <c r="X332" s="161"/>
      <c r="Y332" s="161"/>
      <c r="Z332" s="161"/>
      <c r="AA332" s="161"/>
      <c r="AB332" s="161"/>
      <c r="AC332" s="161"/>
      <c r="AD332" s="161"/>
      <c r="AE332" s="161"/>
      <c r="AF332" s="161"/>
      <c r="AG332" s="161"/>
      <c r="AH332" s="161"/>
      <c r="AI332" s="161"/>
      <c r="AJ332" s="161"/>
      <c r="AK332" s="161"/>
      <c r="AL332" s="161"/>
      <c r="AM332" s="161"/>
      <c r="AN332" s="161"/>
      <c r="AO332" s="161"/>
      <c r="AP332" s="161"/>
      <c r="AQ332" s="161"/>
      <c r="AR332" s="161"/>
      <c r="AS332" s="161"/>
      <c r="AT332" s="161"/>
      <c r="AU332" s="161"/>
      <c r="AV332" s="161"/>
      <c r="AW332" s="161"/>
      <c r="AX332" s="161"/>
      <c r="AY332" s="161"/>
      <c r="AZ332" s="161"/>
      <c r="BA332" s="161"/>
      <c r="BB332" s="161"/>
      <c r="BC332" s="161"/>
      <c r="BD332" s="161"/>
    </row>
    <row r="333" spans="1:56" x14ac:dyDescent="0.2">
      <c r="A333" s="161"/>
      <c r="B333" s="161"/>
      <c r="C333" s="161"/>
      <c r="D333" s="161"/>
      <c r="E333" s="162"/>
      <c r="F333" s="161"/>
      <c r="G333" s="161"/>
      <c r="H333" s="161"/>
      <c r="I333" s="161"/>
      <c r="J333" s="161"/>
      <c r="K333" s="161"/>
      <c r="L333" s="161"/>
      <c r="M333" s="161"/>
      <c r="N333" s="161"/>
      <c r="O333" s="161"/>
      <c r="P333" s="161"/>
      <c r="Q333" s="160"/>
      <c r="R333" s="161"/>
      <c r="S333" s="161"/>
      <c r="T333" s="161"/>
      <c r="U333" s="161"/>
      <c r="V333" s="161"/>
      <c r="W333" s="161"/>
      <c r="X333" s="161"/>
      <c r="Y333" s="161"/>
      <c r="Z333" s="161"/>
      <c r="AA333" s="161"/>
      <c r="AB333" s="161"/>
      <c r="AC333" s="161"/>
      <c r="AD333" s="161"/>
      <c r="AE333" s="161"/>
      <c r="AF333" s="161"/>
      <c r="AG333" s="161"/>
      <c r="AH333" s="161"/>
      <c r="AI333" s="161"/>
      <c r="AJ333" s="161"/>
      <c r="AK333" s="161"/>
      <c r="AL333" s="161"/>
      <c r="AM333" s="161"/>
      <c r="AN333" s="161"/>
      <c r="AO333" s="161"/>
      <c r="AP333" s="161"/>
      <c r="AQ333" s="161"/>
      <c r="AR333" s="161"/>
      <c r="AS333" s="161"/>
      <c r="AT333" s="161"/>
      <c r="AU333" s="161"/>
      <c r="AV333" s="161"/>
      <c r="AW333" s="161"/>
      <c r="AX333" s="161"/>
      <c r="AY333" s="161"/>
      <c r="AZ333" s="161"/>
      <c r="BA333" s="161"/>
      <c r="BB333" s="161"/>
      <c r="BC333" s="161"/>
      <c r="BD333" s="161"/>
    </row>
    <row r="334" spans="1:56" x14ac:dyDescent="0.2">
      <c r="A334" s="161"/>
      <c r="B334" s="161"/>
      <c r="C334" s="161"/>
      <c r="D334" s="161"/>
      <c r="E334" s="162"/>
      <c r="F334" s="161"/>
      <c r="G334" s="161"/>
      <c r="H334" s="161"/>
      <c r="I334" s="161"/>
      <c r="J334" s="161"/>
      <c r="K334" s="161"/>
      <c r="L334" s="161"/>
      <c r="M334" s="161"/>
      <c r="N334" s="161"/>
      <c r="O334" s="161"/>
      <c r="P334" s="161"/>
      <c r="Q334" s="160"/>
      <c r="R334" s="161"/>
      <c r="S334" s="161"/>
      <c r="T334" s="161"/>
      <c r="U334" s="161"/>
      <c r="V334" s="161"/>
      <c r="W334" s="161"/>
      <c r="X334" s="161"/>
      <c r="Y334" s="161"/>
      <c r="Z334" s="161"/>
      <c r="AA334" s="161"/>
      <c r="AB334" s="161"/>
      <c r="AC334" s="161"/>
      <c r="AD334" s="161"/>
      <c r="AE334" s="161"/>
      <c r="AF334" s="161"/>
      <c r="AG334" s="161"/>
      <c r="AH334" s="161"/>
      <c r="AI334" s="161"/>
      <c r="AJ334" s="161"/>
      <c r="AK334" s="161"/>
      <c r="AL334" s="161"/>
      <c r="AM334" s="161"/>
      <c r="AN334" s="161"/>
      <c r="AO334" s="161"/>
      <c r="AP334" s="161"/>
      <c r="AQ334" s="161"/>
      <c r="AR334" s="161"/>
      <c r="AS334" s="161"/>
      <c r="AT334" s="161"/>
      <c r="AU334" s="161"/>
      <c r="AV334" s="161"/>
      <c r="AW334" s="161"/>
      <c r="AX334" s="161"/>
      <c r="AY334" s="161"/>
      <c r="AZ334" s="161"/>
      <c r="BA334" s="161"/>
      <c r="BB334" s="161"/>
      <c r="BC334" s="161"/>
      <c r="BD334" s="161"/>
    </row>
    <row r="335" spans="1:56" x14ac:dyDescent="0.2">
      <c r="A335" s="161"/>
      <c r="B335" s="161"/>
      <c r="C335" s="161"/>
      <c r="D335" s="161"/>
      <c r="E335" s="162"/>
      <c r="F335" s="161"/>
      <c r="G335" s="161"/>
      <c r="H335" s="161"/>
      <c r="I335" s="161"/>
      <c r="J335" s="161"/>
      <c r="K335" s="161"/>
      <c r="L335" s="161"/>
      <c r="M335" s="161"/>
      <c r="N335" s="161"/>
      <c r="O335" s="161"/>
      <c r="P335" s="161"/>
      <c r="Q335" s="160"/>
      <c r="R335" s="161"/>
      <c r="S335" s="161"/>
      <c r="T335" s="161"/>
      <c r="U335" s="161"/>
      <c r="V335" s="161"/>
      <c r="W335" s="161"/>
      <c r="X335" s="161"/>
      <c r="Y335" s="161"/>
      <c r="Z335" s="161"/>
      <c r="AA335" s="161"/>
      <c r="AB335" s="161"/>
      <c r="AC335" s="161"/>
      <c r="AD335" s="161"/>
      <c r="AE335" s="161"/>
      <c r="AF335" s="161"/>
      <c r="AG335" s="161"/>
      <c r="AH335" s="161"/>
      <c r="AI335" s="161"/>
      <c r="AJ335" s="161"/>
      <c r="AK335" s="161"/>
      <c r="AL335" s="161"/>
      <c r="AM335" s="161"/>
      <c r="AN335" s="161"/>
      <c r="AO335" s="161"/>
      <c r="AP335" s="161"/>
      <c r="AQ335" s="161"/>
      <c r="AR335" s="161"/>
      <c r="AS335" s="161"/>
      <c r="AT335" s="161"/>
      <c r="AU335" s="161"/>
      <c r="AV335" s="161"/>
      <c r="AW335" s="161"/>
      <c r="AX335" s="161"/>
      <c r="AY335" s="161"/>
      <c r="AZ335" s="161"/>
      <c r="BA335" s="161"/>
      <c r="BB335" s="161"/>
      <c r="BC335" s="161"/>
      <c r="BD335" s="161"/>
    </row>
    <row r="336" spans="1:56" x14ac:dyDescent="0.2">
      <c r="A336" s="161"/>
      <c r="B336" s="161"/>
      <c r="C336" s="161"/>
      <c r="D336" s="161"/>
      <c r="E336" s="162"/>
      <c r="F336" s="161"/>
      <c r="G336" s="161"/>
      <c r="H336" s="161"/>
      <c r="I336" s="161"/>
      <c r="J336" s="161"/>
      <c r="K336" s="161"/>
      <c r="L336" s="161"/>
      <c r="M336" s="161"/>
      <c r="N336" s="161"/>
      <c r="O336" s="161"/>
      <c r="P336" s="161"/>
      <c r="Q336" s="160"/>
      <c r="R336" s="161"/>
      <c r="S336" s="161"/>
      <c r="T336" s="161"/>
      <c r="U336" s="161"/>
      <c r="V336" s="161"/>
      <c r="W336" s="161"/>
      <c r="X336" s="161"/>
      <c r="Y336" s="161"/>
      <c r="Z336" s="161"/>
      <c r="AA336" s="161"/>
      <c r="AB336" s="161"/>
      <c r="AC336" s="161"/>
      <c r="AD336" s="161"/>
      <c r="AE336" s="161"/>
      <c r="AF336" s="161"/>
      <c r="AG336" s="161"/>
      <c r="AH336" s="161"/>
      <c r="AI336" s="161"/>
      <c r="AJ336" s="161"/>
      <c r="AK336" s="161"/>
      <c r="AL336" s="161"/>
      <c r="AM336" s="161"/>
      <c r="AN336" s="161"/>
      <c r="AO336" s="161"/>
      <c r="AP336" s="161"/>
      <c r="AQ336" s="161"/>
      <c r="AR336" s="161"/>
      <c r="AS336" s="161"/>
      <c r="AT336" s="161"/>
      <c r="AU336" s="161"/>
      <c r="AV336" s="161"/>
      <c r="AW336" s="161"/>
      <c r="AX336" s="161"/>
      <c r="AY336" s="161"/>
      <c r="AZ336" s="161"/>
      <c r="BA336" s="161"/>
      <c r="BB336" s="161"/>
      <c r="BC336" s="161"/>
      <c r="BD336" s="161"/>
    </row>
    <row r="337" spans="1:56" x14ac:dyDescent="0.2">
      <c r="A337" s="161"/>
      <c r="B337" s="161"/>
      <c r="C337" s="161"/>
      <c r="D337" s="161"/>
      <c r="E337" s="162"/>
      <c r="F337" s="161"/>
      <c r="G337" s="161"/>
      <c r="H337" s="161"/>
      <c r="I337" s="161"/>
      <c r="J337" s="161"/>
      <c r="K337" s="161"/>
      <c r="L337" s="161"/>
      <c r="M337" s="161"/>
      <c r="N337" s="161"/>
      <c r="O337" s="161"/>
      <c r="P337" s="161"/>
      <c r="Q337" s="160"/>
      <c r="R337" s="161"/>
      <c r="S337" s="161"/>
      <c r="T337" s="161"/>
      <c r="U337" s="161"/>
      <c r="V337" s="161"/>
      <c r="W337" s="161"/>
      <c r="X337" s="161"/>
      <c r="Y337" s="161"/>
      <c r="Z337" s="161"/>
      <c r="AA337" s="161"/>
      <c r="AB337" s="161"/>
      <c r="AC337" s="161"/>
      <c r="AD337" s="161"/>
      <c r="AE337" s="161"/>
      <c r="AF337" s="161"/>
      <c r="AG337" s="161"/>
      <c r="AH337" s="161"/>
      <c r="AI337" s="161"/>
      <c r="AJ337" s="161"/>
      <c r="AK337" s="161"/>
      <c r="AL337" s="161"/>
      <c r="AM337" s="161"/>
      <c r="AN337" s="161"/>
      <c r="AO337" s="161"/>
      <c r="AP337" s="161"/>
      <c r="AQ337" s="161"/>
      <c r="AR337" s="161"/>
      <c r="AS337" s="161"/>
      <c r="AT337" s="161"/>
      <c r="AU337" s="161"/>
      <c r="AV337" s="161"/>
      <c r="AW337" s="161"/>
      <c r="AX337" s="161"/>
      <c r="AY337" s="161"/>
      <c r="AZ337" s="161"/>
      <c r="BA337" s="161"/>
      <c r="BB337" s="161"/>
      <c r="BC337" s="161"/>
      <c r="BD337" s="161"/>
    </row>
    <row r="338" spans="1:56" x14ac:dyDescent="0.2">
      <c r="A338" s="161"/>
      <c r="B338" s="161"/>
      <c r="C338" s="161"/>
      <c r="D338" s="161"/>
      <c r="E338" s="162"/>
      <c r="F338" s="161"/>
      <c r="G338" s="161"/>
      <c r="H338" s="161"/>
      <c r="I338" s="161"/>
      <c r="J338" s="161"/>
      <c r="K338" s="161"/>
      <c r="L338" s="161"/>
      <c r="M338" s="161"/>
      <c r="N338" s="161"/>
      <c r="O338" s="161"/>
      <c r="P338" s="161"/>
      <c r="Q338" s="160"/>
      <c r="R338" s="161"/>
      <c r="S338" s="161"/>
      <c r="T338" s="161"/>
      <c r="U338" s="161"/>
      <c r="V338" s="161"/>
      <c r="W338" s="161"/>
      <c r="X338" s="161"/>
      <c r="Y338" s="161"/>
      <c r="Z338" s="161"/>
      <c r="AA338" s="161"/>
      <c r="AB338" s="161"/>
      <c r="AC338" s="161"/>
      <c r="AD338" s="161"/>
      <c r="AE338" s="161"/>
      <c r="AF338" s="161"/>
      <c r="AG338" s="161"/>
      <c r="AH338" s="161"/>
      <c r="AI338" s="161"/>
      <c r="AJ338" s="161"/>
      <c r="AK338" s="161"/>
      <c r="AL338" s="161"/>
      <c r="AM338" s="161"/>
      <c r="AN338" s="161"/>
      <c r="AO338" s="161"/>
      <c r="AP338" s="161"/>
      <c r="AQ338" s="161"/>
      <c r="AR338" s="161"/>
      <c r="AS338" s="161"/>
      <c r="AT338" s="161"/>
      <c r="AU338" s="161"/>
      <c r="AV338" s="161"/>
      <c r="AW338" s="161"/>
      <c r="AX338" s="161"/>
      <c r="AY338" s="161"/>
      <c r="AZ338" s="161"/>
      <c r="BA338" s="161"/>
      <c r="BB338" s="161"/>
      <c r="BC338" s="161"/>
      <c r="BD338" s="161"/>
    </row>
    <row r="339" spans="1:56" x14ac:dyDescent="0.2">
      <c r="A339" s="161"/>
      <c r="B339" s="161"/>
      <c r="C339" s="161"/>
      <c r="D339" s="161"/>
      <c r="E339" s="162"/>
      <c r="F339" s="161"/>
      <c r="G339" s="161"/>
      <c r="H339" s="161"/>
      <c r="I339" s="161"/>
      <c r="J339" s="161"/>
      <c r="K339" s="161"/>
      <c r="L339" s="161"/>
      <c r="M339" s="161"/>
      <c r="N339" s="161"/>
      <c r="O339" s="161"/>
      <c r="P339" s="161"/>
      <c r="Q339" s="160"/>
      <c r="R339" s="161"/>
      <c r="S339" s="161"/>
      <c r="T339" s="161"/>
      <c r="U339" s="161"/>
      <c r="V339" s="161"/>
      <c r="W339" s="161"/>
      <c r="X339" s="161"/>
      <c r="Y339" s="161"/>
      <c r="Z339" s="161"/>
      <c r="AA339" s="161"/>
      <c r="AB339" s="161"/>
      <c r="AC339" s="161"/>
      <c r="AD339" s="161"/>
      <c r="AE339" s="161"/>
      <c r="AF339" s="161"/>
      <c r="AG339" s="161"/>
      <c r="AH339" s="161"/>
      <c r="AI339" s="161"/>
      <c r="AJ339" s="161"/>
      <c r="AK339" s="161"/>
      <c r="AL339" s="161"/>
      <c r="AM339" s="161"/>
      <c r="AN339" s="161"/>
      <c r="AO339" s="161"/>
      <c r="AP339" s="161"/>
      <c r="AQ339" s="161"/>
      <c r="AR339" s="161"/>
      <c r="AS339" s="161"/>
      <c r="AT339" s="161"/>
      <c r="AU339" s="161"/>
      <c r="AV339" s="161"/>
      <c r="AW339" s="161"/>
      <c r="AX339" s="161"/>
      <c r="AY339" s="161"/>
      <c r="AZ339" s="161"/>
      <c r="BA339" s="161"/>
      <c r="BB339" s="161"/>
      <c r="BC339" s="161"/>
      <c r="BD339" s="161"/>
    </row>
    <row r="340" spans="1:56" x14ac:dyDescent="0.2">
      <c r="A340" s="161"/>
      <c r="B340" s="161"/>
      <c r="C340" s="161"/>
      <c r="D340" s="161"/>
      <c r="E340" s="162"/>
      <c r="F340" s="161"/>
      <c r="G340" s="161"/>
      <c r="H340" s="161"/>
      <c r="I340" s="161"/>
      <c r="J340" s="161"/>
      <c r="K340" s="161"/>
      <c r="L340" s="161"/>
      <c r="M340" s="161"/>
      <c r="N340" s="161"/>
      <c r="O340" s="161"/>
      <c r="P340" s="161"/>
      <c r="Q340" s="160"/>
      <c r="R340" s="161"/>
      <c r="S340" s="161"/>
      <c r="T340" s="161"/>
      <c r="U340" s="161"/>
      <c r="V340" s="161"/>
      <c r="W340" s="161"/>
      <c r="X340" s="161"/>
      <c r="Y340" s="161"/>
      <c r="Z340" s="161"/>
      <c r="AA340" s="161"/>
      <c r="AB340" s="161"/>
      <c r="AC340" s="161"/>
      <c r="AD340" s="161"/>
      <c r="AE340" s="161"/>
      <c r="AF340" s="161"/>
      <c r="AG340" s="161"/>
      <c r="AH340" s="161"/>
      <c r="AI340" s="161"/>
      <c r="AJ340" s="161"/>
      <c r="AK340" s="161"/>
      <c r="AL340" s="161"/>
      <c r="AM340" s="161"/>
      <c r="AN340" s="161"/>
      <c r="AO340" s="161"/>
      <c r="AP340" s="161"/>
      <c r="AQ340" s="161"/>
      <c r="AR340" s="161"/>
      <c r="AS340" s="161"/>
      <c r="AT340" s="161"/>
      <c r="AU340" s="161"/>
      <c r="AV340" s="161"/>
      <c r="AW340" s="161"/>
      <c r="AX340" s="161"/>
      <c r="AY340" s="161"/>
      <c r="AZ340" s="161"/>
      <c r="BA340" s="161"/>
      <c r="BB340" s="161"/>
      <c r="BC340" s="161"/>
      <c r="BD340" s="161"/>
    </row>
    <row r="341" spans="1:56" x14ac:dyDescent="0.2">
      <c r="A341" s="161"/>
      <c r="B341" s="161"/>
      <c r="C341" s="161"/>
      <c r="D341" s="161"/>
      <c r="E341" s="162"/>
      <c r="F341" s="161"/>
      <c r="G341" s="161"/>
      <c r="H341" s="161"/>
      <c r="I341" s="161"/>
      <c r="J341" s="161"/>
      <c r="K341" s="161"/>
      <c r="L341" s="161"/>
      <c r="M341" s="161"/>
      <c r="N341" s="161"/>
      <c r="O341" s="161"/>
      <c r="P341" s="161"/>
      <c r="Q341" s="160"/>
      <c r="R341" s="161"/>
      <c r="S341" s="161"/>
      <c r="T341" s="161"/>
      <c r="U341" s="161"/>
      <c r="V341" s="161"/>
      <c r="W341" s="161"/>
      <c r="X341" s="161"/>
      <c r="Y341" s="161"/>
      <c r="Z341" s="161"/>
      <c r="AA341" s="161"/>
      <c r="AB341" s="161"/>
      <c r="AC341" s="161"/>
      <c r="AD341" s="161"/>
      <c r="AE341" s="161"/>
      <c r="AF341" s="161"/>
      <c r="AG341" s="161"/>
      <c r="AH341" s="161"/>
      <c r="AI341" s="161"/>
      <c r="AJ341" s="161"/>
      <c r="AK341" s="161"/>
      <c r="AL341" s="161"/>
      <c r="AM341" s="161"/>
      <c r="AN341" s="161"/>
      <c r="AO341" s="161"/>
      <c r="AP341" s="161"/>
      <c r="AQ341" s="161"/>
      <c r="AR341" s="161"/>
      <c r="AS341" s="161"/>
      <c r="AT341" s="161"/>
      <c r="AU341" s="161"/>
      <c r="AV341" s="161"/>
      <c r="AW341" s="161"/>
      <c r="AX341" s="161"/>
      <c r="AY341" s="161"/>
      <c r="AZ341" s="161"/>
      <c r="BA341" s="161"/>
      <c r="BB341" s="161"/>
      <c r="BC341" s="161"/>
      <c r="BD341" s="161"/>
    </row>
    <row r="342" spans="1:56" x14ac:dyDescent="0.2">
      <c r="A342" s="161"/>
      <c r="B342" s="161"/>
      <c r="C342" s="161"/>
      <c r="D342" s="161"/>
      <c r="E342" s="162"/>
      <c r="F342" s="161"/>
      <c r="G342" s="161"/>
      <c r="H342" s="161"/>
      <c r="I342" s="161"/>
      <c r="J342" s="161"/>
      <c r="K342" s="161"/>
      <c r="L342" s="161"/>
      <c r="M342" s="161"/>
      <c r="N342" s="161"/>
      <c r="O342" s="161"/>
      <c r="P342" s="161"/>
      <c r="Q342" s="160"/>
      <c r="R342" s="161"/>
      <c r="S342" s="161"/>
      <c r="T342" s="161"/>
      <c r="U342" s="161"/>
      <c r="V342" s="161"/>
      <c r="W342" s="161"/>
      <c r="X342" s="161"/>
      <c r="Y342" s="161"/>
      <c r="Z342" s="161"/>
      <c r="AA342" s="161"/>
      <c r="AB342" s="161"/>
      <c r="AC342" s="161"/>
      <c r="AD342" s="161"/>
      <c r="AE342" s="161"/>
      <c r="AF342" s="161"/>
      <c r="AG342" s="161"/>
      <c r="AH342" s="161"/>
      <c r="AI342" s="161"/>
      <c r="AJ342" s="161"/>
      <c r="AK342" s="161"/>
      <c r="AL342" s="161"/>
      <c r="AM342" s="161"/>
      <c r="AN342" s="161"/>
      <c r="AO342" s="161"/>
      <c r="AP342" s="161"/>
      <c r="AQ342" s="161"/>
      <c r="AR342" s="161"/>
      <c r="AS342" s="161"/>
      <c r="AT342" s="161"/>
      <c r="AU342" s="161"/>
      <c r="AV342" s="161"/>
      <c r="AW342" s="161"/>
      <c r="AX342" s="161"/>
      <c r="AY342" s="161"/>
      <c r="AZ342" s="161"/>
      <c r="BA342" s="161"/>
      <c r="BB342" s="161"/>
      <c r="BC342" s="161"/>
      <c r="BD342" s="161"/>
    </row>
    <row r="343" spans="1:56" x14ac:dyDescent="0.2">
      <c r="A343" s="161"/>
      <c r="B343" s="161"/>
      <c r="C343" s="161"/>
      <c r="D343" s="161"/>
      <c r="E343" s="162"/>
      <c r="F343" s="161"/>
      <c r="G343" s="161"/>
      <c r="H343" s="161"/>
      <c r="I343" s="161"/>
      <c r="J343" s="161"/>
      <c r="K343" s="161"/>
      <c r="L343" s="161"/>
      <c r="M343" s="161"/>
      <c r="N343" s="161"/>
      <c r="O343" s="161"/>
      <c r="P343" s="161"/>
      <c r="Q343" s="160"/>
      <c r="R343" s="161"/>
      <c r="S343" s="161"/>
      <c r="T343" s="161"/>
      <c r="U343" s="161"/>
      <c r="V343" s="161"/>
      <c r="W343" s="161"/>
      <c r="X343" s="161"/>
      <c r="Y343" s="161"/>
      <c r="Z343" s="161"/>
      <c r="AA343" s="161"/>
      <c r="AB343" s="161"/>
      <c r="AC343" s="161"/>
      <c r="AD343" s="161"/>
      <c r="AE343" s="161"/>
      <c r="AF343" s="161"/>
      <c r="AG343" s="161"/>
      <c r="AH343" s="161"/>
      <c r="AI343" s="161"/>
      <c r="AJ343" s="161"/>
      <c r="AK343" s="161"/>
      <c r="AL343" s="161"/>
      <c r="AM343" s="161"/>
      <c r="AN343" s="161"/>
      <c r="AO343" s="161"/>
      <c r="AP343" s="161"/>
      <c r="AQ343" s="161"/>
      <c r="AR343" s="161"/>
      <c r="AS343" s="161"/>
      <c r="AT343" s="161"/>
      <c r="AU343" s="161"/>
      <c r="AV343" s="161"/>
      <c r="AW343" s="161"/>
      <c r="AX343" s="161"/>
      <c r="AY343" s="161"/>
      <c r="AZ343" s="161"/>
      <c r="BA343" s="161"/>
      <c r="BB343" s="161"/>
      <c r="BC343" s="161"/>
      <c r="BD343" s="161"/>
    </row>
    <row r="344" spans="1:56" x14ac:dyDescent="0.2">
      <c r="A344" s="161"/>
      <c r="B344" s="161"/>
      <c r="C344" s="161"/>
      <c r="D344" s="161"/>
      <c r="E344" s="162"/>
      <c r="F344" s="161"/>
      <c r="G344" s="161"/>
      <c r="H344" s="161"/>
      <c r="I344" s="161"/>
      <c r="J344" s="161"/>
      <c r="K344" s="161"/>
      <c r="L344" s="161"/>
      <c r="M344" s="161"/>
      <c r="N344" s="161"/>
      <c r="O344" s="161"/>
      <c r="P344" s="161"/>
      <c r="Q344" s="160"/>
      <c r="R344" s="161"/>
      <c r="S344" s="161"/>
      <c r="T344" s="161"/>
      <c r="U344" s="161"/>
      <c r="V344" s="161"/>
      <c r="W344" s="161"/>
      <c r="X344" s="161"/>
      <c r="Y344" s="161"/>
      <c r="Z344" s="161"/>
      <c r="AA344" s="161"/>
      <c r="AB344" s="161"/>
      <c r="AC344" s="161"/>
      <c r="AD344" s="161"/>
      <c r="AE344" s="161"/>
      <c r="AF344" s="161"/>
      <c r="AG344" s="161"/>
      <c r="AH344" s="161"/>
      <c r="AI344" s="161"/>
      <c r="AJ344" s="161"/>
      <c r="AK344" s="161"/>
      <c r="AL344" s="161"/>
      <c r="AM344" s="161"/>
      <c r="AN344" s="161"/>
      <c r="AO344" s="161"/>
      <c r="AP344" s="161"/>
      <c r="AQ344" s="161"/>
      <c r="AR344" s="161"/>
      <c r="AS344" s="161"/>
      <c r="AT344" s="161"/>
      <c r="AU344" s="161"/>
      <c r="AV344" s="161"/>
      <c r="AW344" s="161"/>
      <c r="AX344" s="161"/>
      <c r="AY344" s="161"/>
      <c r="AZ344" s="161"/>
      <c r="BA344" s="161"/>
      <c r="BB344" s="161"/>
      <c r="BC344" s="161"/>
      <c r="BD344" s="161"/>
    </row>
    <row r="345" spans="1:56" x14ac:dyDescent="0.2">
      <c r="A345" s="161"/>
      <c r="B345" s="161"/>
      <c r="C345" s="161"/>
      <c r="D345" s="161"/>
      <c r="E345" s="162"/>
      <c r="F345" s="161"/>
      <c r="G345" s="161"/>
      <c r="H345" s="161"/>
      <c r="I345" s="161"/>
      <c r="J345" s="161"/>
      <c r="K345" s="161"/>
      <c r="L345" s="161"/>
      <c r="M345" s="161"/>
      <c r="N345" s="161"/>
      <c r="O345" s="161"/>
      <c r="P345" s="161"/>
      <c r="Q345" s="160"/>
      <c r="R345" s="161"/>
      <c r="S345" s="161"/>
      <c r="T345" s="161"/>
      <c r="U345" s="161"/>
      <c r="V345" s="161"/>
      <c r="W345" s="161"/>
      <c r="X345" s="161"/>
      <c r="Y345" s="161"/>
      <c r="Z345" s="161"/>
      <c r="AA345" s="161"/>
      <c r="AB345" s="161"/>
      <c r="AC345" s="161"/>
      <c r="AD345" s="161"/>
      <c r="AE345" s="161"/>
      <c r="AF345" s="161"/>
      <c r="AG345" s="161"/>
      <c r="AH345" s="161"/>
      <c r="AI345" s="161"/>
      <c r="AJ345" s="161"/>
      <c r="AK345" s="161"/>
      <c r="AL345" s="161"/>
      <c r="AM345" s="161"/>
      <c r="AN345" s="161"/>
      <c r="AO345" s="161"/>
      <c r="AP345" s="161"/>
      <c r="AQ345" s="161"/>
      <c r="AR345" s="161"/>
      <c r="AS345" s="161"/>
      <c r="AT345" s="161"/>
      <c r="AU345" s="161"/>
      <c r="AV345" s="161"/>
      <c r="AW345" s="161"/>
      <c r="AX345" s="161"/>
      <c r="AY345" s="161"/>
      <c r="AZ345" s="161"/>
      <c r="BA345" s="161"/>
      <c r="BB345" s="161"/>
      <c r="BC345" s="161"/>
      <c r="BD345" s="161"/>
    </row>
    <row r="346" spans="1:56" x14ac:dyDescent="0.2">
      <c r="A346" s="161"/>
      <c r="B346" s="161"/>
      <c r="C346" s="161"/>
      <c r="D346" s="161"/>
      <c r="E346" s="162"/>
      <c r="F346" s="161"/>
      <c r="G346" s="161"/>
      <c r="H346" s="161"/>
      <c r="I346" s="161"/>
      <c r="J346" s="161"/>
      <c r="K346" s="161"/>
      <c r="L346" s="161"/>
      <c r="M346" s="161"/>
      <c r="N346" s="161"/>
      <c r="O346" s="161"/>
      <c r="P346" s="161"/>
      <c r="Q346" s="160"/>
      <c r="R346" s="161"/>
      <c r="S346" s="161"/>
      <c r="T346" s="161"/>
      <c r="U346" s="161"/>
      <c r="V346" s="161"/>
      <c r="W346" s="161"/>
      <c r="X346" s="161"/>
      <c r="Y346" s="161"/>
      <c r="Z346" s="161"/>
      <c r="AA346" s="161"/>
      <c r="AB346" s="161"/>
      <c r="AC346" s="161"/>
      <c r="AD346" s="161"/>
      <c r="AE346" s="161"/>
      <c r="AF346" s="161"/>
      <c r="AG346" s="161"/>
      <c r="AH346" s="161"/>
      <c r="AI346" s="161"/>
      <c r="AJ346" s="161"/>
      <c r="AK346" s="161"/>
      <c r="AL346" s="161"/>
      <c r="AM346" s="161"/>
      <c r="AN346" s="161"/>
      <c r="AO346" s="161"/>
      <c r="AP346" s="161"/>
      <c r="AQ346" s="161"/>
      <c r="AR346" s="161"/>
      <c r="AS346" s="161"/>
      <c r="AT346" s="161"/>
      <c r="AU346" s="161"/>
      <c r="AV346" s="161"/>
      <c r="AW346" s="161"/>
      <c r="AX346" s="161"/>
      <c r="AY346" s="161"/>
      <c r="AZ346" s="161"/>
      <c r="BA346" s="161"/>
      <c r="BB346" s="161"/>
      <c r="BC346" s="161"/>
      <c r="BD346" s="161"/>
    </row>
    <row r="347" spans="1:56" x14ac:dyDescent="0.2">
      <c r="A347" s="161"/>
      <c r="B347" s="161"/>
      <c r="C347" s="161"/>
      <c r="D347" s="161"/>
      <c r="E347" s="162"/>
      <c r="F347" s="161"/>
      <c r="G347" s="161"/>
      <c r="H347" s="161"/>
      <c r="I347" s="161"/>
      <c r="J347" s="161"/>
      <c r="K347" s="161"/>
      <c r="L347" s="161"/>
      <c r="M347" s="161"/>
      <c r="N347" s="161"/>
      <c r="O347" s="161"/>
      <c r="P347" s="161"/>
      <c r="Q347" s="160"/>
      <c r="R347" s="161"/>
      <c r="S347" s="161"/>
      <c r="T347" s="161"/>
      <c r="U347" s="161"/>
      <c r="V347" s="161"/>
      <c r="W347" s="161"/>
      <c r="X347" s="161"/>
      <c r="Y347" s="161"/>
      <c r="Z347" s="161"/>
      <c r="AA347" s="161"/>
      <c r="AB347" s="161"/>
      <c r="AC347" s="161"/>
      <c r="AD347" s="161"/>
      <c r="AE347" s="161"/>
      <c r="AF347" s="161"/>
      <c r="AG347" s="161"/>
      <c r="AH347" s="161"/>
      <c r="AI347" s="161"/>
      <c r="AJ347" s="161"/>
      <c r="AK347" s="161"/>
      <c r="AL347" s="161"/>
      <c r="AM347" s="161"/>
      <c r="AN347" s="161"/>
      <c r="AO347" s="161"/>
      <c r="AP347" s="161"/>
      <c r="AQ347" s="161"/>
      <c r="AR347" s="161"/>
      <c r="AS347" s="161"/>
      <c r="AT347" s="161"/>
      <c r="AU347" s="161"/>
      <c r="AV347" s="161"/>
      <c r="AW347" s="161"/>
      <c r="AX347" s="161"/>
      <c r="AY347" s="161"/>
      <c r="AZ347" s="161"/>
      <c r="BA347" s="161"/>
      <c r="BB347" s="161"/>
      <c r="BC347" s="161"/>
      <c r="BD347" s="161"/>
    </row>
    <row r="348" spans="1:56" x14ac:dyDescent="0.2">
      <c r="A348" s="161"/>
      <c r="B348" s="161"/>
      <c r="C348" s="161"/>
      <c r="D348" s="161"/>
      <c r="E348" s="162"/>
      <c r="F348" s="161"/>
      <c r="G348" s="161"/>
      <c r="H348" s="161"/>
      <c r="I348" s="161"/>
      <c r="J348" s="161"/>
      <c r="K348" s="161"/>
      <c r="L348" s="161"/>
      <c r="M348" s="161"/>
      <c r="N348" s="161"/>
      <c r="O348" s="161"/>
      <c r="P348" s="161"/>
      <c r="Q348" s="160"/>
      <c r="R348" s="161"/>
      <c r="S348" s="161"/>
      <c r="T348" s="161"/>
      <c r="U348" s="161"/>
      <c r="V348" s="161"/>
      <c r="W348" s="161"/>
      <c r="X348" s="161"/>
      <c r="Y348" s="161"/>
      <c r="Z348" s="161"/>
      <c r="AA348" s="161"/>
      <c r="AB348" s="161"/>
      <c r="AC348" s="161"/>
      <c r="AD348" s="161"/>
      <c r="AE348" s="161"/>
      <c r="AF348" s="161"/>
      <c r="AG348" s="161"/>
      <c r="AH348" s="161"/>
      <c r="AI348" s="161"/>
      <c r="AJ348" s="161"/>
      <c r="AK348" s="161"/>
      <c r="AL348" s="161"/>
      <c r="AM348" s="161"/>
      <c r="AN348" s="161"/>
      <c r="AO348" s="161"/>
      <c r="AP348" s="161"/>
      <c r="AQ348" s="161"/>
      <c r="AR348" s="161"/>
      <c r="AS348" s="161"/>
      <c r="AT348" s="161"/>
      <c r="AU348" s="161"/>
      <c r="AV348" s="161"/>
      <c r="AW348" s="161"/>
      <c r="AX348" s="161"/>
      <c r="AY348" s="161"/>
      <c r="AZ348" s="161"/>
      <c r="BA348" s="161"/>
      <c r="BB348" s="161"/>
      <c r="BC348" s="161"/>
      <c r="BD348" s="161"/>
    </row>
    <row r="349" spans="1:56" x14ac:dyDescent="0.2">
      <c r="A349" s="161"/>
      <c r="B349" s="161"/>
      <c r="C349" s="161"/>
      <c r="D349" s="161"/>
      <c r="E349" s="162"/>
      <c r="F349" s="161"/>
      <c r="G349" s="161"/>
      <c r="H349" s="161"/>
      <c r="I349" s="161"/>
      <c r="J349" s="161"/>
      <c r="K349" s="161"/>
      <c r="L349" s="161"/>
      <c r="M349" s="161"/>
      <c r="N349" s="161"/>
      <c r="O349" s="161"/>
      <c r="P349" s="161"/>
      <c r="Q349" s="160"/>
      <c r="R349" s="161"/>
      <c r="S349" s="161"/>
      <c r="T349" s="161"/>
      <c r="U349" s="161"/>
      <c r="V349" s="161"/>
      <c r="W349" s="161"/>
      <c r="X349" s="161"/>
      <c r="Y349" s="161"/>
      <c r="Z349" s="161"/>
      <c r="AA349" s="161"/>
      <c r="AB349" s="161"/>
      <c r="AC349" s="161"/>
      <c r="AD349" s="161"/>
      <c r="AE349" s="161"/>
      <c r="AF349" s="161"/>
      <c r="AG349" s="161"/>
      <c r="AH349" s="161"/>
      <c r="AI349" s="161"/>
      <c r="AJ349" s="161"/>
      <c r="AK349" s="161"/>
      <c r="AL349" s="161"/>
      <c r="AM349" s="161"/>
      <c r="AN349" s="161"/>
      <c r="AO349" s="161"/>
      <c r="AP349" s="161"/>
      <c r="AQ349" s="161"/>
      <c r="AR349" s="161"/>
      <c r="AS349" s="161"/>
      <c r="AT349" s="161"/>
      <c r="AU349" s="161"/>
      <c r="AV349" s="161"/>
      <c r="AW349" s="161"/>
      <c r="AX349" s="161"/>
      <c r="AY349" s="161"/>
      <c r="AZ349" s="161"/>
      <c r="BA349" s="161"/>
      <c r="BB349" s="161"/>
      <c r="BC349" s="161"/>
      <c r="BD349" s="161"/>
    </row>
    <row r="350" spans="1:56" x14ac:dyDescent="0.2">
      <c r="A350" s="161"/>
      <c r="B350" s="161"/>
      <c r="C350" s="161"/>
      <c r="D350" s="161"/>
      <c r="E350" s="162"/>
      <c r="F350" s="161"/>
      <c r="G350" s="161"/>
      <c r="H350" s="161"/>
      <c r="I350" s="161"/>
      <c r="J350" s="161"/>
      <c r="K350" s="161"/>
      <c r="L350" s="161"/>
      <c r="M350" s="161"/>
      <c r="N350" s="161"/>
      <c r="O350" s="161"/>
      <c r="P350" s="161"/>
      <c r="Q350" s="160"/>
      <c r="R350" s="161"/>
      <c r="S350" s="161"/>
      <c r="T350" s="161"/>
      <c r="U350" s="161"/>
      <c r="V350" s="161"/>
      <c r="W350" s="161"/>
      <c r="X350" s="161"/>
      <c r="Y350" s="161"/>
      <c r="Z350" s="161"/>
      <c r="AA350" s="161"/>
      <c r="AB350" s="161"/>
      <c r="AC350" s="161"/>
      <c r="AD350" s="161"/>
      <c r="AE350" s="161"/>
      <c r="AF350" s="161"/>
      <c r="AG350" s="161"/>
      <c r="AH350" s="161"/>
      <c r="AI350" s="161"/>
      <c r="AJ350" s="161"/>
      <c r="AK350" s="161"/>
      <c r="AL350" s="161"/>
      <c r="AM350" s="161"/>
      <c r="AN350" s="161"/>
      <c r="AO350" s="161"/>
      <c r="AP350" s="161"/>
      <c r="AQ350" s="161"/>
      <c r="AR350" s="161"/>
      <c r="AS350" s="161"/>
      <c r="AT350" s="161"/>
      <c r="AU350" s="161"/>
      <c r="AV350" s="161"/>
      <c r="AW350" s="161"/>
      <c r="AX350" s="161"/>
      <c r="AY350" s="161"/>
      <c r="AZ350" s="161"/>
      <c r="BA350" s="161"/>
      <c r="BB350" s="161"/>
      <c r="BC350" s="161"/>
      <c r="BD350" s="161"/>
    </row>
    <row r="351" spans="1:56" x14ac:dyDescent="0.2">
      <c r="A351" s="161"/>
      <c r="B351" s="161"/>
      <c r="C351" s="161"/>
      <c r="D351" s="161"/>
      <c r="E351" s="162"/>
      <c r="F351" s="161"/>
      <c r="G351" s="161"/>
      <c r="H351" s="161"/>
      <c r="I351" s="161"/>
      <c r="J351" s="161"/>
      <c r="K351" s="161"/>
      <c r="L351" s="161"/>
      <c r="M351" s="161"/>
      <c r="N351" s="161"/>
      <c r="O351" s="161"/>
      <c r="P351" s="161"/>
      <c r="Q351" s="160"/>
      <c r="R351" s="161"/>
      <c r="S351" s="161"/>
      <c r="T351" s="161"/>
      <c r="U351" s="161"/>
      <c r="V351" s="161"/>
      <c r="W351" s="161"/>
      <c r="X351" s="161"/>
      <c r="Y351" s="161"/>
      <c r="Z351" s="161"/>
      <c r="AA351" s="161"/>
      <c r="AB351" s="161"/>
      <c r="AC351" s="161"/>
      <c r="AD351" s="161"/>
      <c r="AE351" s="161"/>
      <c r="AF351" s="161"/>
      <c r="AG351" s="161"/>
      <c r="AH351" s="161"/>
      <c r="AI351" s="161"/>
      <c r="AJ351" s="161"/>
      <c r="AK351" s="161"/>
      <c r="AL351" s="161"/>
      <c r="AM351" s="161"/>
      <c r="AN351" s="161"/>
      <c r="AO351" s="161"/>
      <c r="AP351" s="161"/>
      <c r="AQ351" s="161"/>
      <c r="AR351" s="161"/>
      <c r="AS351" s="161"/>
      <c r="AT351" s="161"/>
      <c r="AU351" s="161"/>
      <c r="AV351" s="161"/>
      <c r="AW351" s="161"/>
      <c r="AX351" s="161"/>
      <c r="AY351" s="161"/>
      <c r="AZ351" s="161"/>
      <c r="BA351" s="161"/>
      <c r="BB351" s="161"/>
      <c r="BC351" s="161"/>
      <c r="BD351" s="161"/>
    </row>
    <row r="352" spans="1:56" x14ac:dyDescent="0.2">
      <c r="A352" s="161"/>
      <c r="B352" s="161"/>
      <c r="C352" s="161"/>
      <c r="D352" s="161"/>
      <c r="E352" s="162"/>
      <c r="F352" s="161"/>
      <c r="G352" s="161"/>
      <c r="H352" s="161"/>
      <c r="I352" s="161"/>
      <c r="J352" s="161"/>
      <c r="K352" s="161"/>
      <c r="L352" s="161"/>
      <c r="M352" s="161"/>
      <c r="N352" s="161"/>
      <c r="O352" s="161"/>
      <c r="P352" s="161"/>
      <c r="Q352" s="160"/>
      <c r="R352" s="161"/>
      <c r="S352" s="161"/>
      <c r="T352" s="161"/>
      <c r="U352" s="161"/>
      <c r="V352" s="161"/>
      <c r="W352" s="161"/>
      <c r="X352" s="161"/>
      <c r="Y352" s="161"/>
      <c r="Z352" s="161"/>
      <c r="AA352" s="161"/>
      <c r="AB352" s="161"/>
      <c r="AC352" s="161"/>
      <c r="AD352" s="161"/>
      <c r="AE352" s="161"/>
      <c r="AF352" s="161"/>
      <c r="AG352" s="161"/>
      <c r="AH352" s="161"/>
      <c r="AI352" s="161"/>
      <c r="AJ352" s="161"/>
      <c r="AK352" s="161"/>
      <c r="AL352" s="161"/>
      <c r="AM352" s="161"/>
      <c r="AN352" s="161"/>
      <c r="AO352" s="161"/>
      <c r="AP352" s="161"/>
      <c r="AQ352" s="161"/>
      <c r="AR352" s="161"/>
      <c r="AS352" s="161"/>
      <c r="AT352" s="161"/>
      <c r="AU352" s="161"/>
      <c r="AV352" s="161"/>
      <c r="AW352" s="161"/>
      <c r="AX352" s="161"/>
      <c r="AY352" s="161"/>
      <c r="AZ352" s="161"/>
      <c r="BA352" s="161"/>
      <c r="BB352" s="161"/>
      <c r="BC352" s="161"/>
      <c r="BD352" s="161"/>
    </row>
    <row r="353" spans="1:56" x14ac:dyDescent="0.2">
      <c r="A353" s="161"/>
      <c r="B353" s="161"/>
      <c r="C353" s="161"/>
      <c r="D353" s="161"/>
      <c r="E353" s="162"/>
      <c r="F353" s="161"/>
      <c r="G353" s="161"/>
      <c r="H353" s="161"/>
      <c r="I353" s="161"/>
      <c r="J353" s="161"/>
      <c r="K353" s="161"/>
      <c r="L353" s="161"/>
      <c r="M353" s="161"/>
      <c r="N353" s="161"/>
      <c r="O353" s="161"/>
      <c r="P353" s="161"/>
      <c r="Q353" s="160"/>
      <c r="R353" s="161"/>
      <c r="S353" s="161"/>
      <c r="T353" s="161"/>
      <c r="U353" s="161"/>
      <c r="V353" s="161"/>
      <c r="W353" s="161"/>
      <c r="X353" s="161"/>
      <c r="Y353" s="161"/>
      <c r="Z353" s="161"/>
      <c r="AA353" s="161"/>
      <c r="AB353" s="161"/>
      <c r="AC353" s="161"/>
      <c r="AD353" s="161"/>
      <c r="AE353" s="161"/>
      <c r="AF353" s="161"/>
      <c r="AG353" s="161"/>
      <c r="AH353" s="161"/>
      <c r="AI353" s="161"/>
      <c r="AJ353" s="161"/>
      <c r="AK353" s="161"/>
      <c r="AL353" s="161"/>
      <c r="AM353" s="161"/>
      <c r="AN353" s="161"/>
      <c r="AO353" s="161"/>
      <c r="AP353" s="161"/>
      <c r="AQ353" s="161"/>
      <c r="AR353" s="161"/>
      <c r="AS353" s="161"/>
      <c r="AT353" s="161"/>
      <c r="AU353" s="161"/>
      <c r="AV353" s="161"/>
      <c r="AW353" s="161"/>
      <c r="AX353" s="161"/>
      <c r="AY353" s="161"/>
      <c r="AZ353" s="161"/>
      <c r="BA353" s="161"/>
      <c r="BB353" s="161"/>
      <c r="BC353" s="161"/>
      <c r="BD353" s="161"/>
    </row>
    <row r="354" spans="1:56" x14ac:dyDescent="0.2">
      <c r="A354" s="161"/>
      <c r="B354" s="161"/>
      <c r="C354" s="161"/>
      <c r="D354" s="161"/>
      <c r="E354" s="162"/>
      <c r="F354" s="161"/>
      <c r="G354" s="161"/>
      <c r="H354" s="161"/>
      <c r="I354" s="161"/>
      <c r="J354" s="161"/>
      <c r="K354" s="161"/>
      <c r="L354" s="161"/>
      <c r="M354" s="161"/>
      <c r="N354" s="161"/>
      <c r="O354" s="161"/>
      <c r="P354" s="161"/>
      <c r="Q354" s="160"/>
      <c r="R354" s="161"/>
      <c r="S354" s="161"/>
      <c r="T354" s="161"/>
      <c r="U354" s="161"/>
      <c r="V354" s="161"/>
      <c r="W354" s="161"/>
      <c r="X354" s="161"/>
      <c r="Y354" s="161"/>
      <c r="Z354" s="161"/>
      <c r="AA354" s="161"/>
      <c r="AB354" s="161"/>
      <c r="AC354" s="161"/>
      <c r="AD354" s="161"/>
      <c r="AE354" s="161"/>
      <c r="AF354" s="161"/>
      <c r="AG354" s="161"/>
      <c r="AH354" s="161"/>
      <c r="AI354" s="161"/>
      <c r="AJ354" s="161"/>
      <c r="AK354" s="161"/>
      <c r="AL354" s="161"/>
      <c r="AM354" s="161"/>
      <c r="AN354" s="161"/>
      <c r="AO354" s="161"/>
      <c r="AP354" s="161"/>
      <c r="AQ354" s="161"/>
      <c r="AR354" s="161"/>
      <c r="AS354" s="161"/>
      <c r="AT354" s="161"/>
      <c r="AU354" s="161"/>
      <c r="AV354" s="161"/>
      <c r="AW354" s="161"/>
      <c r="AX354" s="161"/>
      <c r="AY354" s="161"/>
      <c r="AZ354" s="161"/>
      <c r="BA354" s="161"/>
      <c r="BB354" s="161"/>
      <c r="BC354" s="161"/>
      <c r="BD354" s="161"/>
    </row>
    <row r="355" spans="1:56" x14ac:dyDescent="0.2">
      <c r="A355" s="161"/>
      <c r="B355" s="161"/>
      <c r="C355" s="161"/>
      <c r="D355" s="161"/>
      <c r="E355" s="162"/>
      <c r="F355" s="161"/>
      <c r="G355" s="161"/>
      <c r="H355" s="161"/>
      <c r="I355" s="161"/>
      <c r="J355" s="161"/>
      <c r="K355" s="161"/>
      <c r="L355" s="161"/>
      <c r="M355" s="161"/>
      <c r="N355" s="161"/>
      <c r="O355" s="161"/>
      <c r="P355" s="161"/>
      <c r="Q355" s="160"/>
      <c r="R355" s="161"/>
      <c r="S355" s="161"/>
      <c r="T355" s="161"/>
      <c r="U355" s="161"/>
      <c r="V355" s="161"/>
      <c r="W355" s="161"/>
      <c r="X355" s="161"/>
      <c r="Y355" s="161"/>
      <c r="Z355" s="161"/>
      <c r="AA355" s="161"/>
      <c r="AB355" s="161"/>
      <c r="AC355" s="161"/>
      <c r="AD355" s="161"/>
      <c r="AE355" s="161"/>
      <c r="AF355" s="161"/>
      <c r="AG355" s="161"/>
      <c r="AH355" s="161"/>
      <c r="AI355" s="161"/>
      <c r="AJ355" s="161"/>
      <c r="AK355" s="161"/>
      <c r="AL355" s="161"/>
      <c r="AM355" s="161"/>
      <c r="AN355" s="161"/>
      <c r="AO355" s="161"/>
      <c r="AP355" s="161"/>
      <c r="AQ355" s="161"/>
      <c r="AR355" s="161"/>
      <c r="AS355" s="161"/>
      <c r="AT355" s="161"/>
      <c r="AU355" s="161"/>
      <c r="AV355" s="161"/>
      <c r="AW355" s="161"/>
      <c r="AX355" s="161"/>
      <c r="AY355" s="161"/>
      <c r="AZ355" s="161"/>
      <c r="BA355" s="161"/>
      <c r="BB355" s="161"/>
      <c r="BC355" s="161"/>
      <c r="BD355" s="161"/>
    </row>
    <row r="356" spans="1:56" x14ac:dyDescent="0.2">
      <c r="A356" s="161"/>
      <c r="B356" s="161"/>
      <c r="C356" s="161"/>
      <c r="D356" s="161"/>
      <c r="E356" s="162"/>
      <c r="F356" s="161"/>
      <c r="G356" s="161"/>
      <c r="H356" s="161"/>
      <c r="I356" s="161"/>
      <c r="J356" s="161"/>
      <c r="K356" s="161"/>
      <c r="L356" s="161"/>
      <c r="M356" s="161"/>
      <c r="N356" s="161"/>
      <c r="O356" s="161"/>
      <c r="P356" s="161"/>
      <c r="Q356" s="160"/>
    </row>
    <row r="357" spans="1:56" x14ac:dyDescent="0.2">
      <c r="A357" s="161"/>
      <c r="B357" s="161"/>
      <c r="C357" s="161"/>
      <c r="D357" s="161"/>
      <c r="E357" s="162"/>
      <c r="F357" s="161"/>
      <c r="G357" s="161"/>
      <c r="H357" s="161"/>
      <c r="I357" s="161"/>
      <c r="J357" s="161"/>
      <c r="K357" s="161"/>
      <c r="L357" s="161"/>
      <c r="M357" s="161"/>
      <c r="N357" s="161"/>
      <c r="O357" s="161"/>
      <c r="P357" s="161"/>
      <c r="Q357" s="160"/>
    </row>
    <row r="358" spans="1:56" x14ac:dyDescent="0.2">
      <c r="A358" s="161"/>
      <c r="B358" s="161"/>
      <c r="C358" s="161"/>
      <c r="D358" s="161"/>
      <c r="E358" s="162"/>
      <c r="F358" s="161"/>
      <c r="G358" s="161"/>
      <c r="H358" s="161"/>
      <c r="I358" s="161"/>
      <c r="J358" s="161"/>
      <c r="K358" s="161"/>
      <c r="L358" s="161"/>
      <c r="M358" s="161"/>
      <c r="N358" s="161"/>
      <c r="O358" s="161"/>
      <c r="P358" s="161"/>
      <c r="Q358" s="160"/>
    </row>
    <row r="359" spans="1:56" x14ac:dyDescent="0.2">
      <c r="A359" s="161"/>
      <c r="B359" s="161"/>
      <c r="C359" s="161"/>
      <c r="D359" s="161"/>
      <c r="E359" s="162"/>
      <c r="F359" s="161"/>
      <c r="G359" s="161"/>
      <c r="H359" s="161"/>
      <c r="I359" s="161"/>
      <c r="J359" s="161"/>
      <c r="K359" s="161"/>
      <c r="L359" s="161"/>
      <c r="M359" s="161"/>
      <c r="N359" s="161"/>
      <c r="O359" s="161"/>
      <c r="P359" s="161"/>
      <c r="Q359" s="160"/>
    </row>
    <row r="360" spans="1:56" x14ac:dyDescent="0.2">
      <c r="A360" s="161"/>
      <c r="B360" s="161"/>
      <c r="C360" s="161"/>
      <c r="D360" s="161"/>
      <c r="E360" s="162"/>
      <c r="F360" s="161"/>
      <c r="G360" s="161"/>
      <c r="H360" s="161"/>
      <c r="I360" s="161"/>
      <c r="J360" s="161"/>
      <c r="K360" s="161"/>
      <c r="L360" s="161"/>
      <c r="M360" s="161"/>
      <c r="N360" s="161"/>
      <c r="O360" s="161"/>
      <c r="P360" s="161"/>
      <c r="Q360" s="160"/>
    </row>
    <row r="361" spans="1:56" x14ac:dyDescent="0.2">
      <c r="A361" s="161"/>
      <c r="B361" s="161"/>
      <c r="C361" s="161"/>
      <c r="D361" s="161"/>
      <c r="E361" s="162"/>
      <c r="F361" s="161"/>
      <c r="G361" s="161"/>
      <c r="H361" s="161"/>
      <c r="I361" s="161"/>
      <c r="J361" s="161"/>
      <c r="K361" s="161"/>
      <c r="L361" s="161"/>
      <c r="M361" s="161"/>
      <c r="N361" s="161"/>
      <c r="O361" s="161"/>
      <c r="P361" s="161"/>
      <c r="Q361" s="160"/>
    </row>
    <row r="362" spans="1:56" x14ac:dyDescent="0.2">
      <c r="A362" s="161"/>
      <c r="B362" s="161"/>
      <c r="C362" s="161"/>
      <c r="D362" s="161"/>
      <c r="E362" s="162"/>
      <c r="F362" s="161"/>
      <c r="G362" s="161"/>
      <c r="H362" s="161"/>
      <c r="I362" s="161"/>
      <c r="J362" s="161"/>
      <c r="K362" s="161"/>
      <c r="L362" s="161"/>
      <c r="M362" s="161"/>
      <c r="N362" s="161"/>
      <c r="O362" s="161"/>
      <c r="P362" s="161"/>
      <c r="Q362" s="160"/>
    </row>
    <row r="363" spans="1:56" x14ac:dyDescent="0.2">
      <c r="A363" s="161"/>
      <c r="B363" s="161"/>
      <c r="C363" s="161"/>
      <c r="D363" s="161"/>
      <c r="E363" s="162"/>
      <c r="F363" s="161"/>
      <c r="G363" s="161"/>
      <c r="H363" s="161"/>
      <c r="I363" s="161"/>
      <c r="J363" s="161"/>
      <c r="K363" s="161"/>
      <c r="L363" s="161"/>
      <c r="M363" s="161"/>
      <c r="N363" s="161"/>
      <c r="O363" s="161"/>
      <c r="P363" s="161"/>
      <c r="Q363" s="160"/>
    </row>
  </sheetData>
  <mergeCells count="13">
    <mergeCell ref="G13:G14"/>
    <mergeCell ref="F13:F14"/>
    <mergeCell ref="A1:C7"/>
    <mergeCell ref="E13:E14"/>
    <mergeCell ref="A13:A14"/>
    <mergeCell ref="B13:B14"/>
    <mergeCell ref="C13:C14"/>
    <mergeCell ref="D13:D14"/>
    <mergeCell ref="J8:N8"/>
    <mergeCell ref="J9:L9"/>
    <mergeCell ref="H8:I8"/>
    <mergeCell ref="M18:N18"/>
    <mergeCell ref="Q1:Q7"/>
  </mergeCells>
  <pageMargins left="0.7" right="0.7" top="0.75" bottom="0.75" header="0.3" footer="0.3"/>
  <pageSetup paperSize="8" scale="80" fitToHeight="0" orientation="landscape" r:id="rId1"/>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63F1F-F605-4EF7-88FF-85CCE6A07FCF}">
  <sheetPr>
    <tabColor rgb="FFFFFF00"/>
    <pageSetUpPr fitToPage="1"/>
  </sheetPr>
  <dimension ref="A1:GR379"/>
  <sheetViews>
    <sheetView showGridLines="0" showRuler="0" view="pageBreakPreview" topLeftCell="H1" zoomScaleNormal="100" zoomScaleSheetLayoutView="100" zoomScalePageLayoutView="85" workbookViewId="0">
      <selection activeCell="Q1" sqref="Q1:Q7"/>
    </sheetView>
  </sheetViews>
  <sheetFormatPr defaultColWidth="9.140625" defaultRowHeight="11.25" x14ac:dyDescent="0.2"/>
  <cols>
    <col min="1" max="1" width="9" style="157" bestFit="1" customWidth="1"/>
    <col min="2" max="2" width="24.140625" style="157" customWidth="1"/>
    <col min="3" max="3" width="17.28515625" style="157" bestFit="1" customWidth="1"/>
    <col min="4" max="4" width="26.28515625" style="157" customWidth="1"/>
    <col min="5" max="5" width="13.5703125" style="159" customWidth="1"/>
    <col min="6" max="6" width="12.5703125" style="157" customWidth="1"/>
    <col min="7" max="7" width="12.28515625" style="157" customWidth="1"/>
    <col min="8" max="8" width="13.42578125" style="157" customWidth="1"/>
    <col min="9" max="9" width="12.5703125" style="157" customWidth="1"/>
    <col min="10" max="10" width="11.7109375" style="157" customWidth="1"/>
    <col min="11" max="11" width="11.5703125" style="157" hidden="1" customWidth="1"/>
    <col min="12" max="12" width="14.28515625" style="157" hidden="1" customWidth="1"/>
    <col min="13" max="13" width="16.7109375" style="157" customWidth="1"/>
    <col min="14" max="14" width="20.28515625" style="157" bestFit="1" customWidth="1"/>
    <col min="15" max="15" width="13.140625" style="157" bestFit="1" customWidth="1"/>
    <col min="16" max="16" width="15.28515625" style="157" customWidth="1"/>
    <col min="17" max="17" width="29.5703125" style="158" customWidth="1"/>
    <col min="18" max="16384" width="9.140625" style="157"/>
  </cols>
  <sheetData>
    <row r="1" spans="1:200" s="200" customFormat="1" ht="15" x14ac:dyDescent="0.25">
      <c r="A1" s="1056"/>
      <c r="B1" s="1057"/>
      <c r="C1" s="1058"/>
      <c r="D1" s="212" t="s">
        <v>71</v>
      </c>
      <c r="E1" s="211">
        <f>'PROJECT SUMMARY'!D3</f>
        <v>0</v>
      </c>
      <c r="F1" s="211"/>
      <c r="G1" s="211"/>
      <c r="H1" s="211"/>
      <c r="I1" s="211"/>
      <c r="J1" s="211"/>
      <c r="K1" s="211"/>
      <c r="L1" s="207"/>
      <c r="M1" s="204"/>
      <c r="N1" s="204"/>
      <c r="O1" s="204"/>
      <c r="P1" s="206"/>
      <c r="Q1" s="1051"/>
      <c r="R1" s="201"/>
      <c r="S1" s="201"/>
      <c r="T1" s="201"/>
      <c r="U1" s="201"/>
      <c r="V1" s="201"/>
      <c r="W1" s="201"/>
      <c r="X1" s="201"/>
      <c r="Y1" s="201"/>
      <c r="Z1" s="201"/>
      <c r="AA1" s="201"/>
      <c r="AB1" s="201"/>
      <c r="AC1" s="201"/>
      <c r="AD1" s="201"/>
      <c r="AE1" s="201"/>
      <c r="AF1" s="201"/>
      <c r="AG1" s="201"/>
      <c r="AH1" s="201"/>
      <c r="AI1" s="201"/>
      <c r="AJ1" s="201"/>
      <c r="AK1" s="201"/>
      <c r="AL1" s="201"/>
      <c r="AM1" s="201"/>
      <c r="AN1" s="201"/>
      <c r="AO1" s="201"/>
      <c r="AP1" s="201"/>
      <c r="AQ1" s="201"/>
      <c r="AR1" s="201"/>
      <c r="AS1" s="201"/>
      <c r="AT1" s="201"/>
      <c r="AU1" s="201"/>
      <c r="AV1" s="201"/>
      <c r="AW1" s="201"/>
      <c r="AX1" s="201"/>
      <c r="AY1" s="201"/>
      <c r="AZ1" s="201"/>
      <c r="BA1" s="201"/>
      <c r="BB1" s="201"/>
      <c r="BC1" s="201"/>
      <c r="BD1" s="201"/>
    </row>
    <row r="2" spans="1:200" s="200" customFormat="1" ht="15" x14ac:dyDescent="0.25">
      <c r="A2" s="1056"/>
      <c r="B2" s="1057"/>
      <c r="C2" s="1058"/>
      <c r="D2" s="209" t="s">
        <v>72</v>
      </c>
      <c r="E2" s="208">
        <f>'PROJECT SUMMARY'!D4</f>
        <v>0</v>
      </c>
      <c r="F2" s="208"/>
      <c r="G2" s="208"/>
      <c r="H2" s="208"/>
      <c r="I2" s="208"/>
      <c r="J2" s="208"/>
      <c r="K2" s="208"/>
      <c r="L2" s="207"/>
      <c r="M2" s="204"/>
      <c r="N2" s="204"/>
      <c r="O2" s="204"/>
      <c r="P2" s="206"/>
      <c r="Q2" s="1052"/>
      <c r="R2" s="201"/>
      <c r="S2" s="201"/>
      <c r="T2" s="201"/>
      <c r="U2" s="201"/>
      <c r="V2" s="201"/>
      <c r="W2" s="201"/>
      <c r="X2" s="201"/>
      <c r="Y2" s="201"/>
      <c r="Z2" s="201"/>
      <c r="AA2" s="201"/>
      <c r="AB2" s="201"/>
      <c r="AC2" s="201"/>
      <c r="AD2" s="201"/>
      <c r="AE2" s="201"/>
      <c r="AF2" s="201"/>
      <c r="AG2" s="201"/>
      <c r="AH2" s="201"/>
      <c r="AI2" s="201"/>
      <c r="AJ2" s="201"/>
      <c r="AK2" s="201"/>
      <c r="AL2" s="201"/>
      <c r="AM2" s="201"/>
      <c r="AN2" s="201"/>
      <c r="AO2" s="201"/>
      <c r="AP2" s="201"/>
      <c r="AQ2" s="201"/>
      <c r="AR2" s="201"/>
      <c r="AS2" s="201"/>
      <c r="AT2" s="201"/>
      <c r="AU2" s="201"/>
      <c r="AV2" s="201"/>
      <c r="AW2" s="201"/>
      <c r="AX2" s="201"/>
      <c r="AY2" s="201"/>
      <c r="AZ2" s="201"/>
      <c r="BA2" s="201"/>
      <c r="BB2" s="201"/>
      <c r="BC2" s="201"/>
      <c r="BD2" s="201"/>
    </row>
    <row r="3" spans="1:200" s="200" customFormat="1" ht="15" x14ac:dyDescent="0.25">
      <c r="A3" s="1056"/>
      <c r="B3" s="1057"/>
      <c r="C3" s="1058"/>
      <c r="D3" s="209" t="s">
        <v>73</v>
      </c>
      <c r="E3" s="208" t="s">
        <v>661</v>
      </c>
      <c r="F3" s="208"/>
      <c r="G3" s="208"/>
      <c r="H3" s="208"/>
      <c r="I3" s="208"/>
      <c r="J3" s="208"/>
      <c r="K3" s="208"/>
      <c r="L3" s="207"/>
      <c r="M3" s="204"/>
      <c r="N3" s="204"/>
      <c r="O3" s="204"/>
      <c r="P3" s="206"/>
      <c r="Q3" s="1052"/>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c r="AP3" s="201"/>
      <c r="AQ3" s="201"/>
      <c r="AR3" s="201"/>
      <c r="AS3" s="201"/>
      <c r="AT3" s="201"/>
      <c r="AU3" s="201"/>
      <c r="AV3" s="201"/>
      <c r="AW3" s="201"/>
      <c r="AX3" s="201"/>
      <c r="AY3" s="201"/>
      <c r="AZ3" s="201"/>
      <c r="BA3" s="201"/>
      <c r="BB3" s="201"/>
      <c r="BC3" s="201"/>
      <c r="BD3" s="201"/>
    </row>
    <row r="4" spans="1:200" s="200" customFormat="1" ht="15" x14ac:dyDescent="0.25">
      <c r="A4" s="1056"/>
      <c r="B4" s="1057"/>
      <c r="C4" s="1058"/>
      <c r="D4" s="209" t="s">
        <v>75</v>
      </c>
      <c r="E4" s="208" t="str">
        <f>'PROJECT SUMMARY'!B37</f>
        <v>KEY-SH-M-50-XXX</v>
      </c>
      <c r="F4" s="208"/>
      <c r="G4" s="208"/>
      <c r="H4" s="208"/>
      <c r="I4" s="208"/>
      <c r="J4" s="208"/>
      <c r="K4" s="208"/>
      <c r="L4" s="207"/>
      <c r="M4" s="204"/>
      <c r="N4" s="204"/>
      <c r="O4" s="204"/>
      <c r="P4" s="206"/>
      <c r="Q4" s="1052"/>
      <c r="R4" s="201"/>
      <c r="S4" s="201"/>
      <c r="T4" s="201"/>
      <c r="U4" s="201"/>
      <c r="V4" s="201"/>
      <c r="W4" s="201"/>
      <c r="X4" s="201"/>
      <c r="Y4" s="201"/>
      <c r="Z4" s="201"/>
      <c r="AA4" s="201"/>
      <c r="AB4" s="201"/>
      <c r="AC4" s="201"/>
      <c r="AD4" s="201"/>
      <c r="AE4" s="201"/>
      <c r="AF4" s="201"/>
      <c r="AG4" s="201"/>
      <c r="AH4" s="201"/>
      <c r="AI4" s="201"/>
      <c r="AJ4" s="201"/>
      <c r="AK4" s="201"/>
      <c r="AL4" s="201"/>
      <c r="AM4" s="201"/>
      <c r="AN4" s="201"/>
      <c r="AO4" s="201"/>
      <c r="AP4" s="201"/>
      <c r="AQ4" s="201"/>
      <c r="AR4" s="201"/>
      <c r="AS4" s="201"/>
      <c r="AT4" s="201"/>
      <c r="AU4" s="201"/>
      <c r="AV4" s="201"/>
      <c r="AW4" s="201"/>
      <c r="AX4" s="201"/>
      <c r="AY4" s="201"/>
      <c r="AZ4" s="201"/>
      <c r="BA4" s="201"/>
      <c r="BB4" s="201"/>
      <c r="BC4" s="201"/>
      <c r="BD4" s="201"/>
    </row>
    <row r="5" spans="1:200" s="200" customFormat="1" ht="15" x14ac:dyDescent="0.25">
      <c r="A5" s="1056"/>
      <c r="B5" s="1057"/>
      <c r="C5" s="1058"/>
      <c r="D5" s="209" t="s">
        <v>76</v>
      </c>
      <c r="E5" s="208">
        <f>'PROJECT SUMMARY'!C37</f>
        <v>0</v>
      </c>
      <c r="F5" s="208"/>
      <c r="G5" s="208"/>
      <c r="H5" s="208"/>
      <c r="I5" s="208"/>
      <c r="J5" s="208"/>
      <c r="K5" s="208"/>
      <c r="L5" s="207"/>
      <c r="M5" s="204"/>
      <c r="N5" s="204"/>
      <c r="O5" s="204"/>
      <c r="P5" s="206"/>
      <c r="Q5" s="1052"/>
      <c r="R5" s="201"/>
      <c r="S5" s="201"/>
      <c r="T5" s="201"/>
      <c r="U5" s="201"/>
      <c r="V5" s="201"/>
      <c r="W5" s="201"/>
      <c r="X5" s="201"/>
      <c r="Y5" s="201"/>
      <c r="Z5" s="201"/>
      <c r="AA5" s="201"/>
      <c r="AB5" s="201"/>
      <c r="AC5" s="201"/>
      <c r="AD5" s="201"/>
      <c r="AE5" s="201"/>
      <c r="AF5" s="201"/>
      <c r="AG5" s="201"/>
      <c r="AH5" s="201"/>
      <c r="AI5" s="201"/>
      <c r="AJ5" s="201"/>
      <c r="AK5" s="201"/>
      <c r="AL5" s="201"/>
      <c r="AM5" s="201"/>
      <c r="AN5" s="201"/>
      <c r="AO5" s="201"/>
      <c r="AP5" s="201"/>
      <c r="AQ5" s="201"/>
      <c r="AR5" s="201"/>
      <c r="AS5" s="201"/>
      <c r="AT5" s="201"/>
      <c r="AU5" s="201"/>
      <c r="AV5" s="201"/>
      <c r="AW5" s="201"/>
      <c r="AX5" s="201"/>
      <c r="AY5" s="201"/>
      <c r="AZ5" s="201"/>
      <c r="BA5" s="201"/>
      <c r="BB5" s="201"/>
      <c r="BC5" s="201"/>
      <c r="BD5" s="201"/>
    </row>
    <row r="6" spans="1:200" s="200" customFormat="1" ht="15" x14ac:dyDescent="0.25">
      <c r="A6" s="1056"/>
      <c r="B6" s="1057"/>
      <c r="C6" s="1058"/>
      <c r="D6" s="209" t="s">
        <v>77</v>
      </c>
      <c r="E6" s="208">
        <f>'PROJECT SUMMARY'!D5</f>
        <v>0</v>
      </c>
      <c r="F6" s="208"/>
      <c r="G6" s="208"/>
      <c r="H6" s="208"/>
      <c r="I6" s="208"/>
      <c r="J6" s="208"/>
      <c r="K6" s="208"/>
      <c r="L6" s="207"/>
      <c r="M6" s="204"/>
      <c r="N6" s="204"/>
      <c r="O6" s="204"/>
      <c r="P6" s="206"/>
      <c r="Q6" s="1052"/>
      <c r="R6" s="201"/>
      <c r="S6" s="201"/>
      <c r="T6" s="201"/>
      <c r="U6" s="201"/>
      <c r="V6" s="201"/>
      <c r="W6" s="201"/>
      <c r="X6" s="201"/>
      <c r="Y6" s="201"/>
      <c r="Z6" s="201"/>
      <c r="AA6" s="201"/>
      <c r="AB6" s="201"/>
      <c r="AC6" s="201"/>
      <c r="AD6" s="201"/>
      <c r="AE6" s="201"/>
      <c r="AF6" s="201"/>
      <c r="AG6" s="201"/>
      <c r="AH6" s="201"/>
      <c r="AI6" s="201"/>
      <c r="AJ6" s="201"/>
      <c r="AK6" s="201"/>
      <c r="AL6" s="201"/>
      <c r="AM6" s="201"/>
      <c r="AN6" s="201"/>
      <c r="AO6" s="201"/>
      <c r="AP6" s="201"/>
      <c r="AQ6" s="201"/>
      <c r="AR6" s="201"/>
      <c r="AS6" s="201"/>
      <c r="AT6" s="201"/>
      <c r="AU6" s="201"/>
      <c r="AV6" s="201"/>
      <c r="AW6" s="201"/>
      <c r="AX6" s="201"/>
      <c r="AY6" s="201"/>
      <c r="AZ6" s="201"/>
      <c r="BA6" s="201"/>
      <c r="BB6" s="201"/>
      <c r="BC6" s="201"/>
      <c r="BD6" s="201"/>
    </row>
    <row r="7" spans="1:200" s="200" customFormat="1" ht="5.25" customHeight="1" thickBot="1" x14ac:dyDescent="0.3">
      <c r="A7" s="1059"/>
      <c r="B7" s="1060"/>
      <c r="C7" s="1061"/>
      <c r="D7" s="205"/>
      <c r="E7" s="203"/>
      <c r="F7" s="203"/>
      <c r="G7" s="203"/>
      <c r="H7" s="204"/>
      <c r="I7" s="204"/>
      <c r="J7" s="203"/>
      <c r="K7" s="203"/>
      <c r="L7" s="203"/>
      <c r="M7" s="203"/>
      <c r="N7" s="203"/>
      <c r="O7" s="203"/>
      <c r="P7" s="202"/>
      <c r="Q7" s="1053"/>
      <c r="R7" s="201"/>
      <c r="S7" s="201"/>
      <c r="T7" s="201"/>
      <c r="U7" s="201"/>
      <c r="V7" s="201"/>
      <c r="W7" s="201"/>
      <c r="X7" s="201"/>
      <c r="Y7" s="201"/>
      <c r="Z7" s="201"/>
      <c r="AA7" s="201"/>
      <c r="AB7" s="201"/>
      <c r="AC7" s="201"/>
      <c r="AD7" s="201"/>
      <c r="AE7" s="201"/>
      <c r="AF7" s="201"/>
      <c r="AG7" s="201"/>
      <c r="AH7" s="201"/>
      <c r="AI7" s="201"/>
      <c r="AJ7" s="201"/>
      <c r="AK7" s="201"/>
      <c r="AL7" s="201"/>
      <c r="AM7" s="201"/>
      <c r="AN7" s="201"/>
      <c r="AO7" s="201"/>
      <c r="AP7" s="201"/>
      <c r="AQ7" s="201"/>
      <c r="AR7" s="201"/>
      <c r="AS7" s="201"/>
      <c r="AT7" s="201"/>
      <c r="AU7" s="201"/>
      <c r="AV7" s="201"/>
      <c r="AW7" s="201"/>
      <c r="AX7" s="201"/>
      <c r="AY7" s="201"/>
      <c r="AZ7" s="201"/>
      <c r="BA7" s="201"/>
      <c r="BB7" s="201"/>
      <c r="BC7" s="201"/>
      <c r="BD7" s="201"/>
    </row>
    <row r="8" spans="1:200" ht="24" x14ac:dyDescent="0.2">
      <c r="A8" s="287" t="s">
        <v>622</v>
      </c>
      <c r="B8" s="284" t="s">
        <v>623</v>
      </c>
      <c r="C8" s="284" t="s">
        <v>89</v>
      </c>
      <c r="D8" s="284" t="s">
        <v>543</v>
      </c>
      <c r="E8" s="271" t="s">
        <v>624</v>
      </c>
      <c r="F8" s="286" t="s">
        <v>625</v>
      </c>
      <c r="G8" s="286" t="s">
        <v>626</v>
      </c>
      <c r="H8" s="1070" t="s">
        <v>627</v>
      </c>
      <c r="I8" s="1071"/>
      <c r="J8" s="1064" t="s">
        <v>67</v>
      </c>
      <c r="K8" s="1065"/>
      <c r="L8" s="1065"/>
      <c r="M8" s="1065"/>
      <c r="N8" s="1066"/>
      <c r="O8" s="271" t="s">
        <v>628</v>
      </c>
      <c r="P8" s="271" t="s">
        <v>629</v>
      </c>
      <c r="Q8" s="306" t="s">
        <v>630</v>
      </c>
      <c r="R8" s="161"/>
      <c r="S8" s="161"/>
      <c r="T8" s="161"/>
      <c r="U8" s="161"/>
      <c r="V8" s="161"/>
      <c r="W8" s="161"/>
      <c r="X8" s="161"/>
      <c r="Y8" s="161"/>
      <c r="Z8" s="161"/>
      <c r="AA8" s="161"/>
      <c r="AB8" s="161"/>
      <c r="AC8" s="161"/>
      <c r="AD8" s="161"/>
      <c r="AE8" s="161"/>
      <c r="AF8" s="161"/>
      <c r="AG8" s="161"/>
      <c r="AH8" s="161"/>
      <c r="AI8" s="161"/>
      <c r="AJ8" s="161"/>
      <c r="AK8" s="161"/>
      <c r="AL8" s="161"/>
      <c r="AM8" s="161"/>
      <c r="AN8" s="161"/>
      <c r="AO8" s="161"/>
      <c r="AP8" s="161"/>
      <c r="AQ8" s="161"/>
      <c r="AR8" s="161"/>
      <c r="AS8" s="161"/>
      <c r="AT8" s="161"/>
      <c r="AU8" s="161"/>
      <c r="AV8" s="161"/>
      <c r="AW8" s="161"/>
      <c r="AX8" s="161"/>
      <c r="AY8" s="161"/>
      <c r="AZ8" s="161"/>
      <c r="BA8" s="161"/>
      <c r="BB8" s="161"/>
      <c r="BC8" s="161"/>
      <c r="BD8" s="161"/>
    </row>
    <row r="9" spans="1:200" ht="36.75" thickBot="1" x14ac:dyDescent="0.25">
      <c r="A9" s="305"/>
      <c r="B9" s="304"/>
      <c r="C9" s="304"/>
      <c r="D9" s="304"/>
      <c r="E9" s="303" t="s">
        <v>631</v>
      </c>
      <c r="F9" s="303" t="s">
        <v>632</v>
      </c>
      <c r="G9" s="303" t="s">
        <v>633</v>
      </c>
      <c r="H9" s="302" t="s">
        <v>662</v>
      </c>
      <c r="I9" s="302" t="s">
        <v>663</v>
      </c>
      <c r="J9" s="1067" t="s">
        <v>636</v>
      </c>
      <c r="K9" s="1068"/>
      <c r="L9" s="1069"/>
      <c r="M9" s="281" t="s">
        <v>637</v>
      </c>
      <c r="N9" s="281" t="s">
        <v>638</v>
      </c>
      <c r="O9" s="281" t="s">
        <v>639</v>
      </c>
      <c r="P9" s="281" t="s">
        <v>640</v>
      </c>
      <c r="Q9" s="301"/>
      <c r="R9" s="161"/>
      <c r="S9" s="161"/>
      <c r="T9" s="161"/>
      <c r="U9" s="161"/>
      <c r="V9" s="161"/>
      <c r="W9" s="161"/>
      <c r="X9" s="161"/>
      <c r="Y9" s="161"/>
      <c r="Z9" s="161"/>
      <c r="AA9" s="161"/>
      <c r="AB9" s="161"/>
      <c r="AC9" s="161"/>
      <c r="AD9" s="161"/>
      <c r="AE9" s="161"/>
      <c r="AF9" s="161"/>
      <c r="AG9" s="161"/>
      <c r="AH9" s="161"/>
      <c r="AI9" s="161"/>
      <c r="AJ9" s="161"/>
      <c r="AK9" s="161"/>
      <c r="AL9" s="161"/>
      <c r="AM9" s="161"/>
      <c r="AN9" s="161"/>
      <c r="AO9" s="161"/>
      <c r="AP9" s="161"/>
      <c r="AQ9" s="161"/>
      <c r="AR9" s="161"/>
      <c r="AS9" s="161"/>
      <c r="AT9" s="161"/>
      <c r="AU9" s="161"/>
      <c r="AV9" s="161"/>
      <c r="AW9" s="161"/>
      <c r="AX9" s="161"/>
      <c r="AY9" s="161"/>
      <c r="AZ9" s="161"/>
      <c r="BA9" s="161"/>
      <c r="BB9" s="161"/>
      <c r="BC9" s="161"/>
      <c r="BD9" s="161"/>
    </row>
    <row r="10" spans="1:200" ht="15.75" customHeight="1" thickBot="1" x14ac:dyDescent="0.25">
      <c r="A10" s="259" t="s">
        <v>664</v>
      </c>
      <c r="B10" s="258"/>
      <c r="C10" s="258"/>
      <c r="D10" s="258"/>
      <c r="E10" s="258"/>
      <c r="F10" s="258"/>
      <c r="G10" s="258"/>
      <c r="H10" s="258"/>
      <c r="I10" s="258"/>
      <c r="J10" s="258"/>
      <c r="K10" s="258"/>
      <c r="L10" s="258"/>
      <c r="M10" s="258"/>
      <c r="N10" s="258"/>
      <c r="O10" s="258"/>
      <c r="P10" s="258"/>
      <c r="Q10" s="257"/>
      <c r="R10" s="161"/>
      <c r="S10" s="161"/>
      <c r="T10" s="161"/>
      <c r="U10" s="161"/>
      <c r="V10" s="161"/>
      <c r="W10" s="161"/>
      <c r="X10" s="161"/>
      <c r="Y10" s="161"/>
      <c r="Z10" s="161"/>
      <c r="AA10" s="161"/>
      <c r="AB10" s="161"/>
      <c r="AC10" s="161"/>
      <c r="AD10" s="161"/>
      <c r="AE10" s="161"/>
      <c r="AF10" s="161"/>
      <c r="AG10" s="161"/>
      <c r="AH10" s="161"/>
      <c r="AI10" s="161"/>
      <c r="AJ10" s="161"/>
      <c r="AK10" s="161"/>
      <c r="AL10" s="161"/>
      <c r="AM10" s="161"/>
      <c r="AN10" s="161"/>
      <c r="AO10" s="161"/>
      <c r="AP10" s="161"/>
      <c r="AQ10" s="161"/>
      <c r="AR10" s="161"/>
      <c r="AS10" s="161"/>
      <c r="AT10" s="161"/>
      <c r="AU10" s="161"/>
      <c r="AV10" s="161"/>
      <c r="AW10" s="161"/>
      <c r="AX10" s="161"/>
      <c r="AY10" s="161"/>
      <c r="AZ10" s="161"/>
      <c r="BA10" s="161"/>
      <c r="BB10" s="161"/>
      <c r="BC10" s="161"/>
      <c r="BD10" s="161"/>
    </row>
    <row r="11" spans="1:200" s="183" customFormat="1" ht="12" x14ac:dyDescent="0.2">
      <c r="A11" s="298" t="s">
        <v>665</v>
      </c>
      <c r="B11" s="295" t="s">
        <v>666</v>
      </c>
      <c r="C11" s="295" t="s">
        <v>667</v>
      </c>
      <c r="D11" s="294" t="s">
        <v>668</v>
      </c>
      <c r="E11" s="295"/>
      <c r="F11" s="297">
        <v>2.6</v>
      </c>
      <c r="G11" s="297">
        <f>Table1[[#This Row],[Column9]]*0.8</f>
        <v>2.08</v>
      </c>
      <c r="H11" s="295">
        <v>20</v>
      </c>
      <c r="I11" s="295">
        <v>24</v>
      </c>
      <c r="J11" s="295" t="s">
        <v>645</v>
      </c>
      <c r="K11" s="295" t="s">
        <v>644</v>
      </c>
      <c r="L11" s="295" t="s">
        <v>645</v>
      </c>
      <c r="M11" s="295"/>
      <c r="N11" s="295"/>
      <c r="O11" s="293"/>
      <c r="P11" s="293" t="s">
        <v>669</v>
      </c>
      <c r="Q11" s="300" t="s">
        <v>670</v>
      </c>
      <c r="R11" s="185"/>
      <c r="S11" s="185"/>
      <c r="T11" s="185"/>
      <c r="U11" s="185"/>
      <c r="V11" s="185"/>
      <c r="W11" s="185"/>
      <c r="X11" s="185"/>
      <c r="Y11" s="185"/>
      <c r="Z11" s="185"/>
      <c r="AA11" s="185"/>
      <c r="AB11" s="185"/>
      <c r="AC11" s="185"/>
      <c r="AD11" s="185"/>
      <c r="AE11" s="185"/>
      <c r="AF11" s="185"/>
      <c r="AG11" s="185"/>
      <c r="AH11" s="185"/>
      <c r="AI11" s="185"/>
      <c r="AJ11" s="185"/>
      <c r="AK11" s="185"/>
      <c r="AL11" s="185"/>
      <c r="AM11" s="185"/>
      <c r="AN11" s="185"/>
      <c r="AO11" s="185"/>
      <c r="AP11" s="185"/>
      <c r="AQ11" s="185"/>
      <c r="AR11" s="185"/>
      <c r="AS11" s="185"/>
      <c r="AT11" s="185"/>
      <c r="AU11" s="185"/>
      <c r="AV11" s="185"/>
      <c r="AW11" s="185"/>
      <c r="AX11" s="185"/>
      <c r="AY11" s="185"/>
      <c r="AZ11" s="185"/>
      <c r="BA11" s="185"/>
      <c r="BB11" s="185"/>
      <c r="BC11" s="185"/>
      <c r="BD11" s="185"/>
      <c r="BE11" s="184"/>
      <c r="BF11" s="184"/>
      <c r="BG11" s="184"/>
      <c r="BH11" s="184"/>
      <c r="BI11" s="184"/>
      <c r="BJ11" s="184"/>
      <c r="BK11" s="184"/>
      <c r="BL11" s="184"/>
      <c r="BM11" s="184"/>
      <c r="BN11" s="184"/>
      <c r="BO11" s="184"/>
      <c r="BP11" s="184"/>
      <c r="BQ11" s="184"/>
      <c r="BR11" s="184"/>
      <c r="BS11" s="184"/>
      <c r="BT11" s="184"/>
      <c r="BU11" s="184"/>
      <c r="BV11" s="184"/>
      <c r="BW11" s="184"/>
      <c r="BX11" s="184"/>
      <c r="BY11" s="184"/>
      <c r="BZ11" s="184"/>
      <c r="CA11" s="184"/>
      <c r="CB11" s="184"/>
      <c r="CC11" s="184"/>
      <c r="CD11" s="184"/>
      <c r="CE11" s="184"/>
      <c r="CF11" s="184"/>
      <c r="CG11" s="184"/>
      <c r="CH11" s="184"/>
      <c r="CI11" s="184"/>
      <c r="CJ11" s="184"/>
      <c r="CK11" s="184"/>
      <c r="CL11" s="184"/>
      <c r="CM11" s="184"/>
      <c r="CN11" s="184"/>
      <c r="CO11" s="184"/>
      <c r="CP11" s="184"/>
      <c r="CQ11" s="184"/>
      <c r="CR11" s="184"/>
      <c r="CS11" s="184"/>
      <c r="CT11" s="184"/>
      <c r="CU11" s="184"/>
      <c r="CV11" s="184"/>
      <c r="CW11" s="184"/>
      <c r="CX11" s="184"/>
      <c r="CY11" s="184"/>
      <c r="CZ11" s="184"/>
      <c r="DA11" s="184"/>
      <c r="DB11" s="184"/>
      <c r="DC11" s="184"/>
      <c r="DD11" s="184"/>
      <c r="DE11" s="184"/>
      <c r="DF11" s="184"/>
      <c r="DG11" s="184"/>
      <c r="DH11" s="184"/>
      <c r="DI11" s="184"/>
      <c r="DJ11" s="184"/>
      <c r="DK11" s="184"/>
      <c r="DL11" s="184"/>
      <c r="DM11" s="184"/>
      <c r="DN11" s="184"/>
      <c r="DO11" s="184"/>
      <c r="DP11" s="184"/>
      <c r="DQ11" s="184"/>
      <c r="DR11" s="184"/>
      <c r="DS11" s="184"/>
      <c r="DT11" s="184"/>
      <c r="DU11" s="184"/>
      <c r="DV11" s="184"/>
      <c r="DW11" s="184"/>
      <c r="DX11" s="184"/>
      <c r="DY11" s="184"/>
      <c r="DZ11" s="184"/>
      <c r="EA11" s="184"/>
      <c r="EB11" s="184"/>
      <c r="EC11" s="184"/>
      <c r="ED11" s="184"/>
      <c r="EE11" s="184"/>
      <c r="EF11" s="184"/>
      <c r="EG11" s="184"/>
      <c r="EH11" s="184"/>
      <c r="EI11" s="184"/>
      <c r="EJ11" s="184"/>
      <c r="EK11" s="184"/>
      <c r="EL11" s="184"/>
      <c r="EM11" s="184"/>
      <c r="EN11" s="184"/>
      <c r="EO11" s="184"/>
      <c r="EP11" s="184"/>
      <c r="EQ11" s="184"/>
      <c r="ER11" s="184"/>
      <c r="ES11" s="184"/>
      <c r="ET11" s="184"/>
      <c r="EU11" s="184"/>
      <c r="EV11" s="184"/>
      <c r="EW11" s="184"/>
      <c r="EX11" s="184"/>
      <c r="EY11" s="184"/>
      <c r="EZ11" s="184"/>
      <c r="FA11" s="184"/>
      <c r="FB11" s="184"/>
      <c r="FC11" s="184"/>
      <c r="FD11" s="184"/>
      <c r="FE11" s="184"/>
      <c r="FF11" s="184"/>
      <c r="FG11" s="184"/>
      <c r="FH11" s="184"/>
      <c r="FI11" s="184"/>
      <c r="FJ11" s="184"/>
      <c r="FK11" s="184"/>
      <c r="FL11" s="184"/>
      <c r="FM11" s="184"/>
      <c r="FN11" s="184"/>
      <c r="FO11" s="184"/>
      <c r="FP11" s="184"/>
      <c r="FQ11" s="184"/>
      <c r="FR11" s="184"/>
      <c r="FS11" s="184"/>
      <c r="FT11" s="184"/>
      <c r="FU11" s="184"/>
      <c r="FV11" s="184"/>
      <c r="FW11" s="184"/>
      <c r="FX11" s="184"/>
      <c r="FY11" s="184"/>
      <c r="FZ11" s="184"/>
      <c r="GA11" s="184"/>
      <c r="GB11" s="184"/>
      <c r="GC11" s="184"/>
      <c r="GD11" s="184"/>
      <c r="GE11" s="184"/>
      <c r="GF11" s="184"/>
      <c r="GG11" s="184"/>
      <c r="GH11" s="184"/>
      <c r="GI11" s="184"/>
      <c r="GJ11" s="184"/>
      <c r="GK11" s="184"/>
      <c r="GL11" s="184"/>
      <c r="GM11" s="184"/>
      <c r="GN11" s="184"/>
      <c r="GO11" s="184"/>
      <c r="GP11" s="184"/>
      <c r="GQ11" s="184"/>
      <c r="GR11" s="184"/>
    </row>
    <row r="12" spans="1:200" s="183" customFormat="1" ht="12" x14ac:dyDescent="0.2">
      <c r="A12" s="298" t="s">
        <v>671</v>
      </c>
      <c r="B12" s="295" t="s">
        <v>666</v>
      </c>
      <c r="C12" s="295" t="s">
        <v>667</v>
      </c>
      <c r="D12" s="294" t="s">
        <v>668</v>
      </c>
      <c r="E12" s="295"/>
      <c r="F12" s="297">
        <v>2.6</v>
      </c>
      <c r="G12" s="297">
        <f>Table1[[#This Row],[Column9]]*0.8</f>
        <v>2.08</v>
      </c>
      <c r="H12" s="295">
        <v>20</v>
      </c>
      <c r="I12" s="295">
        <v>24</v>
      </c>
      <c r="J12" s="295" t="s">
        <v>645</v>
      </c>
      <c r="K12" s="295"/>
      <c r="L12" s="295"/>
      <c r="M12" s="295"/>
      <c r="N12" s="295"/>
      <c r="O12" s="293"/>
      <c r="P12" s="293" t="s">
        <v>669</v>
      </c>
      <c r="Q12" s="300" t="s">
        <v>670</v>
      </c>
      <c r="R12" s="185"/>
      <c r="S12" s="185"/>
      <c r="T12" s="185"/>
      <c r="U12" s="185"/>
      <c r="V12" s="185"/>
      <c r="W12" s="185"/>
      <c r="X12" s="185"/>
      <c r="Y12" s="185"/>
      <c r="Z12" s="185"/>
      <c r="AA12" s="185"/>
      <c r="AB12" s="185"/>
      <c r="AC12" s="185"/>
      <c r="AD12" s="185"/>
      <c r="AE12" s="185"/>
      <c r="AF12" s="185"/>
      <c r="AG12" s="185"/>
      <c r="AH12" s="185"/>
      <c r="AI12" s="185"/>
      <c r="AJ12" s="185"/>
      <c r="AK12" s="185"/>
      <c r="AL12" s="185"/>
      <c r="AM12" s="185"/>
      <c r="AN12" s="185"/>
      <c r="AO12" s="185"/>
      <c r="AP12" s="185"/>
      <c r="AQ12" s="185"/>
      <c r="AR12" s="185"/>
      <c r="AS12" s="185"/>
      <c r="AT12" s="185"/>
      <c r="AU12" s="185"/>
      <c r="AV12" s="185"/>
      <c r="AW12" s="185"/>
      <c r="AX12" s="185"/>
      <c r="AY12" s="185"/>
      <c r="AZ12" s="185"/>
      <c r="BA12" s="185"/>
      <c r="BB12" s="185"/>
      <c r="BC12" s="185"/>
      <c r="BD12" s="185"/>
      <c r="BE12" s="184"/>
      <c r="BF12" s="184"/>
      <c r="BG12" s="184"/>
      <c r="BH12" s="184"/>
      <c r="BI12" s="184"/>
      <c r="BJ12" s="184"/>
      <c r="BK12" s="184"/>
      <c r="BL12" s="184"/>
      <c r="BM12" s="184"/>
      <c r="BN12" s="184"/>
      <c r="BO12" s="184"/>
      <c r="BP12" s="184"/>
      <c r="BQ12" s="184"/>
      <c r="BR12" s="184"/>
      <c r="BS12" s="184"/>
      <c r="BT12" s="184"/>
      <c r="BU12" s="184"/>
      <c r="BV12" s="184"/>
      <c r="BW12" s="184"/>
      <c r="BX12" s="184"/>
      <c r="BY12" s="184"/>
      <c r="BZ12" s="184"/>
      <c r="CA12" s="184"/>
      <c r="CB12" s="184"/>
      <c r="CC12" s="184"/>
      <c r="CD12" s="184"/>
      <c r="CE12" s="184"/>
      <c r="CF12" s="184"/>
      <c r="CG12" s="184"/>
      <c r="CH12" s="184"/>
      <c r="CI12" s="184"/>
      <c r="CJ12" s="184"/>
      <c r="CK12" s="184"/>
      <c r="CL12" s="184"/>
      <c r="CM12" s="184"/>
      <c r="CN12" s="184"/>
      <c r="CO12" s="184"/>
      <c r="CP12" s="184"/>
      <c r="CQ12" s="184"/>
      <c r="CR12" s="184"/>
      <c r="CS12" s="184"/>
      <c r="CT12" s="184"/>
      <c r="CU12" s="184"/>
      <c r="CV12" s="184"/>
      <c r="CW12" s="184"/>
      <c r="CX12" s="184"/>
      <c r="CY12" s="184"/>
      <c r="CZ12" s="184"/>
      <c r="DA12" s="184"/>
      <c r="DB12" s="184"/>
      <c r="DC12" s="184"/>
      <c r="DD12" s="184"/>
      <c r="DE12" s="184"/>
      <c r="DF12" s="184"/>
      <c r="DG12" s="184"/>
      <c r="DH12" s="184"/>
      <c r="DI12" s="184"/>
      <c r="DJ12" s="184"/>
      <c r="DK12" s="184"/>
      <c r="DL12" s="184"/>
      <c r="DM12" s="184"/>
      <c r="DN12" s="184"/>
      <c r="DO12" s="184"/>
      <c r="DP12" s="184"/>
      <c r="DQ12" s="184"/>
      <c r="DR12" s="184"/>
      <c r="DS12" s="184"/>
      <c r="DT12" s="184"/>
      <c r="DU12" s="184"/>
      <c r="DV12" s="184"/>
      <c r="DW12" s="184"/>
      <c r="DX12" s="184"/>
      <c r="DY12" s="184"/>
      <c r="DZ12" s="184"/>
      <c r="EA12" s="184"/>
      <c r="EB12" s="184"/>
      <c r="EC12" s="184"/>
      <c r="ED12" s="184"/>
      <c r="EE12" s="184"/>
      <c r="EF12" s="184"/>
      <c r="EG12" s="184"/>
      <c r="EH12" s="184"/>
      <c r="EI12" s="184"/>
      <c r="EJ12" s="184"/>
      <c r="EK12" s="184"/>
      <c r="EL12" s="184"/>
      <c r="EM12" s="184"/>
      <c r="EN12" s="184"/>
      <c r="EO12" s="184"/>
      <c r="EP12" s="184"/>
      <c r="EQ12" s="184"/>
      <c r="ER12" s="184"/>
      <c r="ES12" s="184"/>
      <c r="ET12" s="184"/>
      <c r="EU12" s="184"/>
      <c r="EV12" s="184"/>
      <c r="EW12" s="184"/>
      <c r="EX12" s="184"/>
      <c r="EY12" s="184"/>
      <c r="EZ12" s="184"/>
      <c r="FA12" s="184"/>
      <c r="FB12" s="184"/>
      <c r="FC12" s="184"/>
      <c r="FD12" s="184"/>
      <c r="FE12" s="184"/>
      <c r="FF12" s="184"/>
      <c r="FG12" s="184"/>
      <c r="FH12" s="184"/>
      <c r="FI12" s="184"/>
      <c r="FJ12" s="184"/>
      <c r="FK12" s="184"/>
      <c r="FL12" s="184"/>
      <c r="FM12" s="184"/>
      <c r="FN12" s="184"/>
      <c r="FO12" s="184"/>
      <c r="FP12" s="184"/>
      <c r="FQ12" s="184"/>
      <c r="FR12" s="184"/>
      <c r="FS12" s="184"/>
      <c r="FT12" s="184"/>
      <c r="FU12" s="184"/>
      <c r="FV12" s="184"/>
      <c r="FW12" s="184"/>
      <c r="FX12" s="184"/>
      <c r="FY12" s="184"/>
      <c r="FZ12" s="184"/>
      <c r="GA12" s="184"/>
      <c r="GB12" s="184"/>
      <c r="GC12" s="184"/>
      <c r="GD12" s="184"/>
      <c r="GE12" s="184"/>
      <c r="GF12" s="184"/>
      <c r="GG12" s="184"/>
      <c r="GH12" s="184"/>
      <c r="GI12" s="184"/>
      <c r="GJ12" s="184"/>
      <c r="GK12" s="184"/>
      <c r="GL12" s="184"/>
      <c r="GM12" s="184"/>
      <c r="GN12" s="184"/>
      <c r="GO12" s="184"/>
      <c r="GP12" s="184"/>
      <c r="GQ12" s="184"/>
      <c r="GR12" s="184"/>
    </row>
    <row r="13" spans="1:200" s="183" customFormat="1" ht="12" x14ac:dyDescent="0.2">
      <c r="A13" s="298" t="s">
        <v>672</v>
      </c>
      <c r="B13" s="295" t="s">
        <v>673</v>
      </c>
      <c r="C13" s="295" t="s">
        <v>674</v>
      </c>
      <c r="D13" s="294" t="s">
        <v>675</v>
      </c>
      <c r="E13" s="295"/>
      <c r="F13" s="297">
        <v>2.2000000000000002</v>
      </c>
      <c r="G13" s="297">
        <f>Table1[[#This Row],[Column9]]*0.8</f>
        <v>1.7600000000000002</v>
      </c>
      <c r="H13" s="294">
        <v>20</v>
      </c>
      <c r="I13" s="294">
        <v>24</v>
      </c>
      <c r="J13" s="294" t="s">
        <v>645</v>
      </c>
      <c r="K13" s="295"/>
      <c r="L13" s="295"/>
      <c r="M13" s="295"/>
      <c r="N13" s="295"/>
      <c r="O13" s="293"/>
      <c r="P13" s="293" t="s">
        <v>676</v>
      </c>
      <c r="Q13" s="299"/>
      <c r="R13" s="185"/>
      <c r="S13" s="185"/>
      <c r="T13" s="185"/>
      <c r="U13" s="185"/>
      <c r="V13" s="185"/>
      <c r="W13" s="185"/>
      <c r="X13" s="185"/>
      <c r="Y13" s="185"/>
      <c r="Z13" s="185"/>
      <c r="AA13" s="185"/>
      <c r="AB13" s="185"/>
      <c r="AC13" s="185"/>
      <c r="AD13" s="185"/>
      <c r="AE13" s="185"/>
      <c r="AF13" s="185"/>
      <c r="AG13" s="185"/>
      <c r="AH13" s="185"/>
      <c r="AI13" s="185"/>
      <c r="AJ13" s="185"/>
      <c r="AK13" s="185"/>
      <c r="AL13" s="185"/>
      <c r="AM13" s="185"/>
      <c r="AN13" s="185"/>
      <c r="AO13" s="185"/>
      <c r="AP13" s="185"/>
      <c r="AQ13" s="185"/>
      <c r="AR13" s="185"/>
      <c r="AS13" s="185"/>
      <c r="AT13" s="185"/>
      <c r="AU13" s="185"/>
      <c r="AV13" s="185"/>
      <c r="AW13" s="185"/>
      <c r="AX13" s="185"/>
      <c r="AY13" s="185"/>
      <c r="AZ13" s="185"/>
      <c r="BA13" s="185"/>
      <c r="BB13" s="185"/>
      <c r="BC13" s="185"/>
      <c r="BD13" s="185"/>
      <c r="BE13" s="184"/>
      <c r="BF13" s="184"/>
      <c r="BG13" s="184"/>
      <c r="BH13" s="184"/>
      <c r="BI13" s="184"/>
      <c r="BJ13" s="184"/>
      <c r="BK13" s="184"/>
      <c r="BL13" s="184"/>
      <c r="BM13" s="184"/>
      <c r="BN13" s="184"/>
      <c r="BO13" s="184"/>
      <c r="BP13" s="184"/>
      <c r="BQ13" s="184"/>
      <c r="BR13" s="184"/>
      <c r="BS13" s="184"/>
      <c r="BT13" s="184"/>
      <c r="BU13" s="184"/>
      <c r="BV13" s="184"/>
      <c r="BW13" s="184"/>
      <c r="BX13" s="184"/>
      <c r="BY13" s="184"/>
      <c r="BZ13" s="184"/>
      <c r="CA13" s="184"/>
      <c r="CB13" s="184"/>
      <c r="CC13" s="184"/>
      <c r="CD13" s="184"/>
      <c r="CE13" s="184"/>
      <c r="CF13" s="184"/>
      <c r="CG13" s="184"/>
      <c r="CH13" s="184"/>
      <c r="CI13" s="184"/>
      <c r="CJ13" s="184"/>
      <c r="CK13" s="184"/>
      <c r="CL13" s="184"/>
      <c r="CM13" s="184"/>
      <c r="CN13" s="184"/>
      <c r="CO13" s="184"/>
      <c r="CP13" s="184"/>
      <c r="CQ13" s="184"/>
      <c r="CR13" s="184"/>
      <c r="CS13" s="184"/>
      <c r="CT13" s="184"/>
      <c r="CU13" s="184"/>
      <c r="CV13" s="184"/>
      <c r="CW13" s="184"/>
      <c r="CX13" s="184"/>
      <c r="CY13" s="184"/>
      <c r="CZ13" s="184"/>
      <c r="DA13" s="184"/>
      <c r="DB13" s="184"/>
      <c r="DC13" s="184"/>
      <c r="DD13" s="184"/>
      <c r="DE13" s="184"/>
      <c r="DF13" s="184"/>
      <c r="DG13" s="184"/>
      <c r="DH13" s="184"/>
      <c r="DI13" s="184"/>
      <c r="DJ13" s="184"/>
      <c r="DK13" s="184"/>
      <c r="DL13" s="184"/>
      <c r="DM13" s="184"/>
      <c r="DN13" s="184"/>
      <c r="DO13" s="184"/>
      <c r="DP13" s="184"/>
      <c r="DQ13" s="184"/>
      <c r="DR13" s="184"/>
      <c r="DS13" s="184"/>
      <c r="DT13" s="184"/>
      <c r="DU13" s="184"/>
      <c r="DV13" s="184"/>
      <c r="DW13" s="184"/>
      <c r="DX13" s="184"/>
      <c r="DY13" s="184"/>
      <c r="DZ13" s="184"/>
      <c r="EA13" s="184"/>
      <c r="EB13" s="184"/>
      <c r="EC13" s="184"/>
      <c r="ED13" s="184"/>
      <c r="EE13" s="184"/>
      <c r="EF13" s="184"/>
      <c r="EG13" s="184"/>
      <c r="EH13" s="184"/>
      <c r="EI13" s="184"/>
      <c r="EJ13" s="184"/>
      <c r="EK13" s="184"/>
      <c r="EL13" s="184"/>
      <c r="EM13" s="184"/>
      <c r="EN13" s="184"/>
      <c r="EO13" s="184"/>
      <c r="EP13" s="184"/>
      <c r="EQ13" s="184"/>
      <c r="ER13" s="184"/>
      <c r="ES13" s="184"/>
      <c r="ET13" s="184"/>
      <c r="EU13" s="184"/>
      <c r="EV13" s="184"/>
      <c r="EW13" s="184"/>
      <c r="EX13" s="184"/>
      <c r="EY13" s="184"/>
      <c r="EZ13" s="184"/>
      <c r="FA13" s="184"/>
      <c r="FB13" s="184"/>
      <c r="FC13" s="184"/>
      <c r="FD13" s="184"/>
      <c r="FE13" s="184"/>
      <c r="FF13" s="184"/>
      <c r="FG13" s="184"/>
      <c r="FH13" s="184"/>
      <c r="FI13" s="184"/>
      <c r="FJ13" s="184"/>
      <c r="FK13" s="184"/>
      <c r="FL13" s="184"/>
      <c r="FM13" s="184"/>
      <c r="FN13" s="184"/>
      <c r="FO13" s="184"/>
      <c r="FP13" s="184"/>
      <c r="FQ13" s="184"/>
      <c r="FR13" s="184"/>
      <c r="FS13" s="184"/>
      <c r="FT13" s="184"/>
      <c r="FU13" s="184"/>
      <c r="FV13" s="184"/>
      <c r="FW13" s="184"/>
      <c r="FX13" s="184"/>
      <c r="FY13" s="184"/>
      <c r="FZ13" s="184"/>
      <c r="GA13" s="184"/>
      <c r="GB13" s="184"/>
      <c r="GC13" s="184"/>
      <c r="GD13" s="184"/>
      <c r="GE13" s="184"/>
      <c r="GF13" s="184"/>
      <c r="GG13" s="184"/>
      <c r="GH13" s="184"/>
      <c r="GI13" s="184"/>
      <c r="GJ13" s="184"/>
      <c r="GK13" s="184"/>
      <c r="GL13" s="184"/>
      <c r="GM13" s="184"/>
      <c r="GN13" s="184"/>
      <c r="GO13" s="184"/>
      <c r="GP13" s="184"/>
      <c r="GQ13" s="184"/>
      <c r="GR13" s="184"/>
    </row>
    <row r="14" spans="1:200" s="183" customFormat="1" ht="12" x14ac:dyDescent="0.2">
      <c r="A14" s="298" t="s">
        <v>677</v>
      </c>
      <c r="B14" s="295" t="s">
        <v>673</v>
      </c>
      <c r="C14" s="295" t="s">
        <v>674</v>
      </c>
      <c r="D14" s="294" t="s">
        <v>675</v>
      </c>
      <c r="E14" s="295"/>
      <c r="F14" s="297">
        <v>2.2000000000000002</v>
      </c>
      <c r="G14" s="297">
        <f>Table1[[#This Row],[Column9]]*0.8</f>
        <v>1.7600000000000002</v>
      </c>
      <c r="H14" s="294">
        <v>20</v>
      </c>
      <c r="I14" s="295">
        <v>24</v>
      </c>
      <c r="J14" s="294" t="s">
        <v>645</v>
      </c>
      <c r="K14" s="295"/>
      <c r="L14" s="295"/>
      <c r="M14" s="295"/>
      <c r="N14" s="295"/>
      <c r="O14" s="293"/>
      <c r="P14" s="293" t="s">
        <v>676</v>
      </c>
      <c r="Q14" s="299"/>
      <c r="R14" s="185"/>
      <c r="S14" s="185"/>
      <c r="T14" s="185"/>
      <c r="U14" s="185"/>
      <c r="V14" s="185"/>
      <c r="W14" s="185"/>
      <c r="X14" s="185"/>
      <c r="Y14" s="185"/>
      <c r="Z14" s="185"/>
      <c r="AA14" s="185"/>
      <c r="AB14" s="185"/>
      <c r="AC14" s="185"/>
      <c r="AD14" s="185"/>
      <c r="AE14" s="185"/>
      <c r="AF14" s="185"/>
      <c r="AG14" s="185"/>
      <c r="AH14" s="185"/>
      <c r="AI14" s="185"/>
      <c r="AJ14" s="185"/>
      <c r="AK14" s="185"/>
      <c r="AL14" s="185"/>
      <c r="AM14" s="185"/>
      <c r="AN14" s="185"/>
      <c r="AO14" s="185"/>
      <c r="AP14" s="185"/>
      <c r="AQ14" s="185"/>
      <c r="AR14" s="185"/>
      <c r="AS14" s="185"/>
      <c r="AT14" s="185"/>
      <c r="AU14" s="185"/>
      <c r="AV14" s="185"/>
      <c r="AW14" s="185"/>
      <c r="AX14" s="185"/>
      <c r="AY14" s="185"/>
      <c r="AZ14" s="185"/>
      <c r="BA14" s="185"/>
      <c r="BB14" s="185"/>
      <c r="BC14" s="185"/>
      <c r="BD14" s="185"/>
      <c r="BE14" s="184"/>
      <c r="BF14" s="184"/>
      <c r="BG14" s="184"/>
      <c r="BH14" s="184"/>
      <c r="BI14" s="184"/>
      <c r="BJ14" s="184"/>
      <c r="BK14" s="184"/>
      <c r="BL14" s="184"/>
      <c r="BM14" s="184"/>
      <c r="BN14" s="184"/>
      <c r="BO14" s="184"/>
      <c r="BP14" s="184"/>
      <c r="BQ14" s="184"/>
      <c r="BR14" s="184"/>
      <c r="BS14" s="184"/>
      <c r="BT14" s="184"/>
      <c r="BU14" s="184"/>
      <c r="BV14" s="184"/>
      <c r="BW14" s="184"/>
      <c r="BX14" s="184"/>
      <c r="BY14" s="184"/>
      <c r="BZ14" s="184"/>
      <c r="CA14" s="184"/>
      <c r="CB14" s="184"/>
      <c r="CC14" s="184"/>
      <c r="CD14" s="184"/>
      <c r="CE14" s="184"/>
      <c r="CF14" s="184"/>
      <c r="CG14" s="184"/>
      <c r="CH14" s="184"/>
      <c r="CI14" s="184"/>
      <c r="CJ14" s="184"/>
      <c r="CK14" s="184"/>
      <c r="CL14" s="184"/>
      <c r="CM14" s="184"/>
      <c r="CN14" s="184"/>
      <c r="CO14" s="184"/>
      <c r="CP14" s="184"/>
      <c r="CQ14" s="184"/>
      <c r="CR14" s="184"/>
      <c r="CS14" s="184"/>
      <c r="CT14" s="184"/>
      <c r="CU14" s="184"/>
      <c r="CV14" s="184"/>
      <c r="CW14" s="184"/>
      <c r="CX14" s="184"/>
      <c r="CY14" s="184"/>
      <c r="CZ14" s="184"/>
      <c r="DA14" s="184"/>
      <c r="DB14" s="184"/>
      <c r="DC14" s="184"/>
      <c r="DD14" s="184"/>
      <c r="DE14" s="184"/>
      <c r="DF14" s="184"/>
      <c r="DG14" s="184"/>
      <c r="DH14" s="184"/>
      <c r="DI14" s="184"/>
      <c r="DJ14" s="184"/>
      <c r="DK14" s="184"/>
      <c r="DL14" s="184"/>
      <c r="DM14" s="184"/>
      <c r="DN14" s="184"/>
      <c r="DO14" s="184"/>
      <c r="DP14" s="184"/>
      <c r="DQ14" s="184"/>
      <c r="DR14" s="184"/>
      <c r="DS14" s="184"/>
      <c r="DT14" s="184"/>
      <c r="DU14" s="184"/>
      <c r="DV14" s="184"/>
      <c r="DW14" s="184"/>
      <c r="DX14" s="184"/>
      <c r="DY14" s="184"/>
      <c r="DZ14" s="184"/>
      <c r="EA14" s="184"/>
      <c r="EB14" s="184"/>
      <c r="EC14" s="184"/>
      <c r="ED14" s="184"/>
      <c r="EE14" s="184"/>
      <c r="EF14" s="184"/>
      <c r="EG14" s="184"/>
      <c r="EH14" s="184"/>
      <c r="EI14" s="184"/>
      <c r="EJ14" s="184"/>
      <c r="EK14" s="184"/>
      <c r="EL14" s="184"/>
      <c r="EM14" s="184"/>
      <c r="EN14" s="184"/>
      <c r="EO14" s="184"/>
      <c r="EP14" s="184"/>
      <c r="EQ14" s="184"/>
      <c r="ER14" s="184"/>
      <c r="ES14" s="184"/>
      <c r="ET14" s="184"/>
      <c r="EU14" s="184"/>
      <c r="EV14" s="184"/>
      <c r="EW14" s="184"/>
      <c r="EX14" s="184"/>
      <c r="EY14" s="184"/>
      <c r="EZ14" s="184"/>
      <c r="FA14" s="184"/>
      <c r="FB14" s="184"/>
      <c r="FC14" s="184"/>
      <c r="FD14" s="184"/>
      <c r="FE14" s="184"/>
      <c r="FF14" s="184"/>
      <c r="FG14" s="184"/>
      <c r="FH14" s="184"/>
      <c r="FI14" s="184"/>
      <c r="FJ14" s="184"/>
      <c r="FK14" s="184"/>
      <c r="FL14" s="184"/>
      <c r="FM14" s="184"/>
      <c r="FN14" s="184"/>
      <c r="FO14" s="184"/>
      <c r="FP14" s="184"/>
      <c r="FQ14" s="184"/>
      <c r="FR14" s="184"/>
      <c r="FS14" s="184"/>
      <c r="FT14" s="184"/>
      <c r="FU14" s="184"/>
      <c r="FV14" s="184"/>
      <c r="FW14" s="184"/>
      <c r="FX14" s="184"/>
      <c r="FY14" s="184"/>
      <c r="FZ14" s="184"/>
      <c r="GA14" s="184"/>
      <c r="GB14" s="184"/>
      <c r="GC14" s="184"/>
      <c r="GD14" s="184"/>
      <c r="GE14" s="184"/>
      <c r="GF14" s="184"/>
      <c r="GG14" s="184"/>
      <c r="GH14" s="184"/>
      <c r="GI14" s="184"/>
      <c r="GJ14" s="184"/>
      <c r="GK14" s="184"/>
      <c r="GL14" s="184"/>
      <c r="GM14" s="184"/>
      <c r="GN14" s="184"/>
      <c r="GO14" s="184"/>
      <c r="GP14" s="184"/>
      <c r="GQ14" s="184"/>
      <c r="GR14" s="184"/>
    </row>
    <row r="15" spans="1:200" s="183" customFormat="1" ht="12" x14ac:dyDescent="0.2">
      <c r="A15" s="298" t="s">
        <v>678</v>
      </c>
      <c r="B15" s="295" t="s">
        <v>679</v>
      </c>
      <c r="C15" s="294" t="s">
        <v>680</v>
      </c>
      <c r="D15" s="294" t="s">
        <v>681</v>
      </c>
      <c r="E15" s="295"/>
      <c r="F15" s="297">
        <v>1.7</v>
      </c>
      <c r="G15" s="297">
        <f>Table1[[#This Row],[Column9]]*0.8</f>
        <v>1.36</v>
      </c>
      <c r="H15" s="294">
        <v>20</v>
      </c>
      <c r="I15" s="294">
        <v>24</v>
      </c>
      <c r="J15" s="294" t="s">
        <v>645</v>
      </c>
      <c r="K15" s="295"/>
      <c r="L15" s="295"/>
      <c r="M15" s="295"/>
      <c r="N15" s="295"/>
      <c r="O15" s="293"/>
      <c r="P15" s="293" t="s">
        <v>676</v>
      </c>
      <c r="Q15" s="299"/>
      <c r="R15" s="185"/>
      <c r="S15" s="185"/>
      <c r="T15" s="185"/>
      <c r="U15" s="185"/>
      <c r="V15" s="185"/>
      <c r="W15" s="185"/>
      <c r="X15" s="185"/>
      <c r="Y15" s="185"/>
      <c r="Z15" s="185"/>
      <c r="AA15" s="185"/>
      <c r="AB15" s="185"/>
      <c r="AC15" s="185"/>
      <c r="AD15" s="185"/>
      <c r="AE15" s="185"/>
      <c r="AF15" s="185"/>
      <c r="AG15" s="185"/>
      <c r="AH15" s="185"/>
      <c r="AI15" s="185"/>
      <c r="AJ15" s="185"/>
      <c r="AK15" s="185"/>
      <c r="AL15" s="185"/>
      <c r="AM15" s="185"/>
      <c r="AN15" s="185"/>
      <c r="AO15" s="185"/>
      <c r="AP15" s="185"/>
      <c r="AQ15" s="185"/>
      <c r="AR15" s="185"/>
      <c r="AS15" s="185"/>
      <c r="AT15" s="185"/>
      <c r="AU15" s="185"/>
      <c r="AV15" s="185"/>
      <c r="AW15" s="185"/>
      <c r="AX15" s="185"/>
      <c r="AY15" s="185"/>
      <c r="AZ15" s="185"/>
      <c r="BA15" s="185"/>
      <c r="BB15" s="185"/>
      <c r="BC15" s="185"/>
      <c r="BD15" s="185"/>
      <c r="BE15" s="184"/>
      <c r="BF15" s="184"/>
      <c r="BG15" s="184"/>
      <c r="BH15" s="184"/>
      <c r="BI15" s="184"/>
      <c r="BJ15" s="184"/>
      <c r="BK15" s="184"/>
      <c r="BL15" s="184"/>
      <c r="BM15" s="184"/>
      <c r="BN15" s="184"/>
      <c r="BO15" s="184"/>
      <c r="BP15" s="184"/>
      <c r="BQ15" s="184"/>
      <c r="BR15" s="184"/>
      <c r="BS15" s="184"/>
      <c r="BT15" s="184"/>
      <c r="BU15" s="184"/>
      <c r="BV15" s="184"/>
      <c r="BW15" s="184"/>
      <c r="BX15" s="184"/>
      <c r="BY15" s="184"/>
      <c r="BZ15" s="184"/>
      <c r="CA15" s="184"/>
      <c r="CB15" s="184"/>
      <c r="CC15" s="184"/>
      <c r="CD15" s="184"/>
      <c r="CE15" s="184"/>
      <c r="CF15" s="184"/>
      <c r="CG15" s="184"/>
      <c r="CH15" s="184"/>
      <c r="CI15" s="184"/>
      <c r="CJ15" s="184"/>
      <c r="CK15" s="184"/>
      <c r="CL15" s="184"/>
      <c r="CM15" s="184"/>
      <c r="CN15" s="184"/>
      <c r="CO15" s="184"/>
      <c r="CP15" s="184"/>
      <c r="CQ15" s="184"/>
      <c r="CR15" s="184"/>
      <c r="CS15" s="184"/>
      <c r="CT15" s="184"/>
      <c r="CU15" s="184"/>
      <c r="CV15" s="184"/>
      <c r="CW15" s="184"/>
      <c r="CX15" s="184"/>
      <c r="CY15" s="184"/>
      <c r="CZ15" s="184"/>
      <c r="DA15" s="184"/>
      <c r="DB15" s="184"/>
      <c r="DC15" s="184"/>
      <c r="DD15" s="184"/>
      <c r="DE15" s="184"/>
      <c r="DF15" s="184"/>
      <c r="DG15" s="184"/>
      <c r="DH15" s="184"/>
      <c r="DI15" s="184"/>
      <c r="DJ15" s="184"/>
      <c r="DK15" s="184"/>
      <c r="DL15" s="184"/>
      <c r="DM15" s="184"/>
      <c r="DN15" s="184"/>
      <c r="DO15" s="184"/>
      <c r="DP15" s="184"/>
      <c r="DQ15" s="184"/>
      <c r="DR15" s="184"/>
      <c r="DS15" s="184"/>
      <c r="DT15" s="184"/>
      <c r="DU15" s="184"/>
      <c r="DV15" s="184"/>
      <c r="DW15" s="184"/>
      <c r="DX15" s="184"/>
      <c r="DY15" s="184"/>
      <c r="DZ15" s="184"/>
      <c r="EA15" s="184"/>
      <c r="EB15" s="184"/>
      <c r="EC15" s="184"/>
      <c r="ED15" s="184"/>
      <c r="EE15" s="184"/>
      <c r="EF15" s="184"/>
      <c r="EG15" s="184"/>
      <c r="EH15" s="184"/>
      <c r="EI15" s="184"/>
      <c r="EJ15" s="184"/>
      <c r="EK15" s="184"/>
      <c r="EL15" s="184"/>
      <c r="EM15" s="184"/>
      <c r="EN15" s="184"/>
      <c r="EO15" s="184"/>
      <c r="EP15" s="184"/>
      <c r="EQ15" s="184"/>
      <c r="ER15" s="184"/>
      <c r="ES15" s="184"/>
      <c r="ET15" s="184"/>
      <c r="EU15" s="184"/>
      <c r="EV15" s="184"/>
      <c r="EW15" s="184"/>
      <c r="EX15" s="184"/>
      <c r="EY15" s="184"/>
      <c r="EZ15" s="184"/>
      <c r="FA15" s="184"/>
      <c r="FB15" s="184"/>
      <c r="FC15" s="184"/>
      <c r="FD15" s="184"/>
      <c r="FE15" s="184"/>
      <c r="FF15" s="184"/>
      <c r="FG15" s="184"/>
      <c r="FH15" s="184"/>
      <c r="FI15" s="184"/>
      <c r="FJ15" s="184"/>
      <c r="FK15" s="184"/>
      <c r="FL15" s="184"/>
      <c r="FM15" s="184"/>
      <c r="FN15" s="184"/>
      <c r="FO15" s="184"/>
      <c r="FP15" s="184"/>
      <c r="FQ15" s="184"/>
      <c r="FR15" s="184"/>
      <c r="FS15" s="184"/>
      <c r="FT15" s="184"/>
      <c r="FU15" s="184"/>
      <c r="FV15" s="184"/>
      <c r="FW15" s="184"/>
      <c r="FX15" s="184"/>
      <c r="FY15" s="184"/>
      <c r="FZ15" s="184"/>
      <c r="GA15" s="184"/>
      <c r="GB15" s="184"/>
      <c r="GC15" s="184"/>
      <c r="GD15" s="184"/>
      <c r="GE15" s="184"/>
      <c r="GF15" s="184"/>
      <c r="GG15" s="184"/>
      <c r="GH15" s="184"/>
      <c r="GI15" s="184"/>
      <c r="GJ15" s="184"/>
      <c r="GK15" s="184"/>
      <c r="GL15" s="184"/>
      <c r="GM15" s="184"/>
      <c r="GN15" s="184"/>
      <c r="GO15" s="184"/>
      <c r="GP15" s="184"/>
      <c r="GQ15" s="184"/>
      <c r="GR15" s="184"/>
    </row>
    <row r="16" spans="1:200" s="183" customFormat="1" ht="12" x14ac:dyDescent="0.2">
      <c r="A16" s="298" t="s">
        <v>682</v>
      </c>
      <c r="B16" s="295" t="s">
        <v>683</v>
      </c>
      <c r="C16" s="294" t="s">
        <v>680</v>
      </c>
      <c r="D16" s="294" t="s">
        <v>681</v>
      </c>
      <c r="E16" s="295"/>
      <c r="F16" s="297">
        <v>1.9</v>
      </c>
      <c r="G16" s="297">
        <f>Table1[[#This Row],[Column9]]*0.8</f>
        <v>1.52</v>
      </c>
      <c r="H16" s="294">
        <v>20</v>
      </c>
      <c r="I16" s="295">
        <v>24</v>
      </c>
      <c r="J16" s="294" t="s">
        <v>645</v>
      </c>
      <c r="K16" s="295"/>
      <c r="L16" s="295"/>
      <c r="M16" s="295"/>
      <c r="N16" s="295"/>
      <c r="O16" s="293"/>
      <c r="P16" s="293" t="s">
        <v>676</v>
      </c>
      <c r="Q16" s="299"/>
      <c r="R16" s="185"/>
      <c r="S16" s="185"/>
      <c r="T16" s="185"/>
      <c r="U16" s="185"/>
      <c r="V16" s="185"/>
      <c r="W16" s="185"/>
      <c r="X16" s="185"/>
      <c r="Y16" s="185"/>
      <c r="Z16" s="185"/>
      <c r="AA16" s="185"/>
      <c r="AB16" s="185"/>
      <c r="AC16" s="185"/>
      <c r="AD16" s="185"/>
      <c r="AE16" s="185"/>
      <c r="AF16" s="185"/>
      <c r="AG16" s="185"/>
      <c r="AH16" s="185"/>
      <c r="AI16" s="185"/>
      <c r="AJ16" s="185"/>
      <c r="AK16" s="185"/>
      <c r="AL16" s="185"/>
      <c r="AM16" s="185"/>
      <c r="AN16" s="185"/>
      <c r="AO16" s="185"/>
      <c r="AP16" s="185"/>
      <c r="AQ16" s="185"/>
      <c r="AR16" s="185"/>
      <c r="AS16" s="185"/>
      <c r="AT16" s="185"/>
      <c r="AU16" s="185"/>
      <c r="AV16" s="185"/>
      <c r="AW16" s="185"/>
      <c r="AX16" s="185"/>
      <c r="AY16" s="185"/>
      <c r="AZ16" s="185"/>
      <c r="BA16" s="185"/>
      <c r="BB16" s="185"/>
      <c r="BC16" s="185"/>
      <c r="BD16" s="185"/>
      <c r="BE16" s="184"/>
      <c r="BF16" s="184"/>
      <c r="BG16" s="184"/>
      <c r="BH16" s="184"/>
      <c r="BI16" s="184"/>
      <c r="BJ16" s="184"/>
      <c r="BK16" s="184"/>
      <c r="BL16" s="184"/>
      <c r="BM16" s="184"/>
      <c r="BN16" s="184"/>
      <c r="BO16" s="184"/>
      <c r="BP16" s="184"/>
      <c r="BQ16" s="184"/>
      <c r="BR16" s="184"/>
      <c r="BS16" s="184"/>
      <c r="BT16" s="184"/>
      <c r="BU16" s="184"/>
      <c r="BV16" s="184"/>
      <c r="BW16" s="184"/>
      <c r="BX16" s="184"/>
      <c r="BY16" s="184"/>
      <c r="BZ16" s="184"/>
      <c r="CA16" s="184"/>
      <c r="CB16" s="184"/>
      <c r="CC16" s="184"/>
      <c r="CD16" s="184"/>
      <c r="CE16" s="184"/>
      <c r="CF16" s="184"/>
      <c r="CG16" s="184"/>
      <c r="CH16" s="184"/>
      <c r="CI16" s="184"/>
      <c r="CJ16" s="184"/>
      <c r="CK16" s="184"/>
      <c r="CL16" s="184"/>
      <c r="CM16" s="184"/>
      <c r="CN16" s="184"/>
      <c r="CO16" s="184"/>
      <c r="CP16" s="184"/>
      <c r="CQ16" s="184"/>
      <c r="CR16" s="184"/>
      <c r="CS16" s="184"/>
      <c r="CT16" s="184"/>
      <c r="CU16" s="184"/>
      <c r="CV16" s="184"/>
      <c r="CW16" s="184"/>
      <c r="CX16" s="184"/>
      <c r="CY16" s="184"/>
      <c r="CZ16" s="184"/>
      <c r="DA16" s="184"/>
      <c r="DB16" s="184"/>
      <c r="DC16" s="184"/>
      <c r="DD16" s="184"/>
      <c r="DE16" s="184"/>
      <c r="DF16" s="184"/>
      <c r="DG16" s="184"/>
      <c r="DH16" s="184"/>
      <c r="DI16" s="184"/>
      <c r="DJ16" s="184"/>
      <c r="DK16" s="184"/>
      <c r="DL16" s="184"/>
      <c r="DM16" s="184"/>
      <c r="DN16" s="184"/>
      <c r="DO16" s="184"/>
      <c r="DP16" s="184"/>
      <c r="DQ16" s="184"/>
      <c r="DR16" s="184"/>
      <c r="DS16" s="184"/>
      <c r="DT16" s="184"/>
      <c r="DU16" s="184"/>
      <c r="DV16" s="184"/>
      <c r="DW16" s="184"/>
      <c r="DX16" s="184"/>
      <c r="DY16" s="184"/>
      <c r="DZ16" s="184"/>
      <c r="EA16" s="184"/>
      <c r="EB16" s="184"/>
      <c r="EC16" s="184"/>
      <c r="ED16" s="184"/>
      <c r="EE16" s="184"/>
      <c r="EF16" s="184"/>
      <c r="EG16" s="184"/>
      <c r="EH16" s="184"/>
      <c r="EI16" s="184"/>
      <c r="EJ16" s="184"/>
      <c r="EK16" s="184"/>
      <c r="EL16" s="184"/>
      <c r="EM16" s="184"/>
      <c r="EN16" s="184"/>
      <c r="EO16" s="184"/>
      <c r="EP16" s="184"/>
      <c r="EQ16" s="184"/>
      <c r="ER16" s="184"/>
      <c r="ES16" s="184"/>
      <c r="ET16" s="184"/>
      <c r="EU16" s="184"/>
      <c r="EV16" s="184"/>
      <c r="EW16" s="184"/>
      <c r="EX16" s="184"/>
      <c r="EY16" s="184"/>
      <c r="EZ16" s="184"/>
      <c r="FA16" s="184"/>
      <c r="FB16" s="184"/>
      <c r="FC16" s="184"/>
      <c r="FD16" s="184"/>
      <c r="FE16" s="184"/>
      <c r="FF16" s="184"/>
      <c r="FG16" s="184"/>
      <c r="FH16" s="184"/>
      <c r="FI16" s="184"/>
      <c r="FJ16" s="184"/>
      <c r="FK16" s="184"/>
      <c r="FL16" s="184"/>
      <c r="FM16" s="184"/>
      <c r="FN16" s="184"/>
      <c r="FO16" s="184"/>
      <c r="FP16" s="184"/>
      <c r="FQ16" s="184"/>
      <c r="FR16" s="184"/>
      <c r="FS16" s="184"/>
      <c r="FT16" s="184"/>
      <c r="FU16" s="184"/>
      <c r="FV16" s="184"/>
      <c r="FW16" s="184"/>
      <c r="FX16" s="184"/>
      <c r="FY16" s="184"/>
      <c r="FZ16" s="184"/>
      <c r="GA16" s="184"/>
      <c r="GB16" s="184"/>
      <c r="GC16" s="184"/>
      <c r="GD16" s="184"/>
      <c r="GE16" s="184"/>
      <c r="GF16" s="184"/>
      <c r="GG16" s="184"/>
      <c r="GH16" s="184"/>
      <c r="GI16" s="184"/>
      <c r="GJ16" s="184"/>
      <c r="GK16" s="184"/>
      <c r="GL16" s="184"/>
      <c r="GM16" s="184"/>
      <c r="GN16" s="184"/>
      <c r="GO16" s="184"/>
      <c r="GP16" s="184"/>
      <c r="GQ16" s="184"/>
      <c r="GR16" s="184"/>
    </row>
    <row r="17" spans="1:200" s="183" customFormat="1" ht="12" x14ac:dyDescent="0.2">
      <c r="A17" s="298" t="s">
        <v>684</v>
      </c>
      <c r="B17" s="295" t="s">
        <v>685</v>
      </c>
      <c r="C17" s="295" t="s">
        <v>674</v>
      </c>
      <c r="D17" s="294" t="s">
        <v>675</v>
      </c>
      <c r="E17" s="294"/>
      <c r="F17" s="297">
        <v>2.25</v>
      </c>
      <c r="G17" s="297">
        <f>Table1[[#This Row],[Column9]]*0.8</f>
        <v>1.8</v>
      </c>
      <c r="H17" s="296">
        <v>20</v>
      </c>
      <c r="I17" s="294">
        <v>24</v>
      </c>
      <c r="J17" s="294" t="s">
        <v>645</v>
      </c>
      <c r="K17" s="294" t="s">
        <v>644</v>
      </c>
      <c r="L17" s="294" t="s">
        <v>645</v>
      </c>
      <c r="M17" s="294"/>
      <c r="N17" s="294"/>
      <c r="O17" s="293"/>
      <c r="P17" s="293" t="s">
        <v>676</v>
      </c>
      <c r="Q17" s="292"/>
      <c r="R17" s="185"/>
      <c r="S17" s="185"/>
      <c r="T17" s="185"/>
      <c r="U17" s="185"/>
      <c r="V17" s="185"/>
      <c r="W17" s="185"/>
      <c r="X17" s="185"/>
      <c r="Y17" s="185"/>
      <c r="Z17" s="185"/>
      <c r="AA17" s="185"/>
      <c r="AB17" s="185"/>
      <c r="AC17" s="185"/>
      <c r="AD17" s="185"/>
      <c r="AE17" s="185"/>
      <c r="AF17" s="185"/>
      <c r="AG17" s="185"/>
      <c r="AH17" s="185"/>
      <c r="AI17" s="185"/>
      <c r="AJ17" s="185"/>
      <c r="AK17" s="185"/>
      <c r="AL17" s="185"/>
      <c r="AM17" s="185"/>
      <c r="AN17" s="185"/>
      <c r="AO17" s="185"/>
      <c r="AP17" s="185"/>
      <c r="AQ17" s="185"/>
      <c r="AR17" s="185"/>
      <c r="AS17" s="185"/>
      <c r="AT17" s="185"/>
      <c r="AU17" s="185"/>
      <c r="AV17" s="185"/>
      <c r="AW17" s="185"/>
      <c r="AX17" s="185"/>
      <c r="AY17" s="185"/>
      <c r="AZ17" s="185"/>
      <c r="BA17" s="185"/>
      <c r="BB17" s="185"/>
      <c r="BC17" s="185"/>
      <c r="BD17" s="185"/>
      <c r="BE17" s="184"/>
      <c r="BF17" s="184"/>
      <c r="BG17" s="184"/>
      <c r="BH17" s="184"/>
      <c r="BI17" s="184"/>
      <c r="BJ17" s="184"/>
      <c r="BK17" s="184"/>
      <c r="BL17" s="184"/>
      <c r="BM17" s="184"/>
      <c r="BN17" s="184"/>
      <c r="BO17" s="184"/>
      <c r="BP17" s="184"/>
      <c r="BQ17" s="184"/>
      <c r="BR17" s="184"/>
      <c r="BS17" s="184"/>
      <c r="BT17" s="184"/>
      <c r="BU17" s="184"/>
      <c r="BV17" s="184"/>
      <c r="BW17" s="184"/>
      <c r="BX17" s="184"/>
      <c r="BY17" s="184"/>
      <c r="BZ17" s="184"/>
      <c r="CA17" s="184"/>
      <c r="CB17" s="184"/>
      <c r="CC17" s="184"/>
      <c r="CD17" s="184"/>
      <c r="CE17" s="184"/>
      <c r="CF17" s="184"/>
      <c r="CG17" s="184"/>
      <c r="CH17" s="184"/>
      <c r="CI17" s="184"/>
      <c r="CJ17" s="184"/>
      <c r="CK17" s="184"/>
      <c r="CL17" s="184"/>
      <c r="CM17" s="184"/>
      <c r="CN17" s="184"/>
      <c r="CO17" s="184"/>
      <c r="CP17" s="184"/>
      <c r="CQ17" s="184"/>
      <c r="CR17" s="184"/>
      <c r="CS17" s="184"/>
      <c r="CT17" s="184"/>
      <c r="CU17" s="184"/>
      <c r="CV17" s="184"/>
      <c r="CW17" s="184"/>
      <c r="CX17" s="184"/>
      <c r="CY17" s="184"/>
      <c r="CZ17" s="184"/>
      <c r="DA17" s="184"/>
      <c r="DB17" s="184"/>
      <c r="DC17" s="184"/>
      <c r="DD17" s="184"/>
      <c r="DE17" s="184"/>
      <c r="DF17" s="184"/>
      <c r="DG17" s="184"/>
      <c r="DH17" s="184"/>
      <c r="DI17" s="184"/>
      <c r="DJ17" s="184"/>
      <c r="DK17" s="184"/>
      <c r="DL17" s="184"/>
      <c r="DM17" s="184"/>
      <c r="DN17" s="184"/>
      <c r="DO17" s="184"/>
      <c r="DP17" s="184"/>
      <c r="DQ17" s="184"/>
      <c r="DR17" s="184"/>
      <c r="DS17" s="184"/>
      <c r="DT17" s="184"/>
      <c r="DU17" s="184"/>
      <c r="DV17" s="184"/>
      <c r="DW17" s="184"/>
      <c r="DX17" s="184"/>
      <c r="DY17" s="184"/>
      <c r="DZ17" s="184"/>
      <c r="EA17" s="184"/>
      <c r="EB17" s="184"/>
      <c r="EC17" s="184"/>
      <c r="ED17" s="184"/>
      <c r="EE17" s="184"/>
      <c r="EF17" s="184"/>
      <c r="EG17" s="184"/>
      <c r="EH17" s="184"/>
      <c r="EI17" s="184"/>
      <c r="EJ17" s="184"/>
      <c r="EK17" s="184"/>
      <c r="EL17" s="184"/>
      <c r="EM17" s="184"/>
      <c r="EN17" s="184"/>
      <c r="EO17" s="184"/>
      <c r="EP17" s="184"/>
      <c r="EQ17" s="184"/>
      <c r="ER17" s="184"/>
      <c r="ES17" s="184"/>
      <c r="ET17" s="184"/>
      <c r="EU17" s="184"/>
      <c r="EV17" s="184"/>
      <c r="EW17" s="184"/>
      <c r="EX17" s="184"/>
      <c r="EY17" s="184"/>
      <c r="EZ17" s="184"/>
      <c r="FA17" s="184"/>
      <c r="FB17" s="184"/>
      <c r="FC17" s="184"/>
      <c r="FD17" s="184"/>
      <c r="FE17" s="184"/>
      <c r="FF17" s="184"/>
      <c r="FG17" s="184"/>
      <c r="FH17" s="184"/>
      <c r="FI17" s="184"/>
      <c r="FJ17" s="184"/>
      <c r="FK17" s="184"/>
      <c r="FL17" s="184"/>
      <c r="FM17" s="184"/>
      <c r="FN17" s="184"/>
      <c r="FO17" s="184"/>
      <c r="FP17" s="184"/>
      <c r="FQ17" s="184"/>
      <c r="FR17" s="184"/>
      <c r="FS17" s="184"/>
      <c r="FT17" s="184"/>
      <c r="FU17" s="184"/>
      <c r="FV17" s="184"/>
      <c r="FW17" s="184"/>
      <c r="FX17" s="184"/>
      <c r="FY17" s="184"/>
      <c r="FZ17" s="184"/>
      <c r="GA17" s="184"/>
      <c r="GB17" s="184"/>
      <c r="GC17" s="184"/>
      <c r="GD17" s="184"/>
      <c r="GE17" s="184"/>
      <c r="GF17" s="184"/>
      <c r="GG17" s="184"/>
      <c r="GH17" s="184"/>
      <c r="GI17" s="184"/>
      <c r="GJ17" s="184"/>
      <c r="GK17" s="184"/>
      <c r="GL17" s="184"/>
      <c r="GM17" s="184"/>
      <c r="GN17" s="184"/>
      <c r="GO17" s="184"/>
      <c r="GP17" s="184"/>
      <c r="GQ17" s="184"/>
      <c r="GR17" s="184"/>
    </row>
    <row r="18" spans="1:200" s="184" customFormat="1" ht="12" x14ac:dyDescent="0.2">
      <c r="A18" s="298" t="s">
        <v>686</v>
      </c>
      <c r="B18" s="295" t="s">
        <v>679</v>
      </c>
      <c r="C18" s="295" t="s">
        <v>687</v>
      </c>
      <c r="D18" s="294" t="s">
        <v>675</v>
      </c>
      <c r="E18" s="294"/>
      <c r="F18" s="297">
        <v>2.25</v>
      </c>
      <c r="G18" s="297">
        <f>Table1[[#This Row],[Column9]]*0.8</f>
        <v>1.8</v>
      </c>
      <c r="H18" s="296">
        <v>20</v>
      </c>
      <c r="I18" s="295">
        <v>24</v>
      </c>
      <c r="J18" s="294" t="s">
        <v>645</v>
      </c>
      <c r="K18" s="294" t="s">
        <v>644</v>
      </c>
      <c r="L18" s="294" t="s">
        <v>645</v>
      </c>
      <c r="M18" s="294"/>
      <c r="N18" s="294"/>
      <c r="O18" s="293"/>
      <c r="P18" s="293" t="s">
        <v>676</v>
      </c>
      <c r="Q18" s="292"/>
      <c r="R18" s="185"/>
      <c r="S18" s="185"/>
      <c r="T18" s="185"/>
      <c r="U18" s="185"/>
      <c r="V18" s="185"/>
      <c r="W18" s="185"/>
      <c r="X18" s="185"/>
      <c r="Y18" s="185"/>
      <c r="Z18" s="185"/>
      <c r="AA18" s="185"/>
      <c r="AB18" s="185"/>
      <c r="AC18" s="185"/>
      <c r="AD18" s="185"/>
      <c r="AE18" s="185"/>
      <c r="AF18" s="185"/>
      <c r="AG18" s="185"/>
      <c r="AH18" s="185"/>
      <c r="AI18" s="185"/>
      <c r="AJ18" s="185"/>
      <c r="AK18" s="185"/>
      <c r="AL18" s="185"/>
      <c r="AM18" s="185"/>
      <c r="AN18" s="185"/>
      <c r="AO18" s="185"/>
      <c r="AP18" s="185"/>
      <c r="AQ18" s="185"/>
      <c r="AR18" s="185"/>
      <c r="AS18" s="185"/>
      <c r="AT18" s="185"/>
      <c r="AU18" s="185"/>
      <c r="AV18" s="185"/>
      <c r="AW18" s="185"/>
      <c r="AX18" s="185"/>
      <c r="AY18" s="185"/>
      <c r="AZ18" s="185"/>
      <c r="BA18" s="185"/>
      <c r="BB18" s="185"/>
      <c r="BC18" s="185"/>
      <c r="BD18" s="185"/>
    </row>
    <row r="19" spans="1:200" s="184" customFormat="1" ht="12.75" thickBot="1" x14ac:dyDescent="0.25">
      <c r="A19" s="291"/>
      <c r="B19" s="290"/>
      <c r="C19" s="290"/>
      <c r="D19" s="275"/>
      <c r="E19" s="275"/>
      <c r="F19" s="290"/>
      <c r="G19" s="290"/>
      <c r="H19" s="289"/>
      <c r="I19" s="275"/>
      <c r="J19" s="275"/>
      <c r="K19" s="275"/>
      <c r="L19" s="275"/>
      <c r="M19" s="275"/>
      <c r="N19" s="275"/>
      <c r="O19" s="275"/>
      <c r="P19" s="275"/>
      <c r="Q19" s="288"/>
      <c r="R19" s="185"/>
      <c r="S19" s="185"/>
      <c r="T19" s="185"/>
      <c r="U19" s="185"/>
      <c r="V19" s="185"/>
      <c r="W19" s="185"/>
      <c r="X19" s="185"/>
      <c r="Y19" s="185"/>
      <c r="Z19" s="185"/>
      <c r="AA19" s="185"/>
      <c r="AB19" s="185"/>
      <c r="AC19" s="185"/>
      <c r="AD19" s="185"/>
      <c r="AE19" s="185"/>
      <c r="AF19" s="185"/>
      <c r="AG19" s="185"/>
      <c r="AH19" s="185"/>
      <c r="AI19" s="185"/>
      <c r="AJ19" s="185"/>
      <c r="AK19" s="185"/>
      <c r="AL19" s="185"/>
      <c r="AM19" s="185"/>
      <c r="AN19" s="185"/>
      <c r="AO19" s="185"/>
      <c r="AP19" s="185"/>
      <c r="AQ19" s="185"/>
      <c r="AR19" s="185"/>
      <c r="AS19" s="185"/>
      <c r="AT19" s="185"/>
      <c r="AU19" s="185"/>
      <c r="AV19" s="185"/>
      <c r="AW19" s="185"/>
      <c r="AX19" s="185"/>
      <c r="AY19" s="185"/>
      <c r="AZ19" s="185"/>
      <c r="BA19" s="185"/>
      <c r="BB19" s="185"/>
      <c r="BC19" s="185"/>
      <c r="BD19" s="185"/>
    </row>
    <row r="20" spans="1:200" ht="21" customHeight="1" x14ac:dyDescent="0.2">
      <c r="A20" s="1074" t="s">
        <v>622</v>
      </c>
      <c r="B20" s="1072" t="s">
        <v>300</v>
      </c>
      <c r="C20" s="1072" t="s">
        <v>205</v>
      </c>
      <c r="D20" s="1072" t="s">
        <v>111</v>
      </c>
      <c r="E20" s="1072" t="s">
        <v>647</v>
      </c>
      <c r="F20" s="1072" t="s">
        <v>648</v>
      </c>
      <c r="G20" s="1072" t="s">
        <v>649</v>
      </c>
      <c r="H20" s="286" t="s">
        <v>650</v>
      </c>
      <c r="I20" s="285" t="s">
        <v>67</v>
      </c>
      <c r="J20" s="285"/>
      <c r="K20" s="285"/>
      <c r="L20" s="285"/>
      <c r="M20" s="285"/>
      <c r="N20" s="271" t="s">
        <v>628</v>
      </c>
      <c r="O20" s="284" t="s">
        <v>651</v>
      </c>
      <c r="P20" s="283" t="s">
        <v>630</v>
      </c>
      <c r="Q20" s="282"/>
      <c r="R20" s="185"/>
      <c r="S20" s="161"/>
      <c r="T20" s="161"/>
      <c r="U20" s="161"/>
      <c r="V20" s="161"/>
      <c r="W20" s="161"/>
      <c r="X20" s="161"/>
      <c r="Y20" s="161"/>
      <c r="Z20" s="161"/>
      <c r="AA20" s="161"/>
      <c r="AB20" s="161"/>
      <c r="AC20" s="161"/>
      <c r="AD20" s="161"/>
      <c r="AE20" s="161"/>
      <c r="AF20" s="161"/>
      <c r="AG20" s="161"/>
      <c r="AH20" s="161"/>
      <c r="AI20" s="161"/>
      <c r="AJ20" s="161"/>
      <c r="AK20" s="161"/>
      <c r="AL20" s="161"/>
      <c r="AM20" s="161"/>
      <c r="AN20" s="161"/>
      <c r="AO20" s="161"/>
      <c r="AP20" s="161"/>
      <c r="AQ20" s="161"/>
      <c r="AR20" s="161"/>
      <c r="AS20" s="161"/>
      <c r="AT20" s="161"/>
      <c r="AU20" s="161"/>
      <c r="AV20" s="161"/>
      <c r="AW20" s="161"/>
      <c r="AX20" s="161"/>
      <c r="AY20" s="161"/>
      <c r="AZ20" s="161"/>
      <c r="BA20" s="161"/>
      <c r="BB20" s="161"/>
      <c r="BC20" s="161"/>
      <c r="BD20" s="161"/>
    </row>
    <row r="21" spans="1:200" ht="36" x14ac:dyDescent="0.2">
      <c r="A21" s="1075"/>
      <c r="B21" s="1073"/>
      <c r="C21" s="1073"/>
      <c r="D21" s="1073"/>
      <c r="E21" s="1073"/>
      <c r="F21" s="1073"/>
      <c r="G21" s="1073"/>
      <c r="H21" s="280" t="s">
        <v>652</v>
      </c>
      <c r="I21" s="281" t="s">
        <v>653</v>
      </c>
      <c r="J21" s="281" t="s">
        <v>654</v>
      </c>
      <c r="K21" s="281" t="s">
        <v>655</v>
      </c>
      <c r="L21" s="281" t="s">
        <v>653</v>
      </c>
      <c r="M21" s="281" t="s">
        <v>656</v>
      </c>
      <c r="N21" s="280" t="s">
        <v>657</v>
      </c>
      <c r="O21" s="279"/>
      <c r="P21" s="278"/>
      <c r="Q21" s="277"/>
      <c r="R21" s="185"/>
      <c r="S21" s="161"/>
      <c r="T21" s="161"/>
      <c r="U21" s="161"/>
      <c r="V21" s="161"/>
      <c r="W21" s="161"/>
      <c r="X21" s="161"/>
      <c r="Y21" s="161"/>
      <c r="Z21" s="161"/>
      <c r="AA21" s="161"/>
      <c r="AB21" s="161"/>
      <c r="AC21" s="161"/>
      <c r="AD21" s="161"/>
      <c r="AE21" s="161"/>
      <c r="AF21" s="161"/>
      <c r="AG21" s="161"/>
      <c r="AH21" s="161"/>
      <c r="AI21" s="161"/>
      <c r="AJ21" s="161"/>
      <c r="AK21" s="161"/>
      <c r="AL21" s="161"/>
      <c r="AM21" s="161"/>
      <c r="AN21" s="161"/>
      <c r="AO21" s="161"/>
      <c r="AP21" s="161"/>
      <c r="AQ21" s="161"/>
      <c r="AR21" s="161"/>
      <c r="AS21" s="161"/>
      <c r="AT21" s="161"/>
      <c r="AU21" s="161"/>
      <c r="AV21" s="161"/>
      <c r="AW21" s="161"/>
      <c r="AX21" s="161"/>
      <c r="AY21" s="161"/>
      <c r="AZ21" s="161"/>
      <c r="BA21" s="161"/>
      <c r="BB21" s="161"/>
      <c r="BC21" s="161"/>
      <c r="BD21" s="161"/>
    </row>
    <row r="22" spans="1:200" s="222" customFormat="1" ht="24.75" thickBot="1" x14ac:dyDescent="0.25">
      <c r="A22" s="276" t="s">
        <v>688</v>
      </c>
      <c r="B22" s="275" t="s">
        <v>664</v>
      </c>
      <c r="C22" s="275" t="s">
        <v>689</v>
      </c>
      <c r="D22" s="275" t="s">
        <v>690</v>
      </c>
      <c r="E22" s="275"/>
      <c r="F22" s="275"/>
      <c r="G22" s="275"/>
      <c r="H22" s="275"/>
      <c r="I22" s="275" t="s">
        <v>691</v>
      </c>
      <c r="J22" s="275"/>
      <c r="K22" s="275" t="s">
        <v>692</v>
      </c>
      <c r="L22" s="275" t="s">
        <v>691</v>
      </c>
      <c r="M22" s="275"/>
      <c r="N22" s="275"/>
      <c r="O22" s="275"/>
      <c r="P22" s="274" t="s">
        <v>693</v>
      </c>
      <c r="Q22" s="273"/>
      <c r="R22" s="185"/>
      <c r="S22" s="224"/>
      <c r="T22" s="224"/>
      <c r="U22" s="224"/>
      <c r="V22" s="224"/>
      <c r="W22" s="224"/>
      <c r="X22" s="224"/>
      <c r="Y22" s="224"/>
      <c r="Z22" s="224"/>
      <c r="AA22" s="224"/>
      <c r="AB22" s="224"/>
      <c r="AC22" s="224"/>
      <c r="AD22" s="224"/>
      <c r="AE22" s="224"/>
      <c r="AF22" s="224"/>
      <c r="AG22" s="224"/>
      <c r="AH22" s="224"/>
      <c r="AI22" s="224"/>
      <c r="AJ22" s="224"/>
      <c r="AK22" s="224"/>
      <c r="AL22" s="224"/>
      <c r="AM22" s="224"/>
      <c r="AN22" s="224"/>
      <c r="AO22" s="224"/>
      <c r="AP22" s="224"/>
      <c r="AQ22" s="224"/>
      <c r="AR22" s="224"/>
      <c r="AS22" s="224"/>
      <c r="AT22" s="224"/>
      <c r="AU22" s="224"/>
      <c r="AV22" s="224"/>
      <c r="AW22" s="224"/>
      <c r="AX22" s="224"/>
      <c r="AY22" s="224"/>
      <c r="AZ22" s="224"/>
      <c r="BA22" s="224"/>
      <c r="BB22" s="224"/>
      <c r="BC22" s="224"/>
      <c r="BD22" s="224"/>
      <c r="BE22" s="223"/>
      <c r="BF22" s="223"/>
      <c r="BG22" s="223"/>
      <c r="BH22" s="223"/>
      <c r="BI22" s="223"/>
      <c r="BJ22" s="223"/>
      <c r="BK22" s="223"/>
      <c r="BL22" s="223"/>
      <c r="BM22" s="223"/>
      <c r="BN22" s="223"/>
      <c r="BO22" s="223"/>
      <c r="BP22" s="223"/>
      <c r="BQ22" s="223"/>
      <c r="BR22" s="223"/>
      <c r="BS22" s="223"/>
      <c r="BT22" s="223"/>
      <c r="BU22" s="223"/>
      <c r="BV22" s="223"/>
      <c r="BW22" s="223"/>
      <c r="BX22" s="223"/>
      <c r="BY22" s="223"/>
      <c r="BZ22" s="223"/>
      <c r="CA22" s="223"/>
      <c r="CB22" s="223"/>
      <c r="CC22" s="223"/>
      <c r="CD22" s="223"/>
      <c r="CE22" s="223"/>
      <c r="CF22" s="223"/>
      <c r="CG22" s="223"/>
      <c r="CH22" s="223"/>
      <c r="CI22" s="223"/>
      <c r="CJ22" s="223"/>
      <c r="CK22" s="223"/>
      <c r="CL22" s="223"/>
      <c r="CM22" s="223"/>
      <c r="CN22" s="223"/>
      <c r="CO22" s="223"/>
      <c r="CP22" s="223"/>
      <c r="CQ22" s="223"/>
      <c r="CR22" s="223"/>
      <c r="CS22" s="223"/>
      <c r="CT22" s="223"/>
      <c r="CU22" s="223"/>
      <c r="CV22" s="223"/>
      <c r="CW22" s="223"/>
      <c r="CX22" s="223"/>
      <c r="CY22" s="223"/>
      <c r="CZ22" s="223"/>
      <c r="DA22" s="223"/>
      <c r="DB22" s="223"/>
      <c r="DC22" s="223"/>
      <c r="DD22" s="223"/>
      <c r="DE22" s="223"/>
      <c r="DF22" s="223"/>
      <c r="DG22" s="223"/>
      <c r="DH22" s="223"/>
      <c r="DI22" s="223"/>
      <c r="DJ22" s="223"/>
      <c r="DK22" s="223"/>
      <c r="DL22" s="223"/>
      <c r="DM22" s="223"/>
      <c r="DN22" s="223"/>
      <c r="DO22" s="223"/>
      <c r="DP22" s="223"/>
      <c r="DQ22" s="223"/>
      <c r="DR22" s="223"/>
      <c r="DS22" s="223"/>
      <c r="DT22" s="223"/>
      <c r="DU22" s="223"/>
      <c r="DV22" s="223"/>
      <c r="DW22" s="223"/>
      <c r="DX22" s="223"/>
      <c r="DY22" s="223"/>
      <c r="DZ22" s="223"/>
      <c r="EA22" s="223"/>
      <c r="EB22" s="223"/>
      <c r="EC22" s="223"/>
      <c r="ED22" s="223"/>
      <c r="EE22" s="223"/>
      <c r="EF22" s="223"/>
      <c r="EG22" s="223"/>
      <c r="EH22" s="223"/>
      <c r="EI22" s="223"/>
      <c r="EJ22" s="223"/>
      <c r="EK22" s="223"/>
      <c r="EL22" s="223"/>
      <c r="EM22" s="223"/>
      <c r="EN22" s="223"/>
      <c r="EO22" s="223"/>
      <c r="EP22" s="223"/>
      <c r="EQ22" s="223"/>
      <c r="ER22" s="223"/>
      <c r="ES22" s="223"/>
      <c r="ET22" s="223"/>
      <c r="EU22" s="223"/>
      <c r="EV22" s="223"/>
      <c r="EW22" s="223"/>
      <c r="EX22" s="223"/>
      <c r="EY22" s="223"/>
      <c r="EZ22" s="223"/>
      <c r="FA22" s="223"/>
      <c r="FB22" s="223"/>
      <c r="FC22" s="223"/>
      <c r="FD22" s="223"/>
      <c r="FE22" s="223"/>
      <c r="FF22" s="223"/>
      <c r="FG22" s="223"/>
      <c r="FH22" s="223"/>
      <c r="FI22" s="223"/>
      <c r="FJ22" s="223"/>
      <c r="FK22" s="223"/>
      <c r="FL22" s="223"/>
      <c r="FM22" s="223"/>
      <c r="FN22" s="223"/>
      <c r="FO22" s="223"/>
      <c r="FP22" s="223"/>
      <c r="FQ22" s="223"/>
      <c r="FR22" s="223"/>
      <c r="FS22" s="223"/>
      <c r="FT22" s="223"/>
      <c r="FU22" s="223"/>
      <c r="FV22" s="223"/>
      <c r="FW22" s="223"/>
      <c r="FX22" s="223"/>
      <c r="FY22" s="223"/>
      <c r="FZ22" s="223"/>
      <c r="GA22" s="223"/>
      <c r="GB22" s="223"/>
      <c r="GC22" s="223"/>
      <c r="GD22" s="223"/>
      <c r="GE22" s="223"/>
      <c r="GF22" s="223"/>
      <c r="GG22" s="223"/>
      <c r="GH22" s="223"/>
      <c r="GI22" s="223"/>
      <c r="GJ22" s="223"/>
      <c r="GK22" s="223"/>
      <c r="GL22" s="223"/>
      <c r="GM22" s="223"/>
      <c r="GN22" s="223"/>
      <c r="GO22" s="223"/>
      <c r="GP22" s="223"/>
      <c r="GQ22" s="223"/>
      <c r="GR22" s="223"/>
    </row>
    <row r="23" spans="1:200" s="184" customFormat="1" ht="36" x14ac:dyDescent="0.2">
      <c r="A23" s="272" t="s">
        <v>622</v>
      </c>
      <c r="B23" s="271" t="s">
        <v>300</v>
      </c>
      <c r="C23" s="271" t="s">
        <v>694</v>
      </c>
      <c r="D23" s="271" t="s">
        <v>653</v>
      </c>
      <c r="E23" s="271" t="s">
        <v>695</v>
      </c>
      <c r="F23" s="271" t="s">
        <v>696</v>
      </c>
      <c r="G23" s="271" t="s">
        <v>697</v>
      </c>
      <c r="H23" s="270" t="s">
        <v>698</v>
      </c>
      <c r="I23" s="269"/>
      <c r="J23" s="269"/>
      <c r="K23" s="269"/>
      <c r="L23" s="269"/>
      <c r="M23" s="269"/>
      <c r="N23" s="269"/>
      <c r="O23" s="269"/>
      <c r="P23" s="269"/>
      <c r="Q23" s="268"/>
      <c r="R23" s="185"/>
      <c r="S23" s="185"/>
      <c r="T23" s="185"/>
      <c r="U23" s="185"/>
      <c r="V23" s="185"/>
      <c r="W23" s="185"/>
      <c r="X23" s="185"/>
      <c r="Y23" s="185"/>
      <c r="Z23" s="185"/>
      <c r="AA23" s="185"/>
      <c r="AB23" s="185"/>
      <c r="AC23" s="185"/>
      <c r="AD23" s="185"/>
      <c r="AE23" s="185"/>
      <c r="AF23" s="185"/>
      <c r="AG23" s="185"/>
      <c r="AH23" s="185"/>
      <c r="AI23" s="185"/>
      <c r="AJ23" s="185"/>
      <c r="AK23" s="185"/>
      <c r="AL23" s="185"/>
      <c r="AM23" s="185"/>
      <c r="AN23" s="185"/>
      <c r="AO23" s="185"/>
      <c r="AP23" s="185"/>
      <c r="AQ23" s="185"/>
      <c r="AR23" s="185"/>
      <c r="AS23" s="185"/>
      <c r="AT23" s="185"/>
      <c r="AU23" s="185"/>
      <c r="AV23" s="185"/>
      <c r="AW23" s="185"/>
      <c r="AX23" s="185"/>
      <c r="AY23" s="185"/>
      <c r="AZ23" s="185"/>
      <c r="BA23" s="185"/>
      <c r="BB23" s="185"/>
      <c r="BC23" s="185"/>
      <c r="BD23" s="185"/>
    </row>
    <row r="24" spans="1:200" ht="12" x14ac:dyDescent="0.2">
      <c r="A24" s="266" t="s">
        <v>699</v>
      </c>
      <c r="B24" s="265" t="s">
        <v>664</v>
      </c>
      <c r="C24" s="265" t="s">
        <v>700</v>
      </c>
      <c r="D24" s="265" t="s">
        <v>701</v>
      </c>
      <c r="E24" s="265"/>
      <c r="F24" s="265"/>
      <c r="G24" s="265"/>
      <c r="H24" s="267"/>
      <c r="I24" s="263"/>
      <c r="J24" s="263"/>
      <c r="K24" s="263"/>
      <c r="L24" s="263"/>
      <c r="M24" s="263"/>
      <c r="N24" s="263"/>
      <c r="O24" s="263"/>
      <c r="P24" s="263"/>
      <c r="Q24" s="262"/>
      <c r="R24" s="185"/>
      <c r="S24" s="161"/>
      <c r="T24" s="161"/>
      <c r="U24" s="161"/>
      <c r="V24" s="161"/>
      <c r="W24" s="161"/>
      <c r="X24" s="161"/>
      <c r="Y24" s="161"/>
      <c r="Z24" s="161"/>
      <c r="AA24" s="161"/>
      <c r="AB24" s="161"/>
      <c r="AC24" s="161"/>
      <c r="AD24" s="161"/>
      <c r="AE24" s="161"/>
      <c r="AF24" s="161"/>
      <c r="AG24" s="161"/>
      <c r="AH24" s="161"/>
      <c r="AI24" s="161"/>
      <c r="AJ24" s="161"/>
      <c r="AK24" s="161"/>
      <c r="AL24" s="161"/>
      <c r="AM24" s="161"/>
      <c r="AN24" s="161"/>
      <c r="AO24" s="161"/>
      <c r="AP24" s="161"/>
      <c r="AQ24" s="161"/>
      <c r="AR24" s="161"/>
      <c r="AS24" s="161"/>
      <c r="AT24" s="161"/>
      <c r="AU24" s="161"/>
      <c r="AV24" s="161"/>
      <c r="AW24" s="161"/>
      <c r="AX24" s="161"/>
      <c r="AY24" s="161"/>
      <c r="AZ24" s="161"/>
      <c r="BA24" s="161"/>
      <c r="BB24" s="161"/>
      <c r="BC24" s="161"/>
      <c r="BD24" s="161"/>
    </row>
    <row r="25" spans="1:200" ht="12" x14ac:dyDescent="0.2">
      <c r="A25" s="266"/>
      <c r="B25" s="265"/>
      <c r="C25" s="265"/>
      <c r="D25" s="265"/>
      <c r="E25" s="265"/>
      <c r="F25" s="265"/>
      <c r="G25" s="265"/>
      <c r="H25" s="264" t="s">
        <v>702</v>
      </c>
      <c r="I25" s="263"/>
      <c r="J25" s="263"/>
      <c r="K25" s="263"/>
      <c r="L25" s="263"/>
      <c r="M25" s="263"/>
      <c r="N25" s="263"/>
      <c r="O25" s="263"/>
      <c r="P25" s="263"/>
      <c r="Q25" s="262"/>
      <c r="R25" s="185"/>
      <c r="S25" s="161"/>
      <c r="T25" s="161"/>
      <c r="U25" s="161"/>
      <c r="V25" s="161"/>
      <c r="W25" s="161"/>
      <c r="X25" s="161"/>
      <c r="Y25" s="161"/>
      <c r="Z25" s="161"/>
      <c r="AA25" s="161"/>
      <c r="AB25" s="161"/>
      <c r="AC25" s="161"/>
      <c r="AD25" s="161"/>
      <c r="AE25" s="161"/>
      <c r="AF25" s="161"/>
      <c r="AG25" s="161"/>
      <c r="AH25" s="161"/>
      <c r="AI25" s="161"/>
      <c r="AJ25" s="161"/>
      <c r="AK25" s="161"/>
      <c r="AL25" s="161"/>
      <c r="AM25" s="161"/>
      <c r="AN25" s="161"/>
      <c r="AO25" s="161"/>
      <c r="AP25" s="161"/>
      <c r="AQ25" s="161"/>
      <c r="AR25" s="161"/>
      <c r="AS25" s="161"/>
      <c r="AT25" s="161"/>
      <c r="AU25" s="161"/>
      <c r="AV25" s="161"/>
      <c r="AW25" s="161"/>
      <c r="AX25" s="161"/>
      <c r="AY25" s="161"/>
      <c r="AZ25" s="161"/>
      <c r="BA25" s="161"/>
      <c r="BB25" s="161"/>
      <c r="BC25" s="161"/>
      <c r="BD25" s="161"/>
    </row>
    <row r="26" spans="1:200" ht="15" x14ac:dyDescent="0.25">
      <c r="A26" s="260"/>
      <c r="B26" s="260"/>
      <c r="C26" s="260"/>
      <c r="D26" s="260"/>
      <c r="E26" s="260"/>
      <c r="F26" s="260"/>
      <c r="G26" s="260"/>
      <c r="H26" s="260"/>
      <c r="I26" s="163"/>
      <c r="J26" s="163"/>
      <c r="K26" s="163"/>
      <c r="L26" s="163"/>
      <c r="M26" s="163"/>
      <c r="N26" s="163"/>
      <c r="O26" s="163"/>
      <c r="P26" s="163"/>
      <c r="Q26" s="210"/>
      <c r="R26" s="185"/>
      <c r="S26" s="161"/>
      <c r="T26" s="161"/>
      <c r="U26" s="161"/>
      <c r="V26" s="161"/>
      <c r="W26" s="161"/>
      <c r="X26" s="161"/>
      <c r="Y26" s="161"/>
      <c r="Z26" s="161"/>
      <c r="AA26" s="161"/>
      <c r="AB26" s="161"/>
      <c r="AC26" s="161"/>
      <c r="AD26" s="161"/>
      <c r="AE26" s="161"/>
      <c r="AF26" s="161"/>
      <c r="AG26" s="161"/>
      <c r="AH26" s="161"/>
      <c r="AI26" s="161"/>
      <c r="AJ26" s="161"/>
      <c r="AK26" s="161"/>
      <c r="AL26" s="161"/>
      <c r="AM26" s="161"/>
      <c r="AN26" s="161"/>
      <c r="AO26" s="161"/>
      <c r="AP26" s="161"/>
      <c r="AQ26" s="161"/>
      <c r="AR26" s="161"/>
      <c r="AS26" s="161"/>
      <c r="AT26" s="161"/>
      <c r="AU26" s="161"/>
      <c r="AV26" s="161"/>
      <c r="AW26" s="161"/>
      <c r="AX26" s="161"/>
      <c r="AY26" s="161"/>
      <c r="AZ26" s="161"/>
      <c r="BA26" s="161"/>
      <c r="BB26" s="161"/>
      <c r="BC26" s="161"/>
      <c r="BD26" s="161"/>
    </row>
    <row r="27" spans="1:200" ht="15" x14ac:dyDescent="0.25">
      <c r="A27" s="261" t="s">
        <v>703</v>
      </c>
      <c r="B27" s="260"/>
      <c r="C27" s="260"/>
      <c r="D27" s="260"/>
      <c r="E27" s="260"/>
      <c r="F27" s="260"/>
      <c r="G27" s="260"/>
      <c r="H27" s="260"/>
      <c r="I27" s="163"/>
      <c r="J27" s="163"/>
      <c r="K27" s="163"/>
      <c r="L27" s="163"/>
      <c r="M27" s="163"/>
      <c r="N27" s="163"/>
      <c r="O27" s="163"/>
      <c r="P27" s="163"/>
      <c r="Q27" s="210"/>
      <c r="R27" s="185"/>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161"/>
      <c r="BA27" s="161"/>
      <c r="BB27" s="161"/>
      <c r="BC27" s="161"/>
      <c r="BD27" s="161"/>
    </row>
    <row r="28" spans="1:200" ht="15" x14ac:dyDescent="0.25">
      <c r="I28" s="163"/>
      <c r="J28" s="163"/>
      <c r="K28" s="163"/>
      <c r="L28" s="163"/>
      <c r="M28" s="163"/>
      <c r="N28" s="163"/>
      <c r="O28" s="163"/>
      <c r="P28" s="163"/>
      <c r="Q28" s="210"/>
      <c r="R28" s="185"/>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161"/>
      <c r="BA28" s="161"/>
      <c r="BB28" s="161"/>
      <c r="BC28" s="161"/>
      <c r="BD28" s="161"/>
    </row>
    <row r="29" spans="1:200" ht="15.75" thickBot="1" x14ac:dyDescent="0.3">
      <c r="A29" s="163"/>
      <c r="B29" s="163"/>
      <c r="C29" s="163"/>
      <c r="D29" s="163"/>
      <c r="E29" s="163"/>
      <c r="F29" s="163"/>
      <c r="G29" s="163"/>
      <c r="H29" s="161"/>
      <c r="I29" s="161"/>
      <c r="J29" s="161"/>
      <c r="K29" s="161"/>
      <c r="L29" s="161"/>
      <c r="M29" s="1050"/>
      <c r="N29" s="1050"/>
      <c r="O29" s="161"/>
      <c r="P29" s="161"/>
      <c r="Q29" s="160"/>
      <c r="R29" s="161"/>
      <c r="S29" s="161"/>
      <c r="T29" s="161"/>
      <c r="U29" s="161"/>
      <c r="V29" s="161"/>
      <c r="W29" s="161"/>
      <c r="X29" s="161"/>
      <c r="Y29" s="161"/>
      <c r="Z29" s="161"/>
      <c r="AA29" s="161"/>
      <c r="AB29" s="161"/>
      <c r="AC29" s="161"/>
      <c r="AD29" s="161"/>
      <c r="AE29" s="161"/>
      <c r="AF29" s="161"/>
      <c r="AG29" s="161"/>
      <c r="AH29" s="161"/>
      <c r="AI29" s="161"/>
      <c r="AJ29" s="161"/>
      <c r="AK29" s="161"/>
      <c r="AL29" s="161"/>
      <c r="AM29" s="161"/>
      <c r="AN29" s="161"/>
      <c r="AO29" s="161"/>
      <c r="AP29" s="161"/>
      <c r="AQ29" s="161"/>
      <c r="AR29" s="161"/>
      <c r="AS29" s="161"/>
      <c r="AT29" s="161"/>
      <c r="AU29" s="161"/>
      <c r="AV29" s="161"/>
      <c r="AW29" s="161"/>
      <c r="AX29" s="161"/>
      <c r="AY29" s="161"/>
      <c r="AZ29" s="161"/>
      <c r="BA29" s="161"/>
      <c r="BB29" s="161"/>
      <c r="BC29" s="161"/>
      <c r="BD29" s="161"/>
    </row>
    <row r="30" spans="1:200" ht="15.75" customHeight="1" thickBot="1" x14ac:dyDescent="0.25">
      <c r="A30" s="259" t="s">
        <v>704</v>
      </c>
      <c r="B30" s="258"/>
      <c r="C30" s="258"/>
      <c r="D30" s="258"/>
      <c r="E30" s="258"/>
      <c r="F30" s="258"/>
      <c r="G30" s="258"/>
      <c r="H30" s="258"/>
      <c r="I30" s="258"/>
      <c r="J30" s="258"/>
      <c r="K30" s="258"/>
      <c r="L30" s="258"/>
      <c r="M30" s="258"/>
      <c r="N30" s="258"/>
      <c r="O30" s="258"/>
      <c r="P30" s="258"/>
      <c r="Q30" s="257"/>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161"/>
      <c r="BA30" s="161"/>
      <c r="BB30" s="161"/>
      <c r="BC30" s="161"/>
      <c r="BD30" s="161"/>
    </row>
    <row r="31" spans="1:200" s="183" customFormat="1" ht="15" x14ac:dyDescent="0.2">
      <c r="A31" s="244" t="s">
        <v>705</v>
      </c>
      <c r="B31" s="243" t="s">
        <v>706</v>
      </c>
      <c r="C31" s="243" t="s">
        <v>707</v>
      </c>
      <c r="D31" s="240" t="s">
        <v>675</v>
      </c>
      <c r="E31" s="242"/>
      <c r="F31" s="241"/>
      <c r="G31" s="241"/>
      <c r="H31" s="240">
        <v>20</v>
      </c>
      <c r="I31" s="240">
        <v>24</v>
      </c>
      <c r="J31" s="240" t="s">
        <v>645</v>
      </c>
      <c r="K31" s="243" t="s">
        <v>644</v>
      </c>
      <c r="L31" s="243" t="s">
        <v>645</v>
      </c>
      <c r="M31" s="243"/>
      <c r="N31" s="243"/>
      <c r="O31" s="247"/>
      <c r="P31" s="255" t="s">
        <v>676</v>
      </c>
      <c r="Q31" s="256"/>
      <c r="R31" s="185"/>
      <c r="S31" s="185"/>
      <c r="T31" s="185"/>
      <c r="U31" s="185"/>
      <c r="V31" s="185"/>
      <c r="W31" s="185"/>
      <c r="X31" s="185"/>
      <c r="Y31" s="185"/>
      <c r="Z31" s="185"/>
      <c r="AA31" s="185"/>
      <c r="AB31" s="185"/>
      <c r="AC31" s="185"/>
      <c r="AD31" s="185"/>
      <c r="AE31" s="185"/>
      <c r="AF31" s="185"/>
      <c r="AG31" s="185"/>
      <c r="AH31" s="185"/>
      <c r="AI31" s="185"/>
      <c r="AJ31" s="185"/>
      <c r="AK31" s="185"/>
      <c r="AL31" s="185"/>
      <c r="AM31" s="185"/>
      <c r="AN31" s="185"/>
      <c r="AO31" s="185"/>
      <c r="AP31" s="185"/>
      <c r="AQ31" s="185"/>
      <c r="AR31" s="185"/>
      <c r="AS31" s="185"/>
      <c r="AT31" s="185"/>
      <c r="AU31" s="185"/>
      <c r="AV31" s="185"/>
      <c r="AW31" s="185"/>
      <c r="AX31" s="185"/>
      <c r="AY31" s="185"/>
      <c r="AZ31" s="185"/>
      <c r="BA31" s="185"/>
      <c r="BB31" s="185"/>
      <c r="BC31" s="185"/>
      <c r="BD31" s="185"/>
      <c r="BE31" s="184"/>
      <c r="BF31" s="184"/>
      <c r="BG31" s="184"/>
      <c r="BH31" s="184"/>
      <c r="BI31" s="184"/>
      <c r="BJ31" s="184"/>
      <c r="BK31" s="184"/>
      <c r="BL31" s="184"/>
      <c r="BM31" s="184"/>
      <c r="BN31" s="184"/>
      <c r="BO31" s="184"/>
      <c r="BP31" s="184"/>
      <c r="BQ31" s="184"/>
      <c r="BR31" s="184"/>
      <c r="BS31" s="184"/>
      <c r="BT31" s="184"/>
      <c r="BU31" s="184"/>
      <c r="BV31" s="184"/>
      <c r="BW31" s="184"/>
      <c r="BX31" s="184"/>
      <c r="BY31" s="184"/>
      <c r="BZ31" s="184"/>
      <c r="CA31" s="184"/>
      <c r="CB31" s="184"/>
      <c r="CC31" s="184"/>
      <c r="CD31" s="184"/>
      <c r="CE31" s="184"/>
      <c r="CF31" s="184"/>
      <c r="CG31" s="184"/>
      <c r="CH31" s="184"/>
      <c r="CI31" s="184"/>
      <c r="CJ31" s="184"/>
      <c r="CK31" s="184"/>
      <c r="CL31" s="184"/>
      <c r="CM31" s="184"/>
      <c r="CN31" s="184"/>
      <c r="CO31" s="184"/>
      <c r="CP31" s="184"/>
      <c r="CQ31" s="184"/>
      <c r="CR31" s="184"/>
      <c r="CS31" s="184"/>
      <c r="CT31" s="184"/>
      <c r="CU31" s="184"/>
      <c r="CV31" s="184"/>
      <c r="CW31" s="184"/>
      <c r="CX31" s="184"/>
      <c r="CY31" s="184"/>
      <c r="CZ31" s="184"/>
      <c r="DA31" s="184"/>
      <c r="DB31" s="184"/>
      <c r="DC31" s="184"/>
      <c r="DD31" s="184"/>
      <c r="DE31" s="184"/>
      <c r="DF31" s="184"/>
      <c r="DG31" s="184"/>
      <c r="DH31" s="184"/>
      <c r="DI31" s="184"/>
      <c r="DJ31" s="184"/>
      <c r="DK31" s="184"/>
      <c r="DL31" s="184"/>
      <c r="DM31" s="184"/>
      <c r="DN31" s="184"/>
      <c r="DO31" s="184"/>
      <c r="DP31" s="184"/>
      <c r="DQ31" s="184"/>
      <c r="DR31" s="184"/>
      <c r="DS31" s="184"/>
      <c r="DT31" s="184"/>
      <c r="DU31" s="184"/>
      <c r="DV31" s="184"/>
      <c r="DW31" s="184"/>
      <c r="DX31" s="184"/>
      <c r="DY31" s="184"/>
      <c r="DZ31" s="184"/>
      <c r="EA31" s="184"/>
      <c r="EB31" s="184"/>
      <c r="EC31" s="184"/>
      <c r="ED31" s="184"/>
      <c r="EE31" s="184"/>
      <c r="EF31" s="184"/>
      <c r="EG31" s="184"/>
      <c r="EH31" s="184"/>
      <c r="EI31" s="184"/>
      <c r="EJ31" s="184"/>
      <c r="EK31" s="184"/>
      <c r="EL31" s="184"/>
      <c r="EM31" s="184"/>
      <c r="EN31" s="184"/>
      <c r="EO31" s="184"/>
      <c r="EP31" s="184"/>
      <c r="EQ31" s="184"/>
      <c r="ER31" s="184"/>
      <c r="ES31" s="184"/>
      <c r="ET31" s="184"/>
      <c r="EU31" s="184"/>
      <c r="EV31" s="184"/>
      <c r="EW31" s="184"/>
      <c r="EX31" s="184"/>
      <c r="EY31" s="184"/>
      <c r="EZ31" s="184"/>
      <c r="FA31" s="184"/>
      <c r="FB31" s="184"/>
      <c r="FC31" s="184"/>
      <c r="FD31" s="184"/>
      <c r="FE31" s="184"/>
      <c r="FF31" s="184"/>
      <c r="FG31" s="184"/>
      <c r="FH31" s="184"/>
      <c r="FI31" s="184"/>
      <c r="FJ31" s="184"/>
      <c r="FK31" s="184"/>
      <c r="FL31" s="184"/>
      <c r="FM31" s="184"/>
      <c r="FN31" s="184"/>
      <c r="FO31" s="184"/>
      <c r="FP31" s="184"/>
      <c r="FQ31" s="184"/>
      <c r="FR31" s="184"/>
      <c r="FS31" s="184"/>
      <c r="FT31" s="184"/>
      <c r="FU31" s="184"/>
      <c r="FV31" s="184"/>
      <c r="FW31" s="184"/>
      <c r="FX31" s="184"/>
      <c r="FY31" s="184"/>
      <c r="FZ31" s="184"/>
      <c r="GA31" s="184"/>
      <c r="GB31" s="184"/>
      <c r="GC31" s="184"/>
      <c r="GD31" s="184"/>
      <c r="GE31" s="184"/>
      <c r="GF31" s="184"/>
      <c r="GG31" s="184"/>
      <c r="GH31" s="184"/>
      <c r="GI31" s="184"/>
      <c r="GJ31" s="184"/>
      <c r="GK31" s="184"/>
      <c r="GL31" s="184"/>
      <c r="GM31" s="184"/>
      <c r="GN31" s="184"/>
      <c r="GO31" s="184"/>
      <c r="GP31" s="184"/>
      <c r="GQ31" s="184"/>
      <c r="GR31" s="184"/>
    </row>
    <row r="32" spans="1:200" s="183" customFormat="1" ht="15" x14ac:dyDescent="0.2">
      <c r="A32" s="254" t="s">
        <v>708</v>
      </c>
      <c r="B32" s="243" t="s">
        <v>709</v>
      </c>
      <c r="C32" s="243" t="s">
        <v>674</v>
      </c>
      <c r="D32" s="240" t="s">
        <v>675</v>
      </c>
      <c r="E32" s="249"/>
      <c r="F32" s="248"/>
      <c r="G32" s="248"/>
      <c r="H32" s="240">
        <v>20</v>
      </c>
      <c r="I32" s="243">
        <v>24</v>
      </c>
      <c r="J32" s="240" t="s">
        <v>645</v>
      </c>
      <c r="K32" s="240" t="s">
        <v>644</v>
      </c>
      <c r="L32" s="240" t="s">
        <v>645</v>
      </c>
      <c r="M32" s="240"/>
      <c r="N32" s="240"/>
      <c r="O32" s="247"/>
      <c r="P32" s="255" t="s">
        <v>676</v>
      </c>
      <c r="Q32" s="239"/>
      <c r="R32" s="185"/>
      <c r="S32" s="185"/>
      <c r="T32" s="185"/>
      <c r="U32" s="185"/>
      <c r="V32" s="185"/>
      <c r="W32" s="185"/>
      <c r="X32" s="185"/>
      <c r="Y32" s="185"/>
      <c r="Z32" s="185"/>
      <c r="AA32" s="185"/>
      <c r="AB32" s="185"/>
      <c r="AC32" s="185"/>
      <c r="AD32" s="185"/>
      <c r="AE32" s="185"/>
      <c r="AF32" s="185"/>
      <c r="AG32" s="185"/>
      <c r="AH32" s="185"/>
      <c r="AI32" s="185"/>
      <c r="AJ32" s="185"/>
      <c r="AK32" s="185"/>
      <c r="AL32" s="185"/>
      <c r="AM32" s="185"/>
      <c r="AN32" s="185"/>
      <c r="AO32" s="185"/>
      <c r="AP32" s="185"/>
      <c r="AQ32" s="185"/>
      <c r="AR32" s="185"/>
      <c r="AS32" s="185"/>
      <c r="AT32" s="185"/>
      <c r="AU32" s="185"/>
      <c r="AV32" s="185"/>
      <c r="AW32" s="185"/>
      <c r="AX32" s="185"/>
      <c r="AY32" s="185"/>
      <c r="AZ32" s="185"/>
      <c r="BA32" s="185"/>
      <c r="BB32" s="185"/>
      <c r="BC32" s="185"/>
      <c r="BD32" s="185"/>
      <c r="BE32" s="184"/>
      <c r="BF32" s="184"/>
      <c r="BG32" s="184"/>
      <c r="BH32" s="184"/>
      <c r="BI32" s="184"/>
      <c r="BJ32" s="184"/>
      <c r="BK32" s="184"/>
      <c r="BL32" s="184"/>
      <c r="BM32" s="184"/>
      <c r="BN32" s="184"/>
      <c r="BO32" s="184"/>
      <c r="BP32" s="184"/>
      <c r="BQ32" s="184"/>
      <c r="BR32" s="184"/>
      <c r="BS32" s="184"/>
      <c r="BT32" s="184"/>
      <c r="BU32" s="184"/>
      <c r="BV32" s="184"/>
      <c r="BW32" s="184"/>
      <c r="BX32" s="184"/>
      <c r="BY32" s="184"/>
      <c r="BZ32" s="184"/>
      <c r="CA32" s="184"/>
      <c r="CB32" s="184"/>
      <c r="CC32" s="184"/>
      <c r="CD32" s="184"/>
      <c r="CE32" s="184"/>
      <c r="CF32" s="184"/>
      <c r="CG32" s="184"/>
      <c r="CH32" s="184"/>
      <c r="CI32" s="184"/>
      <c r="CJ32" s="184"/>
      <c r="CK32" s="184"/>
      <c r="CL32" s="184"/>
      <c r="CM32" s="184"/>
      <c r="CN32" s="184"/>
      <c r="CO32" s="184"/>
      <c r="CP32" s="184"/>
      <c r="CQ32" s="184"/>
      <c r="CR32" s="184"/>
      <c r="CS32" s="184"/>
      <c r="CT32" s="184"/>
      <c r="CU32" s="184"/>
      <c r="CV32" s="184"/>
      <c r="CW32" s="184"/>
      <c r="CX32" s="184"/>
      <c r="CY32" s="184"/>
      <c r="CZ32" s="184"/>
      <c r="DA32" s="184"/>
      <c r="DB32" s="184"/>
      <c r="DC32" s="184"/>
      <c r="DD32" s="184"/>
      <c r="DE32" s="184"/>
      <c r="DF32" s="184"/>
      <c r="DG32" s="184"/>
      <c r="DH32" s="184"/>
      <c r="DI32" s="184"/>
      <c r="DJ32" s="184"/>
      <c r="DK32" s="184"/>
      <c r="DL32" s="184"/>
      <c r="DM32" s="184"/>
      <c r="DN32" s="184"/>
      <c r="DO32" s="184"/>
      <c r="DP32" s="184"/>
      <c r="DQ32" s="184"/>
      <c r="DR32" s="184"/>
      <c r="DS32" s="184"/>
      <c r="DT32" s="184"/>
      <c r="DU32" s="184"/>
      <c r="DV32" s="184"/>
      <c r="DW32" s="184"/>
      <c r="DX32" s="184"/>
      <c r="DY32" s="184"/>
      <c r="DZ32" s="184"/>
      <c r="EA32" s="184"/>
      <c r="EB32" s="184"/>
      <c r="EC32" s="184"/>
      <c r="ED32" s="184"/>
      <c r="EE32" s="184"/>
      <c r="EF32" s="184"/>
      <c r="EG32" s="184"/>
      <c r="EH32" s="184"/>
      <c r="EI32" s="184"/>
      <c r="EJ32" s="184"/>
      <c r="EK32" s="184"/>
      <c r="EL32" s="184"/>
      <c r="EM32" s="184"/>
      <c r="EN32" s="184"/>
      <c r="EO32" s="184"/>
      <c r="EP32" s="184"/>
      <c r="EQ32" s="184"/>
      <c r="ER32" s="184"/>
      <c r="ES32" s="184"/>
      <c r="ET32" s="184"/>
      <c r="EU32" s="184"/>
      <c r="EV32" s="184"/>
      <c r="EW32" s="184"/>
      <c r="EX32" s="184"/>
      <c r="EY32" s="184"/>
      <c r="EZ32" s="184"/>
      <c r="FA32" s="184"/>
      <c r="FB32" s="184"/>
      <c r="FC32" s="184"/>
      <c r="FD32" s="184"/>
      <c r="FE32" s="184"/>
      <c r="FF32" s="184"/>
      <c r="FG32" s="184"/>
      <c r="FH32" s="184"/>
      <c r="FI32" s="184"/>
      <c r="FJ32" s="184"/>
      <c r="FK32" s="184"/>
      <c r="FL32" s="184"/>
      <c r="FM32" s="184"/>
      <c r="FN32" s="184"/>
      <c r="FO32" s="184"/>
      <c r="FP32" s="184"/>
      <c r="FQ32" s="184"/>
      <c r="FR32" s="184"/>
      <c r="FS32" s="184"/>
      <c r="FT32" s="184"/>
      <c r="FU32" s="184"/>
      <c r="FV32" s="184"/>
      <c r="FW32" s="184"/>
      <c r="FX32" s="184"/>
      <c r="FY32" s="184"/>
      <c r="FZ32" s="184"/>
      <c r="GA32" s="184"/>
      <c r="GB32" s="184"/>
      <c r="GC32" s="184"/>
      <c r="GD32" s="184"/>
      <c r="GE32" s="184"/>
      <c r="GF32" s="184"/>
      <c r="GG32" s="184"/>
      <c r="GH32" s="184"/>
      <c r="GI32" s="184"/>
      <c r="GJ32" s="184"/>
      <c r="GK32" s="184"/>
      <c r="GL32" s="184"/>
      <c r="GM32" s="184"/>
      <c r="GN32" s="184"/>
      <c r="GO32" s="184"/>
      <c r="GP32" s="184"/>
      <c r="GQ32" s="184"/>
      <c r="GR32" s="184"/>
    </row>
    <row r="33" spans="1:200" s="183" customFormat="1" ht="12.75" customHeight="1" x14ac:dyDescent="0.2">
      <c r="A33" s="244" t="s">
        <v>710</v>
      </c>
      <c r="B33" s="243" t="s">
        <v>711</v>
      </c>
      <c r="C33" s="243" t="s">
        <v>674</v>
      </c>
      <c r="D33" s="240" t="s">
        <v>675</v>
      </c>
      <c r="E33" s="249"/>
      <c r="F33" s="248"/>
      <c r="G33" s="248"/>
      <c r="H33" s="240">
        <v>20</v>
      </c>
      <c r="I33" s="240">
        <v>24</v>
      </c>
      <c r="J33" s="240" t="s">
        <v>645</v>
      </c>
      <c r="K33" s="246"/>
      <c r="L33" s="246"/>
      <c r="M33" s="246"/>
      <c r="N33" s="246"/>
      <c r="O33" s="247"/>
      <c r="P33" s="255" t="s">
        <v>676</v>
      </c>
      <c r="Q33" s="245"/>
      <c r="R33" s="185"/>
      <c r="S33" s="185"/>
      <c r="T33" s="185"/>
      <c r="U33" s="185"/>
      <c r="V33" s="185"/>
      <c r="W33" s="185"/>
      <c r="X33" s="185"/>
      <c r="Y33" s="185"/>
      <c r="Z33" s="185"/>
      <c r="AA33" s="185"/>
      <c r="AB33" s="185"/>
      <c r="AC33" s="185"/>
      <c r="AD33" s="185"/>
      <c r="AE33" s="185"/>
      <c r="AF33" s="185"/>
      <c r="AG33" s="185"/>
      <c r="AH33" s="185"/>
      <c r="AI33" s="185"/>
      <c r="AJ33" s="185"/>
      <c r="AK33" s="185"/>
      <c r="AL33" s="185"/>
      <c r="AM33" s="185"/>
      <c r="AN33" s="185"/>
      <c r="AO33" s="185"/>
      <c r="AP33" s="185"/>
      <c r="AQ33" s="185"/>
      <c r="AR33" s="185"/>
      <c r="AS33" s="185"/>
      <c r="AT33" s="185"/>
      <c r="AU33" s="185"/>
      <c r="AV33" s="185"/>
      <c r="AW33" s="185"/>
      <c r="AX33" s="185"/>
      <c r="AY33" s="185"/>
      <c r="AZ33" s="185"/>
      <c r="BA33" s="185"/>
      <c r="BB33" s="185"/>
      <c r="BC33" s="185"/>
      <c r="BD33" s="185"/>
      <c r="BE33" s="184"/>
      <c r="BF33" s="184"/>
      <c r="BG33" s="184"/>
      <c r="BH33" s="184"/>
      <c r="BI33" s="184"/>
      <c r="BJ33" s="184"/>
      <c r="BK33" s="184"/>
      <c r="BL33" s="184"/>
      <c r="BM33" s="184"/>
      <c r="BN33" s="184"/>
      <c r="BO33" s="184"/>
      <c r="BP33" s="184"/>
      <c r="BQ33" s="184"/>
      <c r="BR33" s="184"/>
      <c r="BS33" s="184"/>
      <c r="BT33" s="184"/>
      <c r="BU33" s="184"/>
      <c r="BV33" s="184"/>
      <c r="BW33" s="184"/>
      <c r="BX33" s="184"/>
      <c r="BY33" s="184"/>
      <c r="BZ33" s="184"/>
      <c r="CA33" s="184"/>
      <c r="CB33" s="184"/>
      <c r="CC33" s="184"/>
      <c r="CD33" s="184"/>
      <c r="CE33" s="184"/>
      <c r="CF33" s="184"/>
      <c r="CG33" s="184"/>
      <c r="CH33" s="184"/>
      <c r="CI33" s="184"/>
      <c r="CJ33" s="184"/>
      <c r="CK33" s="184"/>
      <c r="CL33" s="184"/>
      <c r="CM33" s="184"/>
      <c r="CN33" s="184"/>
      <c r="CO33" s="184"/>
      <c r="CP33" s="184"/>
      <c r="CQ33" s="184"/>
      <c r="CR33" s="184"/>
      <c r="CS33" s="184"/>
      <c r="CT33" s="184"/>
      <c r="CU33" s="184"/>
      <c r="CV33" s="184"/>
      <c r="CW33" s="184"/>
      <c r="CX33" s="184"/>
      <c r="CY33" s="184"/>
      <c r="CZ33" s="184"/>
      <c r="DA33" s="184"/>
      <c r="DB33" s="184"/>
      <c r="DC33" s="184"/>
      <c r="DD33" s="184"/>
      <c r="DE33" s="184"/>
      <c r="DF33" s="184"/>
      <c r="DG33" s="184"/>
      <c r="DH33" s="184"/>
      <c r="DI33" s="184"/>
      <c r="DJ33" s="184"/>
      <c r="DK33" s="184"/>
      <c r="DL33" s="184"/>
      <c r="DM33" s="184"/>
      <c r="DN33" s="184"/>
      <c r="DO33" s="184"/>
      <c r="DP33" s="184"/>
      <c r="DQ33" s="184"/>
      <c r="DR33" s="184"/>
      <c r="DS33" s="184"/>
      <c r="DT33" s="184"/>
      <c r="DU33" s="184"/>
      <c r="DV33" s="184"/>
      <c r="DW33" s="184"/>
      <c r="DX33" s="184"/>
      <c r="DY33" s="184"/>
      <c r="DZ33" s="184"/>
      <c r="EA33" s="184"/>
      <c r="EB33" s="184"/>
      <c r="EC33" s="184"/>
      <c r="ED33" s="184"/>
      <c r="EE33" s="184"/>
      <c r="EF33" s="184"/>
      <c r="EG33" s="184"/>
      <c r="EH33" s="184"/>
      <c r="EI33" s="184"/>
      <c r="EJ33" s="184"/>
      <c r="EK33" s="184"/>
      <c r="EL33" s="184"/>
      <c r="EM33" s="184"/>
      <c r="EN33" s="184"/>
      <c r="EO33" s="184"/>
      <c r="EP33" s="184"/>
      <c r="EQ33" s="184"/>
      <c r="ER33" s="184"/>
      <c r="ES33" s="184"/>
      <c r="ET33" s="184"/>
      <c r="EU33" s="184"/>
      <c r="EV33" s="184"/>
      <c r="EW33" s="184"/>
      <c r="EX33" s="184"/>
      <c r="EY33" s="184"/>
      <c r="EZ33" s="184"/>
      <c r="FA33" s="184"/>
      <c r="FB33" s="184"/>
      <c r="FC33" s="184"/>
      <c r="FD33" s="184"/>
      <c r="FE33" s="184"/>
      <c r="FF33" s="184"/>
      <c r="FG33" s="184"/>
      <c r="FH33" s="184"/>
      <c r="FI33" s="184"/>
      <c r="FJ33" s="184"/>
      <c r="FK33" s="184"/>
      <c r="FL33" s="184"/>
      <c r="FM33" s="184"/>
      <c r="FN33" s="184"/>
      <c r="FO33" s="184"/>
      <c r="FP33" s="184"/>
      <c r="FQ33" s="184"/>
      <c r="FR33" s="184"/>
      <c r="FS33" s="184"/>
      <c r="FT33" s="184"/>
      <c r="FU33" s="184"/>
      <c r="FV33" s="184"/>
      <c r="FW33" s="184"/>
      <c r="FX33" s="184"/>
      <c r="FY33" s="184"/>
      <c r="FZ33" s="184"/>
      <c r="GA33" s="184"/>
      <c r="GB33" s="184"/>
      <c r="GC33" s="184"/>
      <c r="GD33" s="184"/>
      <c r="GE33" s="184"/>
      <c r="GF33" s="184"/>
      <c r="GG33" s="184"/>
      <c r="GH33" s="184"/>
      <c r="GI33" s="184"/>
      <c r="GJ33" s="184"/>
      <c r="GK33" s="184"/>
      <c r="GL33" s="184"/>
      <c r="GM33" s="184"/>
      <c r="GN33" s="184"/>
      <c r="GO33" s="184"/>
      <c r="GP33" s="184"/>
      <c r="GQ33" s="184"/>
      <c r="GR33" s="184"/>
    </row>
    <row r="34" spans="1:200" s="183" customFormat="1" ht="12.75" customHeight="1" x14ac:dyDescent="0.2">
      <c r="A34" s="254" t="s">
        <v>712</v>
      </c>
      <c r="B34" s="243" t="s">
        <v>713</v>
      </c>
      <c r="C34" s="243" t="s">
        <v>707</v>
      </c>
      <c r="D34" s="240" t="s">
        <v>675</v>
      </c>
      <c r="E34" s="249"/>
      <c r="F34" s="248"/>
      <c r="G34" s="248"/>
      <c r="H34" s="240">
        <v>20</v>
      </c>
      <c r="I34" s="243">
        <v>24</v>
      </c>
      <c r="J34" s="240" t="s">
        <v>645</v>
      </c>
      <c r="K34" s="246"/>
      <c r="L34" s="246"/>
      <c r="M34" s="246"/>
      <c r="N34" s="246"/>
      <c r="O34" s="247"/>
      <c r="P34" s="255" t="s">
        <v>676</v>
      </c>
      <c r="Q34" s="245"/>
      <c r="R34" s="185"/>
      <c r="S34" s="185"/>
      <c r="T34" s="185"/>
      <c r="U34" s="185"/>
      <c r="V34" s="185"/>
      <c r="W34" s="185"/>
      <c r="X34" s="185"/>
      <c r="Y34" s="185"/>
      <c r="Z34" s="185"/>
      <c r="AA34" s="185"/>
      <c r="AB34" s="185"/>
      <c r="AC34" s="185"/>
      <c r="AD34" s="185"/>
      <c r="AE34" s="185"/>
      <c r="AF34" s="185"/>
      <c r="AG34" s="185"/>
      <c r="AH34" s="185"/>
      <c r="AI34" s="185"/>
      <c r="AJ34" s="185"/>
      <c r="AK34" s="185"/>
      <c r="AL34" s="185"/>
      <c r="AM34" s="185"/>
      <c r="AN34" s="185"/>
      <c r="AO34" s="185"/>
      <c r="AP34" s="185"/>
      <c r="AQ34" s="185"/>
      <c r="AR34" s="185"/>
      <c r="AS34" s="185"/>
      <c r="AT34" s="185"/>
      <c r="AU34" s="185"/>
      <c r="AV34" s="185"/>
      <c r="AW34" s="185"/>
      <c r="AX34" s="185"/>
      <c r="AY34" s="185"/>
      <c r="AZ34" s="185"/>
      <c r="BA34" s="185"/>
      <c r="BB34" s="185"/>
      <c r="BC34" s="185"/>
      <c r="BD34" s="185"/>
      <c r="BE34" s="184"/>
      <c r="BF34" s="184"/>
      <c r="BG34" s="184"/>
      <c r="BH34" s="184"/>
      <c r="BI34" s="184"/>
      <c r="BJ34" s="184"/>
      <c r="BK34" s="184"/>
      <c r="BL34" s="184"/>
      <c r="BM34" s="184"/>
      <c r="BN34" s="184"/>
      <c r="BO34" s="184"/>
      <c r="BP34" s="184"/>
      <c r="BQ34" s="184"/>
      <c r="BR34" s="184"/>
      <c r="BS34" s="184"/>
      <c r="BT34" s="184"/>
      <c r="BU34" s="184"/>
      <c r="BV34" s="184"/>
      <c r="BW34" s="184"/>
      <c r="BX34" s="184"/>
      <c r="BY34" s="184"/>
      <c r="BZ34" s="184"/>
      <c r="CA34" s="184"/>
      <c r="CB34" s="184"/>
      <c r="CC34" s="184"/>
      <c r="CD34" s="184"/>
      <c r="CE34" s="184"/>
      <c r="CF34" s="184"/>
      <c r="CG34" s="184"/>
      <c r="CH34" s="184"/>
      <c r="CI34" s="184"/>
      <c r="CJ34" s="184"/>
      <c r="CK34" s="184"/>
      <c r="CL34" s="184"/>
      <c r="CM34" s="184"/>
      <c r="CN34" s="184"/>
      <c r="CO34" s="184"/>
      <c r="CP34" s="184"/>
      <c r="CQ34" s="184"/>
      <c r="CR34" s="184"/>
      <c r="CS34" s="184"/>
      <c r="CT34" s="184"/>
      <c r="CU34" s="184"/>
      <c r="CV34" s="184"/>
      <c r="CW34" s="184"/>
      <c r="CX34" s="184"/>
      <c r="CY34" s="184"/>
      <c r="CZ34" s="184"/>
      <c r="DA34" s="184"/>
      <c r="DB34" s="184"/>
      <c r="DC34" s="184"/>
      <c r="DD34" s="184"/>
      <c r="DE34" s="184"/>
      <c r="DF34" s="184"/>
      <c r="DG34" s="184"/>
      <c r="DH34" s="184"/>
      <c r="DI34" s="184"/>
      <c r="DJ34" s="184"/>
      <c r="DK34" s="184"/>
      <c r="DL34" s="184"/>
      <c r="DM34" s="184"/>
      <c r="DN34" s="184"/>
      <c r="DO34" s="184"/>
      <c r="DP34" s="184"/>
      <c r="DQ34" s="184"/>
      <c r="DR34" s="184"/>
      <c r="DS34" s="184"/>
      <c r="DT34" s="184"/>
      <c r="DU34" s="184"/>
      <c r="DV34" s="184"/>
      <c r="DW34" s="184"/>
      <c r="DX34" s="184"/>
      <c r="DY34" s="184"/>
      <c r="DZ34" s="184"/>
      <c r="EA34" s="184"/>
      <c r="EB34" s="184"/>
      <c r="EC34" s="184"/>
      <c r="ED34" s="184"/>
      <c r="EE34" s="184"/>
      <c r="EF34" s="184"/>
      <c r="EG34" s="184"/>
      <c r="EH34" s="184"/>
      <c r="EI34" s="184"/>
      <c r="EJ34" s="184"/>
      <c r="EK34" s="184"/>
      <c r="EL34" s="184"/>
      <c r="EM34" s="184"/>
      <c r="EN34" s="184"/>
      <c r="EO34" s="184"/>
      <c r="EP34" s="184"/>
      <c r="EQ34" s="184"/>
      <c r="ER34" s="184"/>
      <c r="ES34" s="184"/>
      <c r="ET34" s="184"/>
      <c r="EU34" s="184"/>
      <c r="EV34" s="184"/>
      <c r="EW34" s="184"/>
      <c r="EX34" s="184"/>
      <c r="EY34" s="184"/>
      <c r="EZ34" s="184"/>
      <c r="FA34" s="184"/>
      <c r="FB34" s="184"/>
      <c r="FC34" s="184"/>
      <c r="FD34" s="184"/>
      <c r="FE34" s="184"/>
      <c r="FF34" s="184"/>
      <c r="FG34" s="184"/>
      <c r="FH34" s="184"/>
      <c r="FI34" s="184"/>
      <c r="FJ34" s="184"/>
      <c r="FK34" s="184"/>
      <c r="FL34" s="184"/>
      <c r="FM34" s="184"/>
      <c r="FN34" s="184"/>
      <c r="FO34" s="184"/>
      <c r="FP34" s="184"/>
      <c r="FQ34" s="184"/>
      <c r="FR34" s="184"/>
      <c r="FS34" s="184"/>
      <c r="FT34" s="184"/>
      <c r="FU34" s="184"/>
      <c r="FV34" s="184"/>
      <c r="FW34" s="184"/>
      <c r="FX34" s="184"/>
      <c r="FY34" s="184"/>
      <c r="FZ34" s="184"/>
      <c r="GA34" s="184"/>
      <c r="GB34" s="184"/>
      <c r="GC34" s="184"/>
      <c r="GD34" s="184"/>
      <c r="GE34" s="184"/>
      <c r="GF34" s="184"/>
      <c r="GG34" s="184"/>
      <c r="GH34" s="184"/>
      <c r="GI34" s="184"/>
      <c r="GJ34" s="184"/>
      <c r="GK34" s="184"/>
      <c r="GL34" s="184"/>
      <c r="GM34" s="184"/>
      <c r="GN34" s="184"/>
      <c r="GO34" s="184"/>
      <c r="GP34" s="184"/>
      <c r="GQ34" s="184"/>
      <c r="GR34" s="184"/>
    </row>
    <row r="35" spans="1:200" s="183" customFormat="1" ht="12.75" customHeight="1" x14ac:dyDescent="0.2">
      <c r="A35" s="244" t="s">
        <v>714</v>
      </c>
      <c r="B35" s="243" t="s">
        <v>715</v>
      </c>
      <c r="C35" s="243" t="s">
        <v>707</v>
      </c>
      <c r="D35" s="240" t="s">
        <v>675</v>
      </c>
      <c r="E35" s="249"/>
      <c r="F35" s="248"/>
      <c r="G35" s="248"/>
      <c r="H35" s="240">
        <v>20</v>
      </c>
      <c r="I35" s="240">
        <v>24</v>
      </c>
      <c r="J35" s="240" t="s">
        <v>645</v>
      </c>
      <c r="K35" s="246"/>
      <c r="L35" s="246"/>
      <c r="M35" s="246"/>
      <c r="N35" s="246"/>
      <c r="O35" s="247"/>
      <c r="P35" s="255" t="s">
        <v>676</v>
      </c>
      <c r="Q35" s="245"/>
      <c r="R35" s="185"/>
      <c r="S35" s="185"/>
      <c r="T35" s="185"/>
      <c r="U35" s="185"/>
      <c r="V35" s="185"/>
      <c r="W35" s="185"/>
      <c r="X35" s="185"/>
      <c r="Y35" s="185"/>
      <c r="Z35" s="185"/>
      <c r="AA35" s="185"/>
      <c r="AB35" s="185"/>
      <c r="AC35" s="185"/>
      <c r="AD35" s="185"/>
      <c r="AE35" s="185"/>
      <c r="AF35" s="185"/>
      <c r="AG35" s="185"/>
      <c r="AH35" s="185"/>
      <c r="AI35" s="185"/>
      <c r="AJ35" s="185"/>
      <c r="AK35" s="185"/>
      <c r="AL35" s="185"/>
      <c r="AM35" s="185"/>
      <c r="AN35" s="185"/>
      <c r="AO35" s="185"/>
      <c r="AP35" s="185"/>
      <c r="AQ35" s="185"/>
      <c r="AR35" s="185"/>
      <c r="AS35" s="185"/>
      <c r="AT35" s="185"/>
      <c r="AU35" s="185"/>
      <c r="AV35" s="185"/>
      <c r="AW35" s="185"/>
      <c r="AX35" s="185"/>
      <c r="AY35" s="185"/>
      <c r="AZ35" s="185"/>
      <c r="BA35" s="185"/>
      <c r="BB35" s="185"/>
      <c r="BC35" s="185"/>
      <c r="BD35" s="185"/>
      <c r="BE35" s="184"/>
      <c r="BF35" s="184"/>
      <c r="BG35" s="184"/>
      <c r="BH35" s="184"/>
      <c r="BI35" s="184"/>
      <c r="BJ35" s="184"/>
      <c r="BK35" s="184"/>
      <c r="BL35" s="184"/>
      <c r="BM35" s="184"/>
      <c r="BN35" s="184"/>
      <c r="BO35" s="184"/>
      <c r="BP35" s="184"/>
      <c r="BQ35" s="184"/>
      <c r="BR35" s="184"/>
      <c r="BS35" s="184"/>
      <c r="BT35" s="184"/>
      <c r="BU35" s="184"/>
      <c r="BV35" s="184"/>
      <c r="BW35" s="184"/>
      <c r="BX35" s="184"/>
      <c r="BY35" s="184"/>
      <c r="BZ35" s="184"/>
      <c r="CA35" s="184"/>
      <c r="CB35" s="184"/>
      <c r="CC35" s="184"/>
      <c r="CD35" s="184"/>
      <c r="CE35" s="184"/>
      <c r="CF35" s="184"/>
      <c r="CG35" s="184"/>
      <c r="CH35" s="184"/>
      <c r="CI35" s="184"/>
      <c r="CJ35" s="184"/>
      <c r="CK35" s="184"/>
      <c r="CL35" s="184"/>
      <c r="CM35" s="184"/>
      <c r="CN35" s="184"/>
      <c r="CO35" s="184"/>
      <c r="CP35" s="184"/>
      <c r="CQ35" s="184"/>
      <c r="CR35" s="184"/>
      <c r="CS35" s="184"/>
      <c r="CT35" s="184"/>
      <c r="CU35" s="184"/>
      <c r="CV35" s="184"/>
      <c r="CW35" s="184"/>
      <c r="CX35" s="184"/>
      <c r="CY35" s="184"/>
      <c r="CZ35" s="184"/>
      <c r="DA35" s="184"/>
      <c r="DB35" s="184"/>
      <c r="DC35" s="184"/>
      <c r="DD35" s="184"/>
      <c r="DE35" s="184"/>
      <c r="DF35" s="184"/>
      <c r="DG35" s="184"/>
      <c r="DH35" s="184"/>
      <c r="DI35" s="184"/>
      <c r="DJ35" s="184"/>
      <c r="DK35" s="184"/>
      <c r="DL35" s="184"/>
      <c r="DM35" s="184"/>
      <c r="DN35" s="184"/>
      <c r="DO35" s="184"/>
      <c r="DP35" s="184"/>
      <c r="DQ35" s="184"/>
      <c r="DR35" s="184"/>
      <c r="DS35" s="184"/>
      <c r="DT35" s="184"/>
      <c r="DU35" s="184"/>
      <c r="DV35" s="184"/>
      <c r="DW35" s="184"/>
      <c r="DX35" s="184"/>
      <c r="DY35" s="184"/>
      <c r="DZ35" s="184"/>
      <c r="EA35" s="184"/>
      <c r="EB35" s="184"/>
      <c r="EC35" s="184"/>
      <c r="ED35" s="184"/>
      <c r="EE35" s="184"/>
      <c r="EF35" s="184"/>
      <c r="EG35" s="184"/>
      <c r="EH35" s="184"/>
      <c r="EI35" s="184"/>
      <c r="EJ35" s="184"/>
      <c r="EK35" s="184"/>
      <c r="EL35" s="184"/>
      <c r="EM35" s="184"/>
      <c r="EN35" s="184"/>
      <c r="EO35" s="184"/>
      <c r="EP35" s="184"/>
      <c r="EQ35" s="184"/>
      <c r="ER35" s="184"/>
      <c r="ES35" s="184"/>
      <c r="ET35" s="184"/>
      <c r="EU35" s="184"/>
      <c r="EV35" s="184"/>
      <c r="EW35" s="184"/>
      <c r="EX35" s="184"/>
      <c r="EY35" s="184"/>
      <c r="EZ35" s="184"/>
      <c r="FA35" s="184"/>
      <c r="FB35" s="184"/>
      <c r="FC35" s="184"/>
      <c r="FD35" s="184"/>
      <c r="FE35" s="184"/>
      <c r="FF35" s="184"/>
      <c r="FG35" s="184"/>
      <c r="FH35" s="184"/>
      <c r="FI35" s="184"/>
      <c r="FJ35" s="184"/>
      <c r="FK35" s="184"/>
      <c r="FL35" s="184"/>
      <c r="FM35" s="184"/>
      <c r="FN35" s="184"/>
      <c r="FO35" s="184"/>
      <c r="FP35" s="184"/>
      <c r="FQ35" s="184"/>
      <c r="FR35" s="184"/>
      <c r="FS35" s="184"/>
      <c r="FT35" s="184"/>
      <c r="FU35" s="184"/>
      <c r="FV35" s="184"/>
      <c r="FW35" s="184"/>
      <c r="FX35" s="184"/>
      <c r="FY35" s="184"/>
      <c r="FZ35" s="184"/>
      <c r="GA35" s="184"/>
      <c r="GB35" s="184"/>
      <c r="GC35" s="184"/>
      <c r="GD35" s="184"/>
      <c r="GE35" s="184"/>
      <c r="GF35" s="184"/>
      <c r="GG35" s="184"/>
      <c r="GH35" s="184"/>
      <c r="GI35" s="184"/>
      <c r="GJ35" s="184"/>
      <c r="GK35" s="184"/>
      <c r="GL35" s="184"/>
      <c r="GM35" s="184"/>
      <c r="GN35" s="184"/>
      <c r="GO35" s="184"/>
      <c r="GP35" s="184"/>
      <c r="GQ35" s="184"/>
      <c r="GR35" s="184"/>
    </row>
    <row r="36" spans="1:200" s="183" customFormat="1" ht="12.75" customHeight="1" x14ac:dyDescent="0.2">
      <c r="A36" s="254" t="s">
        <v>716</v>
      </c>
      <c r="B36" s="243" t="s">
        <v>717</v>
      </c>
      <c r="C36" s="243" t="s">
        <v>707</v>
      </c>
      <c r="D36" s="240" t="s">
        <v>675</v>
      </c>
      <c r="E36" s="249"/>
      <c r="F36" s="248"/>
      <c r="G36" s="248"/>
      <c r="H36" s="240">
        <v>20</v>
      </c>
      <c r="I36" s="243">
        <v>24</v>
      </c>
      <c r="J36" s="240" t="s">
        <v>645</v>
      </c>
      <c r="K36" s="246"/>
      <c r="L36" s="246"/>
      <c r="M36" s="246"/>
      <c r="N36" s="246"/>
      <c r="O36" s="247"/>
      <c r="P36" s="255" t="s">
        <v>676</v>
      </c>
      <c r="Q36" s="245"/>
      <c r="R36" s="185"/>
      <c r="S36" s="185"/>
      <c r="T36" s="185"/>
      <c r="U36" s="185"/>
      <c r="V36" s="185"/>
      <c r="W36" s="185"/>
      <c r="X36" s="185"/>
      <c r="Y36" s="185"/>
      <c r="Z36" s="185"/>
      <c r="AA36" s="185"/>
      <c r="AB36" s="185"/>
      <c r="AC36" s="185"/>
      <c r="AD36" s="185"/>
      <c r="AE36" s="185"/>
      <c r="AF36" s="185"/>
      <c r="AG36" s="185"/>
      <c r="AH36" s="185"/>
      <c r="AI36" s="185"/>
      <c r="AJ36" s="185"/>
      <c r="AK36" s="185"/>
      <c r="AL36" s="185"/>
      <c r="AM36" s="185"/>
      <c r="AN36" s="185"/>
      <c r="AO36" s="185"/>
      <c r="AP36" s="185"/>
      <c r="AQ36" s="185"/>
      <c r="AR36" s="185"/>
      <c r="AS36" s="185"/>
      <c r="AT36" s="185"/>
      <c r="AU36" s="185"/>
      <c r="AV36" s="185"/>
      <c r="AW36" s="185"/>
      <c r="AX36" s="185"/>
      <c r="AY36" s="185"/>
      <c r="AZ36" s="185"/>
      <c r="BA36" s="185"/>
      <c r="BB36" s="185"/>
      <c r="BC36" s="185"/>
      <c r="BD36" s="185"/>
      <c r="BE36" s="184"/>
      <c r="BF36" s="184"/>
      <c r="BG36" s="184"/>
      <c r="BH36" s="184"/>
      <c r="BI36" s="184"/>
      <c r="BJ36" s="184"/>
      <c r="BK36" s="184"/>
      <c r="BL36" s="184"/>
      <c r="BM36" s="184"/>
      <c r="BN36" s="184"/>
      <c r="BO36" s="184"/>
      <c r="BP36" s="184"/>
      <c r="BQ36" s="184"/>
      <c r="BR36" s="184"/>
      <c r="BS36" s="184"/>
      <c r="BT36" s="184"/>
      <c r="BU36" s="184"/>
      <c r="BV36" s="184"/>
      <c r="BW36" s="184"/>
      <c r="BX36" s="184"/>
      <c r="BY36" s="184"/>
      <c r="BZ36" s="184"/>
      <c r="CA36" s="184"/>
      <c r="CB36" s="184"/>
      <c r="CC36" s="184"/>
      <c r="CD36" s="184"/>
      <c r="CE36" s="184"/>
      <c r="CF36" s="184"/>
      <c r="CG36" s="184"/>
      <c r="CH36" s="184"/>
      <c r="CI36" s="184"/>
      <c r="CJ36" s="184"/>
      <c r="CK36" s="184"/>
      <c r="CL36" s="184"/>
      <c r="CM36" s="184"/>
      <c r="CN36" s="184"/>
      <c r="CO36" s="184"/>
      <c r="CP36" s="184"/>
      <c r="CQ36" s="184"/>
      <c r="CR36" s="184"/>
      <c r="CS36" s="184"/>
      <c r="CT36" s="184"/>
      <c r="CU36" s="184"/>
      <c r="CV36" s="184"/>
      <c r="CW36" s="184"/>
      <c r="CX36" s="184"/>
      <c r="CY36" s="184"/>
      <c r="CZ36" s="184"/>
      <c r="DA36" s="184"/>
      <c r="DB36" s="184"/>
      <c r="DC36" s="184"/>
      <c r="DD36" s="184"/>
      <c r="DE36" s="184"/>
      <c r="DF36" s="184"/>
      <c r="DG36" s="184"/>
      <c r="DH36" s="184"/>
      <c r="DI36" s="184"/>
      <c r="DJ36" s="184"/>
      <c r="DK36" s="184"/>
      <c r="DL36" s="184"/>
      <c r="DM36" s="184"/>
      <c r="DN36" s="184"/>
      <c r="DO36" s="184"/>
      <c r="DP36" s="184"/>
      <c r="DQ36" s="184"/>
      <c r="DR36" s="184"/>
      <c r="DS36" s="184"/>
      <c r="DT36" s="184"/>
      <c r="DU36" s="184"/>
      <c r="DV36" s="184"/>
      <c r="DW36" s="184"/>
      <c r="DX36" s="184"/>
      <c r="DY36" s="184"/>
      <c r="DZ36" s="184"/>
      <c r="EA36" s="184"/>
      <c r="EB36" s="184"/>
      <c r="EC36" s="184"/>
      <c r="ED36" s="184"/>
      <c r="EE36" s="184"/>
      <c r="EF36" s="184"/>
      <c r="EG36" s="184"/>
      <c r="EH36" s="184"/>
      <c r="EI36" s="184"/>
      <c r="EJ36" s="184"/>
      <c r="EK36" s="184"/>
      <c r="EL36" s="184"/>
      <c r="EM36" s="184"/>
      <c r="EN36" s="184"/>
      <c r="EO36" s="184"/>
      <c r="EP36" s="184"/>
      <c r="EQ36" s="184"/>
      <c r="ER36" s="184"/>
      <c r="ES36" s="184"/>
      <c r="ET36" s="184"/>
      <c r="EU36" s="184"/>
      <c r="EV36" s="184"/>
      <c r="EW36" s="184"/>
      <c r="EX36" s="184"/>
      <c r="EY36" s="184"/>
      <c r="EZ36" s="184"/>
      <c r="FA36" s="184"/>
      <c r="FB36" s="184"/>
      <c r="FC36" s="184"/>
      <c r="FD36" s="184"/>
      <c r="FE36" s="184"/>
      <c r="FF36" s="184"/>
      <c r="FG36" s="184"/>
      <c r="FH36" s="184"/>
      <c r="FI36" s="184"/>
      <c r="FJ36" s="184"/>
      <c r="FK36" s="184"/>
      <c r="FL36" s="184"/>
      <c r="FM36" s="184"/>
      <c r="FN36" s="184"/>
      <c r="FO36" s="184"/>
      <c r="FP36" s="184"/>
      <c r="FQ36" s="184"/>
      <c r="FR36" s="184"/>
      <c r="FS36" s="184"/>
      <c r="FT36" s="184"/>
      <c r="FU36" s="184"/>
      <c r="FV36" s="184"/>
      <c r="FW36" s="184"/>
      <c r="FX36" s="184"/>
      <c r="FY36" s="184"/>
      <c r="FZ36" s="184"/>
      <c r="GA36" s="184"/>
      <c r="GB36" s="184"/>
      <c r="GC36" s="184"/>
      <c r="GD36" s="184"/>
      <c r="GE36" s="184"/>
      <c r="GF36" s="184"/>
      <c r="GG36" s="184"/>
      <c r="GH36" s="184"/>
      <c r="GI36" s="184"/>
      <c r="GJ36" s="184"/>
      <c r="GK36" s="184"/>
      <c r="GL36" s="184"/>
      <c r="GM36" s="184"/>
      <c r="GN36" s="184"/>
      <c r="GO36" s="184"/>
      <c r="GP36" s="184"/>
      <c r="GQ36" s="184"/>
      <c r="GR36" s="184"/>
    </row>
    <row r="37" spans="1:200" s="183" customFormat="1" ht="12.75" customHeight="1" x14ac:dyDescent="0.2">
      <c r="A37" s="244" t="s">
        <v>718</v>
      </c>
      <c r="B37" s="243" t="s">
        <v>719</v>
      </c>
      <c r="C37" s="243" t="s">
        <v>720</v>
      </c>
      <c r="D37" s="240" t="s">
        <v>675</v>
      </c>
      <c r="E37" s="249"/>
      <c r="F37" s="248"/>
      <c r="G37" s="248"/>
      <c r="H37" s="240">
        <v>20</v>
      </c>
      <c r="I37" s="240">
        <v>24</v>
      </c>
      <c r="J37" s="240" t="s">
        <v>645</v>
      </c>
      <c r="K37" s="246"/>
      <c r="L37" s="246"/>
      <c r="M37" s="246"/>
      <c r="N37" s="246"/>
      <c r="O37" s="247"/>
      <c r="P37" s="255" t="s">
        <v>676</v>
      </c>
      <c r="Q37" s="245"/>
      <c r="R37" s="185"/>
      <c r="S37" s="185"/>
      <c r="T37" s="185"/>
      <c r="U37" s="185"/>
      <c r="V37" s="185"/>
      <c r="W37" s="185"/>
      <c r="X37" s="185"/>
      <c r="Y37" s="185"/>
      <c r="Z37" s="185"/>
      <c r="AA37" s="185"/>
      <c r="AB37" s="185"/>
      <c r="AC37" s="185"/>
      <c r="AD37" s="185"/>
      <c r="AE37" s="185"/>
      <c r="AF37" s="185"/>
      <c r="AG37" s="185"/>
      <c r="AH37" s="185"/>
      <c r="AI37" s="185"/>
      <c r="AJ37" s="185"/>
      <c r="AK37" s="185"/>
      <c r="AL37" s="185"/>
      <c r="AM37" s="185"/>
      <c r="AN37" s="185"/>
      <c r="AO37" s="185"/>
      <c r="AP37" s="185"/>
      <c r="AQ37" s="185"/>
      <c r="AR37" s="185"/>
      <c r="AS37" s="185"/>
      <c r="AT37" s="185"/>
      <c r="AU37" s="185"/>
      <c r="AV37" s="185"/>
      <c r="AW37" s="185"/>
      <c r="AX37" s="185"/>
      <c r="AY37" s="185"/>
      <c r="AZ37" s="185"/>
      <c r="BA37" s="185"/>
      <c r="BB37" s="185"/>
      <c r="BC37" s="185"/>
      <c r="BD37" s="185"/>
      <c r="BE37" s="184"/>
      <c r="BF37" s="184"/>
      <c r="BG37" s="184"/>
      <c r="BH37" s="184"/>
      <c r="BI37" s="184"/>
      <c r="BJ37" s="184"/>
      <c r="BK37" s="184"/>
      <c r="BL37" s="184"/>
      <c r="BM37" s="184"/>
      <c r="BN37" s="184"/>
      <c r="BO37" s="184"/>
      <c r="BP37" s="184"/>
      <c r="BQ37" s="184"/>
      <c r="BR37" s="184"/>
      <c r="BS37" s="184"/>
      <c r="BT37" s="184"/>
      <c r="BU37" s="184"/>
      <c r="BV37" s="184"/>
      <c r="BW37" s="184"/>
      <c r="BX37" s="184"/>
      <c r="BY37" s="184"/>
      <c r="BZ37" s="184"/>
      <c r="CA37" s="184"/>
      <c r="CB37" s="184"/>
      <c r="CC37" s="184"/>
      <c r="CD37" s="184"/>
      <c r="CE37" s="184"/>
      <c r="CF37" s="184"/>
      <c r="CG37" s="184"/>
      <c r="CH37" s="184"/>
      <c r="CI37" s="184"/>
      <c r="CJ37" s="184"/>
      <c r="CK37" s="184"/>
      <c r="CL37" s="184"/>
      <c r="CM37" s="184"/>
      <c r="CN37" s="184"/>
      <c r="CO37" s="184"/>
      <c r="CP37" s="184"/>
      <c r="CQ37" s="184"/>
      <c r="CR37" s="184"/>
      <c r="CS37" s="184"/>
      <c r="CT37" s="184"/>
      <c r="CU37" s="184"/>
      <c r="CV37" s="184"/>
      <c r="CW37" s="184"/>
      <c r="CX37" s="184"/>
      <c r="CY37" s="184"/>
      <c r="CZ37" s="184"/>
      <c r="DA37" s="184"/>
      <c r="DB37" s="184"/>
      <c r="DC37" s="184"/>
      <c r="DD37" s="184"/>
      <c r="DE37" s="184"/>
      <c r="DF37" s="184"/>
      <c r="DG37" s="184"/>
      <c r="DH37" s="184"/>
      <c r="DI37" s="184"/>
      <c r="DJ37" s="184"/>
      <c r="DK37" s="184"/>
      <c r="DL37" s="184"/>
      <c r="DM37" s="184"/>
      <c r="DN37" s="184"/>
      <c r="DO37" s="184"/>
      <c r="DP37" s="184"/>
      <c r="DQ37" s="184"/>
      <c r="DR37" s="184"/>
      <c r="DS37" s="184"/>
      <c r="DT37" s="184"/>
      <c r="DU37" s="184"/>
      <c r="DV37" s="184"/>
      <c r="DW37" s="184"/>
      <c r="DX37" s="184"/>
      <c r="DY37" s="184"/>
      <c r="DZ37" s="184"/>
      <c r="EA37" s="184"/>
      <c r="EB37" s="184"/>
      <c r="EC37" s="184"/>
      <c r="ED37" s="184"/>
      <c r="EE37" s="184"/>
      <c r="EF37" s="184"/>
      <c r="EG37" s="184"/>
      <c r="EH37" s="184"/>
      <c r="EI37" s="184"/>
      <c r="EJ37" s="184"/>
      <c r="EK37" s="184"/>
      <c r="EL37" s="184"/>
      <c r="EM37" s="184"/>
      <c r="EN37" s="184"/>
      <c r="EO37" s="184"/>
      <c r="EP37" s="184"/>
      <c r="EQ37" s="184"/>
      <c r="ER37" s="184"/>
      <c r="ES37" s="184"/>
      <c r="ET37" s="184"/>
      <c r="EU37" s="184"/>
      <c r="EV37" s="184"/>
      <c r="EW37" s="184"/>
      <c r="EX37" s="184"/>
      <c r="EY37" s="184"/>
      <c r="EZ37" s="184"/>
      <c r="FA37" s="184"/>
      <c r="FB37" s="184"/>
      <c r="FC37" s="184"/>
      <c r="FD37" s="184"/>
      <c r="FE37" s="184"/>
      <c r="FF37" s="184"/>
      <c r="FG37" s="184"/>
      <c r="FH37" s="184"/>
      <c r="FI37" s="184"/>
      <c r="FJ37" s="184"/>
      <c r="FK37" s="184"/>
      <c r="FL37" s="184"/>
      <c r="FM37" s="184"/>
      <c r="FN37" s="184"/>
      <c r="FO37" s="184"/>
      <c r="FP37" s="184"/>
      <c r="FQ37" s="184"/>
      <c r="FR37" s="184"/>
      <c r="FS37" s="184"/>
      <c r="FT37" s="184"/>
      <c r="FU37" s="184"/>
      <c r="FV37" s="184"/>
      <c r="FW37" s="184"/>
      <c r="FX37" s="184"/>
      <c r="FY37" s="184"/>
      <c r="FZ37" s="184"/>
      <c r="GA37" s="184"/>
      <c r="GB37" s="184"/>
      <c r="GC37" s="184"/>
      <c r="GD37" s="184"/>
      <c r="GE37" s="184"/>
      <c r="GF37" s="184"/>
      <c r="GG37" s="184"/>
      <c r="GH37" s="184"/>
      <c r="GI37" s="184"/>
      <c r="GJ37" s="184"/>
      <c r="GK37" s="184"/>
      <c r="GL37" s="184"/>
      <c r="GM37" s="184"/>
      <c r="GN37" s="184"/>
      <c r="GO37" s="184"/>
      <c r="GP37" s="184"/>
      <c r="GQ37" s="184"/>
      <c r="GR37" s="184"/>
    </row>
    <row r="38" spans="1:200" s="183" customFormat="1" ht="12.75" customHeight="1" x14ac:dyDescent="0.2">
      <c r="A38" s="254" t="s">
        <v>721</v>
      </c>
      <c r="B38" s="243" t="s">
        <v>722</v>
      </c>
      <c r="C38" s="243" t="s">
        <v>674</v>
      </c>
      <c r="D38" s="240" t="s">
        <v>675</v>
      </c>
      <c r="E38" s="249"/>
      <c r="F38" s="248"/>
      <c r="G38" s="248"/>
      <c r="H38" s="240">
        <v>20</v>
      </c>
      <c r="I38" s="243">
        <v>24</v>
      </c>
      <c r="J38" s="240" t="s">
        <v>645</v>
      </c>
      <c r="K38" s="246"/>
      <c r="L38" s="246"/>
      <c r="M38" s="246"/>
      <c r="N38" s="246"/>
      <c r="O38" s="247"/>
      <c r="P38" s="255" t="s">
        <v>676</v>
      </c>
      <c r="Q38" s="245"/>
      <c r="R38" s="185"/>
      <c r="S38" s="185"/>
      <c r="T38" s="185"/>
      <c r="U38" s="185"/>
      <c r="V38" s="185"/>
      <c r="W38" s="185"/>
      <c r="X38" s="185"/>
      <c r="Y38" s="185"/>
      <c r="Z38" s="185"/>
      <c r="AA38" s="185"/>
      <c r="AB38" s="185"/>
      <c r="AC38" s="185"/>
      <c r="AD38" s="185"/>
      <c r="AE38" s="185"/>
      <c r="AF38" s="185"/>
      <c r="AG38" s="185"/>
      <c r="AH38" s="185"/>
      <c r="AI38" s="185"/>
      <c r="AJ38" s="185"/>
      <c r="AK38" s="185"/>
      <c r="AL38" s="185"/>
      <c r="AM38" s="185"/>
      <c r="AN38" s="185"/>
      <c r="AO38" s="185"/>
      <c r="AP38" s="185"/>
      <c r="AQ38" s="185"/>
      <c r="AR38" s="185"/>
      <c r="AS38" s="185"/>
      <c r="AT38" s="185"/>
      <c r="AU38" s="185"/>
      <c r="AV38" s="185"/>
      <c r="AW38" s="185"/>
      <c r="AX38" s="185"/>
      <c r="AY38" s="185"/>
      <c r="AZ38" s="185"/>
      <c r="BA38" s="185"/>
      <c r="BB38" s="185"/>
      <c r="BC38" s="185"/>
      <c r="BD38" s="185"/>
      <c r="BE38" s="184"/>
      <c r="BF38" s="184"/>
      <c r="BG38" s="184"/>
      <c r="BH38" s="184"/>
      <c r="BI38" s="184"/>
      <c r="BJ38" s="184"/>
      <c r="BK38" s="184"/>
      <c r="BL38" s="184"/>
      <c r="BM38" s="184"/>
      <c r="BN38" s="184"/>
      <c r="BO38" s="184"/>
      <c r="BP38" s="184"/>
      <c r="BQ38" s="184"/>
      <c r="BR38" s="184"/>
      <c r="BS38" s="184"/>
      <c r="BT38" s="184"/>
      <c r="BU38" s="184"/>
      <c r="BV38" s="184"/>
      <c r="BW38" s="184"/>
      <c r="BX38" s="184"/>
      <c r="BY38" s="184"/>
      <c r="BZ38" s="184"/>
      <c r="CA38" s="184"/>
      <c r="CB38" s="184"/>
      <c r="CC38" s="184"/>
      <c r="CD38" s="184"/>
      <c r="CE38" s="184"/>
      <c r="CF38" s="184"/>
      <c r="CG38" s="184"/>
      <c r="CH38" s="184"/>
      <c r="CI38" s="184"/>
      <c r="CJ38" s="184"/>
      <c r="CK38" s="184"/>
      <c r="CL38" s="184"/>
      <c r="CM38" s="184"/>
      <c r="CN38" s="184"/>
      <c r="CO38" s="184"/>
      <c r="CP38" s="184"/>
      <c r="CQ38" s="184"/>
      <c r="CR38" s="184"/>
      <c r="CS38" s="184"/>
      <c r="CT38" s="184"/>
      <c r="CU38" s="184"/>
      <c r="CV38" s="184"/>
      <c r="CW38" s="184"/>
      <c r="CX38" s="184"/>
      <c r="CY38" s="184"/>
      <c r="CZ38" s="184"/>
      <c r="DA38" s="184"/>
      <c r="DB38" s="184"/>
      <c r="DC38" s="184"/>
      <c r="DD38" s="184"/>
      <c r="DE38" s="184"/>
      <c r="DF38" s="184"/>
      <c r="DG38" s="184"/>
      <c r="DH38" s="184"/>
      <c r="DI38" s="184"/>
      <c r="DJ38" s="184"/>
      <c r="DK38" s="184"/>
      <c r="DL38" s="184"/>
      <c r="DM38" s="184"/>
      <c r="DN38" s="184"/>
      <c r="DO38" s="184"/>
      <c r="DP38" s="184"/>
      <c r="DQ38" s="184"/>
      <c r="DR38" s="184"/>
      <c r="DS38" s="184"/>
      <c r="DT38" s="184"/>
      <c r="DU38" s="184"/>
      <c r="DV38" s="184"/>
      <c r="DW38" s="184"/>
      <c r="DX38" s="184"/>
      <c r="DY38" s="184"/>
      <c r="DZ38" s="184"/>
      <c r="EA38" s="184"/>
      <c r="EB38" s="184"/>
      <c r="EC38" s="184"/>
      <c r="ED38" s="184"/>
      <c r="EE38" s="184"/>
      <c r="EF38" s="184"/>
      <c r="EG38" s="184"/>
      <c r="EH38" s="184"/>
      <c r="EI38" s="184"/>
      <c r="EJ38" s="184"/>
      <c r="EK38" s="184"/>
      <c r="EL38" s="184"/>
      <c r="EM38" s="184"/>
      <c r="EN38" s="184"/>
      <c r="EO38" s="184"/>
      <c r="EP38" s="184"/>
      <c r="EQ38" s="184"/>
      <c r="ER38" s="184"/>
      <c r="ES38" s="184"/>
      <c r="ET38" s="184"/>
      <c r="EU38" s="184"/>
      <c r="EV38" s="184"/>
      <c r="EW38" s="184"/>
      <c r="EX38" s="184"/>
      <c r="EY38" s="184"/>
      <c r="EZ38" s="184"/>
      <c r="FA38" s="184"/>
      <c r="FB38" s="184"/>
      <c r="FC38" s="184"/>
      <c r="FD38" s="184"/>
      <c r="FE38" s="184"/>
      <c r="FF38" s="184"/>
      <c r="FG38" s="184"/>
      <c r="FH38" s="184"/>
      <c r="FI38" s="184"/>
      <c r="FJ38" s="184"/>
      <c r="FK38" s="184"/>
      <c r="FL38" s="184"/>
      <c r="FM38" s="184"/>
      <c r="FN38" s="184"/>
      <c r="FO38" s="184"/>
      <c r="FP38" s="184"/>
      <c r="FQ38" s="184"/>
      <c r="FR38" s="184"/>
      <c r="FS38" s="184"/>
      <c r="FT38" s="184"/>
      <c r="FU38" s="184"/>
      <c r="FV38" s="184"/>
      <c r="FW38" s="184"/>
      <c r="FX38" s="184"/>
      <c r="FY38" s="184"/>
      <c r="FZ38" s="184"/>
      <c r="GA38" s="184"/>
      <c r="GB38" s="184"/>
      <c r="GC38" s="184"/>
      <c r="GD38" s="184"/>
      <c r="GE38" s="184"/>
      <c r="GF38" s="184"/>
      <c r="GG38" s="184"/>
      <c r="GH38" s="184"/>
      <c r="GI38" s="184"/>
      <c r="GJ38" s="184"/>
      <c r="GK38" s="184"/>
      <c r="GL38" s="184"/>
      <c r="GM38" s="184"/>
      <c r="GN38" s="184"/>
      <c r="GO38" s="184"/>
      <c r="GP38" s="184"/>
      <c r="GQ38" s="184"/>
      <c r="GR38" s="184"/>
    </row>
    <row r="39" spans="1:200" s="183" customFormat="1" ht="25.5" x14ac:dyDescent="0.2">
      <c r="A39" s="244" t="s">
        <v>723</v>
      </c>
      <c r="B39" s="243" t="s">
        <v>724</v>
      </c>
      <c r="C39" s="243" t="s">
        <v>667</v>
      </c>
      <c r="D39" s="240" t="s">
        <v>668</v>
      </c>
      <c r="E39" s="242"/>
      <c r="F39" s="241"/>
      <c r="G39" s="241"/>
      <c r="H39" s="240">
        <v>20</v>
      </c>
      <c r="I39" s="243">
        <v>24</v>
      </c>
      <c r="J39" s="240" t="s">
        <v>645</v>
      </c>
      <c r="K39" s="240"/>
      <c r="L39" s="240"/>
      <c r="M39" s="240"/>
      <c r="N39" s="240"/>
      <c r="O39" s="253"/>
      <c r="P39" s="252" t="s">
        <v>669</v>
      </c>
      <c r="Q39" s="239"/>
      <c r="R39" s="185"/>
      <c r="S39" s="185"/>
      <c r="T39" s="185"/>
      <c r="U39" s="185"/>
      <c r="V39" s="185"/>
      <c r="W39" s="185"/>
      <c r="X39" s="185"/>
      <c r="Y39" s="185"/>
      <c r="Z39" s="185"/>
      <c r="AA39" s="185"/>
      <c r="AB39" s="185"/>
      <c r="AC39" s="185"/>
      <c r="AD39" s="185"/>
      <c r="AE39" s="185"/>
      <c r="AF39" s="185"/>
      <c r="AG39" s="185"/>
      <c r="AH39" s="185"/>
      <c r="AI39" s="185"/>
      <c r="AJ39" s="185"/>
      <c r="AK39" s="185"/>
      <c r="AL39" s="185"/>
      <c r="AM39" s="185"/>
      <c r="AN39" s="185"/>
      <c r="AO39" s="185"/>
      <c r="AP39" s="185"/>
      <c r="AQ39" s="185"/>
      <c r="AR39" s="185"/>
      <c r="AS39" s="185"/>
      <c r="AT39" s="185"/>
      <c r="AU39" s="185"/>
      <c r="AV39" s="185"/>
      <c r="AW39" s="185"/>
      <c r="AX39" s="185"/>
      <c r="AY39" s="185"/>
      <c r="AZ39" s="185"/>
      <c r="BA39" s="185"/>
      <c r="BB39" s="185"/>
      <c r="BC39" s="185"/>
      <c r="BD39" s="185"/>
      <c r="BE39" s="184"/>
      <c r="BF39" s="184"/>
      <c r="BG39" s="184"/>
      <c r="BH39" s="184"/>
      <c r="BI39" s="184"/>
      <c r="BJ39" s="184"/>
      <c r="BK39" s="184"/>
      <c r="BL39" s="184"/>
      <c r="BM39" s="184"/>
      <c r="BN39" s="184"/>
      <c r="BO39" s="184"/>
      <c r="BP39" s="184"/>
      <c r="BQ39" s="184"/>
      <c r="BR39" s="184"/>
      <c r="BS39" s="184"/>
      <c r="BT39" s="184"/>
      <c r="BU39" s="184"/>
      <c r="BV39" s="184"/>
      <c r="BW39" s="184"/>
      <c r="BX39" s="184"/>
      <c r="BY39" s="184"/>
      <c r="BZ39" s="184"/>
      <c r="CA39" s="184"/>
      <c r="CB39" s="184"/>
      <c r="CC39" s="184"/>
      <c r="CD39" s="184"/>
      <c r="CE39" s="184"/>
      <c r="CF39" s="184"/>
      <c r="CG39" s="184"/>
      <c r="CH39" s="184"/>
      <c r="CI39" s="184"/>
      <c r="CJ39" s="184"/>
      <c r="CK39" s="184"/>
      <c r="CL39" s="184"/>
      <c r="CM39" s="184"/>
      <c r="CN39" s="184"/>
      <c r="CO39" s="184"/>
      <c r="CP39" s="184"/>
      <c r="CQ39" s="184"/>
      <c r="CR39" s="184"/>
      <c r="CS39" s="184"/>
      <c r="CT39" s="184"/>
      <c r="CU39" s="184"/>
      <c r="CV39" s="184"/>
      <c r="CW39" s="184"/>
      <c r="CX39" s="184"/>
      <c r="CY39" s="184"/>
      <c r="CZ39" s="184"/>
      <c r="DA39" s="184"/>
      <c r="DB39" s="184"/>
      <c r="DC39" s="184"/>
      <c r="DD39" s="184"/>
      <c r="DE39" s="184"/>
      <c r="DF39" s="184"/>
      <c r="DG39" s="184"/>
      <c r="DH39" s="184"/>
      <c r="DI39" s="184"/>
      <c r="DJ39" s="184"/>
      <c r="DK39" s="184"/>
      <c r="DL39" s="184"/>
      <c r="DM39" s="184"/>
      <c r="DN39" s="184"/>
      <c r="DO39" s="184"/>
      <c r="DP39" s="184"/>
      <c r="DQ39" s="184"/>
      <c r="DR39" s="184"/>
      <c r="DS39" s="184"/>
      <c r="DT39" s="184"/>
      <c r="DU39" s="184"/>
      <c r="DV39" s="184"/>
      <c r="DW39" s="184"/>
      <c r="DX39" s="184"/>
      <c r="DY39" s="184"/>
      <c r="DZ39" s="184"/>
      <c r="EA39" s="184"/>
      <c r="EB39" s="184"/>
      <c r="EC39" s="184"/>
      <c r="ED39" s="184"/>
      <c r="EE39" s="184"/>
      <c r="EF39" s="184"/>
      <c r="EG39" s="184"/>
      <c r="EH39" s="184"/>
      <c r="EI39" s="184"/>
      <c r="EJ39" s="184"/>
      <c r="EK39" s="184"/>
      <c r="EL39" s="184"/>
      <c r="EM39" s="184"/>
      <c r="EN39" s="184"/>
      <c r="EO39" s="184"/>
      <c r="EP39" s="184"/>
      <c r="EQ39" s="184"/>
      <c r="ER39" s="184"/>
      <c r="ES39" s="184"/>
      <c r="ET39" s="184"/>
      <c r="EU39" s="184"/>
      <c r="EV39" s="184"/>
      <c r="EW39" s="184"/>
      <c r="EX39" s="184"/>
      <c r="EY39" s="184"/>
      <c r="EZ39" s="184"/>
      <c r="FA39" s="184"/>
      <c r="FB39" s="184"/>
      <c r="FC39" s="184"/>
      <c r="FD39" s="184"/>
      <c r="FE39" s="184"/>
      <c r="FF39" s="184"/>
      <c r="FG39" s="184"/>
      <c r="FH39" s="184"/>
      <c r="FI39" s="184"/>
      <c r="FJ39" s="184"/>
      <c r="FK39" s="184"/>
      <c r="FL39" s="184"/>
      <c r="FM39" s="184"/>
      <c r="FN39" s="184"/>
      <c r="FO39" s="184"/>
      <c r="FP39" s="184"/>
      <c r="FQ39" s="184"/>
      <c r="FR39" s="184"/>
      <c r="FS39" s="184"/>
      <c r="FT39" s="184"/>
      <c r="FU39" s="184"/>
      <c r="FV39" s="184"/>
      <c r="FW39" s="184"/>
      <c r="FX39" s="184"/>
      <c r="FY39" s="184"/>
      <c r="FZ39" s="184"/>
      <c r="GA39" s="184"/>
      <c r="GB39" s="184"/>
      <c r="GC39" s="184"/>
      <c r="GD39" s="184"/>
      <c r="GE39" s="184"/>
      <c r="GF39" s="184"/>
      <c r="GG39" s="184"/>
      <c r="GH39" s="184"/>
      <c r="GI39" s="184"/>
      <c r="GJ39" s="184"/>
      <c r="GK39" s="184"/>
      <c r="GL39" s="184"/>
      <c r="GM39" s="184"/>
      <c r="GN39" s="184"/>
      <c r="GO39" s="184"/>
      <c r="GP39" s="184"/>
      <c r="GQ39" s="184"/>
      <c r="GR39" s="184"/>
    </row>
    <row r="40" spans="1:200" s="183" customFormat="1" ht="25.5" x14ac:dyDescent="0.2">
      <c r="A40" s="244" t="s">
        <v>725</v>
      </c>
      <c r="B40" s="243" t="s">
        <v>726</v>
      </c>
      <c r="C40" s="243" t="s">
        <v>667</v>
      </c>
      <c r="D40" s="240" t="s">
        <v>668</v>
      </c>
      <c r="E40" s="242"/>
      <c r="F40" s="241"/>
      <c r="G40" s="241"/>
      <c r="H40" s="240">
        <v>20</v>
      </c>
      <c r="I40" s="240">
        <v>24</v>
      </c>
      <c r="J40" s="240" t="s">
        <v>645</v>
      </c>
      <c r="K40" s="240"/>
      <c r="L40" s="240"/>
      <c r="M40" s="240"/>
      <c r="N40" s="240"/>
      <c r="O40" s="253"/>
      <c r="P40" s="252" t="s">
        <v>669</v>
      </c>
      <c r="Q40" s="239"/>
      <c r="R40" s="185"/>
      <c r="S40" s="185"/>
      <c r="T40" s="185"/>
      <c r="U40" s="185"/>
      <c r="V40" s="185"/>
      <c r="W40" s="185"/>
      <c r="X40" s="185"/>
      <c r="Y40" s="185"/>
      <c r="Z40" s="185"/>
      <c r="AA40" s="185"/>
      <c r="AB40" s="185"/>
      <c r="AC40" s="185"/>
      <c r="AD40" s="185"/>
      <c r="AE40" s="185"/>
      <c r="AF40" s="185"/>
      <c r="AG40" s="185"/>
      <c r="AH40" s="185"/>
      <c r="AI40" s="185"/>
      <c r="AJ40" s="185"/>
      <c r="AK40" s="185"/>
      <c r="AL40" s="185"/>
      <c r="AM40" s="185"/>
      <c r="AN40" s="185"/>
      <c r="AO40" s="185"/>
      <c r="AP40" s="185"/>
      <c r="AQ40" s="185"/>
      <c r="AR40" s="185"/>
      <c r="AS40" s="185"/>
      <c r="AT40" s="185"/>
      <c r="AU40" s="185"/>
      <c r="AV40" s="185"/>
      <c r="AW40" s="185"/>
      <c r="AX40" s="185"/>
      <c r="AY40" s="185"/>
      <c r="AZ40" s="185"/>
      <c r="BA40" s="185"/>
      <c r="BB40" s="185"/>
      <c r="BC40" s="185"/>
      <c r="BD40" s="185"/>
      <c r="BE40" s="184"/>
      <c r="BF40" s="184"/>
      <c r="BG40" s="184"/>
      <c r="BH40" s="184"/>
      <c r="BI40" s="184"/>
      <c r="BJ40" s="184"/>
      <c r="BK40" s="184"/>
      <c r="BL40" s="184"/>
      <c r="BM40" s="184"/>
      <c r="BN40" s="184"/>
      <c r="BO40" s="184"/>
      <c r="BP40" s="184"/>
      <c r="BQ40" s="184"/>
      <c r="BR40" s="184"/>
      <c r="BS40" s="184"/>
      <c r="BT40" s="184"/>
      <c r="BU40" s="184"/>
      <c r="BV40" s="184"/>
      <c r="BW40" s="184"/>
      <c r="BX40" s="184"/>
      <c r="BY40" s="184"/>
      <c r="BZ40" s="184"/>
      <c r="CA40" s="184"/>
      <c r="CB40" s="184"/>
      <c r="CC40" s="184"/>
      <c r="CD40" s="184"/>
      <c r="CE40" s="184"/>
      <c r="CF40" s="184"/>
      <c r="CG40" s="184"/>
      <c r="CH40" s="184"/>
      <c r="CI40" s="184"/>
      <c r="CJ40" s="184"/>
      <c r="CK40" s="184"/>
      <c r="CL40" s="184"/>
      <c r="CM40" s="184"/>
      <c r="CN40" s="184"/>
      <c r="CO40" s="184"/>
      <c r="CP40" s="184"/>
      <c r="CQ40" s="184"/>
      <c r="CR40" s="184"/>
      <c r="CS40" s="184"/>
      <c r="CT40" s="184"/>
      <c r="CU40" s="184"/>
      <c r="CV40" s="184"/>
      <c r="CW40" s="184"/>
      <c r="CX40" s="184"/>
      <c r="CY40" s="184"/>
      <c r="CZ40" s="184"/>
      <c r="DA40" s="184"/>
      <c r="DB40" s="184"/>
      <c r="DC40" s="184"/>
      <c r="DD40" s="184"/>
      <c r="DE40" s="184"/>
      <c r="DF40" s="184"/>
      <c r="DG40" s="184"/>
      <c r="DH40" s="184"/>
      <c r="DI40" s="184"/>
      <c r="DJ40" s="184"/>
      <c r="DK40" s="184"/>
      <c r="DL40" s="184"/>
      <c r="DM40" s="184"/>
      <c r="DN40" s="184"/>
      <c r="DO40" s="184"/>
      <c r="DP40" s="184"/>
      <c r="DQ40" s="184"/>
      <c r="DR40" s="184"/>
      <c r="DS40" s="184"/>
      <c r="DT40" s="184"/>
      <c r="DU40" s="184"/>
      <c r="DV40" s="184"/>
      <c r="DW40" s="184"/>
      <c r="DX40" s="184"/>
      <c r="DY40" s="184"/>
      <c r="DZ40" s="184"/>
      <c r="EA40" s="184"/>
      <c r="EB40" s="184"/>
      <c r="EC40" s="184"/>
      <c r="ED40" s="184"/>
      <c r="EE40" s="184"/>
      <c r="EF40" s="184"/>
      <c r="EG40" s="184"/>
      <c r="EH40" s="184"/>
      <c r="EI40" s="184"/>
      <c r="EJ40" s="184"/>
      <c r="EK40" s="184"/>
      <c r="EL40" s="184"/>
      <c r="EM40" s="184"/>
      <c r="EN40" s="184"/>
      <c r="EO40" s="184"/>
      <c r="EP40" s="184"/>
      <c r="EQ40" s="184"/>
      <c r="ER40" s="184"/>
      <c r="ES40" s="184"/>
      <c r="ET40" s="184"/>
      <c r="EU40" s="184"/>
      <c r="EV40" s="184"/>
      <c r="EW40" s="184"/>
      <c r="EX40" s="184"/>
      <c r="EY40" s="184"/>
      <c r="EZ40" s="184"/>
      <c r="FA40" s="184"/>
      <c r="FB40" s="184"/>
      <c r="FC40" s="184"/>
      <c r="FD40" s="184"/>
      <c r="FE40" s="184"/>
      <c r="FF40" s="184"/>
      <c r="FG40" s="184"/>
      <c r="FH40" s="184"/>
      <c r="FI40" s="184"/>
      <c r="FJ40" s="184"/>
      <c r="FK40" s="184"/>
      <c r="FL40" s="184"/>
      <c r="FM40" s="184"/>
      <c r="FN40" s="184"/>
      <c r="FO40" s="184"/>
      <c r="FP40" s="184"/>
      <c r="FQ40" s="184"/>
      <c r="FR40" s="184"/>
      <c r="FS40" s="184"/>
      <c r="FT40" s="184"/>
      <c r="FU40" s="184"/>
      <c r="FV40" s="184"/>
      <c r="FW40" s="184"/>
      <c r="FX40" s="184"/>
      <c r="FY40" s="184"/>
      <c r="FZ40" s="184"/>
      <c r="GA40" s="184"/>
      <c r="GB40" s="184"/>
      <c r="GC40" s="184"/>
      <c r="GD40" s="184"/>
      <c r="GE40" s="184"/>
      <c r="GF40" s="184"/>
      <c r="GG40" s="184"/>
      <c r="GH40" s="184"/>
      <c r="GI40" s="184"/>
      <c r="GJ40" s="184"/>
      <c r="GK40" s="184"/>
      <c r="GL40" s="184"/>
      <c r="GM40" s="184"/>
      <c r="GN40" s="184"/>
      <c r="GO40" s="184"/>
      <c r="GP40" s="184"/>
      <c r="GQ40" s="184"/>
      <c r="GR40" s="184"/>
    </row>
    <row r="41" spans="1:200" s="183" customFormat="1" ht="12.75" x14ac:dyDescent="0.2">
      <c r="A41" s="251"/>
      <c r="B41" s="250"/>
      <c r="C41" s="250"/>
      <c r="D41" s="246"/>
      <c r="E41" s="249"/>
      <c r="F41" s="248"/>
      <c r="G41" s="248"/>
      <c r="H41" s="246"/>
      <c r="I41" s="246"/>
      <c r="J41" s="240"/>
      <c r="K41" s="246"/>
      <c r="L41" s="246"/>
      <c r="M41" s="246"/>
      <c r="N41" s="246"/>
      <c r="O41" s="247"/>
      <c r="P41" s="246"/>
      <c r="Q41" s="245"/>
      <c r="R41" s="185"/>
      <c r="S41" s="185"/>
      <c r="T41" s="185"/>
      <c r="U41" s="185"/>
      <c r="V41" s="185"/>
      <c r="W41" s="185"/>
      <c r="X41" s="185"/>
      <c r="Y41" s="185"/>
      <c r="Z41" s="185"/>
      <c r="AA41" s="185"/>
      <c r="AB41" s="185"/>
      <c r="AC41" s="185"/>
      <c r="AD41" s="185"/>
      <c r="AE41" s="185"/>
      <c r="AF41" s="185"/>
      <c r="AG41" s="185"/>
      <c r="AH41" s="185"/>
      <c r="AI41" s="185"/>
      <c r="AJ41" s="185"/>
      <c r="AK41" s="185"/>
      <c r="AL41" s="185"/>
      <c r="AM41" s="185"/>
      <c r="AN41" s="185"/>
      <c r="AO41" s="185"/>
      <c r="AP41" s="185"/>
      <c r="AQ41" s="185"/>
      <c r="AR41" s="185"/>
      <c r="AS41" s="185"/>
      <c r="AT41" s="185"/>
      <c r="AU41" s="185"/>
      <c r="AV41" s="185"/>
      <c r="AW41" s="185"/>
      <c r="AX41" s="185"/>
      <c r="AY41" s="185"/>
      <c r="AZ41" s="185"/>
      <c r="BA41" s="185"/>
      <c r="BB41" s="185"/>
      <c r="BC41" s="185"/>
      <c r="BD41" s="185"/>
      <c r="BE41" s="184"/>
      <c r="BF41" s="184"/>
      <c r="BG41" s="184"/>
      <c r="BH41" s="184"/>
      <c r="BI41" s="184"/>
      <c r="BJ41" s="184"/>
      <c r="BK41" s="184"/>
      <c r="BL41" s="184"/>
      <c r="BM41" s="184"/>
      <c r="BN41" s="184"/>
      <c r="BO41" s="184"/>
      <c r="BP41" s="184"/>
      <c r="BQ41" s="184"/>
      <c r="BR41" s="184"/>
      <c r="BS41" s="184"/>
      <c r="BT41" s="184"/>
      <c r="BU41" s="184"/>
      <c r="BV41" s="184"/>
      <c r="BW41" s="184"/>
      <c r="BX41" s="184"/>
      <c r="BY41" s="184"/>
      <c r="BZ41" s="184"/>
      <c r="CA41" s="184"/>
      <c r="CB41" s="184"/>
      <c r="CC41" s="184"/>
      <c r="CD41" s="184"/>
      <c r="CE41" s="184"/>
      <c r="CF41" s="184"/>
      <c r="CG41" s="184"/>
      <c r="CH41" s="184"/>
      <c r="CI41" s="184"/>
      <c r="CJ41" s="184"/>
      <c r="CK41" s="184"/>
      <c r="CL41" s="184"/>
      <c r="CM41" s="184"/>
      <c r="CN41" s="184"/>
      <c r="CO41" s="184"/>
      <c r="CP41" s="184"/>
      <c r="CQ41" s="184"/>
      <c r="CR41" s="184"/>
      <c r="CS41" s="184"/>
      <c r="CT41" s="184"/>
      <c r="CU41" s="184"/>
      <c r="CV41" s="184"/>
      <c r="CW41" s="184"/>
      <c r="CX41" s="184"/>
      <c r="CY41" s="184"/>
      <c r="CZ41" s="184"/>
      <c r="DA41" s="184"/>
      <c r="DB41" s="184"/>
      <c r="DC41" s="184"/>
      <c r="DD41" s="184"/>
      <c r="DE41" s="184"/>
      <c r="DF41" s="184"/>
      <c r="DG41" s="184"/>
      <c r="DH41" s="184"/>
      <c r="DI41" s="184"/>
      <c r="DJ41" s="184"/>
      <c r="DK41" s="184"/>
      <c r="DL41" s="184"/>
      <c r="DM41" s="184"/>
      <c r="DN41" s="184"/>
      <c r="DO41" s="184"/>
      <c r="DP41" s="184"/>
      <c r="DQ41" s="184"/>
      <c r="DR41" s="184"/>
      <c r="DS41" s="184"/>
      <c r="DT41" s="184"/>
      <c r="DU41" s="184"/>
      <c r="DV41" s="184"/>
      <c r="DW41" s="184"/>
      <c r="DX41" s="184"/>
      <c r="DY41" s="184"/>
      <c r="DZ41" s="184"/>
      <c r="EA41" s="184"/>
      <c r="EB41" s="184"/>
      <c r="EC41" s="184"/>
      <c r="ED41" s="184"/>
      <c r="EE41" s="184"/>
      <c r="EF41" s="184"/>
      <c r="EG41" s="184"/>
      <c r="EH41" s="184"/>
      <c r="EI41" s="184"/>
      <c r="EJ41" s="184"/>
      <c r="EK41" s="184"/>
      <c r="EL41" s="184"/>
      <c r="EM41" s="184"/>
      <c r="EN41" s="184"/>
      <c r="EO41" s="184"/>
      <c r="EP41" s="184"/>
      <c r="EQ41" s="184"/>
      <c r="ER41" s="184"/>
      <c r="ES41" s="184"/>
      <c r="ET41" s="184"/>
      <c r="EU41" s="184"/>
      <c r="EV41" s="184"/>
      <c r="EW41" s="184"/>
      <c r="EX41" s="184"/>
      <c r="EY41" s="184"/>
      <c r="EZ41" s="184"/>
      <c r="FA41" s="184"/>
      <c r="FB41" s="184"/>
      <c r="FC41" s="184"/>
      <c r="FD41" s="184"/>
      <c r="FE41" s="184"/>
      <c r="FF41" s="184"/>
      <c r="FG41" s="184"/>
      <c r="FH41" s="184"/>
      <c r="FI41" s="184"/>
      <c r="FJ41" s="184"/>
      <c r="FK41" s="184"/>
      <c r="FL41" s="184"/>
      <c r="FM41" s="184"/>
      <c r="FN41" s="184"/>
      <c r="FO41" s="184"/>
      <c r="FP41" s="184"/>
      <c r="FQ41" s="184"/>
      <c r="FR41" s="184"/>
      <c r="FS41" s="184"/>
      <c r="FT41" s="184"/>
      <c r="FU41" s="184"/>
      <c r="FV41" s="184"/>
      <c r="FW41" s="184"/>
      <c r="FX41" s="184"/>
      <c r="FY41" s="184"/>
      <c r="FZ41" s="184"/>
      <c r="GA41" s="184"/>
      <c r="GB41" s="184"/>
      <c r="GC41" s="184"/>
      <c r="GD41" s="184"/>
      <c r="GE41" s="184"/>
      <c r="GF41" s="184"/>
      <c r="GG41" s="184"/>
      <c r="GH41" s="184"/>
      <c r="GI41" s="184"/>
      <c r="GJ41" s="184"/>
      <c r="GK41" s="184"/>
      <c r="GL41" s="184"/>
      <c r="GM41" s="184"/>
      <c r="GN41" s="184"/>
      <c r="GO41" s="184"/>
      <c r="GP41" s="184"/>
      <c r="GQ41" s="184"/>
      <c r="GR41" s="184"/>
    </row>
    <row r="42" spans="1:200" s="183" customFormat="1" ht="12.75" x14ac:dyDescent="0.2">
      <c r="A42" s="244"/>
      <c r="B42" s="243"/>
      <c r="C42" s="243"/>
      <c r="D42" s="240"/>
      <c r="E42" s="242"/>
      <c r="F42" s="241"/>
      <c r="G42" s="241"/>
      <c r="H42" s="240"/>
      <c r="I42" s="240"/>
      <c r="J42" s="240"/>
      <c r="K42" s="240" t="s">
        <v>644</v>
      </c>
      <c r="L42" s="240" t="s">
        <v>645</v>
      </c>
      <c r="M42" s="240"/>
      <c r="N42" s="240"/>
      <c r="O42" s="240"/>
      <c r="P42" s="240"/>
      <c r="Q42" s="239"/>
      <c r="R42" s="185"/>
      <c r="S42" s="185"/>
      <c r="T42" s="185"/>
      <c r="U42" s="185"/>
      <c r="V42" s="185"/>
      <c r="W42" s="185"/>
      <c r="X42" s="185"/>
      <c r="Y42" s="185"/>
      <c r="Z42" s="185"/>
      <c r="AA42" s="185"/>
      <c r="AB42" s="185"/>
      <c r="AC42" s="185"/>
      <c r="AD42" s="185"/>
      <c r="AE42" s="185"/>
      <c r="AF42" s="185"/>
      <c r="AG42" s="185"/>
      <c r="AH42" s="185"/>
      <c r="AI42" s="185"/>
      <c r="AJ42" s="185"/>
      <c r="AK42" s="185"/>
      <c r="AL42" s="185"/>
      <c r="AM42" s="185"/>
      <c r="AN42" s="185"/>
      <c r="AO42" s="185"/>
      <c r="AP42" s="185"/>
      <c r="AQ42" s="185"/>
      <c r="AR42" s="185"/>
      <c r="AS42" s="185"/>
      <c r="AT42" s="185"/>
      <c r="AU42" s="185"/>
      <c r="AV42" s="185"/>
      <c r="AW42" s="185"/>
      <c r="AX42" s="185"/>
      <c r="AY42" s="185"/>
      <c r="AZ42" s="185"/>
      <c r="BA42" s="185"/>
      <c r="BB42" s="185"/>
      <c r="BC42" s="185"/>
      <c r="BD42" s="185"/>
      <c r="BE42" s="184"/>
      <c r="BF42" s="184"/>
      <c r="BG42" s="184"/>
      <c r="BH42" s="184"/>
      <c r="BI42" s="184"/>
      <c r="BJ42" s="184"/>
      <c r="BK42" s="184"/>
      <c r="BL42" s="184"/>
      <c r="BM42" s="184"/>
      <c r="BN42" s="184"/>
      <c r="BO42" s="184"/>
      <c r="BP42" s="184"/>
      <c r="BQ42" s="184"/>
      <c r="BR42" s="184"/>
      <c r="BS42" s="184"/>
      <c r="BT42" s="184"/>
      <c r="BU42" s="184"/>
      <c r="BV42" s="184"/>
      <c r="BW42" s="184"/>
      <c r="BX42" s="184"/>
      <c r="BY42" s="184"/>
      <c r="BZ42" s="184"/>
      <c r="CA42" s="184"/>
      <c r="CB42" s="184"/>
      <c r="CC42" s="184"/>
      <c r="CD42" s="184"/>
      <c r="CE42" s="184"/>
      <c r="CF42" s="184"/>
      <c r="CG42" s="184"/>
      <c r="CH42" s="184"/>
      <c r="CI42" s="184"/>
      <c r="CJ42" s="184"/>
      <c r="CK42" s="184"/>
      <c r="CL42" s="184"/>
      <c r="CM42" s="184"/>
      <c r="CN42" s="184"/>
      <c r="CO42" s="184"/>
      <c r="CP42" s="184"/>
      <c r="CQ42" s="184"/>
      <c r="CR42" s="184"/>
      <c r="CS42" s="184"/>
      <c r="CT42" s="184"/>
      <c r="CU42" s="184"/>
      <c r="CV42" s="184"/>
      <c r="CW42" s="184"/>
      <c r="CX42" s="184"/>
      <c r="CY42" s="184"/>
      <c r="CZ42" s="184"/>
      <c r="DA42" s="184"/>
      <c r="DB42" s="184"/>
      <c r="DC42" s="184"/>
      <c r="DD42" s="184"/>
      <c r="DE42" s="184"/>
      <c r="DF42" s="184"/>
      <c r="DG42" s="184"/>
      <c r="DH42" s="184"/>
      <c r="DI42" s="184"/>
      <c r="DJ42" s="184"/>
      <c r="DK42" s="184"/>
      <c r="DL42" s="184"/>
      <c r="DM42" s="184"/>
      <c r="DN42" s="184"/>
      <c r="DO42" s="184"/>
      <c r="DP42" s="184"/>
      <c r="DQ42" s="184"/>
      <c r="DR42" s="184"/>
      <c r="DS42" s="184"/>
      <c r="DT42" s="184"/>
      <c r="DU42" s="184"/>
      <c r="DV42" s="184"/>
      <c r="DW42" s="184"/>
      <c r="DX42" s="184"/>
      <c r="DY42" s="184"/>
      <c r="DZ42" s="184"/>
      <c r="EA42" s="184"/>
      <c r="EB42" s="184"/>
      <c r="EC42" s="184"/>
      <c r="ED42" s="184"/>
      <c r="EE42" s="184"/>
      <c r="EF42" s="184"/>
      <c r="EG42" s="184"/>
      <c r="EH42" s="184"/>
      <c r="EI42" s="184"/>
      <c r="EJ42" s="184"/>
      <c r="EK42" s="184"/>
      <c r="EL42" s="184"/>
      <c r="EM42" s="184"/>
      <c r="EN42" s="184"/>
      <c r="EO42" s="184"/>
      <c r="EP42" s="184"/>
      <c r="EQ42" s="184"/>
      <c r="ER42" s="184"/>
      <c r="ES42" s="184"/>
      <c r="ET42" s="184"/>
      <c r="EU42" s="184"/>
      <c r="EV42" s="184"/>
      <c r="EW42" s="184"/>
      <c r="EX42" s="184"/>
      <c r="EY42" s="184"/>
      <c r="EZ42" s="184"/>
      <c r="FA42" s="184"/>
      <c r="FB42" s="184"/>
      <c r="FC42" s="184"/>
      <c r="FD42" s="184"/>
      <c r="FE42" s="184"/>
      <c r="FF42" s="184"/>
      <c r="FG42" s="184"/>
      <c r="FH42" s="184"/>
      <c r="FI42" s="184"/>
      <c r="FJ42" s="184"/>
      <c r="FK42" s="184"/>
      <c r="FL42" s="184"/>
      <c r="FM42" s="184"/>
      <c r="FN42" s="184"/>
      <c r="FO42" s="184"/>
      <c r="FP42" s="184"/>
      <c r="FQ42" s="184"/>
      <c r="FR42" s="184"/>
      <c r="FS42" s="184"/>
      <c r="FT42" s="184"/>
      <c r="FU42" s="184"/>
      <c r="FV42" s="184"/>
      <c r="FW42" s="184"/>
      <c r="FX42" s="184"/>
      <c r="FY42" s="184"/>
      <c r="FZ42" s="184"/>
      <c r="GA42" s="184"/>
      <c r="GB42" s="184"/>
      <c r="GC42" s="184"/>
      <c r="GD42" s="184"/>
      <c r="GE42" s="184"/>
      <c r="GF42" s="184"/>
      <c r="GG42" s="184"/>
      <c r="GH42" s="184"/>
      <c r="GI42" s="184"/>
      <c r="GJ42" s="184"/>
      <c r="GK42" s="184"/>
      <c r="GL42" s="184"/>
      <c r="GM42" s="184"/>
      <c r="GN42" s="184"/>
      <c r="GO42" s="184"/>
      <c r="GP42" s="184"/>
      <c r="GQ42" s="184"/>
      <c r="GR42" s="184"/>
    </row>
    <row r="43" spans="1:200" s="184" customFormat="1" ht="15.75" thickBot="1" x14ac:dyDescent="0.3">
      <c r="A43" s="221"/>
      <c r="B43" s="220"/>
      <c r="C43" s="220"/>
      <c r="D43" s="220"/>
      <c r="E43" s="220"/>
      <c r="F43" s="220"/>
      <c r="G43" s="220"/>
      <c r="H43" s="220"/>
      <c r="I43" s="220"/>
      <c r="J43" s="220"/>
      <c r="K43" s="220"/>
      <c r="L43" s="220"/>
      <c r="M43" s="220"/>
      <c r="N43" s="220"/>
      <c r="O43" s="220"/>
      <c r="P43" s="220"/>
      <c r="Q43" s="219"/>
      <c r="R43" s="185"/>
      <c r="S43" s="185"/>
      <c r="T43" s="185"/>
      <c r="U43" s="185"/>
      <c r="V43" s="185"/>
      <c r="W43" s="185"/>
      <c r="X43" s="185"/>
      <c r="Y43" s="185"/>
      <c r="Z43" s="185"/>
      <c r="AA43" s="185"/>
      <c r="AB43" s="185"/>
      <c r="AC43" s="185"/>
      <c r="AD43" s="185"/>
      <c r="AE43" s="185"/>
      <c r="AF43" s="185"/>
      <c r="AG43" s="185"/>
      <c r="AH43" s="185"/>
      <c r="AI43" s="185"/>
      <c r="AJ43" s="185"/>
      <c r="AK43" s="185"/>
      <c r="AL43" s="185"/>
      <c r="AM43" s="185"/>
      <c r="AN43" s="185"/>
      <c r="AO43" s="185"/>
      <c r="AP43" s="185"/>
      <c r="AQ43" s="185"/>
      <c r="AR43" s="185"/>
      <c r="AS43" s="185"/>
      <c r="AT43" s="185"/>
      <c r="AU43" s="185"/>
      <c r="AV43" s="185"/>
      <c r="AW43" s="185"/>
      <c r="AX43" s="185"/>
      <c r="AY43" s="185"/>
      <c r="AZ43" s="185"/>
      <c r="BA43" s="185"/>
      <c r="BB43" s="185"/>
      <c r="BC43" s="185"/>
      <c r="BD43" s="185"/>
    </row>
    <row r="44" spans="1:200" ht="21" customHeight="1" x14ac:dyDescent="0.25">
      <c r="A44" s="1078" t="s">
        <v>622</v>
      </c>
      <c r="B44" s="1076" t="s">
        <v>300</v>
      </c>
      <c r="C44" s="1076" t="s">
        <v>205</v>
      </c>
      <c r="D44" s="1076" t="s">
        <v>111</v>
      </c>
      <c r="E44" s="1076" t="s">
        <v>647</v>
      </c>
      <c r="F44" s="1076" t="s">
        <v>648</v>
      </c>
      <c r="G44" s="1076" t="s">
        <v>649</v>
      </c>
      <c r="H44" s="238" t="s">
        <v>650</v>
      </c>
      <c r="I44" s="237" t="s">
        <v>67</v>
      </c>
      <c r="J44" s="237"/>
      <c r="K44" s="237"/>
      <c r="L44" s="237"/>
      <c r="M44" s="237"/>
      <c r="N44" s="217" t="s">
        <v>628</v>
      </c>
      <c r="O44" s="236" t="s">
        <v>651</v>
      </c>
      <c r="P44" s="235" t="s">
        <v>630</v>
      </c>
      <c r="Q44" s="234"/>
      <c r="R44" s="185"/>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1"/>
      <c r="BA44" s="161"/>
      <c r="BB44" s="161"/>
      <c r="BC44" s="161"/>
      <c r="BD44" s="161"/>
    </row>
    <row r="45" spans="1:200" ht="33.75" x14ac:dyDescent="0.25">
      <c r="A45" s="1079"/>
      <c r="B45" s="1077"/>
      <c r="C45" s="1077"/>
      <c r="D45" s="1077"/>
      <c r="E45" s="1077"/>
      <c r="F45" s="1077"/>
      <c r="G45" s="1077"/>
      <c r="H45" s="232" t="s">
        <v>652</v>
      </c>
      <c r="I45" s="233" t="s">
        <v>653</v>
      </c>
      <c r="J45" s="233" t="s">
        <v>654</v>
      </c>
      <c r="K45" s="233" t="s">
        <v>655</v>
      </c>
      <c r="L45" s="233" t="s">
        <v>653</v>
      </c>
      <c r="M45" s="233" t="s">
        <v>656</v>
      </c>
      <c r="N45" s="232" t="s">
        <v>657</v>
      </c>
      <c r="O45" s="231"/>
      <c r="P45" s="230"/>
      <c r="Q45" s="229"/>
      <c r="R45" s="185"/>
      <c r="S45" s="161"/>
      <c r="T45" s="161"/>
      <c r="U45" s="161"/>
      <c r="V45" s="161"/>
      <c r="W45" s="161"/>
      <c r="X45" s="161"/>
      <c r="Y45" s="161"/>
      <c r="Z45" s="161"/>
      <c r="AA45" s="161"/>
      <c r="AB45" s="161"/>
      <c r="AC45" s="161"/>
      <c r="AD45" s="161"/>
      <c r="AE45" s="161"/>
      <c r="AF45" s="161"/>
      <c r="AG45" s="161"/>
      <c r="AH45" s="161"/>
      <c r="AI45" s="161"/>
      <c r="AJ45" s="161"/>
      <c r="AK45" s="161"/>
      <c r="AL45" s="161"/>
      <c r="AM45" s="161"/>
      <c r="AN45" s="161"/>
      <c r="AO45" s="161"/>
      <c r="AP45" s="161"/>
      <c r="AQ45" s="161"/>
      <c r="AR45" s="161"/>
      <c r="AS45" s="161"/>
      <c r="AT45" s="161"/>
      <c r="AU45" s="161"/>
      <c r="AV45" s="161"/>
      <c r="AW45" s="161"/>
      <c r="AX45" s="161"/>
      <c r="AY45" s="161"/>
      <c r="AZ45" s="161"/>
      <c r="BA45" s="161"/>
      <c r="BB45" s="161"/>
      <c r="BC45" s="161"/>
      <c r="BD45" s="161"/>
    </row>
    <row r="46" spans="1:200" s="222" customFormat="1" ht="25.5" x14ac:dyDescent="0.2">
      <c r="A46" s="228" t="s">
        <v>688</v>
      </c>
      <c r="B46" s="227" t="s">
        <v>704</v>
      </c>
      <c r="C46" s="227" t="s">
        <v>727</v>
      </c>
      <c r="D46" s="227" t="s">
        <v>690</v>
      </c>
      <c r="E46" s="227"/>
      <c r="F46" s="227"/>
      <c r="G46" s="227"/>
      <c r="H46" s="227"/>
      <c r="I46" s="227" t="s">
        <v>691</v>
      </c>
      <c r="J46" s="227"/>
      <c r="K46" s="227" t="s">
        <v>692</v>
      </c>
      <c r="L46" s="227" t="s">
        <v>691</v>
      </c>
      <c r="M46" s="227"/>
      <c r="N46" s="227"/>
      <c r="O46" s="227"/>
      <c r="P46" s="226" t="s">
        <v>728</v>
      </c>
      <c r="Q46" s="225"/>
      <c r="R46" s="185"/>
      <c r="S46" s="224"/>
      <c r="T46" s="224"/>
      <c r="U46" s="224"/>
      <c r="V46" s="224"/>
      <c r="W46" s="224"/>
      <c r="X46" s="224"/>
      <c r="Y46" s="224"/>
      <c r="Z46" s="224"/>
      <c r="AA46" s="224"/>
      <c r="AB46" s="224"/>
      <c r="AC46" s="224"/>
      <c r="AD46" s="224"/>
      <c r="AE46" s="224"/>
      <c r="AF46" s="224"/>
      <c r="AG46" s="224"/>
      <c r="AH46" s="224"/>
      <c r="AI46" s="224"/>
      <c r="AJ46" s="224"/>
      <c r="AK46" s="224"/>
      <c r="AL46" s="224"/>
      <c r="AM46" s="224"/>
      <c r="AN46" s="224"/>
      <c r="AO46" s="224"/>
      <c r="AP46" s="224"/>
      <c r="AQ46" s="224"/>
      <c r="AR46" s="224"/>
      <c r="AS46" s="224"/>
      <c r="AT46" s="224"/>
      <c r="AU46" s="224"/>
      <c r="AV46" s="224"/>
      <c r="AW46" s="224"/>
      <c r="AX46" s="224"/>
      <c r="AY46" s="224"/>
      <c r="AZ46" s="224"/>
      <c r="BA46" s="224"/>
      <c r="BB46" s="224"/>
      <c r="BC46" s="224"/>
      <c r="BD46" s="224"/>
      <c r="BE46" s="223"/>
      <c r="BF46" s="223"/>
      <c r="BG46" s="223"/>
      <c r="BH46" s="223"/>
      <c r="BI46" s="223"/>
      <c r="BJ46" s="223"/>
      <c r="BK46" s="223"/>
      <c r="BL46" s="223"/>
      <c r="BM46" s="223"/>
      <c r="BN46" s="223"/>
      <c r="BO46" s="223"/>
      <c r="BP46" s="223"/>
      <c r="BQ46" s="223"/>
      <c r="BR46" s="223"/>
      <c r="BS46" s="223"/>
      <c r="BT46" s="223"/>
      <c r="BU46" s="223"/>
      <c r="BV46" s="223"/>
      <c r="BW46" s="223"/>
      <c r="BX46" s="223"/>
      <c r="BY46" s="223"/>
      <c r="BZ46" s="223"/>
      <c r="CA46" s="223"/>
      <c r="CB46" s="223"/>
      <c r="CC46" s="223"/>
      <c r="CD46" s="223"/>
      <c r="CE46" s="223"/>
      <c r="CF46" s="223"/>
      <c r="CG46" s="223"/>
      <c r="CH46" s="223"/>
      <c r="CI46" s="223"/>
      <c r="CJ46" s="223"/>
      <c r="CK46" s="223"/>
      <c r="CL46" s="223"/>
      <c r="CM46" s="223"/>
      <c r="CN46" s="223"/>
      <c r="CO46" s="223"/>
      <c r="CP46" s="223"/>
      <c r="CQ46" s="223"/>
      <c r="CR46" s="223"/>
      <c r="CS46" s="223"/>
      <c r="CT46" s="223"/>
      <c r="CU46" s="223"/>
      <c r="CV46" s="223"/>
      <c r="CW46" s="223"/>
      <c r="CX46" s="223"/>
      <c r="CY46" s="223"/>
      <c r="CZ46" s="223"/>
      <c r="DA46" s="223"/>
      <c r="DB46" s="223"/>
      <c r="DC46" s="223"/>
      <c r="DD46" s="223"/>
      <c r="DE46" s="223"/>
      <c r="DF46" s="223"/>
      <c r="DG46" s="223"/>
      <c r="DH46" s="223"/>
      <c r="DI46" s="223"/>
      <c r="DJ46" s="223"/>
      <c r="DK46" s="223"/>
      <c r="DL46" s="223"/>
      <c r="DM46" s="223"/>
      <c r="DN46" s="223"/>
      <c r="DO46" s="223"/>
      <c r="DP46" s="223"/>
      <c r="DQ46" s="223"/>
      <c r="DR46" s="223"/>
      <c r="DS46" s="223"/>
      <c r="DT46" s="223"/>
      <c r="DU46" s="223"/>
      <c r="DV46" s="223"/>
      <c r="DW46" s="223"/>
      <c r="DX46" s="223"/>
      <c r="DY46" s="223"/>
      <c r="DZ46" s="223"/>
      <c r="EA46" s="223"/>
      <c r="EB46" s="223"/>
      <c r="EC46" s="223"/>
      <c r="ED46" s="223"/>
      <c r="EE46" s="223"/>
      <c r="EF46" s="223"/>
      <c r="EG46" s="223"/>
      <c r="EH46" s="223"/>
      <c r="EI46" s="223"/>
      <c r="EJ46" s="223"/>
      <c r="EK46" s="223"/>
      <c r="EL46" s="223"/>
      <c r="EM46" s="223"/>
      <c r="EN46" s="223"/>
      <c r="EO46" s="223"/>
      <c r="EP46" s="223"/>
      <c r="EQ46" s="223"/>
      <c r="ER46" s="223"/>
      <c r="ES46" s="223"/>
      <c r="ET46" s="223"/>
      <c r="EU46" s="223"/>
      <c r="EV46" s="223"/>
      <c r="EW46" s="223"/>
      <c r="EX46" s="223"/>
      <c r="EY46" s="223"/>
      <c r="EZ46" s="223"/>
      <c r="FA46" s="223"/>
      <c r="FB46" s="223"/>
      <c r="FC46" s="223"/>
      <c r="FD46" s="223"/>
      <c r="FE46" s="223"/>
      <c r="FF46" s="223"/>
      <c r="FG46" s="223"/>
      <c r="FH46" s="223"/>
      <c r="FI46" s="223"/>
      <c r="FJ46" s="223"/>
      <c r="FK46" s="223"/>
      <c r="FL46" s="223"/>
      <c r="FM46" s="223"/>
      <c r="FN46" s="223"/>
      <c r="FO46" s="223"/>
      <c r="FP46" s="223"/>
      <c r="FQ46" s="223"/>
      <c r="FR46" s="223"/>
      <c r="FS46" s="223"/>
      <c r="FT46" s="223"/>
      <c r="FU46" s="223"/>
      <c r="FV46" s="223"/>
      <c r="FW46" s="223"/>
      <c r="FX46" s="223"/>
      <c r="FY46" s="223"/>
      <c r="FZ46" s="223"/>
      <c r="GA46" s="223"/>
      <c r="GB46" s="223"/>
      <c r="GC46" s="223"/>
      <c r="GD46" s="223"/>
      <c r="GE46" s="223"/>
      <c r="GF46" s="223"/>
      <c r="GG46" s="223"/>
      <c r="GH46" s="223"/>
      <c r="GI46" s="223"/>
      <c r="GJ46" s="223"/>
      <c r="GK46" s="223"/>
      <c r="GL46" s="223"/>
      <c r="GM46" s="223"/>
      <c r="GN46" s="223"/>
      <c r="GO46" s="223"/>
      <c r="GP46" s="223"/>
      <c r="GQ46" s="223"/>
      <c r="GR46" s="223"/>
    </row>
    <row r="47" spans="1:200" s="184" customFormat="1" ht="15.75" thickBot="1" x14ac:dyDescent="0.3">
      <c r="A47" s="221"/>
      <c r="B47" s="220"/>
      <c r="C47" s="220"/>
      <c r="D47" s="220"/>
      <c r="E47" s="220"/>
      <c r="F47" s="220"/>
      <c r="G47" s="220"/>
      <c r="H47" s="220"/>
      <c r="I47" s="220"/>
      <c r="J47" s="220"/>
      <c r="K47" s="220"/>
      <c r="L47" s="220"/>
      <c r="M47" s="220"/>
      <c r="N47" s="220"/>
      <c r="O47" s="220"/>
      <c r="P47" s="220"/>
      <c r="Q47" s="219"/>
      <c r="R47" s="185"/>
      <c r="S47" s="185"/>
      <c r="T47" s="185"/>
      <c r="U47" s="185"/>
      <c r="V47" s="185"/>
      <c r="W47" s="185"/>
      <c r="X47" s="185"/>
      <c r="Y47" s="185"/>
      <c r="Z47" s="185"/>
      <c r="AA47" s="185"/>
      <c r="AB47" s="185"/>
      <c r="AC47" s="185"/>
      <c r="AD47" s="185"/>
      <c r="AE47" s="185"/>
      <c r="AF47" s="185"/>
      <c r="AG47" s="185"/>
      <c r="AH47" s="185"/>
      <c r="AI47" s="185"/>
      <c r="AJ47" s="185"/>
      <c r="AK47" s="185"/>
      <c r="AL47" s="185"/>
      <c r="AM47" s="185"/>
      <c r="AN47" s="185"/>
      <c r="AO47" s="185"/>
      <c r="AP47" s="185"/>
      <c r="AQ47" s="185"/>
      <c r="AR47" s="185"/>
      <c r="AS47" s="185"/>
      <c r="AT47" s="185"/>
      <c r="AU47" s="185"/>
      <c r="AV47" s="185"/>
      <c r="AW47" s="185"/>
      <c r="AX47" s="185"/>
      <c r="AY47" s="185"/>
      <c r="AZ47" s="185"/>
      <c r="BA47" s="185"/>
      <c r="BB47" s="185"/>
      <c r="BC47" s="185"/>
      <c r="BD47" s="185"/>
    </row>
    <row r="48" spans="1:200" ht="22.5" x14ac:dyDescent="0.25">
      <c r="A48" s="218" t="s">
        <v>622</v>
      </c>
      <c r="B48" s="217" t="s">
        <v>300</v>
      </c>
      <c r="C48" s="217" t="s">
        <v>694</v>
      </c>
      <c r="D48" s="217" t="s">
        <v>653</v>
      </c>
      <c r="E48" s="217" t="s">
        <v>695</v>
      </c>
      <c r="F48" s="217" t="s">
        <v>696</v>
      </c>
      <c r="G48" s="217" t="s">
        <v>697</v>
      </c>
      <c r="H48" s="216" t="s">
        <v>698</v>
      </c>
      <c r="I48" s="163"/>
      <c r="J48" s="163"/>
      <c r="K48" s="163"/>
      <c r="L48" s="163"/>
      <c r="M48" s="163"/>
      <c r="N48" s="163"/>
      <c r="O48" s="163"/>
      <c r="P48" s="163"/>
      <c r="Q48" s="210"/>
      <c r="R48" s="185"/>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161"/>
      <c r="BA48" s="161"/>
      <c r="BB48" s="161"/>
      <c r="BC48" s="161"/>
      <c r="BD48" s="161"/>
    </row>
    <row r="49" spans="1:56" ht="15" x14ac:dyDescent="0.25">
      <c r="A49" s="215" t="s">
        <v>699</v>
      </c>
      <c r="B49" s="214" t="s">
        <v>704</v>
      </c>
      <c r="C49" s="214" t="s">
        <v>700</v>
      </c>
      <c r="D49" s="214" t="s">
        <v>701</v>
      </c>
      <c r="E49" s="214"/>
      <c r="F49" s="214"/>
      <c r="G49" s="214"/>
      <c r="H49" s="213" t="s">
        <v>702</v>
      </c>
      <c r="I49" s="163"/>
      <c r="J49" s="163"/>
      <c r="K49" s="163"/>
      <c r="L49" s="163"/>
      <c r="M49" s="163"/>
      <c r="N49" s="163"/>
      <c r="O49" s="163"/>
      <c r="P49" s="163"/>
      <c r="Q49" s="210"/>
      <c r="R49" s="185"/>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161"/>
      <c r="BA49" s="161"/>
      <c r="BB49" s="161"/>
      <c r="BC49" s="161"/>
      <c r="BD49" s="161"/>
    </row>
    <row r="50" spans="1:56" ht="15" x14ac:dyDescent="0.25">
      <c r="A50" s="215" t="s">
        <v>729</v>
      </c>
      <c r="B50" s="214" t="s">
        <v>704</v>
      </c>
      <c r="C50" s="214" t="s">
        <v>730</v>
      </c>
      <c r="D50" s="214" t="s">
        <v>701</v>
      </c>
      <c r="E50" s="214"/>
      <c r="F50" s="214"/>
      <c r="G50" s="214"/>
      <c r="H50" s="213" t="s">
        <v>731</v>
      </c>
      <c r="I50" s="163"/>
      <c r="J50" s="163"/>
      <c r="K50" s="163"/>
      <c r="L50" s="163"/>
      <c r="M50" s="163"/>
      <c r="N50" s="163"/>
      <c r="O50" s="163"/>
      <c r="P50" s="163"/>
      <c r="Q50" s="210"/>
      <c r="R50" s="185"/>
      <c r="S50" s="161"/>
      <c r="T50" s="161"/>
      <c r="U50" s="161"/>
      <c r="V50" s="161"/>
      <c r="W50" s="161"/>
      <c r="X50" s="161"/>
      <c r="Y50" s="161"/>
      <c r="Z50" s="161"/>
      <c r="AA50" s="161"/>
      <c r="AB50" s="161"/>
      <c r="AC50" s="161"/>
      <c r="AD50" s="161"/>
      <c r="AE50" s="161"/>
      <c r="AF50" s="161"/>
      <c r="AG50" s="161"/>
      <c r="AH50" s="161"/>
      <c r="AI50" s="161"/>
      <c r="AJ50" s="161"/>
      <c r="AK50" s="161"/>
      <c r="AL50" s="161"/>
      <c r="AM50" s="161"/>
      <c r="AN50" s="161"/>
      <c r="AO50" s="161"/>
      <c r="AP50" s="161"/>
      <c r="AQ50" s="161"/>
      <c r="AR50" s="161"/>
      <c r="AS50" s="161"/>
      <c r="AT50" s="161"/>
      <c r="AU50" s="161"/>
      <c r="AV50" s="161"/>
      <c r="AW50" s="161"/>
      <c r="AX50" s="161"/>
      <c r="AY50" s="161"/>
      <c r="AZ50" s="161"/>
      <c r="BA50" s="161"/>
      <c r="BB50" s="161"/>
      <c r="BC50" s="161"/>
      <c r="BD50" s="161"/>
    </row>
    <row r="51" spans="1:56" x14ac:dyDescent="0.2">
      <c r="A51" s="161"/>
      <c r="B51" s="161"/>
      <c r="C51" s="161"/>
      <c r="D51" s="161"/>
      <c r="E51" s="162"/>
      <c r="F51" s="161"/>
      <c r="G51" s="161"/>
      <c r="H51" s="161"/>
      <c r="I51" s="161"/>
      <c r="J51" s="161"/>
      <c r="K51" s="161"/>
      <c r="L51" s="161"/>
      <c r="M51" s="161"/>
      <c r="N51" s="161"/>
      <c r="O51" s="161"/>
      <c r="P51" s="161"/>
      <c r="Q51" s="160"/>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161"/>
      <c r="BA51" s="161"/>
      <c r="BB51" s="161"/>
      <c r="BC51" s="161"/>
      <c r="BD51" s="161"/>
    </row>
    <row r="52" spans="1:56" x14ac:dyDescent="0.2">
      <c r="A52" s="161"/>
      <c r="B52" s="161"/>
      <c r="C52" s="161"/>
      <c r="D52" s="161"/>
      <c r="E52" s="162"/>
      <c r="F52" s="161"/>
      <c r="G52" s="161"/>
      <c r="H52" s="161"/>
      <c r="I52" s="161"/>
      <c r="J52" s="161"/>
      <c r="K52" s="161"/>
      <c r="L52" s="161"/>
      <c r="M52" s="161"/>
      <c r="N52" s="161"/>
      <c r="O52" s="161"/>
      <c r="P52" s="161"/>
      <c r="Q52" s="160"/>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161"/>
      <c r="BA52" s="161"/>
      <c r="BB52" s="161"/>
      <c r="BC52" s="161"/>
      <c r="BD52" s="161"/>
    </row>
    <row r="53" spans="1:56" x14ac:dyDescent="0.2">
      <c r="A53" s="161"/>
      <c r="B53" s="161"/>
      <c r="C53" s="161"/>
      <c r="D53" s="161"/>
      <c r="E53" s="162"/>
      <c r="F53" s="161"/>
      <c r="G53" s="161"/>
      <c r="H53" s="161"/>
      <c r="I53" s="161"/>
      <c r="J53" s="161"/>
      <c r="K53" s="161"/>
      <c r="L53" s="161"/>
      <c r="M53" s="161"/>
      <c r="N53" s="161"/>
      <c r="O53" s="161"/>
      <c r="P53" s="161"/>
      <c r="Q53" s="160"/>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161"/>
      <c r="BA53" s="161"/>
      <c r="BB53" s="161"/>
      <c r="BC53" s="161"/>
      <c r="BD53" s="161"/>
    </row>
    <row r="54" spans="1:56" x14ac:dyDescent="0.2">
      <c r="A54" s="161"/>
      <c r="B54" s="161"/>
      <c r="C54" s="161"/>
      <c r="D54" s="161"/>
      <c r="E54" s="162"/>
      <c r="F54" s="161"/>
      <c r="G54" s="161"/>
      <c r="H54" s="161"/>
      <c r="I54" s="161"/>
      <c r="J54" s="161"/>
      <c r="K54" s="161"/>
      <c r="L54" s="161"/>
      <c r="M54" s="161"/>
      <c r="N54" s="161"/>
      <c r="O54" s="161"/>
      <c r="P54" s="161"/>
      <c r="Q54" s="160"/>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161"/>
      <c r="BA54" s="161"/>
      <c r="BB54" s="161"/>
      <c r="BC54" s="161"/>
      <c r="BD54" s="161"/>
    </row>
    <row r="55" spans="1:56" x14ac:dyDescent="0.2">
      <c r="A55" s="161"/>
      <c r="B55" s="161"/>
      <c r="C55" s="161"/>
      <c r="D55" s="161"/>
      <c r="E55" s="162"/>
      <c r="F55" s="161"/>
      <c r="G55" s="161"/>
      <c r="H55" s="161"/>
      <c r="I55" s="161"/>
      <c r="J55" s="161"/>
      <c r="K55" s="161"/>
      <c r="L55" s="161"/>
      <c r="M55" s="161"/>
      <c r="N55" s="161"/>
      <c r="O55" s="161"/>
      <c r="P55" s="161"/>
      <c r="Q55" s="160"/>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161"/>
      <c r="BA55" s="161"/>
      <c r="BB55" s="161"/>
      <c r="BC55" s="161"/>
      <c r="BD55" s="161"/>
    </row>
    <row r="56" spans="1:56" x14ac:dyDescent="0.2">
      <c r="A56" s="161"/>
      <c r="B56" s="161"/>
      <c r="C56" s="161"/>
      <c r="D56" s="161"/>
      <c r="E56" s="162"/>
      <c r="F56" s="161"/>
      <c r="G56" s="161"/>
      <c r="H56" s="161"/>
      <c r="I56" s="161"/>
      <c r="J56" s="161"/>
      <c r="K56" s="161"/>
      <c r="L56" s="161"/>
      <c r="M56" s="161"/>
      <c r="N56" s="161"/>
      <c r="O56" s="161"/>
      <c r="P56" s="161"/>
      <c r="Q56" s="160"/>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161"/>
      <c r="BA56" s="161"/>
      <c r="BB56" s="161"/>
      <c r="BC56" s="161"/>
      <c r="BD56" s="161"/>
    </row>
    <row r="57" spans="1:56" x14ac:dyDescent="0.2">
      <c r="A57" s="161"/>
      <c r="B57" s="161"/>
      <c r="C57" s="161"/>
      <c r="D57" s="161"/>
      <c r="E57" s="162"/>
      <c r="F57" s="161"/>
      <c r="G57" s="161"/>
      <c r="H57" s="161"/>
      <c r="I57" s="161"/>
      <c r="J57" s="161"/>
      <c r="K57" s="161"/>
      <c r="L57" s="161"/>
      <c r="M57" s="161"/>
      <c r="N57" s="161"/>
      <c r="O57" s="161"/>
      <c r="P57" s="161"/>
      <c r="Q57" s="160"/>
      <c r="R57" s="161"/>
      <c r="S57" s="161"/>
      <c r="T57" s="161"/>
      <c r="U57" s="161"/>
      <c r="V57" s="161"/>
      <c r="W57" s="161"/>
      <c r="X57" s="161"/>
      <c r="Y57" s="161"/>
      <c r="Z57" s="161"/>
      <c r="AA57" s="161"/>
      <c r="AB57" s="161"/>
      <c r="AC57" s="161"/>
      <c r="AD57" s="161"/>
      <c r="AE57" s="161"/>
      <c r="AF57" s="161"/>
      <c r="AG57" s="161"/>
      <c r="AH57" s="161"/>
      <c r="AI57" s="161"/>
      <c r="AJ57" s="161"/>
      <c r="AK57" s="161"/>
      <c r="AL57" s="161"/>
      <c r="AM57" s="161"/>
      <c r="AN57" s="161"/>
      <c r="AO57" s="161"/>
      <c r="AP57" s="161"/>
      <c r="AQ57" s="161"/>
      <c r="AR57" s="161"/>
      <c r="AS57" s="161"/>
      <c r="AT57" s="161"/>
      <c r="AU57" s="161"/>
      <c r="AV57" s="161"/>
      <c r="AW57" s="161"/>
      <c r="AX57" s="161"/>
      <c r="AY57" s="161"/>
      <c r="AZ57" s="161"/>
      <c r="BA57" s="161"/>
      <c r="BB57" s="161"/>
      <c r="BC57" s="161"/>
      <c r="BD57" s="161"/>
    </row>
    <row r="58" spans="1:56" x14ac:dyDescent="0.2">
      <c r="A58" s="161"/>
      <c r="B58" s="161"/>
      <c r="C58" s="161"/>
      <c r="D58" s="161"/>
      <c r="E58" s="162"/>
      <c r="F58" s="161"/>
      <c r="G58" s="161"/>
      <c r="H58" s="161"/>
      <c r="I58" s="161"/>
      <c r="J58" s="161"/>
      <c r="K58" s="161"/>
      <c r="L58" s="161"/>
      <c r="M58" s="161"/>
      <c r="N58" s="161"/>
      <c r="O58" s="161"/>
      <c r="P58" s="161"/>
      <c r="Q58" s="160"/>
      <c r="R58" s="161"/>
      <c r="S58" s="161"/>
      <c r="T58" s="161"/>
      <c r="U58" s="161"/>
      <c r="V58" s="161"/>
      <c r="W58" s="161"/>
      <c r="X58" s="161"/>
      <c r="Y58" s="161"/>
      <c r="Z58" s="161"/>
      <c r="AA58" s="161"/>
      <c r="AB58" s="161"/>
      <c r="AC58" s="161"/>
      <c r="AD58" s="161"/>
      <c r="AE58" s="161"/>
      <c r="AF58" s="161"/>
      <c r="AG58" s="161"/>
      <c r="AH58" s="161"/>
      <c r="AI58" s="161"/>
      <c r="AJ58" s="161"/>
      <c r="AK58" s="161"/>
      <c r="AL58" s="161"/>
      <c r="AM58" s="161"/>
      <c r="AN58" s="161"/>
      <c r="AO58" s="161"/>
      <c r="AP58" s="161"/>
      <c r="AQ58" s="161"/>
      <c r="AR58" s="161"/>
      <c r="AS58" s="161"/>
      <c r="AT58" s="161"/>
      <c r="AU58" s="161"/>
      <c r="AV58" s="161"/>
      <c r="AW58" s="161"/>
      <c r="AX58" s="161"/>
      <c r="AY58" s="161"/>
      <c r="AZ58" s="161"/>
      <c r="BA58" s="161"/>
      <c r="BB58" s="161"/>
      <c r="BC58" s="161"/>
      <c r="BD58" s="161"/>
    </row>
    <row r="59" spans="1:56" x14ac:dyDescent="0.2">
      <c r="A59" s="161"/>
      <c r="B59" s="161"/>
      <c r="C59" s="161"/>
      <c r="D59" s="161"/>
      <c r="E59" s="162"/>
      <c r="F59" s="161"/>
      <c r="G59" s="161"/>
      <c r="H59" s="161"/>
      <c r="I59" s="161"/>
      <c r="J59" s="161"/>
      <c r="K59" s="161"/>
      <c r="L59" s="161"/>
      <c r="M59" s="161"/>
      <c r="N59" s="161"/>
      <c r="O59" s="161"/>
      <c r="P59" s="161"/>
      <c r="Q59" s="160"/>
      <c r="R59" s="161"/>
      <c r="S59" s="161"/>
      <c r="T59" s="161"/>
      <c r="U59" s="161"/>
      <c r="V59" s="161"/>
      <c r="W59" s="161"/>
      <c r="X59" s="161"/>
      <c r="Y59" s="161"/>
      <c r="Z59" s="161"/>
      <c r="AA59" s="161"/>
      <c r="AB59" s="161"/>
      <c r="AC59" s="161"/>
      <c r="AD59" s="161"/>
      <c r="AE59" s="161"/>
      <c r="AF59" s="161"/>
      <c r="AG59" s="161"/>
      <c r="AH59" s="161"/>
      <c r="AI59" s="161"/>
      <c r="AJ59" s="161"/>
      <c r="AK59" s="161"/>
      <c r="AL59" s="161"/>
      <c r="AM59" s="161"/>
      <c r="AN59" s="161"/>
      <c r="AO59" s="161"/>
      <c r="AP59" s="161"/>
      <c r="AQ59" s="161"/>
      <c r="AR59" s="161"/>
      <c r="AS59" s="161"/>
      <c r="AT59" s="161"/>
      <c r="AU59" s="161"/>
      <c r="AV59" s="161"/>
      <c r="AW59" s="161"/>
      <c r="AX59" s="161"/>
      <c r="AY59" s="161"/>
      <c r="AZ59" s="161"/>
      <c r="BA59" s="161"/>
      <c r="BB59" s="161"/>
      <c r="BC59" s="161"/>
      <c r="BD59" s="161"/>
    </row>
    <row r="60" spans="1:56" x14ac:dyDescent="0.2">
      <c r="A60" s="161"/>
      <c r="B60" s="161"/>
      <c r="C60" s="161"/>
      <c r="D60" s="161"/>
      <c r="E60" s="162"/>
      <c r="F60" s="161"/>
      <c r="G60" s="161"/>
      <c r="H60" s="161"/>
      <c r="I60" s="161"/>
      <c r="J60" s="161"/>
      <c r="K60" s="161"/>
      <c r="L60" s="161"/>
      <c r="M60" s="161"/>
      <c r="N60" s="161"/>
      <c r="O60" s="161"/>
      <c r="P60" s="161"/>
      <c r="Q60" s="160"/>
      <c r="R60" s="161"/>
      <c r="S60" s="161"/>
      <c r="T60" s="161"/>
      <c r="U60" s="161"/>
      <c r="V60" s="161"/>
      <c r="W60" s="161"/>
      <c r="X60" s="161"/>
      <c r="Y60" s="161"/>
      <c r="Z60" s="161"/>
      <c r="AA60" s="161"/>
      <c r="AB60" s="161"/>
      <c r="AC60" s="161"/>
      <c r="AD60" s="161"/>
      <c r="AE60" s="161"/>
      <c r="AF60" s="161"/>
      <c r="AG60" s="161"/>
      <c r="AH60" s="161"/>
      <c r="AI60" s="161"/>
      <c r="AJ60" s="161"/>
      <c r="AK60" s="161"/>
      <c r="AL60" s="161"/>
      <c r="AM60" s="161"/>
      <c r="AN60" s="161"/>
      <c r="AO60" s="161"/>
      <c r="AP60" s="161"/>
      <c r="AQ60" s="161"/>
      <c r="AR60" s="161"/>
      <c r="AS60" s="161"/>
      <c r="AT60" s="161"/>
      <c r="AU60" s="161"/>
      <c r="AV60" s="161"/>
      <c r="AW60" s="161"/>
      <c r="AX60" s="161"/>
      <c r="AY60" s="161"/>
      <c r="AZ60" s="161"/>
      <c r="BA60" s="161"/>
      <c r="BB60" s="161"/>
      <c r="BC60" s="161"/>
      <c r="BD60" s="161"/>
    </row>
    <row r="61" spans="1:56" x14ac:dyDescent="0.2">
      <c r="A61" s="161"/>
      <c r="B61" s="161"/>
      <c r="C61" s="161"/>
      <c r="D61" s="161"/>
      <c r="E61" s="162"/>
      <c r="F61" s="161"/>
      <c r="G61" s="161"/>
      <c r="H61" s="161"/>
      <c r="I61" s="161"/>
      <c r="J61" s="161"/>
      <c r="K61" s="161"/>
      <c r="L61" s="161"/>
      <c r="M61" s="161"/>
      <c r="N61" s="161"/>
      <c r="O61" s="161"/>
      <c r="P61" s="161"/>
      <c r="Q61" s="160"/>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161"/>
      <c r="BA61" s="161"/>
      <c r="BB61" s="161"/>
      <c r="BC61" s="161"/>
      <c r="BD61" s="161"/>
    </row>
    <row r="62" spans="1:56" x14ac:dyDescent="0.2">
      <c r="A62" s="161"/>
      <c r="B62" s="161"/>
      <c r="C62" s="161"/>
      <c r="D62" s="161"/>
      <c r="E62" s="162"/>
      <c r="F62" s="161"/>
      <c r="G62" s="161"/>
      <c r="H62" s="161"/>
      <c r="I62" s="161"/>
      <c r="J62" s="161"/>
      <c r="K62" s="161"/>
      <c r="L62" s="161"/>
      <c r="M62" s="161"/>
      <c r="N62" s="161"/>
      <c r="O62" s="161"/>
      <c r="P62" s="161"/>
      <c r="Q62" s="160"/>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161"/>
      <c r="BA62" s="161"/>
      <c r="BB62" s="161"/>
      <c r="BC62" s="161"/>
      <c r="BD62" s="161"/>
    </row>
    <row r="63" spans="1:56" x14ac:dyDescent="0.2">
      <c r="A63" s="161"/>
      <c r="B63" s="161"/>
      <c r="C63" s="161"/>
      <c r="D63" s="161"/>
      <c r="E63" s="162"/>
      <c r="F63" s="161"/>
      <c r="G63" s="161"/>
      <c r="H63" s="161"/>
      <c r="I63" s="161"/>
      <c r="J63" s="161"/>
      <c r="K63" s="161"/>
      <c r="L63" s="161"/>
      <c r="M63" s="161"/>
      <c r="N63" s="161"/>
      <c r="O63" s="161"/>
      <c r="P63" s="161"/>
      <c r="Q63" s="160"/>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161"/>
      <c r="BA63" s="161"/>
      <c r="BB63" s="161"/>
      <c r="BC63" s="161"/>
      <c r="BD63" s="161"/>
    </row>
    <row r="64" spans="1:56" x14ac:dyDescent="0.2">
      <c r="A64" s="161"/>
      <c r="B64" s="161"/>
      <c r="C64" s="161"/>
      <c r="D64" s="161"/>
      <c r="E64" s="162"/>
      <c r="F64" s="161"/>
      <c r="G64" s="161"/>
      <c r="H64" s="161"/>
      <c r="I64" s="161"/>
      <c r="J64" s="161"/>
      <c r="K64" s="161"/>
      <c r="L64" s="161"/>
      <c r="M64" s="161"/>
      <c r="N64" s="161"/>
      <c r="O64" s="161"/>
      <c r="P64" s="161"/>
      <c r="Q64" s="160"/>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row>
    <row r="65" spans="1:56" x14ac:dyDescent="0.2">
      <c r="A65" s="161"/>
      <c r="B65" s="161"/>
      <c r="C65" s="161"/>
      <c r="D65" s="161"/>
      <c r="E65" s="162"/>
      <c r="F65" s="161"/>
      <c r="G65" s="161"/>
      <c r="H65" s="161"/>
      <c r="I65" s="161"/>
      <c r="J65" s="161"/>
      <c r="K65" s="161"/>
      <c r="L65" s="161"/>
      <c r="M65" s="161"/>
      <c r="N65" s="161"/>
      <c r="O65" s="161"/>
      <c r="P65" s="161"/>
      <c r="Q65" s="160"/>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161"/>
      <c r="BA65" s="161"/>
      <c r="BB65" s="161"/>
      <c r="BC65" s="161"/>
      <c r="BD65" s="161"/>
    </row>
    <row r="66" spans="1:56" x14ac:dyDescent="0.2">
      <c r="A66" s="161"/>
      <c r="B66" s="161"/>
      <c r="C66" s="161"/>
      <c r="D66" s="161"/>
      <c r="E66" s="162"/>
      <c r="F66" s="161"/>
      <c r="G66" s="161"/>
      <c r="H66" s="161"/>
      <c r="I66" s="161"/>
      <c r="J66" s="161"/>
      <c r="K66" s="161"/>
      <c r="L66" s="161"/>
      <c r="M66" s="161"/>
      <c r="N66" s="161"/>
      <c r="O66" s="161"/>
      <c r="P66" s="161"/>
      <c r="Q66" s="160"/>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161"/>
      <c r="BA66" s="161"/>
      <c r="BB66" s="161"/>
      <c r="BC66" s="161"/>
      <c r="BD66" s="161"/>
    </row>
    <row r="67" spans="1:56" x14ac:dyDescent="0.2">
      <c r="A67" s="161"/>
      <c r="B67" s="161"/>
      <c r="C67" s="161"/>
      <c r="D67" s="161"/>
      <c r="E67" s="162"/>
      <c r="F67" s="161"/>
      <c r="G67" s="161"/>
      <c r="H67" s="161"/>
      <c r="I67" s="161"/>
      <c r="J67" s="161"/>
      <c r="K67" s="161"/>
      <c r="L67" s="161"/>
      <c r="M67" s="161"/>
      <c r="N67" s="161"/>
      <c r="O67" s="161"/>
      <c r="P67" s="161"/>
      <c r="Q67" s="160"/>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161"/>
      <c r="BA67" s="161"/>
      <c r="BB67" s="161"/>
      <c r="BC67" s="161"/>
      <c r="BD67" s="161"/>
    </row>
    <row r="68" spans="1:56" x14ac:dyDescent="0.2">
      <c r="A68" s="161"/>
      <c r="B68" s="161"/>
      <c r="C68" s="161"/>
      <c r="D68" s="161"/>
      <c r="E68" s="162"/>
      <c r="F68" s="161"/>
      <c r="G68" s="161"/>
      <c r="H68" s="161"/>
      <c r="I68" s="161"/>
      <c r="J68" s="161"/>
      <c r="K68" s="161"/>
      <c r="L68" s="161"/>
      <c r="M68" s="161"/>
      <c r="N68" s="161"/>
      <c r="O68" s="161"/>
      <c r="P68" s="161"/>
      <c r="Q68" s="160"/>
      <c r="R68" s="161"/>
      <c r="S68" s="161"/>
      <c r="T68" s="161"/>
      <c r="U68" s="161"/>
      <c r="V68" s="161"/>
      <c r="W68" s="161"/>
      <c r="X68" s="161"/>
      <c r="Y68" s="161"/>
      <c r="Z68" s="161"/>
      <c r="AA68" s="161"/>
      <c r="AB68" s="161"/>
      <c r="AC68" s="161"/>
      <c r="AD68" s="161"/>
      <c r="AE68" s="161"/>
      <c r="AF68" s="161"/>
      <c r="AG68" s="161"/>
      <c r="AH68" s="161"/>
      <c r="AI68" s="161"/>
      <c r="AJ68" s="161"/>
      <c r="AK68" s="161"/>
      <c r="AL68" s="161"/>
      <c r="AM68" s="161"/>
      <c r="AN68" s="161"/>
      <c r="AO68" s="161"/>
      <c r="AP68" s="161"/>
      <c r="AQ68" s="161"/>
      <c r="AR68" s="161"/>
      <c r="AS68" s="161"/>
      <c r="AT68" s="161"/>
      <c r="AU68" s="161"/>
      <c r="AV68" s="161"/>
      <c r="AW68" s="161"/>
      <c r="AX68" s="161"/>
      <c r="AY68" s="161"/>
      <c r="AZ68" s="161"/>
      <c r="BA68" s="161"/>
      <c r="BB68" s="161"/>
      <c r="BC68" s="161"/>
      <c r="BD68" s="161"/>
    </row>
    <row r="69" spans="1:56" x14ac:dyDescent="0.2">
      <c r="A69" s="161"/>
      <c r="B69" s="161"/>
      <c r="C69" s="161"/>
      <c r="D69" s="161"/>
      <c r="E69" s="162"/>
      <c r="F69" s="161"/>
      <c r="G69" s="161"/>
      <c r="H69" s="161"/>
      <c r="I69" s="161"/>
      <c r="J69" s="161"/>
      <c r="K69" s="161"/>
      <c r="L69" s="161"/>
      <c r="M69" s="161"/>
      <c r="N69" s="161"/>
      <c r="O69" s="161"/>
      <c r="P69" s="161"/>
      <c r="Q69" s="160"/>
      <c r="R69" s="161"/>
      <c r="S69" s="161"/>
      <c r="T69" s="161"/>
      <c r="U69" s="161"/>
      <c r="V69" s="161"/>
      <c r="W69" s="161"/>
      <c r="X69" s="161"/>
      <c r="Y69" s="161"/>
      <c r="Z69" s="161"/>
      <c r="AA69" s="161"/>
      <c r="AB69" s="161"/>
      <c r="AC69" s="161"/>
      <c r="AD69" s="161"/>
      <c r="AE69" s="161"/>
      <c r="AF69" s="161"/>
      <c r="AG69" s="161"/>
      <c r="AH69" s="161"/>
      <c r="AI69" s="161"/>
      <c r="AJ69" s="161"/>
      <c r="AK69" s="161"/>
      <c r="AL69" s="161"/>
      <c r="AM69" s="161"/>
      <c r="AN69" s="161"/>
      <c r="AO69" s="161"/>
      <c r="AP69" s="161"/>
      <c r="AQ69" s="161"/>
      <c r="AR69" s="161"/>
      <c r="AS69" s="161"/>
      <c r="AT69" s="161"/>
      <c r="AU69" s="161"/>
      <c r="AV69" s="161"/>
      <c r="AW69" s="161"/>
      <c r="AX69" s="161"/>
      <c r="AY69" s="161"/>
      <c r="AZ69" s="161"/>
      <c r="BA69" s="161"/>
      <c r="BB69" s="161"/>
      <c r="BC69" s="161"/>
      <c r="BD69" s="161"/>
    </row>
    <row r="70" spans="1:56" x14ac:dyDescent="0.2">
      <c r="A70" s="161"/>
      <c r="B70" s="161"/>
      <c r="C70" s="161"/>
      <c r="D70" s="161"/>
      <c r="E70" s="162"/>
      <c r="F70" s="161"/>
      <c r="G70" s="161"/>
      <c r="H70" s="161"/>
      <c r="I70" s="161"/>
      <c r="J70" s="161"/>
      <c r="K70" s="161"/>
      <c r="L70" s="161"/>
      <c r="M70" s="161"/>
      <c r="N70" s="161"/>
      <c r="O70" s="161"/>
      <c r="P70" s="161"/>
      <c r="Q70" s="160"/>
      <c r="R70" s="161"/>
      <c r="S70" s="161"/>
      <c r="T70" s="161"/>
      <c r="U70" s="161"/>
      <c r="V70" s="161"/>
      <c r="W70" s="161"/>
      <c r="X70" s="161"/>
      <c r="Y70" s="161"/>
      <c r="Z70" s="161"/>
      <c r="AA70" s="161"/>
      <c r="AB70" s="161"/>
      <c r="AC70" s="161"/>
      <c r="AD70" s="161"/>
      <c r="AE70" s="161"/>
      <c r="AF70" s="161"/>
      <c r="AG70" s="161"/>
      <c r="AH70" s="161"/>
      <c r="AI70" s="161"/>
      <c r="AJ70" s="161"/>
      <c r="AK70" s="161"/>
      <c r="AL70" s="161"/>
      <c r="AM70" s="161"/>
      <c r="AN70" s="161"/>
      <c r="AO70" s="161"/>
      <c r="AP70" s="161"/>
      <c r="AQ70" s="161"/>
      <c r="AR70" s="161"/>
      <c r="AS70" s="161"/>
      <c r="AT70" s="161"/>
      <c r="AU70" s="161"/>
      <c r="AV70" s="161"/>
      <c r="AW70" s="161"/>
      <c r="AX70" s="161"/>
      <c r="AY70" s="161"/>
      <c r="AZ70" s="161"/>
      <c r="BA70" s="161"/>
      <c r="BB70" s="161"/>
      <c r="BC70" s="161"/>
      <c r="BD70" s="161"/>
    </row>
    <row r="71" spans="1:56" x14ac:dyDescent="0.2">
      <c r="A71" s="161"/>
      <c r="B71" s="161"/>
      <c r="C71" s="161"/>
      <c r="D71" s="161"/>
      <c r="E71" s="162"/>
      <c r="F71" s="161"/>
      <c r="G71" s="161"/>
      <c r="H71" s="161"/>
      <c r="I71" s="161"/>
      <c r="J71" s="161"/>
      <c r="K71" s="161"/>
      <c r="L71" s="161"/>
      <c r="M71" s="161"/>
      <c r="N71" s="161"/>
      <c r="O71" s="161"/>
      <c r="P71" s="161"/>
      <c r="Q71" s="160"/>
      <c r="R71" s="161"/>
      <c r="S71" s="161"/>
      <c r="T71" s="161"/>
      <c r="U71" s="161"/>
      <c r="V71" s="161"/>
      <c r="W71" s="161"/>
      <c r="X71" s="161"/>
      <c r="Y71" s="161"/>
      <c r="Z71" s="161"/>
      <c r="AA71" s="161"/>
      <c r="AB71" s="161"/>
      <c r="AC71" s="161"/>
      <c r="AD71" s="161"/>
      <c r="AE71" s="161"/>
      <c r="AF71" s="161"/>
      <c r="AG71" s="161"/>
      <c r="AH71" s="161"/>
      <c r="AI71" s="161"/>
      <c r="AJ71" s="161"/>
      <c r="AK71" s="161"/>
      <c r="AL71" s="161"/>
      <c r="AM71" s="161"/>
      <c r="AN71" s="161"/>
      <c r="AO71" s="161"/>
      <c r="AP71" s="161"/>
      <c r="AQ71" s="161"/>
      <c r="AR71" s="161"/>
      <c r="AS71" s="161"/>
      <c r="AT71" s="161"/>
      <c r="AU71" s="161"/>
      <c r="AV71" s="161"/>
      <c r="AW71" s="161"/>
      <c r="AX71" s="161"/>
      <c r="AY71" s="161"/>
      <c r="AZ71" s="161"/>
      <c r="BA71" s="161"/>
      <c r="BB71" s="161"/>
      <c r="BC71" s="161"/>
      <c r="BD71" s="161"/>
    </row>
    <row r="72" spans="1:56" x14ac:dyDescent="0.2">
      <c r="A72" s="161"/>
      <c r="B72" s="161"/>
      <c r="C72" s="161"/>
      <c r="D72" s="161"/>
      <c r="E72" s="162"/>
      <c r="F72" s="161"/>
      <c r="G72" s="161"/>
      <c r="H72" s="161"/>
      <c r="I72" s="161"/>
      <c r="J72" s="161"/>
      <c r="K72" s="161"/>
      <c r="L72" s="161"/>
      <c r="M72" s="161"/>
      <c r="N72" s="161"/>
      <c r="O72" s="161"/>
      <c r="P72" s="161"/>
      <c r="Q72" s="160"/>
      <c r="R72" s="161"/>
      <c r="S72" s="161"/>
      <c r="T72" s="161"/>
      <c r="U72" s="161"/>
      <c r="V72" s="161"/>
      <c r="W72" s="161"/>
      <c r="X72" s="161"/>
      <c r="Y72" s="161"/>
      <c r="Z72" s="161"/>
      <c r="AA72" s="161"/>
      <c r="AB72" s="161"/>
      <c r="AC72" s="161"/>
      <c r="AD72" s="161"/>
      <c r="AE72" s="161"/>
      <c r="AF72" s="161"/>
      <c r="AG72" s="161"/>
      <c r="AH72" s="161"/>
      <c r="AI72" s="161"/>
      <c r="AJ72" s="161"/>
      <c r="AK72" s="161"/>
      <c r="AL72" s="161"/>
      <c r="AM72" s="161"/>
      <c r="AN72" s="161"/>
      <c r="AO72" s="161"/>
      <c r="AP72" s="161"/>
      <c r="AQ72" s="161"/>
      <c r="AR72" s="161"/>
      <c r="AS72" s="161"/>
      <c r="AT72" s="161"/>
      <c r="AU72" s="161"/>
      <c r="AV72" s="161"/>
      <c r="AW72" s="161"/>
      <c r="AX72" s="161"/>
      <c r="AY72" s="161"/>
      <c r="AZ72" s="161"/>
      <c r="BA72" s="161"/>
      <c r="BB72" s="161"/>
      <c r="BC72" s="161"/>
      <c r="BD72" s="161"/>
    </row>
    <row r="73" spans="1:56" x14ac:dyDescent="0.2">
      <c r="A73" s="161"/>
      <c r="B73" s="161"/>
      <c r="C73" s="161"/>
      <c r="D73" s="161"/>
      <c r="E73" s="162"/>
      <c r="F73" s="161"/>
      <c r="G73" s="161"/>
      <c r="H73" s="161"/>
      <c r="I73" s="161"/>
      <c r="J73" s="161"/>
      <c r="K73" s="161"/>
      <c r="L73" s="161"/>
      <c r="M73" s="161"/>
      <c r="N73" s="161"/>
      <c r="O73" s="161"/>
      <c r="P73" s="161"/>
      <c r="Q73" s="160"/>
      <c r="R73" s="161"/>
      <c r="S73" s="161"/>
      <c r="T73" s="161"/>
      <c r="U73" s="161"/>
      <c r="V73" s="161"/>
      <c r="W73" s="161"/>
      <c r="X73" s="161"/>
      <c r="Y73" s="161"/>
      <c r="Z73" s="161"/>
      <c r="AA73" s="161"/>
      <c r="AB73" s="161"/>
      <c r="AC73" s="161"/>
      <c r="AD73" s="161"/>
      <c r="AE73" s="161"/>
      <c r="AF73" s="161"/>
      <c r="AG73" s="161"/>
      <c r="AH73" s="161"/>
      <c r="AI73" s="161"/>
      <c r="AJ73" s="161"/>
      <c r="AK73" s="161"/>
      <c r="AL73" s="161"/>
      <c r="AM73" s="161"/>
      <c r="AN73" s="161"/>
      <c r="AO73" s="161"/>
      <c r="AP73" s="161"/>
      <c r="AQ73" s="161"/>
      <c r="AR73" s="161"/>
      <c r="AS73" s="161"/>
      <c r="AT73" s="161"/>
      <c r="AU73" s="161"/>
      <c r="AV73" s="161"/>
      <c r="AW73" s="161"/>
      <c r="AX73" s="161"/>
      <c r="AY73" s="161"/>
      <c r="AZ73" s="161"/>
      <c r="BA73" s="161"/>
      <c r="BB73" s="161"/>
      <c r="BC73" s="161"/>
      <c r="BD73" s="161"/>
    </row>
    <row r="74" spans="1:56" x14ac:dyDescent="0.2">
      <c r="A74" s="161"/>
      <c r="B74" s="161"/>
      <c r="C74" s="161"/>
      <c r="D74" s="161"/>
      <c r="E74" s="162"/>
      <c r="F74" s="161"/>
      <c r="G74" s="161"/>
      <c r="H74" s="161"/>
      <c r="I74" s="161"/>
      <c r="J74" s="161"/>
      <c r="K74" s="161"/>
      <c r="L74" s="161"/>
      <c r="M74" s="161"/>
      <c r="N74" s="161"/>
      <c r="O74" s="161"/>
      <c r="P74" s="161"/>
      <c r="Q74" s="160"/>
      <c r="R74" s="161"/>
      <c r="S74" s="161"/>
      <c r="T74" s="161"/>
      <c r="U74" s="161"/>
      <c r="V74" s="161"/>
      <c r="W74" s="161"/>
      <c r="X74" s="161"/>
      <c r="Y74" s="161"/>
      <c r="Z74" s="161"/>
      <c r="AA74" s="161"/>
      <c r="AB74" s="161"/>
      <c r="AC74" s="161"/>
      <c r="AD74" s="161"/>
      <c r="AE74" s="161"/>
      <c r="AF74" s="161"/>
      <c r="AG74" s="161"/>
      <c r="AH74" s="161"/>
      <c r="AI74" s="161"/>
      <c r="AJ74" s="161"/>
      <c r="AK74" s="161"/>
      <c r="AL74" s="161"/>
      <c r="AM74" s="161"/>
      <c r="AN74" s="161"/>
      <c r="AO74" s="161"/>
      <c r="AP74" s="161"/>
      <c r="AQ74" s="161"/>
      <c r="AR74" s="161"/>
      <c r="AS74" s="161"/>
      <c r="AT74" s="161"/>
      <c r="AU74" s="161"/>
      <c r="AV74" s="161"/>
      <c r="AW74" s="161"/>
      <c r="AX74" s="161"/>
      <c r="AY74" s="161"/>
      <c r="AZ74" s="161"/>
      <c r="BA74" s="161"/>
      <c r="BB74" s="161"/>
      <c r="BC74" s="161"/>
      <c r="BD74" s="161"/>
    </row>
    <row r="75" spans="1:56" x14ac:dyDescent="0.2">
      <c r="A75" s="161"/>
      <c r="B75" s="161"/>
      <c r="C75" s="161"/>
      <c r="D75" s="161"/>
      <c r="E75" s="162"/>
      <c r="F75" s="161"/>
      <c r="G75" s="161"/>
      <c r="H75" s="161"/>
      <c r="I75" s="161"/>
      <c r="J75" s="161"/>
      <c r="K75" s="161"/>
      <c r="L75" s="161"/>
      <c r="M75" s="161"/>
      <c r="N75" s="161"/>
      <c r="O75" s="161"/>
      <c r="P75" s="161"/>
      <c r="Q75" s="160"/>
      <c r="R75" s="161"/>
      <c r="S75" s="161"/>
      <c r="T75" s="161"/>
      <c r="U75" s="161"/>
      <c r="V75" s="161"/>
      <c r="W75" s="161"/>
      <c r="X75" s="161"/>
      <c r="Y75" s="161"/>
      <c r="Z75" s="161"/>
      <c r="AA75" s="161"/>
      <c r="AB75" s="161"/>
      <c r="AC75" s="161"/>
      <c r="AD75" s="161"/>
      <c r="AE75" s="161"/>
      <c r="AF75" s="161"/>
      <c r="AG75" s="161"/>
      <c r="AH75" s="161"/>
      <c r="AI75" s="161"/>
      <c r="AJ75" s="161"/>
      <c r="AK75" s="161"/>
      <c r="AL75" s="161"/>
      <c r="AM75" s="161"/>
      <c r="AN75" s="161"/>
      <c r="AO75" s="161"/>
      <c r="AP75" s="161"/>
      <c r="AQ75" s="161"/>
      <c r="AR75" s="161"/>
      <c r="AS75" s="161"/>
      <c r="AT75" s="161"/>
      <c r="AU75" s="161"/>
      <c r="AV75" s="161"/>
      <c r="AW75" s="161"/>
      <c r="AX75" s="161"/>
      <c r="AY75" s="161"/>
      <c r="AZ75" s="161"/>
      <c r="BA75" s="161"/>
      <c r="BB75" s="161"/>
      <c r="BC75" s="161"/>
      <c r="BD75" s="161"/>
    </row>
    <row r="76" spans="1:56" x14ac:dyDescent="0.2">
      <c r="A76" s="161"/>
      <c r="B76" s="161"/>
      <c r="C76" s="161"/>
      <c r="D76" s="161"/>
      <c r="E76" s="162"/>
      <c r="F76" s="161"/>
      <c r="G76" s="161"/>
      <c r="H76" s="161"/>
      <c r="I76" s="161"/>
      <c r="J76" s="161"/>
      <c r="K76" s="161"/>
      <c r="L76" s="161"/>
      <c r="M76" s="161"/>
      <c r="N76" s="161"/>
      <c r="O76" s="161"/>
      <c r="P76" s="161"/>
      <c r="Q76" s="160"/>
      <c r="R76" s="161"/>
      <c r="S76" s="161"/>
      <c r="T76" s="161"/>
      <c r="U76" s="161"/>
      <c r="V76" s="161"/>
      <c r="W76" s="161"/>
      <c r="X76" s="161"/>
      <c r="Y76" s="161"/>
      <c r="Z76" s="161"/>
      <c r="AA76" s="161"/>
      <c r="AB76" s="161"/>
      <c r="AC76" s="161"/>
      <c r="AD76" s="161"/>
      <c r="AE76" s="161"/>
      <c r="AF76" s="161"/>
      <c r="AG76" s="161"/>
      <c r="AH76" s="161"/>
      <c r="AI76" s="161"/>
      <c r="AJ76" s="161"/>
      <c r="AK76" s="161"/>
      <c r="AL76" s="161"/>
      <c r="AM76" s="161"/>
      <c r="AN76" s="161"/>
      <c r="AO76" s="161"/>
      <c r="AP76" s="161"/>
      <c r="AQ76" s="161"/>
      <c r="AR76" s="161"/>
      <c r="AS76" s="161"/>
      <c r="AT76" s="161"/>
      <c r="AU76" s="161"/>
      <c r="AV76" s="161"/>
      <c r="AW76" s="161"/>
      <c r="AX76" s="161"/>
      <c r="AY76" s="161"/>
      <c r="AZ76" s="161"/>
      <c r="BA76" s="161"/>
      <c r="BB76" s="161"/>
      <c r="BC76" s="161"/>
      <c r="BD76" s="161"/>
    </row>
    <row r="77" spans="1:56" x14ac:dyDescent="0.2">
      <c r="A77" s="161"/>
      <c r="B77" s="161"/>
      <c r="C77" s="161"/>
      <c r="D77" s="161"/>
      <c r="E77" s="162"/>
      <c r="F77" s="161"/>
      <c r="G77" s="161"/>
      <c r="H77" s="161"/>
      <c r="I77" s="161"/>
      <c r="J77" s="161"/>
      <c r="K77" s="161"/>
      <c r="L77" s="161"/>
      <c r="M77" s="161"/>
      <c r="N77" s="161"/>
      <c r="O77" s="161"/>
      <c r="P77" s="161"/>
      <c r="Q77" s="160"/>
      <c r="R77" s="161"/>
      <c r="S77" s="161"/>
      <c r="T77" s="161"/>
      <c r="U77" s="161"/>
      <c r="V77" s="161"/>
      <c r="W77" s="161"/>
      <c r="X77" s="161"/>
      <c r="Y77" s="161"/>
      <c r="Z77" s="161"/>
      <c r="AA77" s="161"/>
      <c r="AB77" s="161"/>
      <c r="AC77" s="161"/>
      <c r="AD77" s="161"/>
      <c r="AE77" s="161"/>
      <c r="AF77" s="161"/>
      <c r="AG77" s="161"/>
      <c r="AH77" s="161"/>
      <c r="AI77" s="161"/>
      <c r="AJ77" s="161"/>
      <c r="AK77" s="161"/>
      <c r="AL77" s="161"/>
      <c r="AM77" s="161"/>
      <c r="AN77" s="161"/>
      <c r="AO77" s="161"/>
      <c r="AP77" s="161"/>
      <c r="AQ77" s="161"/>
      <c r="AR77" s="161"/>
      <c r="AS77" s="161"/>
      <c r="AT77" s="161"/>
      <c r="AU77" s="161"/>
      <c r="AV77" s="161"/>
      <c r="AW77" s="161"/>
      <c r="AX77" s="161"/>
      <c r="AY77" s="161"/>
      <c r="AZ77" s="161"/>
      <c r="BA77" s="161"/>
      <c r="BB77" s="161"/>
      <c r="BC77" s="161"/>
      <c r="BD77" s="161"/>
    </row>
    <row r="78" spans="1:56" x14ac:dyDescent="0.2">
      <c r="A78" s="161"/>
      <c r="B78" s="161"/>
      <c r="C78" s="161"/>
      <c r="D78" s="161"/>
      <c r="E78" s="162"/>
      <c r="F78" s="161"/>
      <c r="G78" s="161"/>
      <c r="H78" s="161"/>
      <c r="I78" s="161"/>
      <c r="J78" s="161"/>
      <c r="K78" s="161"/>
      <c r="L78" s="161"/>
      <c r="M78" s="161"/>
      <c r="N78" s="161"/>
      <c r="O78" s="161"/>
      <c r="P78" s="161"/>
      <c r="Q78" s="160"/>
      <c r="R78" s="161"/>
      <c r="S78" s="161"/>
      <c r="T78" s="161"/>
      <c r="U78" s="161"/>
      <c r="V78" s="161"/>
      <c r="W78" s="161"/>
      <c r="X78" s="161"/>
      <c r="Y78" s="161"/>
      <c r="Z78" s="161"/>
      <c r="AA78" s="161"/>
      <c r="AB78" s="161"/>
      <c r="AC78" s="161"/>
      <c r="AD78" s="161"/>
      <c r="AE78" s="161"/>
      <c r="AF78" s="161"/>
      <c r="AG78" s="161"/>
      <c r="AH78" s="161"/>
      <c r="AI78" s="161"/>
      <c r="AJ78" s="161"/>
      <c r="AK78" s="161"/>
      <c r="AL78" s="161"/>
      <c r="AM78" s="161"/>
      <c r="AN78" s="161"/>
      <c r="AO78" s="161"/>
      <c r="AP78" s="161"/>
      <c r="AQ78" s="161"/>
      <c r="AR78" s="161"/>
      <c r="AS78" s="161"/>
      <c r="AT78" s="161"/>
      <c r="AU78" s="161"/>
      <c r="AV78" s="161"/>
      <c r="AW78" s="161"/>
      <c r="AX78" s="161"/>
      <c r="AY78" s="161"/>
      <c r="AZ78" s="161"/>
      <c r="BA78" s="161"/>
      <c r="BB78" s="161"/>
      <c r="BC78" s="161"/>
      <c r="BD78" s="161"/>
    </row>
    <row r="79" spans="1:56" x14ac:dyDescent="0.2">
      <c r="A79" s="161"/>
      <c r="B79" s="161"/>
      <c r="C79" s="161"/>
      <c r="D79" s="161"/>
      <c r="E79" s="162"/>
      <c r="F79" s="161"/>
      <c r="G79" s="161"/>
      <c r="H79" s="161"/>
      <c r="I79" s="161"/>
      <c r="J79" s="161"/>
      <c r="K79" s="161"/>
      <c r="L79" s="161"/>
      <c r="M79" s="161"/>
      <c r="N79" s="161"/>
      <c r="O79" s="161"/>
      <c r="P79" s="161"/>
      <c r="Q79" s="160"/>
      <c r="R79" s="161"/>
      <c r="S79" s="161"/>
      <c r="T79" s="161"/>
      <c r="U79" s="161"/>
      <c r="V79" s="161"/>
      <c r="W79" s="161"/>
      <c r="X79" s="161"/>
      <c r="Y79" s="161"/>
      <c r="Z79" s="161"/>
      <c r="AA79" s="161"/>
      <c r="AB79" s="161"/>
      <c r="AC79" s="161"/>
      <c r="AD79" s="161"/>
      <c r="AE79" s="161"/>
      <c r="AF79" s="161"/>
      <c r="AG79" s="161"/>
      <c r="AH79" s="161"/>
      <c r="AI79" s="161"/>
      <c r="AJ79" s="161"/>
      <c r="AK79" s="161"/>
      <c r="AL79" s="161"/>
      <c r="AM79" s="161"/>
      <c r="AN79" s="161"/>
      <c r="AO79" s="161"/>
      <c r="AP79" s="161"/>
      <c r="AQ79" s="161"/>
      <c r="AR79" s="161"/>
      <c r="AS79" s="161"/>
      <c r="AT79" s="161"/>
      <c r="AU79" s="161"/>
      <c r="AV79" s="161"/>
      <c r="AW79" s="161"/>
      <c r="AX79" s="161"/>
      <c r="AY79" s="161"/>
      <c r="AZ79" s="161"/>
      <c r="BA79" s="161"/>
      <c r="BB79" s="161"/>
      <c r="BC79" s="161"/>
      <c r="BD79" s="161"/>
    </row>
    <row r="80" spans="1:56" x14ac:dyDescent="0.2">
      <c r="A80" s="161"/>
      <c r="B80" s="161"/>
      <c r="C80" s="161"/>
      <c r="D80" s="161"/>
      <c r="E80" s="162"/>
      <c r="F80" s="161"/>
      <c r="G80" s="161"/>
      <c r="H80" s="161"/>
      <c r="I80" s="161"/>
      <c r="J80" s="161"/>
      <c r="K80" s="161"/>
      <c r="L80" s="161"/>
      <c r="M80" s="161"/>
      <c r="N80" s="161"/>
      <c r="O80" s="161"/>
      <c r="P80" s="161"/>
      <c r="Q80" s="160"/>
      <c r="R80" s="161"/>
      <c r="S80" s="161"/>
      <c r="T80" s="161"/>
      <c r="U80" s="161"/>
      <c r="V80" s="161"/>
      <c r="W80" s="161"/>
      <c r="X80" s="161"/>
      <c r="Y80" s="161"/>
      <c r="Z80" s="161"/>
      <c r="AA80" s="161"/>
      <c r="AB80" s="161"/>
      <c r="AC80" s="161"/>
      <c r="AD80" s="161"/>
      <c r="AE80" s="161"/>
      <c r="AF80" s="161"/>
      <c r="AG80" s="161"/>
      <c r="AH80" s="161"/>
      <c r="AI80" s="161"/>
      <c r="AJ80" s="161"/>
      <c r="AK80" s="161"/>
      <c r="AL80" s="161"/>
      <c r="AM80" s="161"/>
      <c r="AN80" s="161"/>
      <c r="AO80" s="161"/>
      <c r="AP80" s="161"/>
      <c r="AQ80" s="161"/>
      <c r="AR80" s="161"/>
      <c r="AS80" s="161"/>
      <c r="AT80" s="161"/>
      <c r="AU80" s="161"/>
      <c r="AV80" s="161"/>
      <c r="AW80" s="161"/>
      <c r="AX80" s="161"/>
      <c r="AY80" s="161"/>
      <c r="AZ80" s="161"/>
      <c r="BA80" s="161"/>
      <c r="BB80" s="161"/>
      <c r="BC80" s="161"/>
      <c r="BD80" s="161"/>
    </row>
    <row r="81" spans="1:56" x14ac:dyDescent="0.2">
      <c r="A81" s="161"/>
      <c r="B81" s="161"/>
      <c r="C81" s="161"/>
      <c r="D81" s="161"/>
      <c r="E81" s="162"/>
      <c r="F81" s="161"/>
      <c r="G81" s="161"/>
      <c r="H81" s="161"/>
      <c r="I81" s="161"/>
      <c r="J81" s="161"/>
      <c r="K81" s="161"/>
      <c r="L81" s="161"/>
      <c r="M81" s="161"/>
      <c r="N81" s="161"/>
      <c r="O81" s="161"/>
      <c r="P81" s="161"/>
      <c r="Q81" s="160"/>
      <c r="R81" s="161"/>
      <c r="S81" s="161"/>
      <c r="T81" s="161"/>
      <c r="U81" s="161"/>
      <c r="V81" s="161"/>
      <c r="W81" s="161"/>
      <c r="X81" s="161"/>
      <c r="Y81" s="161"/>
      <c r="Z81" s="161"/>
      <c r="AA81" s="161"/>
      <c r="AB81" s="161"/>
      <c r="AC81" s="161"/>
      <c r="AD81" s="161"/>
      <c r="AE81" s="161"/>
      <c r="AF81" s="161"/>
      <c r="AG81" s="161"/>
      <c r="AH81" s="161"/>
      <c r="AI81" s="161"/>
      <c r="AJ81" s="161"/>
      <c r="AK81" s="161"/>
      <c r="AL81" s="161"/>
      <c r="AM81" s="161"/>
      <c r="AN81" s="161"/>
      <c r="AO81" s="161"/>
      <c r="AP81" s="161"/>
      <c r="AQ81" s="161"/>
      <c r="AR81" s="161"/>
      <c r="AS81" s="161"/>
      <c r="AT81" s="161"/>
      <c r="AU81" s="161"/>
      <c r="AV81" s="161"/>
      <c r="AW81" s="161"/>
      <c r="AX81" s="161"/>
      <c r="AY81" s="161"/>
      <c r="AZ81" s="161"/>
      <c r="BA81" s="161"/>
      <c r="BB81" s="161"/>
      <c r="BC81" s="161"/>
      <c r="BD81" s="161"/>
    </row>
    <row r="82" spans="1:56" x14ac:dyDescent="0.2">
      <c r="A82" s="161"/>
      <c r="B82" s="161"/>
      <c r="C82" s="161"/>
      <c r="D82" s="161"/>
      <c r="E82" s="162"/>
      <c r="F82" s="161"/>
      <c r="G82" s="161"/>
      <c r="H82" s="161"/>
      <c r="I82" s="161"/>
      <c r="J82" s="161"/>
      <c r="K82" s="161"/>
      <c r="L82" s="161"/>
      <c r="M82" s="161"/>
      <c r="N82" s="161"/>
      <c r="O82" s="161"/>
      <c r="P82" s="161"/>
      <c r="Q82" s="160"/>
      <c r="R82" s="161"/>
      <c r="S82" s="161"/>
      <c r="T82" s="161"/>
      <c r="U82" s="161"/>
      <c r="V82" s="161"/>
      <c r="W82" s="161"/>
      <c r="X82" s="161"/>
      <c r="Y82" s="161"/>
      <c r="Z82" s="161"/>
      <c r="AA82" s="161"/>
      <c r="AB82" s="161"/>
      <c r="AC82" s="161"/>
      <c r="AD82" s="161"/>
      <c r="AE82" s="161"/>
      <c r="AF82" s="161"/>
      <c r="AG82" s="161"/>
      <c r="AH82" s="161"/>
      <c r="AI82" s="161"/>
      <c r="AJ82" s="161"/>
      <c r="AK82" s="161"/>
      <c r="AL82" s="161"/>
      <c r="AM82" s="161"/>
      <c r="AN82" s="161"/>
      <c r="AO82" s="161"/>
      <c r="AP82" s="161"/>
      <c r="AQ82" s="161"/>
      <c r="AR82" s="161"/>
      <c r="AS82" s="161"/>
      <c r="AT82" s="161"/>
      <c r="AU82" s="161"/>
      <c r="AV82" s="161"/>
      <c r="AW82" s="161"/>
      <c r="AX82" s="161"/>
      <c r="AY82" s="161"/>
      <c r="AZ82" s="161"/>
      <c r="BA82" s="161"/>
      <c r="BB82" s="161"/>
      <c r="BC82" s="161"/>
      <c r="BD82" s="161"/>
    </row>
    <row r="83" spans="1:56" x14ac:dyDescent="0.2">
      <c r="A83" s="161"/>
      <c r="B83" s="161"/>
      <c r="C83" s="161"/>
      <c r="D83" s="161"/>
      <c r="E83" s="162"/>
      <c r="F83" s="161"/>
      <c r="G83" s="161"/>
      <c r="H83" s="161"/>
      <c r="I83" s="161"/>
      <c r="J83" s="161"/>
      <c r="K83" s="161"/>
      <c r="L83" s="161"/>
      <c r="M83" s="161"/>
      <c r="N83" s="161"/>
      <c r="O83" s="161"/>
      <c r="P83" s="161"/>
      <c r="Q83" s="160"/>
      <c r="R83" s="161"/>
      <c r="S83" s="161"/>
      <c r="T83" s="161"/>
      <c r="U83" s="161"/>
      <c r="V83" s="161"/>
      <c r="W83" s="161"/>
      <c r="X83" s="161"/>
      <c r="Y83" s="161"/>
      <c r="Z83" s="161"/>
      <c r="AA83" s="161"/>
      <c r="AB83" s="161"/>
      <c r="AC83" s="161"/>
      <c r="AD83" s="161"/>
      <c r="AE83" s="161"/>
      <c r="AF83" s="161"/>
      <c r="AG83" s="161"/>
      <c r="AH83" s="161"/>
      <c r="AI83" s="161"/>
      <c r="AJ83" s="161"/>
      <c r="AK83" s="161"/>
      <c r="AL83" s="161"/>
      <c r="AM83" s="161"/>
      <c r="AN83" s="161"/>
      <c r="AO83" s="161"/>
      <c r="AP83" s="161"/>
      <c r="AQ83" s="161"/>
      <c r="AR83" s="161"/>
      <c r="AS83" s="161"/>
      <c r="AT83" s="161"/>
      <c r="AU83" s="161"/>
      <c r="AV83" s="161"/>
      <c r="AW83" s="161"/>
      <c r="AX83" s="161"/>
      <c r="AY83" s="161"/>
      <c r="AZ83" s="161"/>
      <c r="BA83" s="161"/>
      <c r="BB83" s="161"/>
      <c r="BC83" s="161"/>
      <c r="BD83" s="161"/>
    </row>
    <row r="84" spans="1:56" x14ac:dyDescent="0.2">
      <c r="A84" s="161"/>
      <c r="B84" s="161"/>
      <c r="C84" s="161"/>
      <c r="D84" s="161"/>
      <c r="E84" s="162"/>
      <c r="F84" s="161"/>
      <c r="G84" s="161"/>
      <c r="H84" s="161"/>
      <c r="I84" s="161"/>
      <c r="J84" s="161"/>
      <c r="K84" s="161"/>
      <c r="L84" s="161"/>
      <c r="M84" s="161"/>
      <c r="N84" s="161"/>
      <c r="O84" s="161"/>
      <c r="P84" s="161"/>
      <c r="Q84" s="160"/>
      <c r="R84" s="161"/>
      <c r="S84" s="161"/>
      <c r="T84" s="161"/>
      <c r="U84" s="161"/>
      <c r="V84" s="161"/>
      <c r="W84" s="161"/>
      <c r="X84" s="161"/>
      <c r="Y84" s="161"/>
      <c r="Z84" s="161"/>
      <c r="AA84" s="161"/>
      <c r="AB84" s="161"/>
      <c r="AC84" s="161"/>
      <c r="AD84" s="161"/>
      <c r="AE84" s="161"/>
      <c r="AF84" s="161"/>
      <c r="AG84" s="161"/>
      <c r="AH84" s="161"/>
      <c r="AI84" s="161"/>
      <c r="AJ84" s="161"/>
      <c r="AK84" s="161"/>
      <c r="AL84" s="161"/>
      <c r="AM84" s="161"/>
      <c r="AN84" s="161"/>
      <c r="AO84" s="161"/>
      <c r="AP84" s="161"/>
      <c r="AQ84" s="161"/>
      <c r="AR84" s="161"/>
      <c r="AS84" s="161"/>
      <c r="AT84" s="161"/>
      <c r="AU84" s="161"/>
      <c r="AV84" s="161"/>
      <c r="AW84" s="161"/>
      <c r="AX84" s="161"/>
      <c r="AY84" s="161"/>
      <c r="AZ84" s="161"/>
      <c r="BA84" s="161"/>
      <c r="BB84" s="161"/>
      <c r="BC84" s="161"/>
      <c r="BD84" s="161"/>
    </row>
    <row r="85" spans="1:56" x14ac:dyDescent="0.2">
      <c r="A85" s="161"/>
      <c r="B85" s="161"/>
      <c r="C85" s="161"/>
      <c r="D85" s="161"/>
      <c r="E85" s="162"/>
      <c r="F85" s="161"/>
      <c r="G85" s="161"/>
      <c r="H85" s="161"/>
      <c r="I85" s="161"/>
      <c r="J85" s="161"/>
      <c r="K85" s="161"/>
      <c r="L85" s="161"/>
      <c r="M85" s="161"/>
      <c r="N85" s="161"/>
      <c r="O85" s="161"/>
      <c r="P85" s="161"/>
      <c r="Q85" s="160"/>
      <c r="R85" s="161"/>
      <c r="S85" s="161"/>
      <c r="T85" s="161"/>
      <c r="U85" s="161"/>
      <c r="V85" s="161"/>
      <c r="W85" s="161"/>
      <c r="X85" s="161"/>
      <c r="Y85" s="161"/>
      <c r="Z85" s="161"/>
      <c r="AA85" s="161"/>
      <c r="AB85" s="161"/>
      <c r="AC85" s="161"/>
      <c r="AD85" s="161"/>
      <c r="AE85" s="161"/>
      <c r="AF85" s="161"/>
      <c r="AG85" s="161"/>
      <c r="AH85" s="161"/>
      <c r="AI85" s="161"/>
      <c r="AJ85" s="161"/>
      <c r="AK85" s="161"/>
      <c r="AL85" s="161"/>
      <c r="AM85" s="161"/>
      <c r="AN85" s="161"/>
      <c r="AO85" s="161"/>
      <c r="AP85" s="161"/>
      <c r="AQ85" s="161"/>
      <c r="AR85" s="161"/>
      <c r="AS85" s="161"/>
      <c r="AT85" s="161"/>
      <c r="AU85" s="161"/>
      <c r="AV85" s="161"/>
      <c r="AW85" s="161"/>
      <c r="AX85" s="161"/>
      <c r="AY85" s="161"/>
      <c r="AZ85" s="161"/>
      <c r="BA85" s="161"/>
      <c r="BB85" s="161"/>
      <c r="BC85" s="161"/>
      <c r="BD85" s="161"/>
    </row>
    <row r="86" spans="1:56" x14ac:dyDescent="0.2">
      <c r="A86" s="161"/>
      <c r="B86" s="161"/>
      <c r="C86" s="161"/>
      <c r="D86" s="161"/>
      <c r="E86" s="162"/>
      <c r="F86" s="161"/>
      <c r="G86" s="161"/>
      <c r="H86" s="161"/>
      <c r="I86" s="161"/>
      <c r="J86" s="161"/>
      <c r="K86" s="161"/>
      <c r="L86" s="161"/>
      <c r="M86" s="161"/>
      <c r="N86" s="161"/>
      <c r="O86" s="161"/>
      <c r="P86" s="161"/>
      <c r="Q86" s="160"/>
      <c r="R86" s="161"/>
      <c r="S86" s="161"/>
      <c r="T86" s="161"/>
      <c r="U86" s="161"/>
      <c r="V86" s="161"/>
      <c r="W86" s="161"/>
      <c r="X86" s="161"/>
      <c r="Y86" s="161"/>
      <c r="Z86" s="161"/>
      <c r="AA86" s="161"/>
      <c r="AB86" s="161"/>
      <c r="AC86" s="161"/>
      <c r="AD86" s="161"/>
      <c r="AE86" s="161"/>
      <c r="AF86" s="161"/>
      <c r="AG86" s="161"/>
      <c r="AH86" s="161"/>
      <c r="AI86" s="161"/>
      <c r="AJ86" s="161"/>
      <c r="AK86" s="161"/>
      <c r="AL86" s="161"/>
      <c r="AM86" s="161"/>
      <c r="AN86" s="161"/>
      <c r="AO86" s="161"/>
      <c r="AP86" s="161"/>
      <c r="AQ86" s="161"/>
      <c r="AR86" s="161"/>
      <c r="AS86" s="161"/>
      <c r="AT86" s="161"/>
      <c r="AU86" s="161"/>
      <c r="AV86" s="161"/>
      <c r="AW86" s="161"/>
      <c r="AX86" s="161"/>
      <c r="AY86" s="161"/>
      <c r="AZ86" s="161"/>
      <c r="BA86" s="161"/>
      <c r="BB86" s="161"/>
      <c r="BC86" s="161"/>
      <c r="BD86" s="161"/>
    </row>
    <row r="87" spans="1:56" x14ac:dyDescent="0.2">
      <c r="A87" s="161"/>
      <c r="B87" s="161"/>
      <c r="C87" s="161"/>
      <c r="D87" s="161"/>
      <c r="E87" s="162"/>
      <c r="F87" s="161"/>
      <c r="G87" s="161"/>
      <c r="H87" s="161"/>
      <c r="I87" s="161"/>
      <c r="J87" s="161"/>
      <c r="K87" s="161"/>
      <c r="L87" s="161"/>
      <c r="M87" s="161"/>
      <c r="N87" s="161"/>
      <c r="O87" s="161"/>
      <c r="P87" s="161"/>
      <c r="Q87" s="160"/>
      <c r="R87" s="161"/>
      <c r="S87" s="161"/>
      <c r="T87" s="161"/>
      <c r="U87" s="161"/>
      <c r="V87" s="161"/>
      <c r="W87" s="161"/>
      <c r="X87" s="161"/>
      <c r="Y87" s="161"/>
      <c r="Z87" s="161"/>
      <c r="AA87" s="161"/>
      <c r="AB87" s="161"/>
      <c r="AC87" s="161"/>
      <c r="AD87" s="161"/>
      <c r="AE87" s="161"/>
      <c r="AF87" s="161"/>
      <c r="AG87" s="161"/>
      <c r="AH87" s="161"/>
      <c r="AI87" s="161"/>
      <c r="AJ87" s="161"/>
      <c r="AK87" s="161"/>
      <c r="AL87" s="161"/>
      <c r="AM87" s="161"/>
      <c r="AN87" s="161"/>
      <c r="AO87" s="161"/>
      <c r="AP87" s="161"/>
      <c r="AQ87" s="161"/>
      <c r="AR87" s="161"/>
      <c r="AS87" s="161"/>
      <c r="AT87" s="161"/>
      <c r="AU87" s="161"/>
      <c r="AV87" s="161"/>
      <c r="AW87" s="161"/>
      <c r="AX87" s="161"/>
      <c r="AY87" s="161"/>
      <c r="AZ87" s="161"/>
      <c r="BA87" s="161"/>
      <c r="BB87" s="161"/>
      <c r="BC87" s="161"/>
      <c r="BD87" s="161"/>
    </row>
    <row r="88" spans="1:56" x14ac:dyDescent="0.2">
      <c r="A88" s="161"/>
      <c r="B88" s="161"/>
      <c r="C88" s="161"/>
      <c r="D88" s="161"/>
      <c r="E88" s="162"/>
      <c r="F88" s="161"/>
      <c r="G88" s="161"/>
      <c r="H88" s="161"/>
      <c r="I88" s="161"/>
      <c r="J88" s="161"/>
      <c r="K88" s="161"/>
      <c r="L88" s="161"/>
      <c r="M88" s="161"/>
      <c r="N88" s="161"/>
      <c r="O88" s="161"/>
      <c r="P88" s="161"/>
      <c r="Q88" s="160"/>
      <c r="R88" s="161"/>
      <c r="S88" s="161"/>
      <c r="T88" s="161"/>
      <c r="U88" s="161"/>
      <c r="V88" s="161"/>
      <c r="W88" s="161"/>
      <c r="X88" s="161"/>
      <c r="Y88" s="161"/>
      <c r="Z88" s="161"/>
      <c r="AA88" s="161"/>
      <c r="AB88" s="161"/>
      <c r="AC88" s="161"/>
      <c r="AD88" s="161"/>
      <c r="AE88" s="161"/>
      <c r="AF88" s="161"/>
      <c r="AG88" s="161"/>
      <c r="AH88" s="161"/>
      <c r="AI88" s="161"/>
      <c r="AJ88" s="161"/>
      <c r="AK88" s="161"/>
      <c r="AL88" s="161"/>
      <c r="AM88" s="161"/>
      <c r="AN88" s="161"/>
      <c r="AO88" s="161"/>
      <c r="AP88" s="161"/>
      <c r="AQ88" s="161"/>
      <c r="AR88" s="161"/>
      <c r="AS88" s="161"/>
      <c r="AT88" s="161"/>
      <c r="AU88" s="161"/>
      <c r="AV88" s="161"/>
      <c r="AW88" s="161"/>
      <c r="AX88" s="161"/>
      <c r="AY88" s="161"/>
      <c r="AZ88" s="161"/>
      <c r="BA88" s="161"/>
      <c r="BB88" s="161"/>
      <c r="BC88" s="161"/>
      <c r="BD88" s="161"/>
    </row>
    <row r="89" spans="1:56" x14ac:dyDescent="0.2">
      <c r="A89" s="161"/>
      <c r="B89" s="161"/>
      <c r="C89" s="161"/>
      <c r="D89" s="161"/>
      <c r="E89" s="162"/>
      <c r="F89" s="161"/>
      <c r="G89" s="161"/>
      <c r="H89" s="161"/>
      <c r="I89" s="161"/>
      <c r="J89" s="161"/>
      <c r="K89" s="161"/>
      <c r="L89" s="161"/>
      <c r="M89" s="161"/>
      <c r="N89" s="161"/>
      <c r="O89" s="161"/>
      <c r="P89" s="161"/>
      <c r="Q89" s="160"/>
      <c r="R89" s="161"/>
      <c r="S89" s="161"/>
      <c r="T89" s="161"/>
      <c r="U89" s="161"/>
      <c r="V89" s="161"/>
      <c r="W89" s="161"/>
      <c r="X89" s="161"/>
      <c r="Y89" s="161"/>
      <c r="Z89" s="161"/>
      <c r="AA89" s="161"/>
      <c r="AB89" s="161"/>
      <c r="AC89" s="161"/>
      <c r="AD89" s="161"/>
      <c r="AE89" s="161"/>
      <c r="AF89" s="161"/>
      <c r="AG89" s="161"/>
      <c r="AH89" s="161"/>
      <c r="AI89" s="161"/>
      <c r="AJ89" s="161"/>
      <c r="AK89" s="161"/>
      <c r="AL89" s="161"/>
      <c r="AM89" s="161"/>
      <c r="AN89" s="161"/>
      <c r="AO89" s="161"/>
      <c r="AP89" s="161"/>
      <c r="AQ89" s="161"/>
      <c r="AR89" s="161"/>
      <c r="AS89" s="161"/>
      <c r="AT89" s="161"/>
      <c r="AU89" s="161"/>
      <c r="AV89" s="161"/>
      <c r="AW89" s="161"/>
      <c r="AX89" s="161"/>
      <c r="AY89" s="161"/>
      <c r="AZ89" s="161"/>
      <c r="BA89" s="161"/>
      <c r="BB89" s="161"/>
      <c r="BC89" s="161"/>
      <c r="BD89" s="161"/>
    </row>
    <row r="90" spans="1:56" x14ac:dyDescent="0.2">
      <c r="A90" s="161"/>
      <c r="B90" s="161"/>
      <c r="C90" s="161"/>
      <c r="D90" s="161"/>
      <c r="E90" s="162"/>
      <c r="F90" s="161"/>
      <c r="G90" s="161"/>
      <c r="H90" s="161"/>
      <c r="I90" s="161"/>
      <c r="J90" s="161"/>
      <c r="K90" s="161"/>
      <c r="L90" s="161"/>
      <c r="M90" s="161"/>
      <c r="N90" s="161"/>
      <c r="O90" s="161"/>
      <c r="P90" s="161"/>
      <c r="Q90" s="160"/>
      <c r="R90" s="161"/>
      <c r="S90" s="161"/>
      <c r="T90" s="161"/>
      <c r="U90" s="161"/>
      <c r="V90" s="161"/>
      <c r="W90" s="161"/>
      <c r="X90" s="161"/>
      <c r="Y90" s="161"/>
      <c r="Z90" s="161"/>
      <c r="AA90" s="161"/>
      <c r="AB90" s="161"/>
      <c r="AC90" s="161"/>
      <c r="AD90" s="161"/>
      <c r="AE90" s="161"/>
      <c r="AF90" s="161"/>
      <c r="AG90" s="161"/>
      <c r="AH90" s="161"/>
      <c r="AI90" s="161"/>
      <c r="AJ90" s="161"/>
      <c r="AK90" s="161"/>
      <c r="AL90" s="161"/>
      <c r="AM90" s="161"/>
      <c r="AN90" s="161"/>
      <c r="AO90" s="161"/>
      <c r="AP90" s="161"/>
      <c r="AQ90" s="161"/>
      <c r="AR90" s="161"/>
      <c r="AS90" s="161"/>
      <c r="AT90" s="161"/>
      <c r="AU90" s="161"/>
      <c r="AV90" s="161"/>
      <c r="AW90" s="161"/>
      <c r="AX90" s="161"/>
      <c r="AY90" s="161"/>
      <c r="AZ90" s="161"/>
      <c r="BA90" s="161"/>
      <c r="BB90" s="161"/>
      <c r="BC90" s="161"/>
      <c r="BD90" s="161"/>
    </row>
    <row r="91" spans="1:56" x14ac:dyDescent="0.2">
      <c r="A91" s="161"/>
      <c r="B91" s="161"/>
      <c r="C91" s="161"/>
      <c r="D91" s="161"/>
      <c r="E91" s="162"/>
      <c r="F91" s="161"/>
      <c r="G91" s="161"/>
      <c r="H91" s="161"/>
      <c r="I91" s="161"/>
      <c r="J91" s="161"/>
      <c r="K91" s="161"/>
      <c r="L91" s="161"/>
      <c r="M91" s="161"/>
      <c r="N91" s="161"/>
      <c r="O91" s="161"/>
      <c r="P91" s="161"/>
      <c r="Q91" s="160"/>
      <c r="R91" s="161"/>
      <c r="S91" s="161"/>
      <c r="T91" s="161"/>
      <c r="U91" s="161"/>
      <c r="V91" s="161"/>
      <c r="W91" s="161"/>
      <c r="X91" s="161"/>
      <c r="Y91" s="161"/>
      <c r="Z91" s="161"/>
      <c r="AA91" s="161"/>
      <c r="AB91" s="161"/>
      <c r="AC91" s="161"/>
      <c r="AD91" s="161"/>
      <c r="AE91" s="161"/>
      <c r="AF91" s="161"/>
      <c r="AG91" s="161"/>
      <c r="AH91" s="161"/>
      <c r="AI91" s="161"/>
      <c r="AJ91" s="161"/>
      <c r="AK91" s="161"/>
      <c r="AL91" s="161"/>
      <c r="AM91" s="161"/>
      <c r="AN91" s="161"/>
      <c r="AO91" s="161"/>
      <c r="AP91" s="161"/>
      <c r="AQ91" s="161"/>
      <c r="AR91" s="161"/>
      <c r="AS91" s="161"/>
      <c r="AT91" s="161"/>
      <c r="AU91" s="161"/>
      <c r="AV91" s="161"/>
      <c r="AW91" s="161"/>
      <c r="AX91" s="161"/>
      <c r="AY91" s="161"/>
      <c r="AZ91" s="161"/>
      <c r="BA91" s="161"/>
      <c r="BB91" s="161"/>
      <c r="BC91" s="161"/>
      <c r="BD91" s="161"/>
    </row>
    <row r="92" spans="1:56" x14ac:dyDescent="0.2">
      <c r="A92" s="161"/>
      <c r="B92" s="161"/>
      <c r="C92" s="161"/>
      <c r="D92" s="161"/>
      <c r="E92" s="162"/>
      <c r="F92" s="161"/>
      <c r="G92" s="161"/>
      <c r="H92" s="161"/>
      <c r="I92" s="161"/>
      <c r="J92" s="161"/>
      <c r="K92" s="161"/>
      <c r="L92" s="161"/>
      <c r="M92" s="161"/>
      <c r="N92" s="161"/>
      <c r="O92" s="161"/>
      <c r="P92" s="161"/>
      <c r="Q92" s="160"/>
      <c r="R92" s="161"/>
      <c r="S92" s="161"/>
      <c r="T92" s="161"/>
      <c r="U92" s="161"/>
      <c r="V92" s="161"/>
      <c r="W92" s="161"/>
      <c r="X92" s="161"/>
      <c r="Y92" s="161"/>
      <c r="Z92" s="161"/>
      <c r="AA92" s="161"/>
      <c r="AB92" s="161"/>
      <c r="AC92" s="161"/>
      <c r="AD92" s="161"/>
      <c r="AE92" s="161"/>
      <c r="AF92" s="161"/>
      <c r="AG92" s="161"/>
      <c r="AH92" s="161"/>
      <c r="AI92" s="161"/>
      <c r="AJ92" s="161"/>
      <c r="AK92" s="161"/>
      <c r="AL92" s="161"/>
      <c r="AM92" s="161"/>
      <c r="AN92" s="161"/>
      <c r="AO92" s="161"/>
      <c r="AP92" s="161"/>
      <c r="AQ92" s="161"/>
      <c r="AR92" s="161"/>
      <c r="AS92" s="161"/>
      <c r="AT92" s="161"/>
      <c r="AU92" s="161"/>
      <c r="AV92" s="161"/>
      <c r="AW92" s="161"/>
      <c r="AX92" s="161"/>
      <c r="AY92" s="161"/>
      <c r="AZ92" s="161"/>
      <c r="BA92" s="161"/>
      <c r="BB92" s="161"/>
      <c r="BC92" s="161"/>
      <c r="BD92" s="161"/>
    </row>
    <row r="93" spans="1:56" x14ac:dyDescent="0.2">
      <c r="A93" s="161"/>
      <c r="B93" s="161"/>
      <c r="C93" s="161"/>
      <c r="D93" s="161"/>
      <c r="E93" s="162"/>
      <c r="F93" s="161"/>
      <c r="G93" s="161"/>
      <c r="H93" s="161"/>
      <c r="I93" s="161"/>
      <c r="J93" s="161"/>
      <c r="K93" s="161"/>
      <c r="L93" s="161"/>
      <c r="M93" s="161"/>
      <c r="N93" s="161"/>
      <c r="O93" s="161"/>
      <c r="P93" s="161"/>
      <c r="Q93" s="160"/>
      <c r="R93" s="161"/>
      <c r="S93" s="161"/>
      <c r="T93" s="161"/>
      <c r="U93" s="161"/>
      <c r="V93" s="161"/>
      <c r="W93" s="161"/>
      <c r="X93" s="161"/>
      <c r="Y93" s="161"/>
      <c r="Z93" s="161"/>
      <c r="AA93" s="161"/>
      <c r="AB93" s="161"/>
      <c r="AC93" s="161"/>
      <c r="AD93" s="161"/>
      <c r="AE93" s="161"/>
      <c r="AF93" s="161"/>
      <c r="AG93" s="161"/>
      <c r="AH93" s="161"/>
      <c r="AI93" s="161"/>
      <c r="AJ93" s="161"/>
      <c r="AK93" s="161"/>
      <c r="AL93" s="161"/>
      <c r="AM93" s="161"/>
      <c r="AN93" s="161"/>
      <c r="AO93" s="161"/>
      <c r="AP93" s="161"/>
      <c r="AQ93" s="161"/>
      <c r="AR93" s="161"/>
      <c r="AS93" s="161"/>
      <c r="AT93" s="161"/>
      <c r="AU93" s="161"/>
      <c r="AV93" s="161"/>
      <c r="AW93" s="161"/>
      <c r="AX93" s="161"/>
      <c r="AY93" s="161"/>
      <c r="AZ93" s="161"/>
      <c r="BA93" s="161"/>
      <c r="BB93" s="161"/>
      <c r="BC93" s="161"/>
      <c r="BD93" s="161"/>
    </row>
    <row r="94" spans="1:56" x14ac:dyDescent="0.2">
      <c r="A94" s="161"/>
      <c r="B94" s="161"/>
      <c r="C94" s="161"/>
      <c r="D94" s="161"/>
      <c r="E94" s="162"/>
      <c r="F94" s="161"/>
      <c r="G94" s="161"/>
      <c r="H94" s="161"/>
      <c r="I94" s="161"/>
      <c r="J94" s="161"/>
      <c r="K94" s="161"/>
      <c r="L94" s="161"/>
      <c r="M94" s="161"/>
      <c r="N94" s="161"/>
      <c r="O94" s="161"/>
      <c r="P94" s="161"/>
      <c r="Q94" s="160"/>
      <c r="R94" s="161"/>
      <c r="S94" s="161"/>
      <c r="T94" s="161"/>
      <c r="U94" s="161"/>
      <c r="V94" s="161"/>
      <c r="W94" s="161"/>
      <c r="X94" s="161"/>
      <c r="Y94" s="161"/>
      <c r="Z94" s="161"/>
      <c r="AA94" s="161"/>
      <c r="AB94" s="161"/>
      <c r="AC94" s="161"/>
      <c r="AD94" s="161"/>
      <c r="AE94" s="161"/>
      <c r="AF94" s="161"/>
      <c r="AG94" s="161"/>
      <c r="AH94" s="161"/>
      <c r="AI94" s="161"/>
      <c r="AJ94" s="161"/>
      <c r="AK94" s="161"/>
      <c r="AL94" s="161"/>
      <c r="AM94" s="161"/>
      <c r="AN94" s="161"/>
      <c r="AO94" s="161"/>
      <c r="AP94" s="161"/>
      <c r="AQ94" s="161"/>
      <c r="AR94" s="161"/>
      <c r="AS94" s="161"/>
      <c r="AT94" s="161"/>
      <c r="AU94" s="161"/>
      <c r="AV94" s="161"/>
      <c r="AW94" s="161"/>
      <c r="AX94" s="161"/>
      <c r="AY94" s="161"/>
      <c r="AZ94" s="161"/>
      <c r="BA94" s="161"/>
      <c r="BB94" s="161"/>
      <c r="BC94" s="161"/>
      <c r="BD94" s="161"/>
    </row>
    <row r="95" spans="1:56" x14ac:dyDescent="0.2">
      <c r="A95" s="161"/>
      <c r="B95" s="161"/>
      <c r="C95" s="161"/>
      <c r="D95" s="161"/>
      <c r="E95" s="162"/>
      <c r="F95" s="161"/>
      <c r="G95" s="161"/>
      <c r="H95" s="161"/>
      <c r="I95" s="161"/>
      <c r="J95" s="161"/>
      <c r="K95" s="161"/>
      <c r="L95" s="161"/>
      <c r="M95" s="161"/>
      <c r="N95" s="161"/>
      <c r="O95" s="161"/>
      <c r="P95" s="161"/>
      <c r="Q95" s="160"/>
      <c r="R95" s="161"/>
      <c r="S95" s="161"/>
      <c r="T95" s="161"/>
      <c r="U95" s="161"/>
      <c r="V95" s="161"/>
      <c r="W95" s="161"/>
      <c r="X95" s="161"/>
      <c r="Y95" s="161"/>
      <c r="Z95" s="161"/>
      <c r="AA95" s="161"/>
      <c r="AB95" s="161"/>
      <c r="AC95" s="161"/>
      <c r="AD95" s="161"/>
      <c r="AE95" s="161"/>
      <c r="AF95" s="161"/>
      <c r="AG95" s="161"/>
      <c r="AH95" s="161"/>
      <c r="AI95" s="161"/>
      <c r="AJ95" s="161"/>
      <c r="AK95" s="161"/>
      <c r="AL95" s="161"/>
      <c r="AM95" s="161"/>
      <c r="AN95" s="161"/>
      <c r="AO95" s="161"/>
      <c r="AP95" s="161"/>
      <c r="AQ95" s="161"/>
      <c r="AR95" s="161"/>
      <c r="AS95" s="161"/>
      <c r="AT95" s="161"/>
      <c r="AU95" s="161"/>
      <c r="AV95" s="161"/>
      <c r="AW95" s="161"/>
      <c r="AX95" s="161"/>
      <c r="AY95" s="161"/>
      <c r="AZ95" s="161"/>
      <c r="BA95" s="161"/>
      <c r="BB95" s="161"/>
      <c r="BC95" s="161"/>
      <c r="BD95" s="161"/>
    </row>
    <row r="96" spans="1:56" x14ac:dyDescent="0.2">
      <c r="A96" s="161"/>
      <c r="B96" s="161"/>
      <c r="C96" s="161"/>
      <c r="D96" s="161"/>
      <c r="E96" s="162"/>
      <c r="F96" s="161"/>
      <c r="G96" s="161"/>
      <c r="H96" s="161"/>
      <c r="I96" s="161"/>
      <c r="J96" s="161"/>
      <c r="K96" s="161"/>
      <c r="L96" s="161"/>
      <c r="M96" s="161"/>
      <c r="N96" s="161"/>
      <c r="O96" s="161"/>
      <c r="P96" s="161"/>
      <c r="Q96" s="160"/>
      <c r="R96" s="161"/>
      <c r="S96" s="161"/>
      <c r="T96" s="161"/>
      <c r="U96" s="161"/>
      <c r="V96" s="161"/>
      <c r="W96" s="161"/>
      <c r="X96" s="161"/>
      <c r="Y96" s="161"/>
      <c r="Z96" s="161"/>
      <c r="AA96" s="161"/>
      <c r="AB96" s="161"/>
      <c r="AC96" s="161"/>
      <c r="AD96" s="161"/>
      <c r="AE96" s="161"/>
      <c r="AF96" s="161"/>
      <c r="AG96" s="161"/>
      <c r="AH96" s="161"/>
      <c r="AI96" s="161"/>
      <c r="AJ96" s="161"/>
      <c r="AK96" s="161"/>
      <c r="AL96" s="161"/>
      <c r="AM96" s="161"/>
      <c r="AN96" s="161"/>
      <c r="AO96" s="161"/>
      <c r="AP96" s="161"/>
      <c r="AQ96" s="161"/>
      <c r="AR96" s="161"/>
      <c r="AS96" s="161"/>
      <c r="AT96" s="161"/>
      <c r="AU96" s="161"/>
      <c r="AV96" s="161"/>
      <c r="AW96" s="161"/>
      <c r="AX96" s="161"/>
      <c r="AY96" s="161"/>
      <c r="AZ96" s="161"/>
      <c r="BA96" s="161"/>
      <c r="BB96" s="161"/>
      <c r="BC96" s="161"/>
      <c r="BD96" s="161"/>
    </row>
    <row r="97" spans="1:56" x14ac:dyDescent="0.2">
      <c r="A97" s="161"/>
      <c r="B97" s="161"/>
      <c r="C97" s="161"/>
      <c r="D97" s="161"/>
      <c r="E97" s="162"/>
      <c r="F97" s="161"/>
      <c r="G97" s="161"/>
      <c r="H97" s="161"/>
      <c r="I97" s="161"/>
      <c r="J97" s="161"/>
      <c r="K97" s="161"/>
      <c r="L97" s="161"/>
      <c r="M97" s="161"/>
      <c r="N97" s="161"/>
      <c r="O97" s="161"/>
      <c r="P97" s="161"/>
      <c r="Q97" s="160"/>
      <c r="R97" s="161"/>
      <c r="S97" s="161"/>
      <c r="T97" s="161"/>
      <c r="U97" s="161"/>
      <c r="V97" s="161"/>
      <c r="W97" s="161"/>
      <c r="X97" s="161"/>
      <c r="Y97" s="161"/>
      <c r="Z97" s="161"/>
      <c r="AA97" s="161"/>
      <c r="AB97" s="161"/>
      <c r="AC97" s="161"/>
      <c r="AD97" s="161"/>
      <c r="AE97" s="161"/>
      <c r="AF97" s="161"/>
      <c r="AG97" s="161"/>
      <c r="AH97" s="161"/>
      <c r="AI97" s="161"/>
      <c r="AJ97" s="161"/>
      <c r="AK97" s="161"/>
      <c r="AL97" s="161"/>
      <c r="AM97" s="161"/>
      <c r="AN97" s="161"/>
      <c r="AO97" s="161"/>
      <c r="AP97" s="161"/>
      <c r="AQ97" s="161"/>
      <c r="AR97" s="161"/>
      <c r="AS97" s="161"/>
      <c r="AT97" s="161"/>
      <c r="AU97" s="161"/>
      <c r="AV97" s="161"/>
      <c r="AW97" s="161"/>
      <c r="AX97" s="161"/>
      <c r="AY97" s="161"/>
      <c r="AZ97" s="161"/>
      <c r="BA97" s="161"/>
      <c r="BB97" s="161"/>
      <c r="BC97" s="161"/>
      <c r="BD97" s="161"/>
    </row>
    <row r="98" spans="1:56" x14ac:dyDescent="0.2">
      <c r="A98" s="161"/>
      <c r="B98" s="161"/>
      <c r="C98" s="161"/>
      <c r="D98" s="161"/>
      <c r="E98" s="162"/>
      <c r="F98" s="161"/>
      <c r="G98" s="161"/>
      <c r="H98" s="161"/>
      <c r="I98" s="161"/>
      <c r="J98" s="161"/>
      <c r="K98" s="161"/>
      <c r="L98" s="161"/>
      <c r="M98" s="161"/>
      <c r="N98" s="161"/>
      <c r="O98" s="161"/>
      <c r="P98" s="161"/>
      <c r="Q98" s="160"/>
      <c r="R98" s="161"/>
      <c r="S98" s="161"/>
      <c r="T98" s="161"/>
      <c r="U98" s="161"/>
      <c r="V98" s="161"/>
      <c r="W98" s="161"/>
      <c r="X98" s="161"/>
      <c r="Y98" s="161"/>
      <c r="Z98" s="161"/>
      <c r="AA98" s="161"/>
      <c r="AB98" s="161"/>
      <c r="AC98" s="161"/>
      <c r="AD98" s="161"/>
      <c r="AE98" s="161"/>
      <c r="AF98" s="161"/>
      <c r="AG98" s="161"/>
      <c r="AH98" s="161"/>
      <c r="AI98" s="161"/>
      <c r="AJ98" s="161"/>
      <c r="AK98" s="161"/>
      <c r="AL98" s="161"/>
      <c r="AM98" s="161"/>
      <c r="AN98" s="161"/>
      <c r="AO98" s="161"/>
      <c r="AP98" s="161"/>
      <c r="AQ98" s="161"/>
      <c r="AR98" s="161"/>
      <c r="AS98" s="161"/>
      <c r="AT98" s="161"/>
      <c r="AU98" s="161"/>
      <c r="AV98" s="161"/>
      <c r="AW98" s="161"/>
      <c r="AX98" s="161"/>
      <c r="AY98" s="161"/>
      <c r="AZ98" s="161"/>
      <c r="BA98" s="161"/>
      <c r="BB98" s="161"/>
      <c r="BC98" s="161"/>
      <c r="BD98" s="161"/>
    </row>
    <row r="99" spans="1:56" x14ac:dyDescent="0.2">
      <c r="A99" s="161"/>
      <c r="B99" s="161"/>
      <c r="C99" s="161"/>
      <c r="D99" s="161"/>
      <c r="E99" s="162"/>
      <c r="F99" s="161"/>
      <c r="G99" s="161"/>
      <c r="H99" s="161"/>
      <c r="I99" s="161"/>
      <c r="J99" s="161"/>
      <c r="K99" s="161"/>
      <c r="L99" s="161"/>
      <c r="M99" s="161"/>
      <c r="N99" s="161"/>
      <c r="O99" s="161"/>
      <c r="P99" s="161"/>
      <c r="Q99" s="160"/>
      <c r="R99" s="161"/>
      <c r="S99" s="161"/>
      <c r="T99" s="161"/>
      <c r="U99" s="161"/>
      <c r="V99" s="161"/>
      <c r="W99" s="161"/>
      <c r="X99" s="161"/>
      <c r="Y99" s="161"/>
      <c r="Z99" s="161"/>
      <c r="AA99" s="161"/>
      <c r="AB99" s="161"/>
      <c r="AC99" s="161"/>
      <c r="AD99" s="161"/>
      <c r="AE99" s="161"/>
      <c r="AF99" s="161"/>
      <c r="AG99" s="161"/>
      <c r="AH99" s="161"/>
      <c r="AI99" s="161"/>
      <c r="AJ99" s="161"/>
      <c r="AK99" s="161"/>
      <c r="AL99" s="161"/>
      <c r="AM99" s="161"/>
      <c r="AN99" s="161"/>
      <c r="AO99" s="161"/>
      <c r="AP99" s="161"/>
      <c r="AQ99" s="161"/>
      <c r="AR99" s="161"/>
      <c r="AS99" s="161"/>
      <c r="AT99" s="161"/>
      <c r="AU99" s="161"/>
      <c r="AV99" s="161"/>
      <c r="AW99" s="161"/>
      <c r="AX99" s="161"/>
      <c r="AY99" s="161"/>
      <c r="AZ99" s="161"/>
      <c r="BA99" s="161"/>
      <c r="BB99" s="161"/>
      <c r="BC99" s="161"/>
      <c r="BD99" s="161"/>
    </row>
    <row r="100" spans="1:56" x14ac:dyDescent="0.2">
      <c r="A100" s="161"/>
      <c r="B100" s="161"/>
      <c r="C100" s="161"/>
      <c r="D100" s="161"/>
      <c r="E100" s="162"/>
      <c r="F100" s="161"/>
      <c r="G100" s="161"/>
      <c r="H100" s="161"/>
      <c r="I100" s="161"/>
      <c r="J100" s="161"/>
      <c r="K100" s="161"/>
      <c r="L100" s="161"/>
      <c r="M100" s="161"/>
      <c r="N100" s="161"/>
      <c r="O100" s="161"/>
      <c r="P100" s="161"/>
      <c r="Q100" s="160"/>
      <c r="R100" s="161"/>
      <c r="S100" s="161"/>
      <c r="T100" s="161"/>
      <c r="U100" s="161"/>
      <c r="V100" s="161"/>
      <c r="W100" s="161"/>
      <c r="X100" s="161"/>
      <c r="Y100" s="161"/>
      <c r="Z100" s="161"/>
      <c r="AA100" s="161"/>
      <c r="AB100" s="161"/>
      <c r="AC100" s="161"/>
      <c r="AD100" s="161"/>
      <c r="AE100" s="161"/>
      <c r="AF100" s="161"/>
      <c r="AG100" s="161"/>
      <c r="AH100" s="161"/>
      <c r="AI100" s="161"/>
      <c r="AJ100" s="161"/>
      <c r="AK100" s="161"/>
      <c r="AL100" s="161"/>
      <c r="AM100" s="161"/>
      <c r="AN100" s="161"/>
      <c r="AO100" s="161"/>
      <c r="AP100" s="161"/>
      <c r="AQ100" s="161"/>
      <c r="AR100" s="161"/>
      <c r="AS100" s="161"/>
      <c r="AT100" s="161"/>
      <c r="AU100" s="161"/>
      <c r="AV100" s="161"/>
      <c r="AW100" s="161"/>
      <c r="AX100" s="161"/>
      <c r="AY100" s="161"/>
      <c r="AZ100" s="161"/>
      <c r="BA100" s="161"/>
      <c r="BB100" s="161"/>
      <c r="BC100" s="161"/>
      <c r="BD100" s="161"/>
    </row>
    <row r="101" spans="1:56" x14ac:dyDescent="0.2">
      <c r="A101" s="161"/>
      <c r="B101" s="161"/>
      <c r="C101" s="161"/>
      <c r="D101" s="161"/>
      <c r="E101" s="162"/>
      <c r="F101" s="161"/>
      <c r="G101" s="161"/>
      <c r="H101" s="161"/>
      <c r="I101" s="161"/>
      <c r="J101" s="161"/>
      <c r="K101" s="161"/>
      <c r="L101" s="161"/>
      <c r="M101" s="161"/>
      <c r="N101" s="161"/>
      <c r="O101" s="161"/>
      <c r="P101" s="161"/>
      <c r="Q101" s="160"/>
      <c r="R101" s="161"/>
      <c r="S101" s="161"/>
      <c r="T101" s="161"/>
      <c r="U101" s="161"/>
      <c r="V101" s="161"/>
      <c r="W101" s="161"/>
      <c r="X101" s="161"/>
      <c r="Y101" s="161"/>
      <c r="Z101" s="161"/>
      <c r="AA101" s="161"/>
      <c r="AB101" s="161"/>
      <c r="AC101" s="161"/>
      <c r="AD101" s="161"/>
      <c r="AE101" s="161"/>
      <c r="AF101" s="161"/>
      <c r="AG101" s="161"/>
      <c r="AH101" s="161"/>
      <c r="AI101" s="161"/>
      <c r="AJ101" s="161"/>
      <c r="AK101" s="161"/>
      <c r="AL101" s="161"/>
      <c r="AM101" s="161"/>
      <c r="AN101" s="161"/>
      <c r="AO101" s="161"/>
      <c r="AP101" s="161"/>
      <c r="AQ101" s="161"/>
      <c r="AR101" s="161"/>
      <c r="AS101" s="161"/>
      <c r="AT101" s="161"/>
      <c r="AU101" s="161"/>
      <c r="AV101" s="161"/>
      <c r="AW101" s="161"/>
      <c r="AX101" s="161"/>
      <c r="AY101" s="161"/>
      <c r="AZ101" s="161"/>
      <c r="BA101" s="161"/>
      <c r="BB101" s="161"/>
      <c r="BC101" s="161"/>
      <c r="BD101" s="161"/>
    </row>
    <row r="102" spans="1:56" x14ac:dyDescent="0.2">
      <c r="A102" s="161"/>
      <c r="B102" s="161"/>
      <c r="C102" s="161"/>
      <c r="D102" s="161"/>
      <c r="E102" s="162"/>
      <c r="F102" s="161"/>
      <c r="G102" s="161"/>
      <c r="H102" s="161"/>
      <c r="I102" s="161"/>
      <c r="J102" s="161"/>
      <c r="K102" s="161"/>
      <c r="L102" s="161"/>
      <c r="M102" s="161"/>
      <c r="N102" s="161"/>
      <c r="O102" s="161"/>
      <c r="P102" s="161"/>
      <c r="Q102" s="160"/>
      <c r="R102" s="161"/>
      <c r="S102" s="161"/>
      <c r="T102" s="161"/>
      <c r="U102" s="161"/>
      <c r="V102" s="161"/>
      <c r="W102" s="161"/>
      <c r="X102" s="161"/>
      <c r="Y102" s="161"/>
      <c r="Z102" s="161"/>
      <c r="AA102" s="161"/>
      <c r="AB102" s="161"/>
      <c r="AC102" s="161"/>
      <c r="AD102" s="161"/>
      <c r="AE102" s="161"/>
      <c r="AF102" s="161"/>
      <c r="AG102" s="161"/>
      <c r="AH102" s="161"/>
      <c r="AI102" s="161"/>
      <c r="AJ102" s="161"/>
      <c r="AK102" s="161"/>
      <c r="AL102" s="161"/>
      <c r="AM102" s="161"/>
      <c r="AN102" s="161"/>
      <c r="AO102" s="161"/>
      <c r="AP102" s="161"/>
      <c r="AQ102" s="161"/>
      <c r="AR102" s="161"/>
      <c r="AS102" s="161"/>
      <c r="AT102" s="161"/>
      <c r="AU102" s="161"/>
      <c r="AV102" s="161"/>
      <c r="AW102" s="161"/>
      <c r="AX102" s="161"/>
      <c r="AY102" s="161"/>
      <c r="AZ102" s="161"/>
      <c r="BA102" s="161"/>
      <c r="BB102" s="161"/>
      <c r="BC102" s="161"/>
      <c r="BD102" s="161"/>
    </row>
    <row r="103" spans="1:56" x14ac:dyDescent="0.2">
      <c r="A103" s="161"/>
      <c r="B103" s="161"/>
      <c r="C103" s="161"/>
      <c r="D103" s="161"/>
      <c r="E103" s="162"/>
      <c r="F103" s="161"/>
      <c r="G103" s="161"/>
      <c r="H103" s="161"/>
      <c r="I103" s="161"/>
      <c r="J103" s="161"/>
      <c r="K103" s="161"/>
      <c r="L103" s="161"/>
      <c r="M103" s="161"/>
      <c r="N103" s="161"/>
      <c r="O103" s="161"/>
      <c r="P103" s="161"/>
      <c r="Q103" s="160"/>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row>
    <row r="104" spans="1:56" x14ac:dyDescent="0.2">
      <c r="A104" s="161"/>
      <c r="B104" s="161"/>
      <c r="C104" s="161"/>
      <c r="D104" s="161"/>
      <c r="E104" s="162"/>
      <c r="F104" s="161"/>
      <c r="G104" s="161"/>
      <c r="H104" s="161"/>
      <c r="I104" s="161"/>
      <c r="J104" s="161"/>
      <c r="K104" s="161"/>
      <c r="L104" s="161"/>
      <c r="M104" s="161"/>
      <c r="N104" s="161"/>
      <c r="O104" s="161"/>
      <c r="P104" s="161"/>
      <c r="Q104" s="160"/>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row>
    <row r="105" spans="1:56" x14ac:dyDescent="0.2">
      <c r="A105" s="161"/>
      <c r="B105" s="161"/>
      <c r="C105" s="161"/>
      <c r="D105" s="161"/>
      <c r="E105" s="162"/>
      <c r="F105" s="161"/>
      <c r="G105" s="161"/>
      <c r="H105" s="161"/>
      <c r="I105" s="161"/>
      <c r="J105" s="161"/>
      <c r="K105" s="161"/>
      <c r="L105" s="161"/>
      <c r="M105" s="161"/>
      <c r="N105" s="161"/>
      <c r="O105" s="161"/>
      <c r="P105" s="161"/>
      <c r="Q105" s="160"/>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row>
    <row r="106" spans="1:56" x14ac:dyDescent="0.2">
      <c r="A106" s="161"/>
      <c r="B106" s="161"/>
      <c r="C106" s="161"/>
      <c r="D106" s="161"/>
      <c r="E106" s="162"/>
      <c r="F106" s="161"/>
      <c r="G106" s="161"/>
      <c r="H106" s="161"/>
      <c r="I106" s="161"/>
      <c r="J106" s="161"/>
      <c r="K106" s="161"/>
      <c r="L106" s="161"/>
      <c r="M106" s="161"/>
      <c r="N106" s="161"/>
      <c r="O106" s="161"/>
      <c r="P106" s="161"/>
      <c r="Q106" s="160"/>
      <c r="R106" s="161"/>
      <c r="S106" s="161"/>
      <c r="T106" s="161"/>
      <c r="U106" s="161"/>
      <c r="V106" s="161"/>
      <c r="W106" s="161"/>
      <c r="X106" s="161"/>
      <c r="Y106" s="161"/>
      <c r="Z106" s="161"/>
      <c r="AA106" s="161"/>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61"/>
      <c r="AX106" s="161"/>
      <c r="AY106" s="161"/>
      <c r="AZ106" s="161"/>
      <c r="BA106" s="161"/>
      <c r="BB106" s="161"/>
      <c r="BC106" s="161"/>
      <c r="BD106" s="161"/>
    </row>
    <row r="107" spans="1:56" x14ac:dyDescent="0.2">
      <c r="A107" s="161"/>
      <c r="B107" s="161"/>
      <c r="C107" s="161"/>
      <c r="D107" s="161"/>
      <c r="E107" s="162"/>
      <c r="F107" s="161"/>
      <c r="G107" s="161"/>
      <c r="H107" s="161"/>
      <c r="I107" s="161"/>
      <c r="J107" s="161"/>
      <c r="K107" s="161"/>
      <c r="L107" s="161"/>
      <c r="M107" s="161"/>
      <c r="N107" s="161"/>
      <c r="O107" s="161"/>
      <c r="P107" s="161"/>
      <c r="Q107" s="160"/>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row>
    <row r="108" spans="1:56" x14ac:dyDescent="0.2">
      <c r="A108" s="161"/>
      <c r="B108" s="161"/>
      <c r="C108" s="161"/>
      <c r="D108" s="161"/>
      <c r="E108" s="162"/>
      <c r="F108" s="161"/>
      <c r="G108" s="161"/>
      <c r="H108" s="161"/>
      <c r="I108" s="161"/>
      <c r="J108" s="161"/>
      <c r="K108" s="161"/>
      <c r="L108" s="161"/>
      <c r="M108" s="161"/>
      <c r="N108" s="161"/>
      <c r="O108" s="161"/>
      <c r="P108" s="161"/>
      <c r="Q108" s="160"/>
      <c r="R108" s="161"/>
      <c r="S108" s="161"/>
      <c r="T108" s="161"/>
      <c r="U108" s="161"/>
      <c r="V108" s="161"/>
      <c r="W108" s="161"/>
      <c r="X108" s="161"/>
      <c r="Y108" s="161"/>
      <c r="Z108" s="161"/>
      <c r="AA108" s="16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61"/>
      <c r="AX108" s="161"/>
      <c r="AY108" s="161"/>
      <c r="AZ108" s="161"/>
      <c r="BA108" s="161"/>
      <c r="BB108" s="161"/>
      <c r="BC108" s="161"/>
      <c r="BD108" s="161"/>
    </row>
    <row r="109" spans="1:56" x14ac:dyDescent="0.2">
      <c r="A109" s="161"/>
      <c r="B109" s="161"/>
      <c r="C109" s="161"/>
      <c r="D109" s="161"/>
      <c r="E109" s="162"/>
      <c r="F109" s="161"/>
      <c r="G109" s="161"/>
      <c r="H109" s="161"/>
      <c r="I109" s="161"/>
      <c r="J109" s="161"/>
      <c r="K109" s="161"/>
      <c r="L109" s="161"/>
      <c r="M109" s="161"/>
      <c r="N109" s="161"/>
      <c r="O109" s="161"/>
      <c r="P109" s="161"/>
      <c r="Q109" s="160"/>
      <c r="R109" s="161"/>
      <c r="S109" s="161"/>
      <c r="T109" s="161"/>
      <c r="U109" s="161"/>
      <c r="V109" s="161"/>
      <c r="W109" s="161"/>
      <c r="X109" s="161"/>
      <c r="Y109" s="161"/>
      <c r="Z109" s="161"/>
      <c r="AA109" s="161"/>
      <c r="AB109" s="161"/>
      <c r="AC109" s="161"/>
      <c r="AD109" s="161"/>
      <c r="AE109" s="161"/>
      <c r="AF109" s="161"/>
      <c r="AG109" s="161"/>
      <c r="AH109" s="161"/>
      <c r="AI109" s="161"/>
      <c r="AJ109" s="161"/>
      <c r="AK109" s="161"/>
      <c r="AL109" s="161"/>
      <c r="AM109" s="161"/>
      <c r="AN109" s="161"/>
      <c r="AO109" s="161"/>
      <c r="AP109" s="161"/>
      <c r="AQ109" s="161"/>
      <c r="AR109" s="161"/>
      <c r="AS109" s="161"/>
      <c r="AT109" s="161"/>
      <c r="AU109" s="161"/>
      <c r="AV109" s="161"/>
      <c r="AW109" s="161"/>
      <c r="AX109" s="161"/>
      <c r="AY109" s="161"/>
      <c r="AZ109" s="161"/>
      <c r="BA109" s="161"/>
      <c r="BB109" s="161"/>
      <c r="BC109" s="161"/>
      <c r="BD109" s="161"/>
    </row>
    <row r="110" spans="1:56" x14ac:dyDescent="0.2">
      <c r="A110" s="161"/>
      <c r="B110" s="161"/>
      <c r="C110" s="161"/>
      <c r="D110" s="161"/>
      <c r="E110" s="162"/>
      <c r="F110" s="161"/>
      <c r="G110" s="161"/>
      <c r="H110" s="161"/>
      <c r="I110" s="161"/>
      <c r="J110" s="161"/>
      <c r="K110" s="161"/>
      <c r="L110" s="161"/>
      <c r="M110" s="161"/>
      <c r="N110" s="161"/>
      <c r="O110" s="161"/>
      <c r="P110" s="161"/>
      <c r="Q110" s="160"/>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row>
    <row r="111" spans="1:56" x14ac:dyDescent="0.2">
      <c r="A111" s="161"/>
      <c r="B111" s="161"/>
      <c r="C111" s="161"/>
      <c r="D111" s="161"/>
      <c r="E111" s="162"/>
      <c r="F111" s="161"/>
      <c r="G111" s="161"/>
      <c r="H111" s="161"/>
      <c r="I111" s="161"/>
      <c r="J111" s="161"/>
      <c r="K111" s="161"/>
      <c r="L111" s="161"/>
      <c r="M111" s="161"/>
      <c r="N111" s="161"/>
      <c r="O111" s="161"/>
      <c r="P111" s="161"/>
      <c r="Q111" s="160"/>
      <c r="R111" s="161"/>
      <c r="S111" s="161"/>
      <c r="T111" s="161"/>
      <c r="U111" s="161"/>
      <c r="V111" s="161"/>
      <c r="W111" s="161"/>
      <c r="X111" s="161"/>
      <c r="Y111" s="161"/>
      <c r="Z111" s="161"/>
      <c r="AA111" s="161"/>
      <c r="AB111" s="161"/>
      <c r="AC111" s="161"/>
      <c r="AD111" s="161"/>
      <c r="AE111" s="161"/>
      <c r="AF111" s="161"/>
      <c r="AG111" s="161"/>
      <c r="AH111" s="161"/>
      <c r="AI111" s="161"/>
      <c r="AJ111" s="161"/>
      <c r="AK111" s="161"/>
      <c r="AL111" s="161"/>
      <c r="AM111" s="161"/>
      <c r="AN111" s="161"/>
      <c r="AO111" s="161"/>
      <c r="AP111" s="161"/>
      <c r="AQ111" s="161"/>
      <c r="AR111" s="161"/>
      <c r="AS111" s="161"/>
      <c r="AT111" s="161"/>
      <c r="AU111" s="161"/>
      <c r="AV111" s="161"/>
      <c r="AW111" s="161"/>
      <c r="AX111" s="161"/>
      <c r="AY111" s="161"/>
      <c r="AZ111" s="161"/>
      <c r="BA111" s="161"/>
      <c r="BB111" s="161"/>
      <c r="BC111" s="161"/>
      <c r="BD111" s="161"/>
    </row>
    <row r="112" spans="1:56" x14ac:dyDescent="0.2">
      <c r="A112" s="161"/>
      <c r="B112" s="161"/>
      <c r="C112" s="161"/>
      <c r="D112" s="161"/>
      <c r="E112" s="162"/>
      <c r="F112" s="161"/>
      <c r="G112" s="161"/>
      <c r="H112" s="161"/>
      <c r="I112" s="161"/>
      <c r="J112" s="161"/>
      <c r="K112" s="161"/>
      <c r="L112" s="161"/>
      <c r="M112" s="161"/>
      <c r="N112" s="161"/>
      <c r="O112" s="161"/>
      <c r="P112" s="161"/>
      <c r="Q112" s="160"/>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row>
    <row r="113" spans="1:56" x14ac:dyDescent="0.2">
      <c r="A113" s="161"/>
      <c r="B113" s="161"/>
      <c r="C113" s="161"/>
      <c r="D113" s="161"/>
      <c r="E113" s="162"/>
      <c r="F113" s="161"/>
      <c r="G113" s="161"/>
      <c r="H113" s="161"/>
      <c r="I113" s="161"/>
      <c r="J113" s="161"/>
      <c r="K113" s="161"/>
      <c r="L113" s="161"/>
      <c r="M113" s="161"/>
      <c r="N113" s="161"/>
      <c r="O113" s="161"/>
      <c r="P113" s="161"/>
      <c r="Q113" s="160"/>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row>
    <row r="114" spans="1:56" x14ac:dyDescent="0.2">
      <c r="A114" s="161"/>
      <c r="B114" s="161"/>
      <c r="C114" s="161"/>
      <c r="D114" s="161"/>
      <c r="E114" s="162"/>
      <c r="F114" s="161"/>
      <c r="G114" s="161"/>
      <c r="H114" s="161"/>
      <c r="I114" s="161"/>
      <c r="J114" s="161"/>
      <c r="K114" s="161"/>
      <c r="L114" s="161"/>
      <c r="M114" s="161"/>
      <c r="N114" s="161"/>
      <c r="O114" s="161"/>
      <c r="P114" s="161"/>
      <c r="Q114" s="160"/>
      <c r="R114" s="161"/>
      <c r="S114" s="161"/>
      <c r="T114" s="161"/>
      <c r="U114" s="161"/>
      <c r="V114" s="161"/>
      <c r="W114" s="161"/>
      <c r="X114" s="161"/>
      <c r="Y114" s="161"/>
      <c r="Z114" s="161"/>
      <c r="AA114" s="16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61"/>
      <c r="AX114" s="161"/>
      <c r="AY114" s="161"/>
      <c r="AZ114" s="161"/>
      <c r="BA114" s="161"/>
      <c r="BB114" s="161"/>
      <c r="BC114" s="161"/>
      <c r="BD114" s="161"/>
    </row>
    <row r="115" spans="1:56" x14ac:dyDescent="0.2">
      <c r="A115" s="161"/>
      <c r="B115" s="161"/>
      <c r="C115" s="161"/>
      <c r="D115" s="161"/>
      <c r="E115" s="162"/>
      <c r="F115" s="161"/>
      <c r="G115" s="161"/>
      <c r="H115" s="161"/>
      <c r="I115" s="161"/>
      <c r="J115" s="161"/>
      <c r="K115" s="161"/>
      <c r="L115" s="161"/>
      <c r="M115" s="161"/>
      <c r="N115" s="161"/>
      <c r="O115" s="161"/>
      <c r="P115" s="161"/>
      <c r="Q115" s="160"/>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row>
    <row r="116" spans="1:56" x14ac:dyDescent="0.2">
      <c r="A116" s="161"/>
      <c r="B116" s="161"/>
      <c r="C116" s="161"/>
      <c r="D116" s="161"/>
      <c r="E116" s="162"/>
      <c r="F116" s="161"/>
      <c r="G116" s="161"/>
      <c r="H116" s="161"/>
      <c r="I116" s="161"/>
      <c r="J116" s="161"/>
      <c r="K116" s="161"/>
      <c r="L116" s="161"/>
      <c r="M116" s="161"/>
      <c r="N116" s="161"/>
      <c r="O116" s="161"/>
      <c r="P116" s="161"/>
      <c r="Q116" s="160"/>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row>
    <row r="117" spans="1:56" x14ac:dyDescent="0.2">
      <c r="A117" s="161"/>
      <c r="B117" s="161"/>
      <c r="C117" s="161"/>
      <c r="D117" s="161"/>
      <c r="E117" s="162"/>
      <c r="F117" s="161"/>
      <c r="G117" s="161"/>
      <c r="H117" s="161"/>
      <c r="I117" s="161"/>
      <c r="J117" s="161"/>
      <c r="K117" s="161"/>
      <c r="L117" s="161"/>
      <c r="M117" s="161"/>
      <c r="N117" s="161"/>
      <c r="O117" s="161"/>
      <c r="P117" s="161"/>
      <c r="Q117" s="160"/>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row>
    <row r="118" spans="1:56" x14ac:dyDescent="0.2">
      <c r="A118" s="161"/>
      <c r="B118" s="161"/>
      <c r="C118" s="161"/>
      <c r="D118" s="161"/>
      <c r="E118" s="162"/>
      <c r="F118" s="161"/>
      <c r="G118" s="161"/>
      <c r="H118" s="161"/>
      <c r="I118" s="161"/>
      <c r="J118" s="161"/>
      <c r="K118" s="161"/>
      <c r="L118" s="161"/>
      <c r="M118" s="161"/>
      <c r="N118" s="161"/>
      <c r="O118" s="161"/>
      <c r="P118" s="161"/>
      <c r="Q118" s="160"/>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row>
    <row r="119" spans="1:56" x14ac:dyDescent="0.2">
      <c r="A119" s="161"/>
      <c r="B119" s="161"/>
      <c r="C119" s="161"/>
      <c r="D119" s="161"/>
      <c r="E119" s="162"/>
      <c r="F119" s="161"/>
      <c r="G119" s="161"/>
      <c r="H119" s="161"/>
      <c r="I119" s="161"/>
      <c r="J119" s="161"/>
      <c r="K119" s="161"/>
      <c r="L119" s="161"/>
      <c r="M119" s="161"/>
      <c r="N119" s="161"/>
      <c r="O119" s="161"/>
      <c r="P119" s="161"/>
      <c r="Q119" s="160"/>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row>
    <row r="120" spans="1:56" x14ac:dyDescent="0.2">
      <c r="A120" s="161"/>
      <c r="B120" s="161"/>
      <c r="C120" s="161"/>
      <c r="D120" s="161"/>
      <c r="E120" s="162"/>
      <c r="F120" s="161"/>
      <c r="G120" s="161"/>
      <c r="H120" s="161"/>
      <c r="I120" s="161"/>
      <c r="J120" s="161"/>
      <c r="K120" s="161"/>
      <c r="L120" s="161"/>
      <c r="M120" s="161"/>
      <c r="N120" s="161"/>
      <c r="O120" s="161"/>
      <c r="P120" s="161"/>
      <c r="Q120" s="160"/>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row>
    <row r="121" spans="1:56" x14ac:dyDescent="0.2">
      <c r="A121" s="161"/>
      <c r="B121" s="161"/>
      <c r="C121" s="161"/>
      <c r="D121" s="161"/>
      <c r="E121" s="162"/>
      <c r="F121" s="161"/>
      <c r="G121" s="161"/>
      <c r="H121" s="161"/>
      <c r="I121" s="161"/>
      <c r="J121" s="161"/>
      <c r="K121" s="161"/>
      <c r="L121" s="161"/>
      <c r="M121" s="161"/>
      <c r="N121" s="161"/>
      <c r="O121" s="161"/>
      <c r="P121" s="161"/>
      <c r="Q121" s="160"/>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row>
    <row r="122" spans="1:56" x14ac:dyDescent="0.2">
      <c r="A122" s="161"/>
      <c r="B122" s="161"/>
      <c r="C122" s="161"/>
      <c r="D122" s="161"/>
      <c r="E122" s="162"/>
      <c r="F122" s="161"/>
      <c r="G122" s="161"/>
      <c r="H122" s="161"/>
      <c r="I122" s="161"/>
      <c r="J122" s="161"/>
      <c r="K122" s="161"/>
      <c r="L122" s="161"/>
      <c r="M122" s="161"/>
      <c r="N122" s="161"/>
      <c r="O122" s="161"/>
      <c r="P122" s="161"/>
      <c r="Q122" s="160"/>
      <c r="R122" s="161"/>
      <c r="S122" s="161"/>
      <c r="T122" s="161"/>
      <c r="U122" s="161"/>
      <c r="V122" s="161"/>
      <c r="W122" s="161"/>
      <c r="X122" s="161"/>
      <c r="Y122" s="161"/>
      <c r="Z122" s="161"/>
      <c r="AA122" s="161"/>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61"/>
      <c r="AX122" s="161"/>
      <c r="AY122" s="161"/>
      <c r="AZ122" s="161"/>
      <c r="BA122" s="161"/>
      <c r="BB122" s="161"/>
      <c r="BC122" s="161"/>
      <c r="BD122" s="161"/>
    </row>
    <row r="123" spans="1:56" x14ac:dyDescent="0.2">
      <c r="A123" s="161"/>
      <c r="B123" s="161"/>
      <c r="C123" s="161"/>
      <c r="D123" s="161"/>
      <c r="E123" s="162"/>
      <c r="F123" s="161"/>
      <c r="G123" s="161"/>
      <c r="H123" s="161"/>
      <c r="I123" s="161"/>
      <c r="J123" s="161"/>
      <c r="K123" s="161"/>
      <c r="L123" s="161"/>
      <c r="M123" s="161"/>
      <c r="N123" s="161"/>
      <c r="O123" s="161"/>
      <c r="P123" s="161"/>
      <c r="Q123" s="160"/>
      <c r="R123" s="161"/>
      <c r="S123" s="161"/>
      <c r="T123" s="161"/>
      <c r="U123" s="161"/>
      <c r="V123" s="161"/>
      <c r="W123" s="161"/>
      <c r="X123" s="161"/>
      <c r="Y123" s="161"/>
      <c r="Z123" s="161"/>
      <c r="AA123" s="161"/>
      <c r="AB123" s="161"/>
      <c r="AC123" s="161"/>
      <c r="AD123" s="161"/>
      <c r="AE123" s="161"/>
      <c r="AF123" s="161"/>
      <c r="AG123" s="161"/>
      <c r="AH123" s="161"/>
      <c r="AI123" s="161"/>
      <c r="AJ123" s="161"/>
      <c r="AK123" s="161"/>
      <c r="AL123" s="161"/>
      <c r="AM123" s="161"/>
      <c r="AN123" s="161"/>
      <c r="AO123" s="161"/>
      <c r="AP123" s="161"/>
      <c r="AQ123" s="161"/>
      <c r="AR123" s="161"/>
      <c r="AS123" s="161"/>
      <c r="AT123" s="161"/>
      <c r="AU123" s="161"/>
      <c r="AV123" s="161"/>
      <c r="AW123" s="161"/>
      <c r="AX123" s="161"/>
      <c r="AY123" s="161"/>
      <c r="AZ123" s="161"/>
      <c r="BA123" s="161"/>
      <c r="BB123" s="161"/>
      <c r="BC123" s="161"/>
      <c r="BD123" s="161"/>
    </row>
    <row r="124" spans="1:56" x14ac:dyDescent="0.2">
      <c r="A124" s="161"/>
      <c r="B124" s="161"/>
      <c r="C124" s="161"/>
      <c r="D124" s="161"/>
      <c r="E124" s="162"/>
      <c r="F124" s="161"/>
      <c r="G124" s="161"/>
      <c r="H124" s="161"/>
      <c r="I124" s="161"/>
      <c r="J124" s="161"/>
      <c r="K124" s="161"/>
      <c r="L124" s="161"/>
      <c r="M124" s="161"/>
      <c r="N124" s="161"/>
      <c r="O124" s="161"/>
      <c r="P124" s="161"/>
      <c r="Q124" s="160"/>
      <c r="R124" s="161"/>
      <c r="S124" s="161"/>
      <c r="T124" s="161"/>
      <c r="U124" s="161"/>
      <c r="V124" s="161"/>
      <c r="W124" s="161"/>
      <c r="X124" s="161"/>
      <c r="Y124" s="161"/>
      <c r="Z124" s="161"/>
      <c r="AA124" s="161"/>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61"/>
      <c r="AX124" s="161"/>
      <c r="AY124" s="161"/>
      <c r="AZ124" s="161"/>
      <c r="BA124" s="161"/>
      <c r="BB124" s="161"/>
      <c r="BC124" s="161"/>
      <c r="BD124" s="161"/>
    </row>
    <row r="125" spans="1:56" x14ac:dyDescent="0.2">
      <c r="A125" s="161"/>
      <c r="B125" s="161"/>
      <c r="C125" s="161"/>
      <c r="D125" s="161"/>
      <c r="E125" s="162"/>
      <c r="F125" s="161"/>
      <c r="G125" s="161"/>
      <c r="H125" s="161"/>
      <c r="I125" s="161"/>
      <c r="J125" s="161"/>
      <c r="K125" s="161"/>
      <c r="L125" s="161"/>
      <c r="M125" s="161"/>
      <c r="N125" s="161"/>
      <c r="O125" s="161"/>
      <c r="P125" s="161"/>
      <c r="Q125" s="160"/>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row>
    <row r="126" spans="1:56" x14ac:dyDescent="0.2">
      <c r="A126" s="161"/>
      <c r="B126" s="161"/>
      <c r="C126" s="161"/>
      <c r="D126" s="161"/>
      <c r="E126" s="162"/>
      <c r="F126" s="161"/>
      <c r="G126" s="161"/>
      <c r="H126" s="161"/>
      <c r="I126" s="161"/>
      <c r="J126" s="161"/>
      <c r="K126" s="161"/>
      <c r="L126" s="161"/>
      <c r="M126" s="161"/>
      <c r="N126" s="161"/>
      <c r="O126" s="161"/>
      <c r="P126" s="161"/>
      <c r="Q126" s="160"/>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161"/>
    </row>
    <row r="127" spans="1:56" x14ac:dyDescent="0.2">
      <c r="A127" s="161"/>
      <c r="B127" s="161"/>
      <c r="C127" s="161"/>
      <c r="D127" s="161"/>
      <c r="E127" s="162"/>
      <c r="F127" s="161"/>
      <c r="G127" s="161"/>
      <c r="H127" s="161"/>
      <c r="I127" s="161"/>
      <c r="J127" s="161"/>
      <c r="K127" s="161"/>
      <c r="L127" s="161"/>
      <c r="M127" s="161"/>
      <c r="N127" s="161"/>
      <c r="O127" s="161"/>
      <c r="P127" s="161"/>
      <c r="Q127" s="160"/>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row>
    <row r="128" spans="1:56" x14ac:dyDescent="0.2">
      <c r="A128" s="161"/>
      <c r="B128" s="161"/>
      <c r="C128" s="161"/>
      <c r="D128" s="161"/>
      <c r="E128" s="162"/>
      <c r="F128" s="161"/>
      <c r="G128" s="161"/>
      <c r="H128" s="161"/>
      <c r="I128" s="161"/>
      <c r="J128" s="161"/>
      <c r="K128" s="161"/>
      <c r="L128" s="161"/>
      <c r="M128" s="161"/>
      <c r="N128" s="161"/>
      <c r="O128" s="161"/>
      <c r="P128" s="161"/>
      <c r="Q128" s="160"/>
      <c r="R128" s="161"/>
      <c r="S128" s="161"/>
      <c r="T128" s="161"/>
      <c r="U128" s="161"/>
      <c r="V128" s="161"/>
      <c r="W128" s="161"/>
      <c r="X128" s="161"/>
      <c r="Y128" s="161"/>
      <c r="Z128" s="161"/>
      <c r="AA128" s="161"/>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61"/>
      <c r="AX128" s="161"/>
      <c r="AY128" s="161"/>
      <c r="AZ128" s="161"/>
      <c r="BA128" s="161"/>
      <c r="BB128" s="161"/>
      <c r="BC128" s="161"/>
      <c r="BD128" s="161"/>
    </row>
    <row r="129" spans="1:56" x14ac:dyDescent="0.2">
      <c r="A129" s="161"/>
      <c r="B129" s="161"/>
      <c r="C129" s="161"/>
      <c r="D129" s="161"/>
      <c r="E129" s="162"/>
      <c r="F129" s="161"/>
      <c r="G129" s="161"/>
      <c r="H129" s="161"/>
      <c r="I129" s="161"/>
      <c r="J129" s="161"/>
      <c r="K129" s="161"/>
      <c r="L129" s="161"/>
      <c r="M129" s="161"/>
      <c r="N129" s="161"/>
      <c r="O129" s="161"/>
      <c r="P129" s="161"/>
      <c r="Q129" s="160"/>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row>
    <row r="130" spans="1:56" x14ac:dyDescent="0.2">
      <c r="A130" s="161"/>
      <c r="B130" s="161"/>
      <c r="C130" s="161"/>
      <c r="D130" s="161"/>
      <c r="E130" s="162"/>
      <c r="F130" s="161"/>
      <c r="G130" s="161"/>
      <c r="H130" s="161"/>
      <c r="I130" s="161"/>
      <c r="J130" s="161"/>
      <c r="K130" s="161"/>
      <c r="L130" s="161"/>
      <c r="M130" s="161"/>
      <c r="N130" s="161"/>
      <c r="O130" s="161"/>
      <c r="P130" s="161"/>
      <c r="Q130" s="160"/>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row>
    <row r="131" spans="1:56" x14ac:dyDescent="0.2">
      <c r="A131" s="161"/>
      <c r="B131" s="161"/>
      <c r="C131" s="161"/>
      <c r="D131" s="161"/>
      <c r="E131" s="162"/>
      <c r="F131" s="161"/>
      <c r="G131" s="161"/>
      <c r="H131" s="161"/>
      <c r="I131" s="161"/>
      <c r="J131" s="161"/>
      <c r="K131" s="161"/>
      <c r="L131" s="161"/>
      <c r="M131" s="161"/>
      <c r="N131" s="161"/>
      <c r="O131" s="161"/>
      <c r="P131" s="161"/>
      <c r="Q131" s="160"/>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row>
    <row r="132" spans="1:56" x14ac:dyDescent="0.2">
      <c r="A132" s="161"/>
      <c r="B132" s="161"/>
      <c r="C132" s="161"/>
      <c r="D132" s="161"/>
      <c r="E132" s="162"/>
      <c r="F132" s="161"/>
      <c r="G132" s="161"/>
      <c r="H132" s="161"/>
      <c r="I132" s="161"/>
      <c r="J132" s="161"/>
      <c r="K132" s="161"/>
      <c r="L132" s="161"/>
      <c r="M132" s="161"/>
      <c r="N132" s="161"/>
      <c r="O132" s="161"/>
      <c r="P132" s="161"/>
      <c r="Q132" s="160"/>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row>
    <row r="133" spans="1:56" x14ac:dyDescent="0.2">
      <c r="A133" s="161"/>
      <c r="B133" s="161"/>
      <c r="C133" s="161"/>
      <c r="D133" s="161"/>
      <c r="E133" s="162"/>
      <c r="F133" s="161"/>
      <c r="G133" s="161"/>
      <c r="H133" s="161"/>
      <c r="I133" s="161"/>
      <c r="J133" s="161"/>
      <c r="K133" s="161"/>
      <c r="L133" s="161"/>
      <c r="M133" s="161"/>
      <c r="N133" s="161"/>
      <c r="O133" s="161"/>
      <c r="P133" s="161"/>
      <c r="Q133" s="160"/>
      <c r="R133" s="161"/>
      <c r="S133" s="161"/>
      <c r="T133" s="161"/>
      <c r="U133" s="161"/>
      <c r="V133" s="161"/>
      <c r="W133" s="161"/>
      <c r="X133" s="161"/>
      <c r="Y133" s="161"/>
      <c r="Z133" s="161"/>
      <c r="AA133" s="161"/>
      <c r="AB133" s="161"/>
      <c r="AC133" s="161"/>
      <c r="AD133" s="161"/>
      <c r="AE133" s="161"/>
      <c r="AF133" s="161"/>
      <c r="AG133" s="161"/>
      <c r="AH133" s="161"/>
      <c r="AI133" s="161"/>
      <c r="AJ133" s="161"/>
      <c r="AK133" s="161"/>
      <c r="AL133" s="161"/>
      <c r="AM133" s="161"/>
      <c r="AN133" s="161"/>
      <c r="AO133" s="161"/>
      <c r="AP133" s="161"/>
      <c r="AQ133" s="161"/>
      <c r="AR133" s="161"/>
      <c r="AS133" s="161"/>
      <c r="AT133" s="161"/>
      <c r="AU133" s="161"/>
      <c r="AV133" s="161"/>
      <c r="AW133" s="161"/>
      <c r="AX133" s="161"/>
      <c r="AY133" s="161"/>
      <c r="AZ133" s="161"/>
      <c r="BA133" s="161"/>
      <c r="BB133" s="161"/>
      <c r="BC133" s="161"/>
      <c r="BD133" s="161"/>
    </row>
    <row r="134" spans="1:56" x14ac:dyDescent="0.2">
      <c r="A134" s="161"/>
      <c r="B134" s="161"/>
      <c r="C134" s="161"/>
      <c r="D134" s="161"/>
      <c r="E134" s="162"/>
      <c r="F134" s="161"/>
      <c r="G134" s="161"/>
      <c r="H134" s="161"/>
      <c r="I134" s="161"/>
      <c r="J134" s="161"/>
      <c r="K134" s="161"/>
      <c r="L134" s="161"/>
      <c r="M134" s="161"/>
      <c r="N134" s="161"/>
      <c r="O134" s="161"/>
      <c r="P134" s="161"/>
      <c r="Q134" s="160"/>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row>
    <row r="135" spans="1:56" x14ac:dyDescent="0.2">
      <c r="A135" s="161"/>
      <c r="B135" s="161"/>
      <c r="C135" s="161"/>
      <c r="D135" s="161"/>
      <c r="E135" s="162"/>
      <c r="F135" s="161"/>
      <c r="G135" s="161"/>
      <c r="H135" s="161"/>
      <c r="I135" s="161"/>
      <c r="J135" s="161"/>
      <c r="K135" s="161"/>
      <c r="L135" s="161"/>
      <c r="M135" s="161"/>
      <c r="N135" s="161"/>
      <c r="O135" s="161"/>
      <c r="P135" s="161"/>
      <c r="Q135" s="160"/>
      <c r="R135" s="161"/>
      <c r="S135" s="161"/>
      <c r="T135" s="161"/>
      <c r="U135" s="161"/>
      <c r="V135" s="161"/>
      <c r="W135" s="161"/>
      <c r="X135" s="161"/>
      <c r="Y135" s="161"/>
      <c r="Z135" s="161"/>
      <c r="AA135" s="161"/>
      <c r="AB135" s="161"/>
      <c r="AC135" s="161"/>
      <c r="AD135" s="161"/>
      <c r="AE135" s="161"/>
      <c r="AF135" s="161"/>
      <c r="AG135" s="161"/>
      <c r="AH135" s="161"/>
      <c r="AI135" s="161"/>
      <c r="AJ135" s="161"/>
      <c r="AK135" s="161"/>
      <c r="AL135" s="161"/>
      <c r="AM135" s="161"/>
      <c r="AN135" s="161"/>
      <c r="AO135" s="161"/>
      <c r="AP135" s="161"/>
      <c r="AQ135" s="161"/>
      <c r="AR135" s="161"/>
      <c r="AS135" s="161"/>
      <c r="AT135" s="161"/>
      <c r="AU135" s="161"/>
      <c r="AV135" s="161"/>
      <c r="AW135" s="161"/>
      <c r="AX135" s="161"/>
      <c r="AY135" s="161"/>
      <c r="AZ135" s="161"/>
      <c r="BA135" s="161"/>
      <c r="BB135" s="161"/>
      <c r="BC135" s="161"/>
      <c r="BD135" s="161"/>
    </row>
    <row r="136" spans="1:56" x14ac:dyDescent="0.2">
      <c r="A136" s="161"/>
      <c r="B136" s="161"/>
      <c r="C136" s="161"/>
      <c r="D136" s="161"/>
      <c r="E136" s="162"/>
      <c r="F136" s="161"/>
      <c r="G136" s="161"/>
      <c r="H136" s="161"/>
      <c r="I136" s="161"/>
      <c r="J136" s="161"/>
      <c r="K136" s="161"/>
      <c r="L136" s="161"/>
      <c r="M136" s="161"/>
      <c r="N136" s="161"/>
      <c r="O136" s="161"/>
      <c r="P136" s="161"/>
      <c r="Q136" s="160"/>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row>
    <row r="137" spans="1:56" x14ac:dyDescent="0.2">
      <c r="A137" s="161"/>
      <c r="B137" s="161"/>
      <c r="C137" s="161"/>
      <c r="D137" s="161"/>
      <c r="E137" s="162"/>
      <c r="F137" s="161"/>
      <c r="G137" s="161"/>
      <c r="H137" s="161"/>
      <c r="I137" s="161"/>
      <c r="J137" s="161"/>
      <c r="K137" s="161"/>
      <c r="L137" s="161"/>
      <c r="M137" s="161"/>
      <c r="N137" s="161"/>
      <c r="O137" s="161"/>
      <c r="P137" s="161"/>
      <c r="Q137" s="160"/>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row>
    <row r="138" spans="1:56" x14ac:dyDescent="0.2">
      <c r="A138" s="161"/>
      <c r="B138" s="161"/>
      <c r="C138" s="161"/>
      <c r="D138" s="161"/>
      <c r="E138" s="162"/>
      <c r="F138" s="161"/>
      <c r="G138" s="161"/>
      <c r="H138" s="161"/>
      <c r="I138" s="161"/>
      <c r="J138" s="161"/>
      <c r="K138" s="161"/>
      <c r="L138" s="161"/>
      <c r="M138" s="161"/>
      <c r="N138" s="161"/>
      <c r="O138" s="161"/>
      <c r="P138" s="161"/>
      <c r="Q138" s="160"/>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row>
    <row r="139" spans="1:56" x14ac:dyDescent="0.2">
      <c r="A139" s="161"/>
      <c r="B139" s="161"/>
      <c r="C139" s="161"/>
      <c r="D139" s="161"/>
      <c r="E139" s="162"/>
      <c r="F139" s="161"/>
      <c r="G139" s="161"/>
      <c r="H139" s="161"/>
      <c r="I139" s="161"/>
      <c r="J139" s="161"/>
      <c r="K139" s="161"/>
      <c r="L139" s="161"/>
      <c r="M139" s="161"/>
      <c r="N139" s="161"/>
      <c r="O139" s="161"/>
      <c r="P139" s="161"/>
      <c r="Q139" s="160"/>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161"/>
    </row>
    <row r="140" spans="1:56" x14ac:dyDescent="0.2">
      <c r="A140" s="161"/>
      <c r="B140" s="161"/>
      <c r="C140" s="161"/>
      <c r="D140" s="161"/>
      <c r="E140" s="162"/>
      <c r="F140" s="161"/>
      <c r="G140" s="161"/>
      <c r="H140" s="161"/>
      <c r="I140" s="161"/>
      <c r="J140" s="161"/>
      <c r="K140" s="161"/>
      <c r="L140" s="161"/>
      <c r="M140" s="161"/>
      <c r="N140" s="161"/>
      <c r="O140" s="161"/>
      <c r="P140" s="161"/>
      <c r="Q140" s="160"/>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row>
    <row r="141" spans="1:56" x14ac:dyDescent="0.2">
      <c r="A141" s="161"/>
      <c r="B141" s="161"/>
      <c r="C141" s="161"/>
      <c r="D141" s="161"/>
      <c r="E141" s="162"/>
      <c r="F141" s="161"/>
      <c r="G141" s="161"/>
      <c r="H141" s="161"/>
      <c r="I141" s="161"/>
      <c r="J141" s="161"/>
      <c r="K141" s="161"/>
      <c r="L141" s="161"/>
      <c r="M141" s="161"/>
      <c r="N141" s="161"/>
      <c r="O141" s="161"/>
      <c r="P141" s="161"/>
      <c r="Q141" s="160"/>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161"/>
      <c r="BA141" s="161"/>
      <c r="BB141" s="161"/>
      <c r="BC141" s="161"/>
      <c r="BD141" s="161"/>
    </row>
    <row r="142" spans="1:56" x14ac:dyDescent="0.2">
      <c r="A142" s="161"/>
      <c r="B142" s="161"/>
      <c r="C142" s="161"/>
      <c r="D142" s="161"/>
      <c r="E142" s="162"/>
      <c r="F142" s="161"/>
      <c r="G142" s="161"/>
      <c r="H142" s="161"/>
      <c r="I142" s="161"/>
      <c r="J142" s="161"/>
      <c r="K142" s="161"/>
      <c r="L142" s="161"/>
      <c r="M142" s="161"/>
      <c r="N142" s="161"/>
      <c r="O142" s="161"/>
      <c r="P142" s="161"/>
      <c r="Q142" s="160"/>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row>
    <row r="143" spans="1:56" x14ac:dyDescent="0.2">
      <c r="A143" s="161"/>
      <c r="B143" s="161"/>
      <c r="C143" s="161"/>
      <c r="D143" s="161"/>
      <c r="E143" s="162"/>
      <c r="F143" s="161"/>
      <c r="G143" s="161"/>
      <c r="H143" s="161"/>
      <c r="I143" s="161"/>
      <c r="J143" s="161"/>
      <c r="K143" s="161"/>
      <c r="L143" s="161"/>
      <c r="M143" s="161"/>
      <c r="N143" s="161"/>
      <c r="O143" s="161"/>
      <c r="P143" s="161"/>
      <c r="Q143" s="160"/>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row>
    <row r="144" spans="1:56" x14ac:dyDescent="0.2">
      <c r="A144" s="161"/>
      <c r="B144" s="161"/>
      <c r="C144" s="161"/>
      <c r="D144" s="161"/>
      <c r="E144" s="162"/>
      <c r="F144" s="161"/>
      <c r="G144" s="161"/>
      <c r="H144" s="161"/>
      <c r="I144" s="161"/>
      <c r="J144" s="161"/>
      <c r="K144" s="161"/>
      <c r="L144" s="161"/>
      <c r="M144" s="161"/>
      <c r="N144" s="161"/>
      <c r="O144" s="161"/>
      <c r="P144" s="161"/>
      <c r="Q144" s="160"/>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161"/>
      <c r="BA144" s="161"/>
      <c r="BB144" s="161"/>
      <c r="BC144" s="161"/>
      <c r="BD144" s="161"/>
    </row>
    <row r="145" spans="1:56" x14ac:dyDescent="0.2">
      <c r="A145" s="161"/>
      <c r="B145" s="161"/>
      <c r="C145" s="161"/>
      <c r="D145" s="161"/>
      <c r="E145" s="162"/>
      <c r="F145" s="161"/>
      <c r="G145" s="161"/>
      <c r="H145" s="161"/>
      <c r="I145" s="161"/>
      <c r="J145" s="161"/>
      <c r="K145" s="161"/>
      <c r="L145" s="161"/>
      <c r="M145" s="161"/>
      <c r="N145" s="161"/>
      <c r="O145" s="161"/>
      <c r="P145" s="161"/>
      <c r="Q145" s="160"/>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161"/>
    </row>
    <row r="146" spans="1:56" x14ac:dyDescent="0.2">
      <c r="A146" s="161"/>
      <c r="B146" s="161"/>
      <c r="C146" s="161"/>
      <c r="D146" s="161"/>
      <c r="E146" s="162"/>
      <c r="F146" s="161"/>
      <c r="G146" s="161"/>
      <c r="H146" s="161"/>
      <c r="I146" s="161"/>
      <c r="J146" s="161"/>
      <c r="K146" s="161"/>
      <c r="L146" s="161"/>
      <c r="M146" s="161"/>
      <c r="N146" s="161"/>
      <c r="O146" s="161"/>
      <c r="P146" s="161"/>
      <c r="Q146" s="160"/>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row>
    <row r="147" spans="1:56" x14ac:dyDescent="0.2">
      <c r="A147" s="161"/>
      <c r="B147" s="161"/>
      <c r="C147" s="161"/>
      <c r="D147" s="161"/>
      <c r="E147" s="162"/>
      <c r="F147" s="161"/>
      <c r="G147" s="161"/>
      <c r="H147" s="161"/>
      <c r="I147" s="161"/>
      <c r="J147" s="161"/>
      <c r="K147" s="161"/>
      <c r="L147" s="161"/>
      <c r="M147" s="161"/>
      <c r="N147" s="161"/>
      <c r="O147" s="161"/>
      <c r="P147" s="161"/>
      <c r="Q147" s="160"/>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row>
    <row r="148" spans="1:56" x14ac:dyDescent="0.2">
      <c r="A148" s="161"/>
      <c r="B148" s="161"/>
      <c r="C148" s="161"/>
      <c r="D148" s="161"/>
      <c r="E148" s="162"/>
      <c r="F148" s="161"/>
      <c r="G148" s="161"/>
      <c r="H148" s="161"/>
      <c r="I148" s="161"/>
      <c r="J148" s="161"/>
      <c r="K148" s="161"/>
      <c r="L148" s="161"/>
      <c r="M148" s="161"/>
      <c r="N148" s="161"/>
      <c r="O148" s="161"/>
      <c r="P148" s="161"/>
      <c r="Q148" s="160"/>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row>
    <row r="149" spans="1:56" x14ac:dyDescent="0.2">
      <c r="A149" s="161"/>
      <c r="B149" s="161"/>
      <c r="C149" s="161"/>
      <c r="D149" s="161"/>
      <c r="E149" s="162"/>
      <c r="F149" s="161"/>
      <c r="G149" s="161"/>
      <c r="H149" s="161"/>
      <c r="I149" s="161"/>
      <c r="J149" s="161"/>
      <c r="K149" s="161"/>
      <c r="L149" s="161"/>
      <c r="M149" s="161"/>
      <c r="N149" s="161"/>
      <c r="O149" s="161"/>
      <c r="P149" s="161"/>
      <c r="Q149" s="160"/>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row>
    <row r="150" spans="1:56" x14ac:dyDescent="0.2">
      <c r="A150" s="161"/>
      <c r="B150" s="161"/>
      <c r="C150" s="161"/>
      <c r="D150" s="161"/>
      <c r="E150" s="162"/>
      <c r="F150" s="161"/>
      <c r="G150" s="161"/>
      <c r="H150" s="161"/>
      <c r="I150" s="161"/>
      <c r="J150" s="161"/>
      <c r="K150" s="161"/>
      <c r="L150" s="161"/>
      <c r="M150" s="161"/>
      <c r="N150" s="161"/>
      <c r="O150" s="161"/>
      <c r="P150" s="161"/>
      <c r="Q150" s="160"/>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row>
    <row r="151" spans="1:56" x14ac:dyDescent="0.2">
      <c r="A151" s="161"/>
      <c r="B151" s="161"/>
      <c r="C151" s="161"/>
      <c r="D151" s="161"/>
      <c r="E151" s="162"/>
      <c r="F151" s="161"/>
      <c r="G151" s="161"/>
      <c r="H151" s="161"/>
      <c r="I151" s="161"/>
      <c r="J151" s="161"/>
      <c r="K151" s="161"/>
      <c r="L151" s="161"/>
      <c r="M151" s="161"/>
      <c r="N151" s="161"/>
      <c r="O151" s="161"/>
      <c r="P151" s="161"/>
      <c r="Q151" s="160"/>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161"/>
      <c r="BA151" s="161"/>
      <c r="BB151" s="161"/>
      <c r="BC151" s="161"/>
      <c r="BD151" s="161"/>
    </row>
    <row r="152" spans="1:56" x14ac:dyDescent="0.2">
      <c r="A152" s="161"/>
      <c r="B152" s="161"/>
      <c r="C152" s="161"/>
      <c r="D152" s="161"/>
      <c r="E152" s="162"/>
      <c r="F152" s="161"/>
      <c r="G152" s="161"/>
      <c r="H152" s="161"/>
      <c r="I152" s="161"/>
      <c r="J152" s="161"/>
      <c r="K152" s="161"/>
      <c r="L152" s="161"/>
      <c r="M152" s="161"/>
      <c r="N152" s="161"/>
      <c r="O152" s="161"/>
      <c r="P152" s="161"/>
      <c r="Q152" s="160"/>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161"/>
      <c r="BA152" s="161"/>
      <c r="BB152" s="161"/>
      <c r="BC152" s="161"/>
      <c r="BD152" s="161"/>
    </row>
    <row r="153" spans="1:56" x14ac:dyDescent="0.2">
      <c r="A153" s="161"/>
      <c r="B153" s="161"/>
      <c r="C153" s="161"/>
      <c r="D153" s="161"/>
      <c r="E153" s="162"/>
      <c r="F153" s="161"/>
      <c r="G153" s="161"/>
      <c r="H153" s="161"/>
      <c r="I153" s="161"/>
      <c r="J153" s="161"/>
      <c r="K153" s="161"/>
      <c r="L153" s="161"/>
      <c r="M153" s="161"/>
      <c r="N153" s="161"/>
      <c r="O153" s="161"/>
      <c r="P153" s="161"/>
      <c r="Q153" s="160"/>
      <c r="R153" s="161"/>
      <c r="S153" s="161"/>
      <c r="T153" s="161"/>
      <c r="U153" s="161"/>
      <c r="V153" s="161"/>
      <c r="W153" s="161"/>
      <c r="X153" s="161"/>
      <c r="Y153" s="161"/>
      <c r="Z153" s="161"/>
      <c r="AA153" s="161"/>
      <c r="AB153" s="161"/>
      <c r="AC153" s="161"/>
      <c r="AD153" s="161"/>
      <c r="AE153" s="161"/>
      <c r="AF153" s="161"/>
      <c r="AG153" s="161"/>
      <c r="AH153" s="161"/>
      <c r="AI153" s="161"/>
      <c r="AJ153" s="161"/>
      <c r="AK153" s="161"/>
      <c r="AL153" s="161"/>
      <c r="AM153" s="161"/>
      <c r="AN153" s="161"/>
      <c r="AO153" s="161"/>
      <c r="AP153" s="161"/>
      <c r="AQ153" s="161"/>
      <c r="AR153" s="161"/>
      <c r="AS153" s="161"/>
      <c r="AT153" s="161"/>
      <c r="AU153" s="161"/>
      <c r="AV153" s="161"/>
      <c r="AW153" s="161"/>
      <c r="AX153" s="161"/>
      <c r="AY153" s="161"/>
      <c r="AZ153" s="161"/>
      <c r="BA153" s="161"/>
      <c r="BB153" s="161"/>
      <c r="BC153" s="161"/>
      <c r="BD153" s="161"/>
    </row>
    <row r="154" spans="1:56" x14ac:dyDescent="0.2">
      <c r="A154" s="161"/>
      <c r="B154" s="161"/>
      <c r="C154" s="161"/>
      <c r="D154" s="161"/>
      <c r="E154" s="162"/>
      <c r="F154" s="161"/>
      <c r="G154" s="161"/>
      <c r="H154" s="161"/>
      <c r="I154" s="161"/>
      <c r="J154" s="161"/>
      <c r="K154" s="161"/>
      <c r="L154" s="161"/>
      <c r="M154" s="161"/>
      <c r="N154" s="161"/>
      <c r="O154" s="161"/>
      <c r="P154" s="161"/>
      <c r="Q154" s="160"/>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161"/>
      <c r="BA154" s="161"/>
      <c r="BB154" s="161"/>
      <c r="BC154" s="161"/>
      <c r="BD154" s="161"/>
    </row>
    <row r="155" spans="1:56" x14ac:dyDescent="0.2">
      <c r="A155" s="161"/>
      <c r="B155" s="161"/>
      <c r="C155" s="161"/>
      <c r="D155" s="161"/>
      <c r="E155" s="162"/>
      <c r="F155" s="161"/>
      <c r="G155" s="161"/>
      <c r="H155" s="161"/>
      <c r="I155" s="161"/>
      <c r="J155" s="161"/>
      <c r="K155" s="161"/>
      <c r="L155" s="161"/>
      <c r="M155" s="161"/>
      <c r="N155" s="161"/>
      <c r="O155" s="161"/>
      <c r="P155" s="161"/>
      <c r="Q155" s="160"/>
      <c r="R155" s="161"/>
      <c r="S155" s="161"/>
      <c r="T155" s="161"/>
      <c r="U155" s="161"/>
      <c r="V155" s="161"/>
      <c r="W155" s="161"/>
      <c r="X155" s="161"/>
      <c r="Y155" s="161"/>
      <c r="Z155" s="161"/>
      <c r="AA155" s="161"/>
      <c r="AB155" s="161"/>
      <c r="AC155" s="161"/>
      <c r="AD155" s="161"/>
      <c r="AE155" s="161"/>
      <c r="AF155" s="161"/>
      <c r="AG155" s="161"/>
      <c r="AH155" s="161"/>
      <c r="AI155" s="161"/>
      <c r="AJ155" s="161"/>
      <c r="AK155" s="161"/>
      <c r="AL155" s="161"/>
      <c r="AM155" s="161"/>
      <c r="AN155" s="161"/>
      <c r="AO155" s="161"/>
      <c r="AP155" s="161"/>
      <c r="AQ155" s="161"/>
      <c r="AR155" s="161"/>
      <c r="AS155" s="161"/>
      <c r="AT155" s="161"/>
      <c r="AU155" s="161"/>
      <c r="AV155" s="161"/>
      <c r="AW155" s="161"/>
      <c r="AX155" s="161"/>
      <c r="AY155" s="161"/>
      <c r="AZ155" s="161"/>
      <c r="BA155" s="161"/>
      <c r="BB155" s="161"/>
      <c r="BC155" s="161"/>
      <c r="BD155" s="161"/>
    </row>
    <row r="156" spans="1:56" x14ac:dyDescent="0.2">
      <c r="A156" s="161"/>
      <c r="B156" s="161"/>
      <c r="C156" s="161"/>
      <c r="D156" s="161"/>
      <c r="E156" s="162"/>
      <c r="F156" s="161"/>
      <c r="G156" s="161"/>
      <c r="H156" s="161"/>
      <c r="I156" s="161"/>
      <c r="J156" s="161"/>
      <c r="K156" s="161"/>
      <c r="L156" s="161"/>
      <c r="M156" s="161"/>
      <c r="N156" s="161"/>
      <c r="O156" s="161"/>
      <c r="P156" s="161"/>
      <c r="Q156" s="160"/>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161"/>
      <c r="BA156" s="161"/>
      <c r="BB156" s="161"/>
      <c r="BC156" s="161"/>
      <c r="BD156" s="161"/>
    </row>
    <row r="157" spans="1:56" x14ac:dyDescent="0.2">
      <c r="A157" s="161"/>
      <c r="B157" s="161"/>
      <c r="C157" s="161"/>
      <c r="D157" s="161"/>
      <c r="E157" s="162"/>
      <c r="F157" s="161"/>
      <c r="G157" s="161"/>
      <c r="H157" s="161"/>
      <c r="I157" s="161"/>
      <c r="J157" s="161"/>
      <c r="K157" s="161"/>
      <c r="L157" s="161"/>
      <c r="M157" s="161"/>
      <c r="N157" s="161"/>
      <c r="O157" s="161"/>
      <c r="P157" s="161"/>
      <c r="Q157" s="160"/>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161"/>
      <c r="BA157" s="161"/>
      <c r="BB157" s="161"/>
      <c r="BC157" s="161"/>
      <c r="BD157" s="161"/>
    </row>
    <row r="158" spans="1:56" x14ac:dyDescent="0.2">
      <c r="A158" s="161"/>
      <c r="B158" s="161"/>
      <c r="C158" s="161"/>
      <c r="D158" s="161"/>
      <c r="E158" s="162"/>
      <c r="F158" s="161"/>
      <c r="G158" s="161"/>
      <c r="H158" s="161"/>
      <c r="I158" s="161"/>
      <c r="J158" s="161"/>
      <c r="K158" s="161"/>
      <c r="L158" s="161"/>
      <c r="M158" s="161"/>
      <c r="N158" s="161"/>
      <c r="O158" s="161"/>
      <c r="P158" s="161"/>
      <c r="Q158" s="160"/>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161"/>
      <c r="BA158" s="161"/>
      <c r="BB158" s="161"/>
      <c r="BC158" s="161"/>
      <c r="BD158" s="161"/>
    </row>
    <row r="159" spans="1:56" x14ac:dyDescent="0.2">
      <c r="A159" s="161"/>
      <c r="B159" s="161"/>
      <c r="C159" s="161"/>
      <c r="D159" s="161"/>
      <c r="E159" s="162"/>
      <c r="F159" s="161"/>
      <c r="G159" s="161"/>
      <c r="H159" s="161"/>
      <c r="I159" s="161"/>
      <c r="J159" s="161"/>
      <c r="K159" s="161"/>
      <c r="L159" s="161"/>
      <c r="M159" s="161"/>
      <c r="N159" s="161"/>
      <c r="O159" s="161"/>
      <c r="P159" s="161"/>
      <c r="Q159" s="160"/>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161"/>
      <c r="BA159" s="161"/>
      <c r="BB159" s="161"/>
      <c r="BC159" s="161"/>
      <c r="BD159" s="161"/>
    </row>
    <row r="160" spans="1:56" x14ac:dyDescent="0.2">
      <c r="A160" s="161"/>
      <c r="B160" s="161"/>
      <c r="C160" s="161"/>
      <c r="D160" s="161"/>
      <c r="E160" s="162"/>
      <c r="F160" s="161"/>
      <c r="G160" s="161"/>
      <c r="H160" s="161"/>
      <c r="I160" s="161"/>
      <c r="J160" s="161"/>
      <c r="K160" s="161"/>
      <c r="L160" s="161"/>
      <c r="M160" s="161"/>
      <c r="N160" s="161"/>
      <c r="O160" s="161"/>
      <c r="P160" s="161"/>
      <c r="Q160" s="160"/>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161"/>
      <c r="BA160" s="161"/>
      <c r="BB160" s="161"/>
      <c r="BC160" s="161"/>
      <c r="BD160" s="161"/>
    </row>
    <row r="161" spans="1:56" x14ac:dyDescent="0.2">
      <c r="A161" s="161"/>
      <c r="B161" s="161"/>
      <c r="C161" s="161"/>
      <c r="D161" s="161"/>
      <c r="E161" s="162"/>
      <c r="F161" s="161"/>
      <c r="G161" s="161"/>
      <c r="H161" s="161"/>
      <c r="I161" s="161"/>
      <c r="J161" s="161"/>
      <c r="K161" s="161"/>
      <c r="L161" s="161"/>
      <c r="M161" s="161"/>
      <c r="N161" s="161"/>
      <c r="O161" s="161"/>
      <c r="P161" s="161"/>
      <c r="Q161" s="160"/>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161"/>
      <c r="BA161" s="161"/>
      <c r="BB161" s="161"/>
      <c r="BC161" s="161"/>
      <c r="BD161" s="161"/>
    </row>
    <row r="162" spans="1:56" x14ac:dyDescent="0.2">
      <c r="A162" s="161"/>
      <c r="B162" s="161"/>
      <c r="C162" s="161"/>
      <c r="D162" s="161"/>
      <c r="E162" s="162"/>
      <c r="F162" s="161"/>
      <c r="G162" s="161"/>
      <c r="H162" s="161"/>
      <c r="I162" s="161"/>
      <c r="J162" s="161"/>
      <c r="K162" s="161"/>
      <c r="L162" s="161"/>
      <c r="M162" s="161"/>
      <c r="N162" s="161"/>
      <c r="O162" s="161"/>
      <c r="P162" s="161"/>
      <c r="Q162" s="160"/>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161"/>
      <c r="BA162" s="161"/>
      <c r="BB162" s="161"/>
      <c r="BC162" s="161"/>
      <c r="BD162" s="161"/>
    </row>
    <row r="163" spans="1:56" x14ac:dyDescent="0.2">
      <c r="A163" s="161"/>
      <c r="B163" s="161"/>
      <c r="C163" s="161"/>
      <c r="D163" s="161"/>
      <c r="E163" s="162"/>
      <c r="F163" s="161"/>
      <c r="G163" s="161"/>
      <c r="H163" s="161"/>
      <c r="I163" s="161"/>
      <c r="J163" s="161"/>
      <c r="K163" s="161"/>
      <c r="L163" s="161"/>
      <c r="M163" s="161"/>
      <c r="N163" s="161"/>
      <c r="O163" s="161"/>
      <c r="P163" s="161"/>
      <c r="Q163" s="160"/>
      <c r="R163" s="161"/>
      <c r="S163" s="161"/>
      <c r="T163" s="161"/>
      <c r="U163" s="161"/>
      <c r="V163" s="161"/>
      <c r="W163" s="161"/>
      <c r="X163" s="161"/>
      <c r="Y163" s="161"/>
      <c r="Z163" s="161"/>
      <c r="AA163" s="161"/>
      <c r="AB163" s="161"/>
      <c r="AC163" s="161"/>
      <c r="AD163" s="161"/>
      <c r="AE163" s="161"/>
      <c r="AF163" s="161"/>
      <c r="AG163" s="161"/>
      <c r="AH163" s="161"/>
      <c r="AI163" s="161"/>
      <c r="AJ163" s="161"/>
      <c r="AK163" s="161"/>
      <c r="AL163" s="161"/>
      <c r="AM163" s="161"/>
      <c r="AN163" s="161"/>
      <c r="AO163" s="161"/>
      <c r="AP163" s="161"/>
      <c r="AQ163" s="161"/>
      <c r="AR163" s="161"/>
      <c r="AS163" s="161"/>
      <c r="AT163" s="161"/>
      <c r="AU163" s="161"/>
      <c r="AV163" s="161"/>
      <c r="AW163" s="161"/>
      <c r="AX163" s="161"/>
      <c r="AY163" s="161"/>
      <c r="AZ163" s="161"/>
      <c r="BA163" s="161"/>
      <c r="BB163" s="161"/>
      <c r="BC163" s="161"/>
      <c r="BD163" s="161"/>
    </row>
    <row r="164" spans="1:56" x14ac:dyDescent="0.2">
      <c r="A164" s="161"/>
      <c r="B164" s="161"/>
      <c r="C164" s="161"/>
      <c r="D164" s="161"/>
      <c r="E164" s="162"/>
      <c r="F164" s="161"/>
      <c r="G164" s="161"/>
      <c r="H164" s="161"/>
      <c r="I164" s="161"/>
      <c r="J164" s="161"/>
      <c r="K164" s="161"/>
      <c r="L164" s="161"/>
      <c r="M164" s="161"/>
      <c r="N164" s="161"/>
      <c r="O164" s="161"/>
      <c r="P164" s="161"/>
      <c r="Q164" s="160"/>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161"/>
      <c r="BA164" s="161"/>
      <c r="BB164" s="161"/>
      <c r="BC164" s="161"/>
      <c r="BD164" s="161"/>
    </row>
    <row r="165" spans="1:56" x14ac:dyDescent="0.2">
      <c r="A165" s="161"/>
      <c r="B165" s="161"/>
      <c r="C165" s="161"/>
      <c r="D165" s="161"/>
      <c r="E165" s="162"/>
      <c r="F165" s="161"/>
      <c r="G165" s="161"/>
      <c r="H165" s="161"/>
      <c r="I165" s="161"/>
      <c r="J165" s="161"/>
      <c r="K165" s="161"/>
      <c r="L165" s="161"/>
      <c r="M165" s="161"/>
      <c r="N165" s="161"/>
      <c r="O165" s="161"/>
      <c r="P165" s="161"/>
      <c r="Q165" s="160"/>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161"/>
      <c r="BA165" s="161"/>
      <c r="BB165" s="161"/>
      <c r="BC165" s="161"/>
      <c r="BD165" s="161"/>
    </row>
    <row r="166" spans="1:56" x14ac:dyDescent="0.2">
      <c r="A166" s="161"/>
      <c r="B166" s="161"/>
      <c r="C166" s="161"/>
      <c r="D166" s="161"/>
      <c r="E166" s="162"/>
      <c r="F166" s="161"/>
      <c r="G166" s="161"/>
      <c r="H166" s="161"/>
      <c r="I166" s="161"/>
      <c r="J166" s="161"/>
      <c r="K166" s="161"/>
      <c r="L166" s="161"/>
      <c r="M166" s="161"/>
      <c r="N166" s="161"/>
      <c r="O166" s="161"/>
      <c r="P166" s="161"/>
      <c r="Q166" s="160"/>
      <c r="R166" s="161"/>
      <c r="S166" s="161"/>
      <c r="T166" s="161"/>
      <c r="U166" s="161"/>
      <c r="V166" s="161"/>
      <c r="W166" s="161"/>
      <c r="X166" s="161"/>
      <c r="Y166" s="161"/>
      <c r="Z166" s="161"/>
      <c r="AA166" s="161"/>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61"/>
      <c r="AX166" s="161"/>
      <c r="AY166" s="161"/>
      <c r="AZ166" s="161"/>
      <c r="BA166" s="161"/>
      <c r="BB166" s="161"/>
      <c r="BC166" s="161"/>
      <c r="BD166" s="161"/>
    </row>
    <row r="167" spans="1:56" x14ac:dyDescent="0.2">
      <c r="A167" s="161"/>
      <c r="B167" s="161"/>
      <c r="C167" s="161"/>
      <c r="D167" s="161"/>
      <c r="E167" s="162"/>
      <c r="F167" s="161"/>
      <c r="G167" s="161"/>
      <c r="H167" s="161"/>
      <c r="I167" s="161"/>
      <c r="J167" s="161"/>
      <c r="K167" s="161"/>
      <c r="L167" s="161"/>
      <c r="M167" s="161"/>
      <c r="N167" s="161"/>
      <c r="O167" s="161"/>
      <c r="P167" s="161"/>
      <c r="Q167" s="160"/>
      <c r="R167" s="161"/>
      <c r="S167" s="161"/>
      <c r="T167" s="161"/>
      <c r="U167" s="161"/>
      <c r="V167" s="161"/>
      <c r="W167" s="161"/>
      <c r="X167" s="161"/>
      <c r="Y167" s="161"/>
      <c r="Z167" s="161"/>
      <c r="AA167" s="161"/>
      <c r="AB167" s="161"/>
      <c r="AC167" s="161"/>
      <c r="AD167" s="161"/>
      <c r="AE167" s="161"/>
      <c r="AF167" s="161"/>
      <c r="AG167" s="161"/>
      <c r="AH167" s="161"/>
      <c r="AI167" s="161"/>
      <c r="AJ167" s="161"/>
      <c r="AK167" s="161"/>
      <c r="AL167" s="161"/>
      <c r="AM167" s="161"/>
      <c r="AN167" s="161"/>
      <c r="AO167" s="161"/>
      <c r="AP167" s="161"/>
      <c r="AQ167" s="161"/>
      <c r="AR167" s="161"/>
      <c r="AS167" s="161"/>
      <c r="AT167" s="161"/>
      <c r="AU167" s="161"/>
      <c r="AV167" s="161"/>
      <c r="AW167" s="161"/>
      <c r="AX167" s="161"/>
      <c r="AY167" s="161"/>
      <c r="AZ167" s="161"/>
      <c r="BA167" s="161"/>
      <c r="BB167" s="161"/>
      <c r="BC167" s="161"/>
      <c r="BD167" s="161"/>
    </row>
    <row r="168" spans="1:56" x14ac:dyDescent="0.2">
      <c r="A168" s="161"/>
      <c r="B168" s="161"/>
      <c r="C168" s="161"/>
      <c r="D168" s="161"/>
      <c r="E168" s="162"/>
      <c r="F168" s="161"/>
      <c r="G168" s="161"/>
      <c r="H168" s="161"/>
      <c r="I168" s="161"/>
      <c r="J168" s="161"/>
      <c r="K168" s="161"/>
      <c r="L168" s="161"/>
      <c r="M168" s="161"/>
      <c r="N168" s="161"/>
      <c r="O168" s="161"/>
      <c r="P168" s="161"/>
      <c r="Q168" s="160"/>
      <c r="R168" s="161"/>
      <c r="S168" s="161"/>
      <c r="T168" s="161"/>
      <c r="U168" s="161"/>
      <c r="V168" s="161"/>
      <c r="W168" s="161"/>
      <c r="X168" s="161"/>
      <c r="Y168" s="161"/>
      <c r="Z168" s="161"/>
      <c r="AA168" s="161"/>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61"/>
      <c r="AX168" s="161"/>
      <c r="AY168" s="161"/>
      <c r="AZ168" s="161"/>
      <c r="BA168" s="161"/>
      <c r="BB168" s="161"/>
      <c r="BC168" s="161"/>
      <c r="BD168" s="161"/>
    </row>
    <row r="169" spans="1:56" x14ac:dyDescent="0.2">
      <c r="A169" s="161"/>
      <c r="B169" s="161"/>
      <c r="C169" s="161"/>
      <c r="D169" s="161"/>
      <c r="E169" s="162"/>
      <c r="F169" s="161"/>
      <c r="G169" s="161"/>
      <c r="H169" s="161"/>
      <c r="I169" s="161"/>
      <c r="J169" s="161"/>
      <c r="K169" s="161"/>
      <c r="L169" s="161"/>
      <c r="M169" s="161"/>
      <c r="N169" s="161"/>
      <c r="O169" s="161"/>
      <c r="P169" s="161"/>
      <c r="Q169" s="160"/>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161"/>
      <c r="BA169" s="161"/>
      <c r="BB169" s="161"/>
      <c r="BC169" s="161"/>
      <c r="BD169" s="161"/>
    </row>
    <row r="170" spans="1:56" x14ac:dyDescent="0.2">
      <c r="A170" s="161"/>
      <c r="B170" s="161"/>
      <c r="C170" s="161"/>
      <c r="D170" s="161"/>
      <c r="E170" s="162"/>
      <c r="F170" s="161"/>
      <c r="G170" s="161"/>
      <c r="H170" s="161"/>
      <c r="I170" s="161"/>
      <c r="J170" s="161"/>
      <c r="K170" s="161"/>
      <c r="L170" s="161"/>
      <c r="M170" s="161"/>
      <c r="N170" s="161"/>
      <c r="O170" s="161"/>
      <c r="P170" s="161"/>
      <c r="Q170" s="160"/>
      <c r="R170" s="161"/>
      <c r="S170" s="161"/>
      <c r="T170" s="161"/>
      <c r="U170" s="161"/>
      <c r="V170" s="161"/>
      <c r="W170" s="161"/>
      <c r="X170" s="161"/>
      <c r="Y170" s="161"/>
      <c r="Z170" s="161"/>
      <c r="AA170" s="161"/>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61"/>
      <c r="AX170" s="161"/>
      <c r="AY170" s="161"/>
      <c r="AZ170" s="161"/>
      <c r="BA170" s="161"/>
      <c r="BB170" s="161"/>
      <c r="BC170" s="161"/>
      <c r="BD170" s="161"/>
    </row>
    <row r="171" spans="1:56" x14ac:dyDescent="0.2">
      <c r="A171" s="161"/>
      <c r="B171" s="161"/>
      <c r="C171" s="161"/>
      <c r="D171" s="161"/>
      <c r="E171" s="162"/>
      <c r="F171" s="161"/>
      <c r="G171" s="161"/>
      <c r="H171" s="161"/>
      <c r="I171" s="161"/>
      <c r="J171" s="161"/>
      <c r="K171" s="161"/>
      <c r="L171" s="161"/>
      <c r="M171" s="161"/>
      <c r="N171" s="161"/>
      <c r="O171" s="161"/>
      <c r="P171" s="161"/>
      <c r="Q171" s="160"/>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161"/>
      <c r="BA171" s="161"/>
      <c r="BB171" s="161"/>
      <c r="BC171" s="161"/>
      <c r="BD171" s="161"/>
    </row>
    <row r="172" spans="1:56" x14ac:dyDescent="0.2">
      <c r="A172" s="161"/>
      <c r="B172" s="161"/>
      <c r="C172" s="161"/>
      <c r="D172" s="161"/>
      <c r="E172" s="162"/>
      <c r="F172" s="161"/>
      <c r="G172" s="161"/>
      <c r="H172" s="161"/>
      <c r="I172" s="161"/>
      <c r="J172" s="161"/>
      <c r="K172" s="161"/>
      <c r="L172" s="161"/>
      <c r="M172" s="161"/>
      <c r="N172" s="161"/>
      <c r="O172" s="161"/>
      <c r="P172" s="161"/>
      <c r="Q172" s="160"/>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161"/>
      <c r="BA172" s="161"/>
      <c r="BB172" s="161"/>
      <c r="BC172" s="161"/>
      <c r="BD172" s="161"/>
    </row>
    <row r="173" spans="1:56" x14ac:dyDescent="0.2">
      <c r="A173" s="161"/>
      <c r="B173" s="161"/>
      <c r="C173" s="161"/>
      <c r="D173" s="161"/>
      <c r="E173" s="162"/>
      <c r="F173" s="161"/>
      <c r="G173" s="161"/>
      <c r="H173" s="161"/>
      <c r="I173" s="161"/>
      <c r="J173" s="161"/>
      <c r="K173" s="161"/>
      <c r="L173" s="161"/>
      <c r="M173" s="161"/>
      <c r="N173" s="161"/>
      <c r="O173" s="161"/>
      <c r="P173" s="161"/>
      <c r="Q173" s="160"/>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161"/>
      <c r="BA173" s="161"/>
      <c r="BB173" s="161"/>
      <c r="BC173" s="161"/>
      <c r="BD173" s="161"/>
    </row>
    <row r="174" spans="1:56" x14ac:dyDescent="0.2">
      <c r="A174" s="161"/>
      <c r="B174" s="161"/>
      <c r="C174" s="161"/>
      <c r="D174" s="161"/>
      <c r="E174" s="162"/>
      <c r="F174" s="161"/>
      <c r="G174" s="161"/>
      <c r="H174" s="161"/>
      <c r="I174" s="161"/>
      <c r="J174" s="161"/>
      <c r="K174" s="161"/>
      <c r="L174" s="161"/>
      <c r="M174" s="161"/>
      <c r="N174" s="161"/>
      <c r="O174" s="161"/>
      <c r="P174" s="161"/>
      <c r="Q174" s="160"/>
      <c r="R174" s="161"/>
      <c r="S174" s="161"/>
      <c r="T174" s="161"/>
      <c r="U174" s="161"/>
      <c r="V174" s="161"/>
      <c r="W174" s="161"/>
      <c r="X174" s="161"/>
      <c r="Y174" s="161"/>
      <c r="Z174" s="161"/>
      <c r="AA174" s="161"/>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61"/>
      <c r="AX174" s="161"/>
      <c r="AY174" s="161"/>
      <c r="AZ174" s="161"/>
      <c r="BA174" s="161"/>
      <c r="BB174" s="161"/>
      <c r="BC174" s="161"/>
      <c r="BD174" s="161"/>
    </row>
    <row r="175" spans="1:56" x14ac:dyDescent="0.2">
      <c r="A175" s="161"/>
      <c r="B175" s="161"/>
      <c r="C175" s="161"/>
      <c r="D175" s="161"/>
      <c r="E175" s="162"/>
      <c r="F175" s="161"/>
      <c r="G175" s="161"/>
      <c r="H175" s="161"/>
      <c r="I175" s="161"/>
      <c r="J175" s="161"/>
      <c r="K175" s="161"/>
      <c r="L175" s="161"/>
      <c r="M175" s="161"/>
      <c r="N175" s="161"/>
      <c r="O175" s="161"/>
      <c r="P175" s="161"/>
      <c r="Q175" s="160"/>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161"/>
      <c r="BA175" s="161"/>
      <c r="BB175" s="161"/>
      <c r="BC175" s="161"/>
      <c r="BD175" s="161"/>
    </row>
    <row r="176" spans="1:56" x14ac:dyDescent="0.2">
      <c r="A176" s="161"/>
      <c r="B176" s="161"/>
      <c r="C176" s="161"/>
      <c r="D176" s="161"/>
      <c r="E176" s="162"/>
      <c r="F176" s="161"/>
      <c r="G176" s="161"/>
      <c r="H176" s="161"/>
      <c r="I176" s="161"/>
      <c r="J176" s="161"/>
      <c r="K176" s="161"/>
      <c r="L176" s="161"/>
      <c r="M176" s="161"/>
      <c r="N176" s="161"/>
      <c r="O176" s="161"/>
      <c r="P176" s="161"/>
      <c r="Q176" s="160"/>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161"/>
      <c r="BA176" s="161"/>
      <c r="BB176" s="161"/>
      <c r="BC176" s="161"/>
      <c r="BD176" s="161"/>
    </row>
    <row r="177" spans="1:56" x14ac:dyDescent="0.2">
      <c r="A177" s="161"/>
      <c r="B177" s="161"/>
      <c r="C177" s="161"/>
      <c r="D177" s="161"/>
      <c r="E177" s="162"/>
      <c r="F177" s="161"/>
      <c r="G177" s="161"/>
      <c r="H177" s="161"/>
      <c r="I177" s="161"/>
      <c r="J177" s="161"/>
      <c r="K177" s="161"/>
      <c r="L177" s="161"/>
      <c r="M177" s="161"/>
      <c r="N177" s="161"/>
      <c r="O177" s="161"/>
      <c r="P177" s="161"/>
      <c r="Q177" s="160"/>
      <c r="R177" s="161"/>
      <c r="S177" s="161"/>
      <c r="T177" s="161"/>
      <c r="U177" s="161"/>
      <c r="V177" s="161"/>
      <c r="W177" s="161"/>
      <c r="X177" s="161"/>
      <c r="Y177" s="161"/>
      <c r="Z177" s="161"/>
      <c r="AA177" s="161"/>
      <c r="AB177" s="161"/>
      <c r="AC177" s="161"/>
      <c r="AD177" s="161"/>
      <c r="AE177" s="161"/>
      <c r="AF177" s="161"/>
      <c r="AG177" s="161"/>
      <c r="AH177" s="161"/>
      <c r="AI177" s="161"/>
      <c r="AJ177" s="161"/>
      <c r="AK177" s="161"/>
      <c r="AL177" s="161"/>
      <c r="AM177" s="161"/>
      <c r="AN177" s="161"/>
      <c r="AO177" s="161"/>
      <c r="AP177" s="161"/>
      <c r="AQ177" s="161"/>
      <c r="AR177" s="161"/>
      <c r="AS177" s="161"/>
      <c r="AT177" s="161"/>
      <c r="AU177" s="161"/>
      <c r="AV177" s="161"/>
      <c r="AW177" s="161"/>
      <c r="AX177" s="161"/>
      <c r="AY177" s="161"/>
      <c r="AZ177" s="161"/>
      <c r="BA177" s="161"/>
      <c r="BB177" s="161"/>
      <c r="BC177" s="161"/>
      <c r="BD177" s="161"/>
    </row>
    <row r="178" spans="1:56" x14ac:dyDescent="0.2">
      <c r="A178" s="161"/>
      <c r="B178" s="161"/>
      <c r="C178" s="161"/>
      <c r="D178" s="161"/>
      <c r="E178" s="162"/>
      <c r="F178" s="161"/>
      <c r="G178" s="161"/>
      <c r="H178" s="161"/>
      <c r="I178" s="161"/>
      <c r="J178" s="161"/>
      <c r="K178" s="161"/>
      <c r="L178" s="161"/>
      <c r="M178" s="161"/>
      <c r="N178" s="161"/>
      <c r="O178" s="161"/>
      <c r="P178" s="161"/>
      <c r="Q178" s="160"/>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161"/>
      <c r="BA178" s="161"/>
      <c r="BB178" s="161"/>
      <c r="BC178" s="161"/>
      <c r="BD178" s="161"/>
    </row>
    <row r="179" spans="1:56" x14ac:dyDescent="0.2">
      <c r="A179" s="161"/>
      <c r="B179" s="161"/>
      <c r="C179" s="161"/>
      <c r="D179" s="161"/>
      <c r="E179" s="162"/>
      <c r="F179" s="161"/>
      <c r="G179" s="161"/>
      <c r="H179" s="161"/>
      <c r="I179" s="161"/>
      <c r="J179" s="161"/>
      <c r="K179" s="161"/>
      <c r="L179" s="161"/>
      <c r="M179" s="161"/>
      <c r="N179" s="161"/>
      <c r="O179" s="161"/>
      <c r="P179" s="161"/>
      <c r="Q179" s="160"/>
      <c r="R179" s="161"/>
      <c r="S179" s="161"/>
      <c r="T179" s="161"/>
      <c r="U179" s="161"/>
      <c r="V179" s="161"/>
      <c r="W179" s="161"/>
      <c r="X179" s="161"/>
      <c r="Y179" s="161"/>
      <c r="Z179" s="161"/>
      <c r="AA179" s="161"/>
      <c r="AB179" s="161"/>
      <c r="AC179" s="161"/>
      <c r="AD179" s="161"/>
      <c r="AE179" s="161"/>
      <c r="AF179" s="161"/>
      <c r="AG179" s="161"/>
      <c r="AH179" s="161"/>
      <c r="AI179" s="161"/>
      <c r="AJ179" s="161"/>
      <c r="AK179" s="161"/>
      <c r="AL179" s="161"/>
      <c r="AM179" s="161"/>
      <c r="AN179" s="161"/>
      <c r="AO179" s="161"/>
      <c r="AP179" s="161"/>
      <c r="AQ179" s="161"/>
      <c r="AR179" s="161"/>
      <c r="AS179" s="161"/>
      <c r="AT179" s="161"/>
      <c r="AU179" s="161"/>
      <c r="AV179" s="161"/>
      <c r="AW179" s="161"/>
      <c r="AX179" s="161"/>
      <c r="AY179" s="161"/>
      <c r="AZ179" s="161"/>
      <c r="BA179" s="161"/>
      <c r="BB179" s="161"/>
      <c r="BC179" s="161"/>
      <c r="BD179" s="161"/>
    </row>
    <row r="180" spans="1:56" x14ac:dyDescent="0.2">
      <c r="A180" s="161"/>
      <c r="B180" s="161"/>
      <c r="C180" s="161"/>
      <c r="D180" s="161"/>
      <c r="E180" s="162"/>
      <c r="F180" s="161"/>
      <c r="G180" s="161"/>
      <c r="H180" s="161"/>
      <c r="I180" s="161"/>
      <c r="J180" s="161"/>
      <c r="K180" s="161"/>
      <c r="L180" s="161"/>
      <c r="M180" s="161"/>
      <c r="N180" s="161"/>
      <c r="O180" s="161"/>
      <c r="P180" s="161"/>
      <c r="Q180" s="160"/>
      <c r="R180" s="161"/>
      <c r="S180" s="161"/>
      <c r="T180" s="161"/>
      <c r="U180" s="161"/>
      <c r="V180" s="161"/>
      <c r="W180" s="161"/>
      <c r="X180" s="161"/>
      <c r="Y180" s="161"/>
      <c r="Z180" s="161"/>
      <c r="AA180" s="161"/>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61"/>
      <c r="AX180" s="161"/>
      <c r="AY180" s="161"/>
      <c r="AZ180" s="161"/>
      <c r="BA180" s="161"/>
      <c r="BB180" s="161"/>
      <c r="BC180" s="161"/>
      <c r="BD180" s="161"/>
    </row>
    <row r="181" spans="1:56" x14ac:dyDescent="0.2">
      <c r="A181" s="161"/>
      <c r="B181" s="161"/>
      <c r="C181" s="161"/>
      <c r="D181" s="161"/>
      <c r="E181" s="162"/>
      <c r="F181" s="161"/>
      <c r="G181" s="161"/>
      <c r="H181" s="161"/>
      <c r="I181" s="161"/>
      <c r="J181" s="161"/>
      <c r="K181" s="161"/>
      <c r="L181" s="161"/>
      <c r="M181" s="161"/>
      <c r="N181" s="161"/>
      <c r="O181" s="161"/>
      <c r="P181" s="161"/>
      <c r="Q181" s="160"/>
      <c r="R181" s="161"/>
      <c r="S181" s="161"/>
      <c r="T181" s="161"/>
      <c r="U181" s="161"/>
      <c r="V181" s="161"/>
      <c r="W181" s="161"/>
      <c r="X181" s="161"/>
      <c r="Y181" s="161"/>
      <c r="Z181" s="161"/>
      <c r="AA181" s="161"/>
      <c r="AB181" s="161"/>
      <c r="AC181" s="161"/>
      <c r="AD181" s="161"/>
      <c r="AE181" s="161"/>
      <c r="AF181" s="161"/>
      <c r="AG181" s="161"/>
      <c r="AH181" s="161"/>
      <c r="AI181" s="161"/>
      <c r="AJ181" s="161"/>
      <c r="AK181" s="161"/>
      <c r="AL181" s="161"/>
      <c r="AM181" s="161"/>
      <c r="AN181" s="161"/>
      <c r="AO181" s="161"/>
      <c r="AP181" s="161"/>
      <c r="AQ181" s="161"/>
      <c r="AR181" s="161"/>
      <c r="AS181" s="161"/>
      <c r="AT181" s="161"/>
      <c r="AU181" s="161"/>
      <c r="AV181" s="161"/>
      <c r="AW181" s="161"/>
      <c r="AX181" s="161"/>
      <c r="AY181" s="161"/>
      <c r="AZ181" s="161"/>
      <c r="BA181" s="161"/>
      <c r="BB181" s="161"/>
      <c r="BC181" s="161"/>
      <c r="BD181" s="161"/>
    </row>
    <row r="182" spans="1:56" x14ac:dyDescent="0.2">
      <c r="A182" s="161"/>
      <c r="B182" s="161"/>
      <c r="C182" s="161"/>
      <c r="D182" s="161"/>
      <c r="E182" s="162"/>
      <c r="F182" s="161"/>
      <c r="G182" s="161"/>
      <c r="H182" s="161"/>
      <c r="I182" s="161"/>
      <c r="J182" s="161"/>
      <c r="K182" s="161"/>
      <c r="L182" s="161"/>
      <c r="M182" s="161"/>
      <c r="N182" s="161"/>
      <c r="O182" s="161"/>
      <c r="P182" s="161"/>
      <c r="Q182" s="160"/>
      <c r="R182" s="161"/>
      <c r="S182" s="161"/>
      <c r="T182" s="161"/>
      <c r="U182" s="161"/>
      <c r="V182" s="161"/>
      <c r="W182" s="161"/>
      <c r="X182" s="161"/>
      <c r="Y182" s="161"/>
      <c r="Z182" s="161"/>
      <c r="AA182" s="161"/>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61"/>
      <c r="AX182" s="161"/>
      <c r="AY182" s="161"/>
      <c r="AZ182" s="161"/>
      <c r="BA182" s="161"/>
      <c r="BB182" s="161"/>
      <c r="BC182" s="161"/>
      <c r="BD182" s="161"/>
    </row>
    <row r="183" spans="1:56" x14ac:dyDescent="0.2">
      <c r="A183" s="161"/>
      <c r="B183" s="161"/>
      <c r="C183" s="161"/>
      <c r="D183" s="161"/>
      <c r="E183" s="162"/>
      <c r="F183" s="161"/>
      <c r="G183" s="161"/>
      <c r="H183" s="161"/>
      <c r="I183" s="161"/>
      <c r="J183" s="161"/>
      <c r="K183" s="161"/>
      <c r="L183" s="161"/>
      <c r="M183" s="161"/>
      <c r="N183" s="161"/>
      <c r="O183" s="161"/>
      <c r="P183" s="161"/>
      <c r="Q183" s="160"/>
      <c r="R183" s="161"/>
      <c r="S183" s="161"/>
      <c r="T183" s="161"/>
      <c r="U183" s="161"/>
      <c r="V183" s="161"/>
      <c r="W183" s="161"/>
      <c r="X183" s="161"/>
      <c r="Y183" s="161"/>
      <c r="Z183" s="161"/>
      <c r="AA183" s="161"/>
      <c r="AB183" s="161"/>
      <c r="AC183" s="161"/>
      <c r="AD183" s="161"/>
      <c r="AE183" s="161"/>
      <c r="AF183" s="161"/>
      <c r="AG183" s="161"/>
      <c r="AH183" s="161"/>
      <c r="AI183" s="161"/>
      <c r="AJ183" s="161"/>
      <c r="AK183" s="161"/>
      <c r="AL183" s="161"/>
      <c r="AM183" s="161"/>
      <c r="AN183" s="161"/>
      <c r="AO183" s="161"/>
      <c r="AP183" s="161"/>
      <c r="AQ183" s="161"/>
      <c r="AR183" s="161"/>
      <c r="AS183" s="161"/>
      <c r="AT183" s="161"/>
      <c r="AU183" s="161"/>
      <c r="AV183" s="161"/>
      <c r="AW183" s="161"/>
      <c r="AX183" s="161"/>
      <c r="AY183" s="161"/>
      <c r="AZ183" s="161"/>
      <c r="BA183" s="161"/>
      <c r="BB183" s="161"/>
      <c r="BC183" s="161"/>
      <c r="BD183" s="161"/>
    </row>
    <row r="184" spans="1:56" x14ac:dyDescent="0.2">
      <c r="A184" s="161"/>
      <c r="B184" s="161"/>
      <c r="C184" s="161"/>
      <c r="D184" s="161"/>
      <c r="E184" s="162"/>
      <c r="F184" s="161"/>
      <c r="G184" s="161"/>
      <c r="H184" s="161"/>
      <c r="I184" s="161"/>
      <c r="J184" s="161"/>
      <c r="K184" s="161"/>
      <c r="L184" s="161"/>
      <c r="M184" s="161"/>
      <c r="N184" s="161"/>
      <c r="O184" s="161"/>
      <c r="P184" s="161"/>
      <c r="Q184" s="160"/>
      <c r="R184" s="161"/>
      <c r="S184" s="161"/>
      <c r="T184" s="161"/>
      <c r="U184" s="161"/>
      <c r="V184" s="161"/>
      <c r="W184" s="161"/>
      <c r="X184" s="161"/>
      <c r="Y184" s="161"/>
      <c r="Z184" s="161"/>
      <c r="AA184" s="161"/>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61"/>
      <c r="AX184" s="161"/>
      <c r="AY184" s="161"/>
      <c r="AZ184" s="161"/>
      <c r="BA184" s="161"/>
      <c r="BB184" s="161"/>
      <c r="BC184" s="161"/>
      <c r="BD184" s="161"/>
    </row>
    <row r="185" spans="1:56" x14ac:dyDescent="0.2">
      <c r="A185" s="161"/>
      <c r="B185" s="161"/>
      <c r="C185" s="161"/>
      <c r="D185" s="161"/>
      <c r="E185" s="162"/>
      <c r="F185" s="161"/>
      <c r="G185" s="161"/>
      <c r="H185" s="161"/>
      <c r="I185" s="161"/>
      <c r="J185" s="161"/>
      <c r="K185" s="161"/>
      <c r="L185" s="161"/>
      <c r="M185" s="161"/>
      <c r="N185" s="161"/>
      <c r="O185" s="161"/>
      <c r="P185" s="161"/>
      <c r="Q185" s="160"/>
      <c r="R185" s="161"/>
      <c r="S185" s="161"/>
      <c r="T185" s="161"/>
      <c r="U185" s="161"/>
      <c r="V185" s="161"/>
      <c r="W185" s="161"/>
      <c r="X185" s="161"/>
      <c r="Y185" s="161"/>
      <c r="Z185" s="161"/>
      <c r="AA185" s="161"/>
      <c r="AB185" s="161"/>
      <c r="AC185" s="161"/>
      <c r="AD185" s="161"/>
      <c r="AE185" s="161"/>
      <c r="AF185" s="161"/>
      <c r="AG185" s="161"/>
      <c r="AH185" s="161"/>
      <c r="AI185" s="161"/>
      <c r="AJ185" s="161"/>
      <c r="AK185" s="161"/>
      <c r="AL185" s="161"/>
      <c r="AM185" s="161"/>
      <c r="AN185" s="161"/>
      <c r="AO185" s="161"/>
      <c r="AP185" s="161"/>
      <c r="AQ185" s="161"/>
      <c r="AR185" s="161"/>
      <c r="AS185" s="161"/>
      <c r="AT185" s="161"/>
      <c r="AU185" s="161"/>
      <c r="AV185" s="161"/>
      <c r="AW185" s="161"/>
      <c r="AX185" s="161"/>
      <c r="AY185" s="161"/>
      <c r="AZ185" s="161"/>
      <c r="BA185" s="161"/>
      <c r="BB185" s="161"/>
      <c r="BC185" s="161"/>
      <c r="BD185" s="161"/>
    </row>
    <row r="186" spans="1:56" x14ac:dyDescent="0.2">
      <c r="A186" s="161"/>
      <c r="B186" s="161"/>
      <c r="C186" s="161"/>
      <c r="D186" s="161"/>
      <c r="E186" s="162"/>
      <c r="F186" s="161"/>
      <c r="G186" s="161"/>
      <c r="H186" s="161"/>
      <c r="I186" s="161"/>
      <c r="J186" s="161"/>
      <c r="K186" s="161"/>
      <c r="L186" s="161"/>
      <c r="M186" s="161"/>
      <c r="N186" s="161"/>
      <c r="O186" s="161"/>
      <c r="P186" s="161"/>
      <c r="Q186" s="160"/>
      <c r="R186" s="161"/>
      <c r="S186" s="161"/>
      <c r="T186" s="161"/>
      <c r="U186" s="161"/>
      <c r="V186" s="161"/>
      <c r="W186" s="161"/>
      <c r="X186" s="161"/>
      <c r="Y186" s="161"/>
      <c r="Z186" s="161"/>
      <c r="AA186" s="161"/>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61"/>
      <c r="AX186" s="161"/>
      <c r="AY186" s="161"/>
      <c r="AZ186" s="161"/>
      <c r="BA186" s="161"/>
      <c r="BB186" s="161"/>
      <c r="BC186" s="161"/>
      <c r="BD186" s="161"/>
    </row>
    <row r="187" spans="1:56" x14ac:dyDescent="0.2">
      <c r="A187" s="161"/>
      <c r="B187" s="161"/>
      <c r="C187" s="161"/>
      <c r="D187" s="161"/>
      <c r="E187" s="162"/>
      <c r="F187" s="161"/>
      <c r="G187" s="161"/>
      <c r="H187" s="161"/>
      <c r="I187" s="161"/>
      <c r="J187" s="161"/>
      <c r="K187" s="161"/>
      <c r="L187" s="161"/>
      <c r="M187" s="161"/>
      <c r="N187" s="161"/>
      <c r="O187" s="161"/>
      <c r="P187" s="161"/>
      <c r="Q187" s="160"/>
      <c r="R187" s="161"/>
      <c r="S187" s="161"/>
      <c r="T187" s="161"/>
      <c r="U187" s="161"/>
      <c r="V187" s="161"/>
      <c r="W187" s="161"/>
      <c r="X187" s="161"/>
      <c r="Y187" s="161"/>
      <c r="Z187" s="161"/>
      <c r="AA187" s="161"/>
      <c r="AB187" s="161"/>
      <c r="AC187" s="161"/>
      <c r="AD187" s="161"/>
      <c r="AE187" s="161"/>
      <c r="AF187" s="161"/>
      <c r="AG187" s="161"/>
      <c r="AH187" s="161"/>
      <c r="AI187" s="161"/>
      <c r="AJ187" s="161"/>
      <c r="AK187" s="161"/>
      <c r="AL187" s="161"/>
      <c r="AM187" s="161"/>
      <c r="AN187" s="161"/>
      <c r="AO187" s="161"/>
      <c r="AP187" s="161"/>
      <c r="AQ187" s="161"/>
      <c r="AR187" s="161"/>
      <c r="AS187" s="161"/>
      <c r="AT187" s="161"/>
      <c r="AU187" s="161"/>
      <c r="AV187" s="161"/>
      <c r="AW187" s="161"/>
      <c r="AX187" s="161"/>
      <c r="AY187" s="161"/>
      <c r="AZ187" s="161"/>
      <c r="BA187" s="161"/>
      <c r="BB187" s="161"/>
      <c r="BC187" s="161"/>
      <c r="BD187" s="161"/>
    </row>
    <row r="188" spans="1:56" x14ac:dyDescent="0.2">
      <c r="A188" s="161"/>
      <c r="B188" s="161"/>
      <c r="C188" s="161"/>
      <c r="D188" s="161"/>
      <c r="E188" s="162"/>
      <c r="F188" s="161"/>
      <c r="G188" s="161"/>
      <c r="H188" s="161"/>
      <c r="I188" s="161"/>
      <c r="J188" s="161"/>
      <c r="K188" s="161"/>
      <c r="L188" s="161"/>
      <c r="M188" s="161"/>
      <c r="N188" s="161"/>
      <c r="O188" s="161"/>
      <c r="P188" s="161"/>
      <c r="Q188" s="160"/>
      <c r="R188" s="161"/>
      <c r="S188" s="161"/>
      <c r="T188" s="161"/>
      <c r="U188" s="161"/>
      <c r="V188" s="161"/>
      <c r="W188" s="161"/>
      <c r="X188" s="161"/>
      <c r="Y188" s="161"/>
      <c r="Z188" s="161"/>
      <c r="AA188" s="161"/>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61"/>
      <c r="AX188" s="161"/>
      <c r="AY188" s="161"/>
      <c r="AZ188" s="161"/>
      <c r="BA188" s="161"/>
      <c r="BB188" s="161"/>
      <c r="BC188" s="161"/>
      <c r="BD188" s="161"/>
    </row>
    <row r="189" spans="1:56" x14ac:dyDescent="0.2">
      <c r="A189" s="161"/>
      <c r="B189" s="161"/>
      <c r="C189" s="161"/>
      <c r="D189" s="161"/>
      <c r="E189" s="162"/>
      <c r="F189" s="161"/>
      <c r="G189" s="161"/>
      <c r="H189" s="161"/>
      <c r="I189" s="161"/>
      <c r="J189" s="161"/>
      <c r="K189" s="161"/>
      <c r="L189" s="161"/>
      <c r="M189" s="161"/>
      <c r="N189" s="161"/>
      <c r="O189" s="161"/>
      <c r="P189" s="161"/>
      <c r="Q189" s="160"/>
      <c r="R189" s="161"/>
      <c r="S189" s="161"/>
      <c r="T189" s="161"/>
      <c r="U189" s="161"/>
      <c r="V189" s="161"/>
      <c r="W189" s="161"/>
      <c r="X189" s="161"/>
      <c r="Y189" s="161"/>
      <c r="Z189" s="161"/>
      <c r="AA189" s="161"/>
      <c r="AB189" s="161"/>
      <c r="AC189" s="161"/>
      <c r="AD189" s="161"/>
      <c r="AE189" s="161"/>
      <c r="AF189" s="161"/>
      <c r="AG189" s="161"/>
      <c r="AH189" s="161"/>
      <c r="AI189" s="161"/>
      <c r="AJ189" s="161"/>
      <c r="AK189" s="161"/>
      <c r="AL189" s="161"/>
      <c r="AM189" s="161"/>
      <c r="AN189" s="161"/>
      <c r="AO189" s="161"/>
      <c r="AP189" s="161"/>
      <c r="AQ189" s="161"/>
      <c r="AR189" s="161"/>
      <c r="AS189" s="161"/>
      <c r="AT189" s="161"/>
      <c r="AU189" s="161"/>
      <c r="AV189" s="161"/>
      <c r="AW189" s="161"/>
      <c r="AX189" s="161"/>
      <c r="AY189" s="161"/>
      <c r="AZ189" s="161"/>
      <c r="BA189" s="161"/>
      <c r="BB189" s="161"/>
      <c r="BC189" s="161"/>
      <c r="BD189" s="161"/>
    </row>
    <row r="190" spans="1:56" x14ac:dyDescent="0.2">
      <c r="A190" s="161"/>
      <c r="B190" s="161"/>
      <c r="C190" s="161"/>
      <c r="D190" s="161"/>
      <c r="E190" s="162"/>
      <c r="F190" s="161"/>
      <c r="G190" s="161"/>
      <c r="H190" s="161"/>
      <c r="I190" s="161"/>
      <c r="J190" s="161"/>
      <c r="K190" s="161"/>
      <c r="L190" s="161"/>
      <c r="M190" s="161"/>
      <c r="N190" s="161"/>
      <c r="O190" s="161"/>
      <c r="P190" s="161"/>
      <c r="Q190" s="160"/>
      <c r="R190" s="161"/>
      <c r="S190" s="161"/>
      <c r="T190" s="161"/>
      <c r="U190" s="161"/>
      <c r="V190" s="161"/>
      <c r="W190" s="161"/>
      <c r="X190" s="161"/>
      <c r="Y190" s="161"/>
      <c r="Z190" s="161"/>
      <c r="AA190" s="161"/>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61"/>
      <c r="AX190" s="161"/>
      <c r="AY190" s="161"/>
      <c r="AZ190" s="161"/>
      <c r="BA190" s="161"/>
      <c r="BB190" s="161"/>
      <c r="BC190" s="161"/>
      <c r="BD190" s="161"/>
    </row>
    <row r="191" spans="1:56" x14ac:dyDescent="0.2">
      <c r="A191" s="161"/>
      <c r="B191" s="161"/>
      <c r="C191" s="161"/>
      <c r="D191" s="161"/>
      <c r="E191" s="162"/>
      <c r="F191" s="161"/>
      <c r="G191" s="161"/>
      <c r="H191" s="161"/>
      <c r="I191" s="161"/>
      <c r="J191" s="161"/>
      <c r="K191" s="161"/>
      <c r="L191" s="161"/>
      <c r="M191" s="161"/>
      <c r="N191" s="161"/>
      <c r="O191" s="161"/>
      <c r="P191" s="161"/>
      <c r="Q191" s="160"/>
      <c r="R191" s="161"/>
      <c r="S191" s="161"/>
      <c r="T191" s="161"/>
      <c r="U191" s="161"/>
      <c r="V191" s="161"/>
      <c r="W191" s="161"/>
      <c r="X191" s="161"/>
      <c r="Y191" s="161"/>
      <c r="Z191" s="161"/>
      <c r="AA191" s="161"/>
      <c r="AB191" s="161"/>
      <c r="AC191" s="161"/>
      <c r="AD191" s="161"/>
      <c r="AE191" s="161"/>
      <c r="AF191" s="161"/>
      <c r="AG191" s="161"/>
      <c r="AH191" s="161"/>
      <c r="AI191" s="161"/>
      <c r="AJ191" s="161"/>
      <c r="AK191" s="161"/>
      <c r="AL191" s="161"/>
      <c r="AM191" s="161"/>
      <c r="AN191" s="161"/>
      <c r="AO191" s="161"/>
      <c r="AP191" s="161"/>
      <c r="AQ191" s="161"/>
      <c r="AR191" s="161"/>
      <c r="AS191" s="161"/>
      <c r="AT191" s="161"/>
      <c r="AU191" s="161"/>
      <c r="AV191" s="161"/>
      <c r="AW191" s="161"/>
      <c r="AX191" s="161"/>
      <c r="AY191" s="161"/>
      <c r="AZ191" s="161"/>
      <c r="BA191" s="161"/>
      <c r="BB191" s="161"/>
      <c r="BC191" s="161"/>
      <c r="BD191" s="161"/>
    </row>
    <row r="192" spans="1:56" x14ac:dyDescent="0.2">
      <c r="A192" s="161"/>
      <c r="B192" s="161"/>
      <c r="C192" s="161"/>
      <c r="D192" s="161"/>
      <c r="E192" s="162"/>
      <c r="F192" s="161"/>
      <c r="G192" s="161"/>
      <c r="H192" s="161"/>
      <c r="I192" s="161"/>
      <c r="J192" s="161"/>
      <c r="K192" s="161"/>
      <c r="L192" s="161"/>
      <c r="M192" s="161"/>
      <c r="N192" s="161"/>
      <c r="O192" s="161"/>
      <c r="P192" s="161"/>
      <c r="Q192" s="160"/>
      <c r="R192" s="161"/>
      <c r="S192" s="161"/>
      <c r="T192" s="161"/>
      <c r="U192" s="161"/>
      <c r="V192" s="161"/>
      <c r="W192" s="161"/>
      <c r="X192" s="161"/>
      <c r="Y192" s="161"/>
      <c r="Z192" s="161"/>
      <c r="AA192" s="161"/>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61"/>
      <c r="AX192" s="161"/>
      <c r="AY192" s="161"/>
      <c r="AZ192" s="161"/>
      <c r="BA192" s="161"/>
      <c r="BB192" s="161"/>
      <c r="BC192" s="161"/>
      <c r="BD192" s="161"/>
    </row>
    <row r="193" spans="1:56" x14ac:dyDescent="0.2">
      <c r="A193" s="161"/>
      <c r="B193" s="161"/>
      <c r="C193" s="161"/>
      <c r="D193" s="161"/>
      <c r="E193" s="162"/>
      <c r="F193" s="161"/>
      <c r="G193" s="161"/>
      <c r="H193" s="161"/>
      <c r="I193" s="161"/>
      <c r="J193" s="161"/>
      <c r="K193" s="161"/>
      <c r="L193" s="161"/>
      <c r="M193" s="161"/>
      <c r="N193" s="161"/>
      <c r="O193" s="161"/>
      <c r="P193" s="161"/>
      <c r="Q193" s="160"/>
      <c r="R193" s="161"/>
      <c r="S193" s="161"/>
      <c r="T193" s="161"/>
      <c r="U193" s="161"/>
      <c r="V193" s="161"/>
      <c r="W193" s="161"/>
      <c r="X193" s="161"/>
      <c r="Y193" s="161"/>
      <c r="Z193" s="161"/>
      <c r="AA193" s="161"/>
      <c r="AB193" s="161"/>
      <c r="AC193" s="161"/>
      <c r="AD193" s="161"/>
      <c r="AE193" s="161"/>
      <c r="AF193" s="161"/>
      <c r="AG193" s="161"/>
      <c r="AH193" s="161"/>
      <c r="AI193" s="161"/>
      <c r="AJ193" s="161"/>
      <c r="AK193" s="161"/>
      <c r="AL193" s="161"/>
      <c r="AM193" s="161"/>
      <c r="AN193" s="161"/>
      <c r="AO193" s="161"/>
      <c r="AP193" s="161"/>
      <c r="AQ193" s="161"/>
      <c r="AR193" s="161"/>
      <c r="AS193" s="161"/>
      <c r="AT193" s="161"/>
      <c r="AU193" s="161"/>
      <c r="AV193" s="161"/>
      <c r="AW193" s="161"/>
      <c r="AX193" s="161"/>
      <c r="AY193" s="161"/>
      <c r="AZ193" s="161"/>
      <c r="BA193" s="161"/>
      <c r="BB193" s="161"/>
      <c r="BC193" s="161"/>
      <c r="BD193" s="161"/>
    </row>
    <row r="194" spans="1:56" x14ac:dyDescent="0.2">
      <c r="A194" s="161"/>
      <c r="B194" s="161"/>
      <c r="C194" s="161"/>
      <c r="D194" s="161"/>
      <c r="E194" s="162"/>
      <c r="F194" s="161"/>
      <c r="G194" s="161"/>
      <c r="H194" s="161"/>
      <c r="I194" s="161"/>
      <c r="J194" s="161"/>
      <c r="K194" s="161"/>
      <c r="L194" s="161"/>
      <c r="M194" s="161"/>
      <c r="N194" s="161"/>
      <c r="O194" s="161"/>
      <c r="P194" s="161"/>
      <c r="Q194" s="160"/>
      <c r="R194" s="161"/>
      <c r="S194" s="161"/>
      <c r="T194" s="161"/>
      <c r="U194" s="161"/>
      <c r="V194" s="161"/>
      <c r="W194" s="161"/>
      <c r="X194" s="161"/>
      <c r="Y194" s="161"/>
      <c r="Z194" s="161"/>
      <c r="AA194" s="161"/>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61"/>
      <c r="AX194" s="161"/>
      <c r="AY194" s="161"/>
      <c r="AZ194" s="161"/>
      <c r="BA194" s="161"/>
      <c r="BB194" s="161"/>
      <c r="BC194" s="161"/>
      <c r="BD194" s="161"/>
    </row>
    <row r="195" spans="1:56" x14ac:dyDescent="0.2">
      <c r="A195" s="161"/>
      <c r="B195" s="161"/>
      <c r="C195" s="161"/>
      <c r="D195" s="161"/>
      <c r="E195" s="162"/>
      <c r="F195" s="161"/>
      <c r="G195" s="161"/>
      <c r="H195" s="161"/>
      <c r="I195" s="161"/>
      <c r="J195" s="161"/>
      <c r="K195" s="161"/>
      <c r="L195" s="161"/>
      <c r="M195" s="161"/>
      <c r="N195" s="161"/>
      <c r="O195" s="161"/>
      <c r="P195" s="161"/>
      <c r="Q195" s="160"/>
      <c r="R195" s="161"/>
      <c r="S195" s="161"/>
      <c r="T195" s="161"/>
      <c r="U195" s="161"/>
      <c r="V195" s="161"/>
      <c r="W195" s="161"/>
      <c r="X195" s="161"/>
      <c r="Y195" s="161"/>
      <c r="Z195" s="161"/>
      <c r="AA195" s="161"/>
      <c r="AB195" s="161"/>
      <c r="AC195" s="161"/>
      <c r="AD195" s="161"/>
      <c r="AE195" s="161"/>
      <c r="AF195" s="161"/>
      <c r="AG195" s="161"/>
      <c r="AH195" s="161"/>
      <c r="AI195" s="161"/>
      <c r="AJ195" s="161"/>
      <c r="AK195" s="161"/>
      <c r="AL195" s="161"/>
      <c r="AM195" s="161"/>
      <c r="AN195" s="161"/>
      <c r="AO195" s="161"/>
      <c r="AP195" s="161"/>
      <c r="AQ195" s="161"/>
      <c r="AR195" s="161"/>
      <c r="AS195" s="161"/>
      <c r="AT195" s="161"/>
      <c r="AU195" s="161"/>
      <c r="AV195" s="161"/>
      <c r="AW195" s="161"/>
      <c r="AX195" s="161"/>
      <c r="AY195" s="161"/>
      <c r="AZ195" s="161"/>
      <c r="BA195" s="161"/>
      <c r="BB195" s="161"/>
      <c r="BC195" s="161"/>
      <c r="BD195" s="161"/>
    </row>
    <row r="196" spans="1:56" x14ac:dyDescent="0.2">
      <c r="A196" s="161"/>
      <c r="B196" s="161"/>
      <c r="C196" s="161"/>
      <c r="D196" s="161"/>
      <c r="E196" s="162"/>
      <c r="F196" s="161"/>
      <c r="G196" s="161"/>
      <c r="H196" s="161"/>
      <c r="I196" s="161"/>
      <c r="J196" s="161"/>
      <c r="K196" s="161"/>
      <c r="L196" s="161"/>
      <c r="M196" s="161"/>
      <c r="N196" s="161"/>
      <c r="O196" s="161"/>
      <c r="P196" s="161"/>
      <c r="Q196" s="160"/>
      <c r="R196" s="161"/>
      <c r="S196" s="161"/>
      <c r="T196" s="161"/>
      <c r="U196" s="161"/>
      <c r="V196" s="161"/>
      <c r="W196" s="161"/>
      <c r="X196" s="161"/>
      <c r="Y196" s="161"/>
      <c r="Z196" s="161"/>
      <c r="AA196" s="161"/>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61"/>
      <c r="AX196" s="161"/>
      <c r="AY196" s="161"/>
      <c r="AZ196" s="161"/>
      <c r="BA196" s="161"/>
      <c r="BB196" s="161"/>
      <c r="BC196" s="161"/>
      <c r="BD196" s="161"/>
    </row>
    <row r="197" spans="1:56" x14ac:dyDescent="0.2">
      <c r="A197" s="161"/>
      <c r="B197" s="161"/>
      <c r="C197" s="161"/>
      <c r="D197" s="161"/>
      <c r="E197" s="162"/>
      <c r="F197" s="161"/>
      <c r="G197" s="161"/>
      <c r="H197" s="161"/>
      <c r="I197" s="161"/>
      <c r="J197" s="161"/>
      <c r="K197" s="161"/>
      <c r="L197" s="161"/>
      <c r="M197" s="161"/>
      <c r="N197" s="161"/>
      <c r="O197" s="161"/>
      <c r="P197" s="161"/>
      <c r="Q197" s="160"/>
      <c r="R197" s="161"/>
      <c r="S197" s="161"/>
      <c r="T197" s="161"/>
      <c r="U197" s="161"/>
      <c r="V197" s="161"/>
      <c r="W197" s="161"/>
      <c r="X197" s="161"/>
      <c r="Y197" s="161"/>
      <c r="Z197" s="161"/>
      <c r="AA197" s="161"/>
      <c r="AB197" s="161"/>
      <c r="AC197" s="161"/>
      <c r="AD197" s="161"/>
      <c r="AE197" s="161"/>
      <c r="AF197" s="161"/>
      <c r="AG197" s="161"/>
      <c r="AH197" s="161"/>
      <c r="AI197" s="161"/>
      <c r="AJ197" s="161"/>
      <c r="AK197" s="161"/>
      <c r="AL197" s="161"/>
      <c r="AM197" s="161"/>
      <c r="AN197" s="161"/>
      <c r="AO197" s="161"/>
      <c r="AP197" s="161"/>
      <c r="AQ197" s="161"/>
      <c r="AR197" s="161"/>
      <c r="AS197" s="161"/>
      <c r="AT197" s="161"/>
      <c r="AU197" s="161"/>
      <c r="AV197" s="161"/>
      <c r="AW197" s="161"/>
      <c r="AX197" s="161"/>
      <c r="AY197" s="161"/>
      <c r="AZ197" s="161"/>
      <c r="BA197" s="161"/>
      <c r="BB197" s="161"/>
      <c r="BC197" s="161"/>
      <c r="BD197" s="161"/>
    </row>
    <row r="198" spans="1:56" x14ac:dyDescent="0.2">
      <c r="A198" s="161"/>
      <c r="B198" s="161"/>
      <c r="C198" s="161"/>
      <c r="D198" s="161"/>
      <c r="E198" s="162"/>
      <c r="F198" s="161"/>
      <c r="G198" s="161"/>
      <c r="H198" s="161"/>
      <c r="I198" s="161"/>
      <c r="J198" s="161"/>
      <c r="K198" s="161"/>
      <c r="L198" s="161"/>
      <c r="M198" s="161"/>
      <c r="N198" s="161"/>
      <c r="O198" s="161"/>
      <c r="P198" s="161"/>
      <c r="Q198" s="160"/>
      <c r="R198" s="161"/>
      <c r="S198" s="161"/>
      <c r="T198" s="161"/>
      <c r="U198" s="161"/>
      <c r="V198" s="161"/>
      <c r="W198" s="161"/>
      <c r="X198" s="161"/>
      <c r="Y198" s="161"/>
      <c r="Z198" s="161"/>
      <c r="AA198" s="161"/>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61"/>
      <c r="AX198" s="161"/>
      <c r="AY198" s="161"/>
      <c r="AZ198" s="161"/>
      <c r="BA198" s="161"/>
      <c r="BB198" s="161"/>
      <c r="BC198" s="161"/>
      <c r="BD198" s="161"/>
    </row>
    <row r="199" spans="1:56" x14ac:dyDescent="0.2">
      <c r="A199" s="161"/>
      <c r="B199" s="161"/>
      <c r="C199" s="161"/>
      <c r="D199" s="161"/>
      <c r="E199" s="162"/>
      <c r="F199" s="161"/>
      <c r="G199" s="161"/>
      <c r="H199" s="161"/>
      <c r="I199" s="161"/>
      <c r="J199" s="161"/>
      <c r="K199" s="161"/>
      <c r="L199" s="161"/>
      <c r="M199" s="161"/>
      <c r="N199" s="161"/>
      <c r="O199" s="161"/>
      <c r="P199" s="161"/>
      <c r="Q199" s="160"/>
      <c r="R199" s="161"/>
      <c r="S199" s="161"/>
      <c r="T199" s="161"/>
      <c r="U199" s="161"/>
      <c r="V199" s="161"/>
      <c r="W199" s="161"/>
      <c r="X199" s="161"/>
      <c r="Y199" s="161"/>
      <c r="Z199" s="161"/>
      <c r="AA199" s="161"/>
      <c r="AB199" s="161"/>
      <c r="AC199" s="161"/>
      <c r="AD199" s="161"/>
      <c r="AE199" s="161"/>
      <c r="AF199" s="161"/>
      <c r="AG199" s="161"/>
      <c r="AH199" s="161"/>
      <c r="AI199" s="161"/>
      <c r="AJ199" s="161"/>
      <c r="AK199" s="161"/>
      <c r="AL199" s="161"/>
      <c r="AM199" s="161"/>
      <c r="AN199" s="161"/>
      <c r="AO199" s="161"/>
      <c r="AP199" s="161"/>
      <c r="AQ199" s="161"/>
      <c r="AR199" s="161"/>
      <c r="AS199" s="161"/>
      <c r="AT199" s="161"/>
      <c r="AU199" s="161"/>
      <c r="AV199" s="161"/>
      <c r="AW199" s="161"/>
      <c r="AX199" s="161"/>
      <c r="AY199" s="161"/>
      <c r="AZ199" s="161"/>
      <c r="BA199" s="161"/>
      <c r="BB199" s="161"/>
      <c r="BC199" s="161"/>
      <c r="BD199" s="161"/>
    </row>
    <row r="200" spans="1:56" x14ac:dyDescent="0.2">
      <c r="A200" s="161"/>
      <c r="B200" s="161"/>
      <c r="C200" s="161"/>
      <c r="D200" s="161"/>
      <c r="E200" s="162"/>
      <c r="F200" s="161"/>
      <c r="G200" s="161"/>
      <c r="H200" s="161"/>
      <c r="I200" s="161"/>
      <c r="J200" s="161"/>
      <c r="K200" s="161"/>
      <c r="L200" s="161"/>
      <c r="M200" s="161"/>
      <c r="N200" s="161"/>
      <c r="O200" s="161"/>
      <c r="P200" s="161"/>
      <c r="Q200" s="160"/>
      <c r="R200" s="161"/>
      <c r="S200" s="161"/>
      <c r="T200" s="161"/>
      <c r="U200" s="161"/>
      <c r="V200" s="161"/>
      <c r="W200" s="161"/>
      <c r="X200" s="161"/>
      <c r="Y200" s="161"/>
      <c r="Z200" s="161"/>
      <c r="AA200" s="161"/>
      <c r="AB200" s="161"/>
      <c r="AC200" s="161"/>
      <c r="AD200" s="161"/>
      <c r="AE200" s="161"/>
      <c r="AF200" s="161"/>
      <c r="AG200" s="161"/>
      <c r="AH200" s="161"/>
      <c r="AI200" s="161"/>
      <c r="AJ200" s="161"/>
      <c r="AK200" s="161"/>
      <c r="AL200" s="161"/>
      <c r="AM200" s="161"/>
      <c r="AN200" s="161"/>
      <c r="AO200" s="161"/>
      <c r="AP200" s="161"/>
      <c r="AQ200" s="161"/>
      <c r="AR200" s="161"/>
      <c r="AS200" s="161"/>
      <c r="AT200" s="161"/>
      <c r="AU200" s="161"/>
      <c r="AV200" s="161"/>
      <c r="AW200" s="161"/>
      <c r="AX200" s="161"/>
      <c r="AY200" s="161"/>
      <c r="AZ200" s="161"/>
      <c r="BA200" s="161"/>
      <c r="BB200" s="161"/>
      <c r="BC200" s="161"/>
      <c r="BD200" s="161"/>
    </row>
    <row r="201" spans="1:56" x14ac:dyDescent="0.2">
      <c r="A201" s="161"/>
      <c r="B201" s="161"/>
      <c r="C201" s="161"/>
      <c r="D201" s="161"/>
      <c r="E201" s="162"/>
      <c r="F201" s="161"/>
      <c r="G201" s="161"/>
      <c r="H201" s="161"/>
      <c r="I201" s="161"/>
      <c r="J201" s="161"/>
      <c r="K201" s="161"/>
      <c r="L201" s="161"/>
      <c r="M201" s="161"/>
      <c r="N201" s="161"/>
      <c r="O201" s="161"/>
      <c r="P201" s="161"/>
      <c r="Q201" s="160"/>
      <c r="R201" s="161"/>
      <c r="S201" s="161"/>
      <c r="T201" s="161"/>
      <c r="U201" s="161"/>
      <c r="V201" s="161"/>
      <c r="W201" s="161"/>
      <c r="X201" s="161"/>
      <c r="Y201" s="161"/>
      <c r="Z201" s="161"/>
      <c r="AA201" s="161"/>
      <c r="AB201" s="161"/>
      <c r="AC201" s="161"/>
      <c r="AD201" s="161"/>
      <c r="AE201" s="161"/>
      <c r="AF201" s="161"/>
      <c r="AG201" s="161"/>
      <c r="AH201" s="161"/>
      <c r="AI201" s="161"/>
      <c r="AJ201" s="161"/>
      <c r="AK201" s="161"/>
      <c r="AL201" s="161"/>
      <c r="AM201" s="161"/>
      <c r="AN201" s="161"/>
      <c r="AO201" s="161"/>
      <c r="AP201" s="161"/>
      <c r="AQ201" s="161"/>
      <c r="AR201" s="161"/>
      <c r="AS201" s="161"/>
      <c r="AT201" s="161"/>
      <c r="AU201" s="161"/>
      <c r="AV201" s="161"/>
      <c r="AW201" s="161"/>
      <c r="AX201" s="161"/>
      <c r="AY201" s="161"/>
      <c r="AZ201" s="161"/>
      <c r="BA201" s="161"/>
      <c r="BB201" s="161"/>
      <c r="BC201" s="161"/>
      <c r="BD201" s="161"/>
    </row>
    <row r="202" spans="1:56" x14ac:dyDescent="0.2">
      <c r="A202" s="161"/>
      <c r="B202" s="161"/>
      <c r="C202" s="161"/>
      <c r="D202" s="161"/>
      <c r="E202" s="162"/>
      <c r="F202" s="161"/>
      <c r="G202" s="161"/>
      <c r="H202" s="161"/>
      <c r="I202" s="161"/>
      <c r="J202" s="161"/>
      <c r="K202" s="161"/>
      <c r="L202" s="161"/>
      <c r="M202" s="161"/>
      <c r="N202" s="161"/>
      <c r="O202" s="161"/>
      <c r="P202" s="161"/>
      <c r="Q202" s="160"/>
      <c r="R202" s="161"/>
      <c r="S202" s="161"/>
      <c r="T202" s="161"/>
      <c r="U202" s="161"/>
      <c r="V202" s="161"/>
      <c r="W202" s="161"/>
      <c r="X202" s="161"/>
      <c r="Y202" s="161"/>
      <c r="Z202" s="161"/>
      <c r="AA202" s="161"/>
      <c r="AB202" s="161"/>
      <c r="AC202" s="161"/>
      <c r="AD202" s="161"/>
      <c r="AE202" s="161"/>
      <c r="AF202" s="161"/>
      <c r="AG202" s="161"/>
      <c r="AH202" s="161"/>
      <c r="AI202" s="161"/>
      <c r="AJ202" s="161"/>
      <c r="AK202" s="161"/>
      <c r="AL202" s="161"/>
      <c r="AM202" s="161"/>
      <c r="AN202" s="161"/>
      <c r="AO202" s="161"/>
      <c r="AP202" s="161"/>
      <c r="AQ202" s="161"/>
      <c r="AR202" s="161"/>
      <c r="AS202" s="161"/>
      <c r="AT202" s="161"/>
      <c r="AU202" s="161"/>
      <c r="AV202" s="161"/>
      <c r="AW202" s="161"/>
      <c r="AX202" s="161"/>
      <c r="AY202" s="161"/>
      <c r="AZ202" s="161"/>
      <c r="BA202" s="161"/>
      <c r="BB202" s="161"/>
      <c r="BC202" s="161"/>
      <c r="BD202" s="161"/>
    </row>
    <row r="203" spans="1:56" x14ac:dyDescent="0.2">
      <c r="A203" s="161"/>
      <c r="B203" s="161"/>
      <c r="C203" s="161"/>
      <c r="D203" s="161"/>
      <c r="E203" s="162"/>
      <c r="F203" s="161"/>
      <c r="G203" s="161"/>
      <c r="H203" s="161"/>
      <c r="I203" s="161"/>
      <c r="J203" s="161"/>
      <c r="K203" s="161"/>
      <c r="L203" s="161"/>
      <c r="M203" s="161"/>
      <c r="N203" s="161"/>
      <c r="O203" s="161"/>
      <c r="P203" s="161"/>
      <c r="Q203" s="160"/>
      <c r="R203" s="161"/>
      <c r="S203" s="161"/>
      <c r="T203" s="161"/>
      <c r="U203" s="161"/>
      <c r="V203" s="161"/>
      <c r="W203" s="161"/>
      <c r="X203" s="161"/>
      <c r="Y203" s="161"/>
      <c r="Z203" s="161"/>
      <c r="AA203" s="161"/>
      <c r="AB203" s="161"/>
      <c r="AC203" s="161"/>
      <c r="AD203" s="161"/>
      <c r="AE203" s="161"/>
      <c r="AF203" s="161"/>
      <c r="AG203" s="161"/>
      <c r="AH203" s="161"/>
      <c r="AI203" s="161"/>
      <c r="AJ203" s="161"/>
      <c r="AK203" s="161"/>
      <c r="AL203" s="161"/>
      <c r="AM203" s="161"/>
      <c r="AN203" s="161"/>
      <c r="AO203" s="161"/>
      <c r="AP203" s="161"/>
      <c r="AQ203" s="161"/>
      <c r="AR203" s="161"/>
      <c r="AS203" s="161"/>
      <c r="AT203" s="161"/>
      <c r="AU203" s="161"/>
      <c r="AV203" s="161"/>
      <c r="AW203" s="161"/>
      <c r="AX203" s="161"/>
      <c r="AY203" s="161"/>
      <c r="AZ203" s="161"/>
      <c r="BA203" s="161"/>
      <c r="BB203" s="161"/>
      <c r="BC203" s="161"/>
      <c r="BD203" s="161"/>
    </row>
    <row r="204" spans="1:56" x14ac:dyDescent="0.2">
      <c r="A204" s="161"/>
      <c r="B204" s="161"/>
      <c r="C204" s="161"/>
      <c r="D204" s="161"/>
      <c r="E204" s="162"/>
      <c r="F204" s="161"/>
      <c r="G204" s="161"/>
      <c r="H204" s="161"/>
      <c r="I204" s="161"/>
      <c r="J204" s="161"/>
      <c r="K204" s="161"/>
      <c r="L204" s="161"/>
      <c r="M204" s="161"/>
      <c r="N204" s="161"/>
      <c r="O204" s="161"/>
      <c r="P204" s="161"/>
      <c r="Q204" s="160"/>
      <c r="R204" s="161"/>
      <c r="S204" s="161"/>
      <c r="T204" s="161"/>
      <c r="U204" s="161"/>
      <c r="V204" s="161"/>
      <c r="W204" s="161"/>
      <c r="X204" s="161"/>
      <c r="Y204" s="161"/>
      <c r="Z204" s="161"/>
      <c r="AA204" s="161"/>
      <c r="AB204" s="161"/>
      <c r="AC204" s="161"/>
      <c r="AD204" s="161"/>
      <c r="AE204" s="161"/>
      <c r="AF204" s="161"/>
      <c r="AG204" s="161"/>
      <c r="AH204" s="161"/>
      <c r="AI204" s="161"/>
      <c r="AJ204" s="161"/>
      <c r="AK204" s="161"/>
      <c r="AL204" s="161"/>
      <c r="AM204" s="161"/>
      <c r="AN204" s="161"/>
      <c r="AO204" s="161"/>
      <c r="AP204" s="161"/>
      <c r="AQ204" s="161"/>
      <c r="AR204" s="161"/>
      <c r="AS204" s="161"/>
      <c r="AT204" s="161"/>
      <c r="AU204" s="161"/>
      <c r="AV204" s="161"/>
      <c r="AW204" s="161"/>
      <c r="AX204" s="161"/>
      <c r="AY204" s="161"/>
      <c r="AZ204" s="161"/>
      <c r="BA204" s="161"/>
      <c r="BB204" s="161"/>
      <c r="BC204" s="161"/>
      <c r="BD204" s="161"/>
    </row>
    <row r="205" spans="1:56" x14ac:dyDescent="0.2">
      <c r="A205" s="161"/>
      <c r="B205" s="161"/>
      <c r="C205" s="161"/>
      <c r="D205" s="161"/>
      <c r="E205" s="162"/>
      <c r="F205" s="161"/>
      <c r="G205" s="161"/>
      <c r="H205" s="161"/>
      <c r="I205" s="161"/>
      <c r="J205" s="161"/>
      <c r="K205" s="161"/>
      <c r="L205" s="161"/>
      <c r="M205" s="161"/>
      <c r="N205" s="161"/>
      <c r="O205" s="161"/>
      <c r="P205" s="161"/>
      <c r="Q205" s="160"/>
      <c r="R205" s="161"/>
      <c r="S205" s="161"/>
      <c r="T205" s="161"/>
      <c r="U205" s="161"/>
      <c r="V205" s="161"/>
      <c r="W205" s="161"/>
      <c r="X205" s="161"/>
      <c r="Y205" s="161"/>
      <c r="Z205" s="161"/>
      <c r="AA205" s="161"/>
      <c r="AB205" s="161"/>
      <c r="AC205" s="161"/>
      <c r="AD205" s="161"/>
      <c r="AE205" s="161"/>
      <c r="AF205" s="161"/>
      <c r="AG205" s="161"/>
      <c r="AH205" s="161"/>
      <c r="AI205" s="161"/>
      <c r="AJ205" s="161"/>
      <c r="AK205" s="161"/>
      <c r="AL205" s="161"/>
      <c r="AM205" s="161"/>
      <c r="AN205" s="161"/>
      <c r="AO205" s="161"/>
      <c r="AP205" s="161"/>
      <c r="AQ205" s="161"/>
      <c r="AR205" s="161"/>
      <c r="AS205" s="161"/>
      <c r="AT205" s="161"/>
      <c r="AU205" s="161"/>
      <c r="AV205" s="161"/>
      <c r="AW205" s="161"/>
      <c r="AX205" s="161"/>
      <c r="AY205" s="161"/>
      <c r="AZ205" s="161"/>
      <c r="BA205" s="161"/>
      <c r="BB205" s="161"/>
      <c r="BC205" s="161"/>
      <c r="BD205" s="161"/>
    </row>
    <row r="206" spans="1:56" x14ac:dyDescent="0.2">
      <c r="A206" s="161"/>
      <c r="B206" s="161"/>
      <c r="C206" s="161"/>
      <c r="D206" s="161"/>
      <c r="E206" s="162"/>
      <c r="F206" s="161"/>
      <c r="G206" s="161"/>
      <c r="H206" s="161"/>
      <c r="I206" s="161"/>
      <c r="J206" s="161"/>
      <c r="K206" s="161"/>
      <c r="L206" s="161"/>
      <c r="M206" s="161"/>
      <c r="N206" s="161"/>
      <c r="O206" s="161"/>
      <c r="P206" s="161"/>
      <c r="Q206" s="160"/>
      <c r="R206" s="161"/>
      <c r="S206" s="161"/>
      <c r="T206" s="161"/>
      <c r="U206" s="161"/>
      <c r="V206" s="161"/>
      <c r="W206" s="161"/>
      <c r="X206" s="161"/>
      <c r="Y206" s="161"/>
      <c r="Z206" s="161"/>
      <c r="AA206" s="161"/>
      <c r="AB206" s="161"/>
      <c r="AC206" s="161"/>
      <c r="AD206" s="161"/>
      <c r="AE206" s="161"/>
      <c r="AF206" s="161"/>
      <c r="AG206" s="161"/>
      <c r="AH206" s="161"/>
      <c r="AI206" s="161"/>
      <c r="AJ206" s="161"/>
      <c r="AK206" s="161"/>
      <c r="AL206" s="161"/>
      <c r="AM206" s="161"/>
      <c r="AN206" s="161"/>
      <c r="AO206" s="161"/>
      <c r="AP206" s="161"/>
      <c r="AQ206" s="161"/>
      <c r="AR206" s="161"/>
      <c r="AS206" s="161"/>
      <c r="AT206" s="161"/>
      <c r="AU206" s="161"/>
      <c r="AV206" s="161"/>
      <c r="AW206" s="161"/>
      <c r="AX206" s="161"/>
      <c r="AY206" s="161"/>
      <c r="AZ206" s="161"/>
      <c r="BA206" s="161"/>
      <c r="BB206" s="161"/>
      <c r="BC206" s="161"/>
      <c r="BD206" s="161"/>
    </row>
    <row r="207" spans="1:56" x14ac:dyDescent="0.2">
      <c r="A207" s="161"/>
      <c r="B207" s="161"/>
      <c r="C207" s="161"/>
      <c r="D207" s="161"/>
      <c r="E207" s="162"/>
      <c r="F207" s="161"/>
      <c r="G207" s="161"/>
      <c r="H207" s="161"/>
      <c r="I207" s="161"/>
      <c r="J207" s="161"/>
      <c r="K207" s="161"/>
      <c r="L207" s="161"/>
      <c r="M207" s="161"/>
      <c r="N207" s="161"/>
      <c r="O207" s="161"/>
      <c r="P207" s="161"/>
      <c r="Q207" s="160"/>
      <c r="R207" s="161"/>
      <c r="S207" s="161"/>
      <c r="T207" s="161"/>
      <c r="U207" s="161"/>
      <c r="V207" s="161"/>
      <c r="W207" s="161"/>
      <c r="X207" s="161"/>
      <c r="Y207" s="161"/>
      <c r="Z207" s="161"/>
      <c r="AA207" s="161"/>
      <c r="AB207" s="161"/>
      <c r="AC207" s="161"/>
      <c r="AD207" s="161"/>
      <c r="AE207" s="161"/>
      <c r="AF207" s="161"/>
      <c r="AG207" s="161"/>
      <c r="AH207" s="161"/>
      <c r="AI207" s="161"/>
      <c r="AJ207" s="161"/>
      <c r="AK207" s="161"/>
      <c r="AL207" s="161"/>
      <c r="AM207" s="161"/>
      <c r="AN207" s="161"/>
      <c r="AO207" s="161"/>
      <c r="AP207" s="161"/>
      <c r="AQ207" s="161"/>
      <c r="AR207" s="161"/>
      <c r="AS207" s="161"/>
      <c r="AT207" s="161"/>
      <c r="AU207" s="161"/>
      <c r="AV207" s="161"/>
      <c r="AW207" s="161"/>
      <c r="AX207" s="161"/>
      <c r="AY207" s="161"/>
      <c r="AZ207" s="161"/>
      <c r="BA207" s="161"/>
      <c r="BB207" s="161"/>
      <c r="BC207" s="161"/>
      <c r="BD207" s="161"/>
    </row>
    <row r="208" spans="1:56" x14ac:dyDescent="0.2">
      <c r="A208" s="161"/>
      <c r="B208" s="161"/>
      <c r="C208" s="161"/>
      <c r="D208" s="161"/>
      <c r="E208" s="162"/>
      <c r="F208" s="161"/>
      <c r="G208" s="161"/>
      <c r="H208" s="161"/>
      <c r="I208" s="161"/>
      <c r="J208" s="161"/>
      <c r="K208" s="161"/>
      <c r="L208" s="161"/>
      <c r="M208" s="161"/>
      <c r="N208" s="161"/>
      <c r="O208" s="161"/>
      <c r="P208" s="161"/>
      <c r="Q208" s="160"/>
      <c r="R208" s="161"/>
      <c r="S208" s="161"/>
      <c r="T208" s="161"/>
      <c r="U208" s="161"/>
      <c r="V208" s="161"/>
      <c r="W208" s="161"/>
      <c r="X208" s="161"/>
      <c r="Y208" s="161"/>
      <c r="Z208" s="161"/>
      <c r="AA208" s="161"/>
      <c r="AB208" s="161"/>
      <c r="AC208" s="161"/>
      <c r="AD208" s="161"/>
      <c r="AE208" s="161"/>
      <c r="AF208" s="161"/>
      <c r="AG208" s="161"/>
      <c r="AH208" s="161"/>
      <c r="AI208" s="161"/>
      <c r="AJ208" s="161"/>
      <c r="AK208" s="161"/>
      <c r="AL208" s="161"/>
      <c r="AM208" s="161"/>
      <c r="AN208" s="161"/>
      <c r="AO208" s="161"/>
      <c r="AP208" s="161"/>
      <c r="AQ208" s="161"/>
      <c r="AR208" s="161"/>
      <c r="AS208" s="161"/>
      <c r="AT208" s="161"/>
      <c r="AU208" s="161"/>
      <c r="AV208" s="161"/>
      <c r="AW208" s="161"/>
      <c r="AX208" s="161"/>
      <c r="AY208" s="161"/>
      <c r="AZ208" s="161"/>
      <c r="BA208" s="161"/>
      <c r="BB208" s="161"/>
      <c r="BC208" s="161"/>
      <c r="BD208" s="161"/>
    </row>
    <row r="209" spans="1:56" x14ac:dyDescent="0.2">
      <c r="A209" s="161"/>
      <c r="B209" s="161"/>
      <c r="C209" s="161"/>
      <c r="D209" s="161"/>
      <c r="E209" s="162"/>
      <c r="F209" s="161"/>
      <c r="G209" s="161"/>
      <c r="H209" s="161"/>
      <c r="I209" s="161"/>
      <c r="J209" s="161"/>
      <c r="K209" s="161"/>
      <c r="L209" s="161"/>
      <c r="M209" s="161"/>
      <c r="N209" s="161"/>
      <c r="O209" s="161"/>
      <c r="P209" s="161"/>
      <c r="Q209" s="160"/>
      <c r="R209" s="161"/>
      <c r="S209" s="161"/>
      <c r="T209" s="161"/>
      <c r="U209" s="161"/>
      <c r="V209" s="161"/>
      <c r="W209" s="161"/>
      <c r="X209" s="161"/>
      <c r="Y209" s="161"/>
      <c r="Z209" s="161"/>
      <c r="AA209" s="161"/>
      <c r="AB209" s="161"/>
      <c r="AC209" s="161"/>
      <c r="AD209" s="161"/>
      <c r="AE209" s="161"/>
      <c r="AF209" s="161"/>
      <c r="AG209" s="161"/>
      <c r="AH209" s="161"/>
      <c r="AI209" s="161"/>
      <c r="AJ209" s="161"/>
      <c r="AK209" s="161"/>
      <c r="AL209" s="161"/>
      <c r="AM209" s="161"/>
      <c r="AN209" s="161"/>
      <c r="AO209" s="161"/>
      <c r="AP209" s="161"/>
      <c r="AQ209" s="161"/>
      <c r="AR209" s="161"/>
      <c r="AS209" s="161"/>
      <c r="AT209" s="161"/>
      <c r="AU209" s="161"/>
      <c r="AV209" s="161"/>
      <c r="AW209" s="161"/>
      <c r="AX209" s="161"/>
      <c r="AY209" s="161"/>
      <c r="AZ209" s="161"/>
      <c r="BA209" s="161"/>
      <c r="BB209" s="161"/>
      <c r="BC209" s="161"/>
      <c r="BD209" s="161"/>
    </row>
    <row r="210" spans="1:56" x14ac:dyDescent="0.2">
      <c r="A210" s="161"/>
      <c r="B210" s="161"/>
      <c r="C210" s="161"/>
      <c r="D210" s="161"/>
      <c r="E210" s="162"/>
      <c r="F210" s="161"/>
      <c r="G210" s="161"/>
      <c r="H210" s="161"/>
      <c r="I210" s="161"/>
      <c r="J210" s="161"/>
      <c r="K210" s="161"/>
      <c r="L210" s="161"/>
      <c r="M210" s="161"/>
      <c r="N210" s="161"/>
      <c r="O210" s="161"/>
      <c r="P210" s="161"/>
      <c r="Q210" s="160"/>
      <c r="R210" s="161"/>
      <c r="S210" s="161"/>
      <c r="T210" s="161"/>
      <c r="U210" s="161"/>
      <c r="V210" s="161"/>
      <c r="W210" s="161"/>
      <c r="X210" s="161"/>
      <c r="Y210" s="161"/>
      <c r="Z210" s="161"/>
      <c r="AA210" s="161"/>
      <c r="AB210" s="161"/>
      <c r="AC210" s="161"/>
      <c r="AD210" s="161"/>
      <c r="AE210" s="161"/>
      <c r="AF210" s="161"/>
      <c r="AG210" s="161"/>
      <c r="AH210" s="161"/>
      <c r="AI210" s="161"/>
      <c r="AJ210" s="161"/>
      <c r="AK210" s="161"/>
      <c r="AL210" s="161"/>
      <c r="AM210" s="161"/>
      <c r="AN210" s="161"/>
      <c r="AO210" s="161"/>
      <c r="AP210" s="161"/>
      <c r="AQ210" s="161"/>
      <c r="AR210" s="161"/>
      <c r="AS210" s="161"/>
      <c r="AT210" s="161"/>
      <c r="AU210" s="161"/>
      <c r="AV210" s="161"/>
      <c r="AW210" s="161"/>
      <c r="AX210" s="161"/>
      <c r="AY210" s="161"/>
      <c r="AZ210" s="161"/>
      <c r="BA210" s="161"/>
      <c r="BB210" s="161"/>
      <c r="BC210" s="161"/>
      <c r="BD210" s="161"/>
    </row>
    <row r="211" spans="1:56" x14ac:dyDescent="0.2">
      <c r="A211" s="161"/>
      <c r="B211" s="161"/>
      <c r="C211" s="161"/>
      <c r="D211" s="161"/>
      <c r="E211" s="162"/>
      <c r="F211" s="161"/>
      <c r="G211" s="161"/>
      <c r="H211" s="161"/>
      <c r="I211" s="161"/>
      <c r="J211" s="161"/>
      <c r="K211" s="161"/>
      <c r="L211" s="161"/>
      <c r="M211" s="161"/>
      <c r="N211" s="161"/>
      <c r="O211" s="161"/>
      <c r="P211" s="161"/>
      <c r="Q211" s="160"/>
      <c r="R211" s="161"/>
      <c r="S211" s="161"/>
      <c r="T211" s="161"/>
      <c r="U211" s="161"/>
      <c r="V211" s="161"/>
      <c r="W211" s="161"/>
      <c r="X211" s="161"/>
      <c r="Y211" s="161"/>
      <c r="Z211" s="161"/>
      <c r="AA211" s="161"/>
      <c r="AB211" s="161"/>
      <c r="AC211" s="161"/>
      <c r="AD211" s="161"/>
      <c r="AE211" s="161"/>
      <c r="AF211" s="161"/>
      <c r="AG211" s="161"/>
      <c r="AH211" s="161"/>
      <c r="AI211" s="161"/>
      <c r="AJ211" s="161"/>
      <c r="AK211" s="161"/>
      <c r="AL211" s="161"/>
      <c r="AM211" s="161"/>
      <c r="AN211" s="161"/>
      <c r="AO211" s="161"/>
      <c r="AP211" s="161"/>
      <c r="AQ211" s="161"/>
      <c r="AR211" s="161"/>
      <c r="AS211" s="161"/>
      <c r="AT211" s="161"/>
      <c r="AU211" s="161"/>
      <c r="AV211" s="161"/>
      <c r="AW211" s="161"/>
      <c r="AX211" s="161"/>
      <c r="AY211" s="161"/>
      <c r="AZ211" s="161"/>
      <c r="BA211" s="161"/>
      <c r="BB211" s="161"/>
      <c r="BC211" s="161"/>
      <c r="BD211" s="161"/>
    </row>
    <row r="212" spans="1:56" x14ac:dyDescent="0.2">
      <c r="A212" s="161"/>
      <c r="B212" s="161"/>
      <c r="C212" s="161"/>
      <c r="D212" s="161"/>
      <c r="E212" s="162"/>
      <c r="F212" s="161"/>
      <c r="G212" s="161"/>
      <c r="H212" s="161"/>
      <c r="I212" s="161"/>
      <c r="J212" s="161"/>
      <c r="K212" s="161"/>
      <c r="L212" s="161"/>
      <c r="M212" s="161"/>
      <c r="N212" s="161"/>
      <c r="O212" s="161"/>
      <c r="P212" s="161"/>
      <c r="Q212" s="160"/>
      <c r="R212" s="161"/>
      <c r="S212" s="161"/>
      <c r="T212" s="161"/>
      <c r="U212" s="161"/>
      <c r="V212" s="161"/>
      <c r="W212" s="161"/>
      <c r="X212" s="161"/>
      <c r="Y212" s="161"/>
      <c r="Z212" s="161"/>
      <c r="AA212" s="161"/>
      <c r="AB212" s="161"/>
      <c r="AC212" s="161"/>
      <c r="AD212" s="161"/>
      <c r="AE212" s="161"/>
      <c r="AF212" s="161"/>
      <c r="AG212" s="161"/>
      <c r="AH212" s="161"/>
      <c r="AI212" s="161"/>
      <c r="AJ212" s="161"/>
      <c r="AK212" s="161"/>
      <c r="AL212" s="161"/>
      <c r="AM212" s="161"/>
      <c r="AN212" s="161"/>
      <c r="AO212" s="161"/>
      <c r="AP212" s="161"/>
      <c r="AQ212" s="161"/>
      <c r="AR212" s="161"/>
      <c r="AS212" s="161"/>
      <c r="AT212" s="161"/>
      <c r="AU212" s="161"/>
      <c r="AV212" s="161"/>
      <c r="AW212" s="161"/>
      <c r="AX212" s="161"/>
      <c r="AY212" s="161"/>
      <c r="AZ212" s="161"/>
      <c r="BA212" s="161"/>
      <c r="BB212" s="161"/>
      <c r="BC212" s="161"/>
      <c r="BD212" s="161"/>
    </row>
    <row r="213" spans="1:56" x14ac:dyDescent="0.2">
      <c r="A213" s="161"/>
      <c r="B213" s="161"/>
      <c r="C213" s="161"/>
      <c r="D213" s="161"/>
      <c r="E213" s="162"/>
      <c r="F213" s="161"/>
      <c r="G213" s="161"/>
      <c r="H213" s="161"/>
      <c r="I213" s="161"/>
      <c r="J213" s="161"/>
      <c r="K213" s="161"/>
      <c r="L213" s="161"/>
      <c r="M213" s="161"/>
      <c r="N213" s="161"/>
      <c r="O213" s="161"/>
      <c r="P213" s="161"/>
      <c r="Q213" s="160"/>
      <c r="R213" s="161"/>
      <c r="S213" s="161"/>
      <c r="T213" s="161"/>
      <c r="U213" s="161"/>
      <c r="V213" s="161"/>
      <c r="W213" s="161"/>
      <c r="X213" s="161"/>
      <c r="Y213" s="161"/>
      <c r="Z213" s="161"/>
      <c r="AA213" s="161"/>
      <c r="AB213" s="161"/>
      <c r="AC213" s="161"/>
      <c r="AD213" s="161"/>
      <c r="AE213" s="161"/>
      <c r="AF213" s="161"/>
      <c r="AG213" s="161"/>
      <c r="AH213" s="161"/>
      <c r="AI213" s="161"/>
      <c r="AJ213" s="161"/>
      <c r="AK213" s="161"/>
      <c r="AL213" s="161"/>
      <c r="AM213" s="161"/>
      <c r="AN213" s="161"/>
      <c r="AO213" s="161"/>
      <c r="AP213" s="161"/>
      <c r="AQ213" s="161"/>
      <c r="AR213" s="161"/>
      <c r="AS213" s="161"/>
      <c r="AT213" s="161"/>
      <c r="AU213" s="161"/>
      <c r="AV213" s="161"/>
      <c r="AW213" s="161"/>
      <c r="AX213" s="161"/>
      <c r="AY213" s="161"/>
      <c r="AZ213" s="161"/>
      <c r="BA213" s="161"/>
      <c r="BB213" s="161"/>
      <c r="BC213" s="161"/>
      <c r="BD213" s="161"/>
    </row>
    <row r="214" spans="1:56" x14ac:dyDescent="0.2">
      <c r="A214" s="161"/>
      <c r="B214" s="161"/>
      <c r="C214" s="161"/>
      <c r="D214" s="161"/>
      <c r="E214" s="162"/>
      <c r="F214" s="161"/>
      <c r="G214" s="161"/>
      <c r="H214" s="161"/>
      <c r="I214" s="161"/>
      <c r="J214" s="161"/>
      <c r="K214" s="161"/>
      <c r="L214" s="161"/>
      <c r="M214" s="161"/>
      <c r="N214" s="161"/>
      <c r="O214" s="161"/>
      <c r="P214" s="161"/>
      <c r="Q214" s="160"/>
      <c r="R214" s="161"/>
      <c r="S214" s="161"/>
      <c r="T214" s="161"/>
      <c r="U214" s="161"/>
      <c r="V214" s="161"/>
      <c r="W214" s="161"/>
      <c r="X214" s="161"/>
      <c r="Y214" s="161"/>
      <c r="Z214" s="161"/>
      <c r="AA214" s="161"/>
      <c r="AB214" s="161"/>
      <c r="AC214" s="161"/>
      <c r="AD214" s="161"/>
      <c r="AE214" s="161"/>
      <c r="AF214" s="161"/>
      <c r="AG214" s="161"/>
      <c r="AH214" s="161"/>
      <c r="AI214" s="161"/>
      <c r="AJ214" s="161"/>
      <c r="AK214" s="161"/>
      <c r="AL214" s="161"/>
      <c r="AM214" s="161"/>
      <c r="AN214" s="161"/>
      <c r="AO214" s="161"/>
      <c r="AP214" s="161"/>
      <c r="AQ214" s="161"/>
      <c r="AR214" s="161"/>
      <c r="AS214" s="161"/>
      <c r="AT214" s="161"/>
      <c r="AU214" s="161"/>
      <c r="AV214" s="161"/>
      <c r="AW214" s="161"/>
      <c r="AX214" s="161"/>
      <c r="AY214" s="161"/>
      <c r="AZ214" s="161"/>
      <c r="BA214" s="161"/>
      <c r="BB214" s="161"/>
      <c r="BC214" s="161"/>
      <c r="BD214" s="161"/>
    </row>
    <row r="215" spans="1:56" x14ac:dyDescent="0.2">
      <c r="A215" s="161"/>
      <c r="B215" s="161"/>
      <c r="C215" s="161"/>
      <c r="D215" s="161"/>
      <c r="E215" s="162"/>
      <c r="F215" s="161"/>
      <c r="G215" s="161"/>
      <c r="H215" s="161"/>
      <c r="I215" s="161"/>
      <c r="J215" s="161"/>
      <c r="K215" s="161"/>
      <c r="L215" s="161"/>
      <c r="M215" s="161"/>
      <c r="N215" s="161"/>
      <c r="O215" s="161"/>
      <c r="P215" s="161"/>
      <c r="Q215" s="160"/>
      <c r="R215" s="161"/>
      <c r="S215" s="161"/>
      <c r="T215" s="161"/>
      <c r="U215" s="161"/>
      <c r="V215" s="161"/>
      <c r="W215" s="161"/>
      <c r="X215" s="161"/>
      <c r="Y215" s="161"/>
      <c r="Z215" s="161"/>
      <c r="AA215" s="161"/>
      <c r="AB215" s="161"/>
      <c r="AC215" s="161"/>
      <c r="AD215" s="161"/>
      <c r="AE215" s="161"/>
      <c r="AF215" s="161"/>
      <c r="AG215" s="161"/>
      <c r="AH215" s="161"/>
      <c r="AI215" s="161"/>
      <c r="AJ215" s="161"/>
      <c r="AK215" s="161"/>
      <c r="AL215" s="161"/>
      <c r="AM215" s="161"/>
      <c r="AN215" s="161"/>
      <c r="AO215" s="161"/>
      <c r="AP215" s="161"/>
      <c r="AQ215" s="161"/>
      <c r="AR215" s="161"/>
      <c r="AS215" s="161"/>
      <c r="AT215" s="161"/>
      <c r="AU215" s="161"/>
      <c r="AV215" s="161"/>
      <c r="AW215" s="161"/>
      <c r="AX215" s="161"/>
      <c r="AY215" s="161"/>
      <c r="AZ215" s="161"/>
      <c r="BA215" s="161"/>
      <c r="BB215" s="161"/>
      <c r="BC215" s="161"/>
      <c r="BD215" s="161"/>
    </row>
    <row r="216" spans="1:56" x14ac:dyDescent="0.2">
      <c r="A216" s="161"/>
      <c r="B216" s="161"/>
      <c r="C216" s="161"/>
      <c r="D216" s="161"/>
      <c r="E216" s="162"/>
      <c r="F216" s="161"/>
      <c r="G216" s="161"/>
      <c r="H216" s="161"/>
      <c r="I216" s="161"/>
      <c r="J216" s="161"/>
      <c r="K216" s="161"/>
      <c r="L216" s="161"/>
      <c r="M216" s="161"/>
      <c r="N216" s="161"/>
      <c r="O216" s="161"/>
      <c r="P216" s="161"/>
      <c r="Q216" s="160"/>
      <c r="R216" s="161"/>
      <c r="S216" s="161"/>
      <c r="T216" s="161"/>
      <c r="U216" s="161"/>
      <c r="V216" s="161"/>
      <c r="W216" s="161"/>
      <c r="X216" s="161"/>
      <c r="Y216" s="161"/>
      <c r="Z216" s="161"/>
      <c r="AA216" s="161"/>
      <c r="AB216" s="161"/>
      <c r="AC216" s="161"/>
      <c r="AD216" s="161"/>
      <c r="AE216" s="161"/>
      <c r="AF216" s="161"/>
      <c r="AG216" s="161"/>
      <c r="AH216" s="161"/>
      <c r="AI216" s="161"/>
      <c r="AJ216" s="161"/>
      <c r="AK216" s="161"/>
      <c r="AL216" s="161"/>
      <c r="AM216" s="161"/>
      <c r="AN216" s="161"/>
      <c r="AO216" s="161"/>
      <c r="AP216" s="161"/>
      <c r="AQ216" s="161"/>
      <c r="AR216" s="161"/>
      <c r="AS216" s="161"/>
      <c r="AT216" s="161"/>
      <c r="AU216" s="161"/>
      <c r="AV216" s="161"/>
      <c r="AW216" s="161"/>
      <c r="AX216" s="161"/>
      <c r="AY216" s="161"/>
      <c r="AZ216" s="161"/>
      <c r="BA216" s="161"/>
      <c r="BB216" s="161"/>
      <c r="BC216" s="161"/>
      <c r="BD216" s="161"/>
    </row>
    <row r="217" spans="1:56" x14ac:dyDescent="0.2">
      <c r="A217" s="161"/>
      <c r="B217" s="161"/>
      <c r="C217" s="161"/>
      <c r="D217" s="161"/>
      <c r="E217" s="162"/>
      <c r="F217" s="161"/>
      <c r="G217" s="161"/>
      <c r="H217" s="161"/>
      <c r="I217" s="161"/>
      <c r="J217" s="161"/>
      <c r="K217" s="161"/>
      <c r="L217" s="161"/>
      <c r="M217" s="161"/>
      <c r="N217" s="161"/>
      <c r="O217" s="161"/>
      <c r="P217" s="161"/>
      <c r="Q217" s="160"/>
      <c r="R217" s="161"/>
      <c r="S217" s="161"/>
      <c r="T217" s="161"/>
      <c r="U217" s="161"/>
      <c r="V217" s="161"/>
      <c r="W217" s="161"/>
      <c r="X217" s="161"/>
      <c r="Y217" s="161"/>
      <c r="Z217" s="161"/>
      <c r="AA217" s="161"/>
      <c r="AB217" s="161"/>
      <c r="AC217" s="161"/>
      <c r="AD217" s="161"/>
      <c r="AE217" s="161"/>
      <c r="AF217" s="161"/>
      <c r="AG217" s="161"/>
      <c r="AH217" s="161"/>
      <c r="AI217" s="161"/>
      <c r="AJ217" s="161"/>
      <c r="AK217" s="161"/>
      <c r="AL217" s="161"/>
      <c r="AM217" s="161"/>
      <c r="AN217" s="161"/>
      <c r="AO217" s="161"/>
      <c r="AP217" s="161"/>
      <c r="AQ217" s="161"/>
      <c r="AR217" s="161"/>
      <c r="AS217" s="161"/>
      <c r="AT217" s="161"/>
      <c r="AU217" s="161"/>
      <c r="AV217" s="161"/>
      <c r="AW217" s="161"/>
      <c r="AX217" s="161"/>
      <c r="AY217" s="161"/>
      <c r="AZ217" s="161"/>
      <c r="BA217" s="161"/>
      <c r="BB217" s="161"/>
      <c r="BC217" s="161"/>
      <c r="BD217" s="161"/>
    </row>
    <row r="218" spans="1:56" x14ac:dyDescent="0.2">
      <c r="A218" s="161"/>
      <c r="B218" s="161"/>
      <c r="C218" s="161"/>
      <c r="D218" s="161"/>
      <c r="E218" s="162"/>
      <c r="F218" s="161"/>
      <c r="G218" s="161"/>
      <c r="H218" s="161"/>
      <c r="I218" s="161"/>
      <c r="J218" s="161"/>
      <c r="K218" s="161"/>
      <c r="L218" s="161"/>
      <c r="M218" s="161"/>
      <c r="N218" s="161"/>
      <c r="O218" s="161"/>
      <c r="P218" s="161"/>
      <c r="Q218" s="160"/>
      <c r="R218" s="161"/>
      <c r="S218" s="161"/>
      <c r="T218" s="161"/>
      <c r="U218" s="161"/>
      <c r="V218" s="161"/>
      <c r="W218" s="161"/>
      <c r="X218" s="161"/>
      <c r="Y218" s="161"/>
      <c r="Z218" s="161"/>
      <c r="AA218" s="161"/>
      <c r="AB218" s="161"/>
      <c r="AC218" s="161"/>
      <c r="AD218" s="161"/>
      <c r="AE218" s="161"/>
      <c r="AF218" s="161"/>
      <c r="AG218" s="161"/>
      <c r="AH218" s="161"/>
      <c r="AI218" s="161"/>
      <c r="AJ218" s="161"/>
      <c r="AK218" s="161"/>
      <c r="AL218" s="161"/>
      <c r="AM218" s="161"/>
      <c r="AN218" s="161"/>
      <c r="AO218" s="161"/>
      <c r="AP218" s="161"/>
      <c r="AQ218" s="161"/>
      <c r="AR218" s="161"/>
      <c r="AS218" s="161"/>
      <c r="AT218" s="161"/>
      <c r="AU218" s="161"/>
      <c r="AV218" s="161"/>
      <c r="AW218" s="161"/>
      <c r="AX218" s="161"/>
      <c r="AY218" s="161"/>
      <c r="AZ218" s="161"/>
      <c r="BA218" s="161"/>
      <c r="BB218" s="161"/>
      <c r="BC218" s="161"/>
      <c r="BD218" s="161"/>
    </row>
    <row r="219" spans="1:56" x14ac:dyDescent="0.2">
      <c r="A219" s="161"/>
      <c r="B219" s="161"/>
      <c r="C219" s="161"/>
      <c r="D219" s="161"/>
      <c r="E219" s="162"/>
      <c r="F219" s="161"/>
      <c r="G219" s="161"/>
      <c r="H219" s="161"/>
      <c r="I219" s="161"/>
      <c r="J219" s="161"/>
      <c r="K219" s="161"/>
      <c r="L219" s="161"/>
      <c r="M219" s="161"/>
      <c r="N219" s="161"/>
      <c r="O219" s="161"/>
      <c r="P219" s="161"/>
      <c r="Q219" s="160"/>
      <c r="R219" s="161"/>
      <c r="S219" s="161"/>
      <c r="T219" s="161"/>
      <c r="U219" s="161"/>
      <c r="V219" s="161"/>
      <c r="W219" s="161"/>
      <c r="X219" s="161"/>
      <c r="Y219" s="161"/>
      <c r="Z219" s="161"/>
      <c r="AA219" s="161"/>
      <c r="AB219" s="161"/>
      <c r="AC219" s="161"/>
      <c r="AD219" s="161"/>
      <c r="AE219" s="161"/>
      <c r="AF219" s="161"/>
      <c r="AG219" s="161"/>
      <c r="AH219" s="161"/>
      <c r="AI219" s="161"/>
      <c r="AJ219" s="161"/>
      <c r="AK219" s="161"/>
      <c r="AL219" s="161"/>
      <c r="AM219" s="161"/>
      <c r="AN219" s="161"/>
      <c r="AO219" s="161"/>
      <c r="AP219" s="161"/>
      <c r="AQ219" s="161"/>
      <c r="AR219" s="161"/>
      <c r="AS219" s="161"/>
      <c r="AT219" s="161"/>
      <c r="AU219" s="161"/>
      <c r="AV219" s="161"/>
      <c r="AW219" s="161"/>
      <c r="AX219" s="161"/>
      <c r="AY219" s="161"/>
      <c r="AZ219" s="161"/>
      <c r="BA219" s="161"/>
      <c r="BB219" s="161"/>
      <c r="BC219" s="161"/>
      <c r="BD219" s="161"/>
    </row>
    <row r="220" spans="1:56" x14ac:dyDescent="0.2">
      <c r="A220" s="161"/>
      <c r="B220" s="161"/>
      <c r="C220" s="161"/>
      <c r="D220" s="161"/>
      <c r="E220" s="162"/>
      <c r="F220" s="161"/>
      <c r="G220" s="161"/>
      <c r="H220" s="161"/>
      <c r="I220" s="161"/>
      <c r="J220" s="161"/>
      <c r="K220" s="161"/>
      <c r="L220" s="161"/>
      <c r="M220" s="161"/>
      <c r="N220" s="161"/>
      <c r="O220" s="161"/>
      <c r="P220" s="161"/>
      <c r="Q220" s="160"/>
      <c r="R220" s="161"/>
      <c r="S220" s="161"/>
      <c r="T220" s="161"/>
      <c r="U220" s="161"/>
      <c r="V220" s="161"/>
      <c r="W220" s="161"/>
      <c r="X220" s="161"/>
      <c r="Y220" s="161"/>
      <c r="Z220" s="161"/>
      <c r="AA220" s="161"/>
      <c r="AB220" s="161"/>
      <c r="AC220" s="161"/>
      <c r="AD220" s="161"/>
      <c r="AE220" s="161"/>
      <c r="AF220" s="161"/>
      <c r="AG220" s="161"/>
      <c r="AH220" s="161"/>
      <c r="AI220" s="161"/>
      <c r="AJ220" s="161"/>
      <c r="AK220" s="161"/>
      <c r="AL220" s="161"/>
      <c r="AM220" s="161"/>
      <c r="AN220" s="161"/>
      <c r="AO220" s="161"/>
      <c r="AP220" s="161"/>
      <c r="AQ220" s="161"/>
      <c r="AR220" s="161"/>
      <c r="AS220" s="161"/>
      <c r="AT220" s="161"/>
      <c r="AU220" s="161"/>
      <c r="AV220" s="161"/>
      <c r="AW220" s="161"/>
      <c r="AX220" s="161"/>
      <c r="AY220" s="161"/>
      <c r="AZ220" s="161"/>
      <c r="BA220" s="161"/>
      <c r="BB220" s="161"/>
      <c r="BC220" s="161"/>
      <c r="BD220" s="161"/>
    </row>
    <row r="221" spans="1:56" x14ac:dyDescent="0.2">
      <c r="A221" s="161"/>
      <c r="B221" s="161"/>
      <c r="C221" s="161"/>
      <c r="D221" s="161"/>
      <c r="E221" s="162"/>
      <c r="F221" s="161"/>
      <c r="G221" s="161"/>
      <c r="H221" s="161"/>
      <c r="I221" s="161"/>
      <c r="J221" s="161"/>
      <c r="K221" s="161"/>
      <c r="L221" s="161"/>
      <c r="M221" s="161"/>
      <c r="N221" s="161"/>
      <c r="O221" s="161"/>
      <c r="P221" s="161"/>
      <c r="Q221" s="160"/>
      <c r="R221" s="161"/>
      <c r="S221" s="161"/>
      <c r="T221" s="161"/>
      <c r="U221" s="161"/>
      <c r="V221" s="161"/>
      <c r="W221" s="161"/>
      <c r="X221" s="161"/>
      <c r="Y221" s="161"/>
      <c r="Z221" s="161"/>
      <c r="AA221" s="161"/>
      <c r="AB221" s="161"/>
      <c r="AC221" s="161"/>
      <c r="AD221" s="161"/>
      <c r="AE221" s="161"/>
      <c r="AF221" s="161"/>
      <c r="AG221" s="161"/>
      <c r="AH221" s="161"/>
      <c r="AI221" s="161"/>
      <c r="AJ221" s="161"/>
      <c r="AK221" s="161"/>
      <c r="AL221" s="161"/>
      <c r="AM221" s="161"/>
      <c r="AN221" s="161"/>
      <c r="AO221" s="161"/>
      <c r="AP221" s="161"/>
      <c r="AQ221" s="161"/>
      <c r="AR221" s="161"/>
      <c r="AS221" s="161"/>
      <c r="AT221" s="161"/>
      <c r="AU221" s="161"/>
      <c r="AV221" s="161"/>
      <c r="AW221" s="161"/>
      <c r="AX221" s="161"/>
      <c r="AY221" s="161"/>
      <c r="AZ221" s="161"/>
      <c r="BA221" s="161"/>
      <c r="BB221" s="161"/>
      <c r="BC221" s="161"/>
      <c r="BD221" s="161"/>
    </row>
    <row r="222" spans="1:56" x14ac:dyDescent="0.2">
      <c r="A222" s="161"/>
      <c r="B222" s="161"/>
      <c r="C222" s="161"/>
      <c r="D222" s="161"/>
      <c r="E222" s="162"/>
      <c r="F222" s="161"/>
      <c r="G222" s="161"/>
      <c r="H222" s="161"/>
      <c r="I222" s="161"/>
      <c r="J222" s="161"/>
      <c r="K222" s="161"/>
      <c r="L222" s="161"/>
      <c r="M222" s="161"/>
      <c r="N222" s="161"/>
      <c r="O222" s="161"/>
      <c r="P222" s="161"/>
      <c r="Q222" s="160"/>
      <c r="R222" s="161"/>
      <c r="S222" s="161"/>
      <c r="T222" s="161"/>
      <c r="U222" s="161"/>
      <c r="V222" s="161"/>
      <c r="W222" s="161"/>
      <c r="X222" s="161"/>
      <c r="Y222" s="161"/>
      <c r="Z222" s="161"/>
      <c r="AA222" s="161"/>
      <c r="AB222" s="161"/>
      <c r="AC222" s="161"/>
      <c r="AD222" s="161"/>
      <c r="AE222" s="161"/>
      <c r="AF222" s="161"/>
      <c r="AG222" s="161"/>
      <c r="AH222" s="161"/>
      <c r="AI222" s="161"/>
      <c r="AJ222" s="161"/>
      <c r="AK222" s="161"/>
      <c r="AL222" s="161"/>
      <c r="AM222" s="161"/>
      <c r="AN222" s="161"/>
      <c r="AO222" s="161"/>
      <c r="AP222" s="161"/>
      <c r="AQ222" s="161"/>
      <c r="AR222" s="161"/>
      <c r="AS222" s="161"/>
      <c r="AT222" s="161"/>
      <c r="AU222" s="161"/>
      <c r="AV222" s="161"/>
      <c r="AW222" s="161"/>
      <c r="AX222" s="161"/>
      <c r="AY222" s="161"/>
      <c r="AZ222" s="161"/>
      <c r="BA222" s="161"/>
      <c r="BB222" s="161"/>
      <c r="BC222" s="161"/>
      <c r="BD222" s="161"/>
    </row>
    <row r="223" spans="1:56" x14ac:dyDescent="0.2">
      <c r="A223" s="161"/>
      <c r="B223" s="161"/>
      <c r="C223" s="161"/>
      <c r="D223" s="161"/>
      <c r="E223" s="162"/>
      <c r="F223" s="161"/>
      <c r="G223" s="161"/>
      <c r="H223" s="161"/>
      <c r="I223" s="161"/>
      <c r="J223" s="161"/>
      <c r="K223" s="161"/>
      <c r="L223" s="161"/>
      <c r="M223" s="161"/>
      <c r="N223" s="161"/>
      <c r="O223" s="161"/>
      <c r="P223" s="161"/>
      <c r="Q223" s="160"/>
      <c r="R223" s="161"/>
      <c r="S223" s="161"/>
      <c r="T223" s="161"/>
      <c r="U223" s="161"/>
      <c r="V223" s="161"/>
      <c r="W223" s="161"/>
      <c r="X223" s="161"/>
      <c r="Y223" s="161"/>
      <c r="Z223" s="161"/>
      <c r="AA223" s="161"/>
      <c r="AB223" s="161"/>
      <c r="AC223" s="161"/>
      <c r="AD223" s="161"/>
      <c r="AE223" s="161"/>
      <c r="AF223" s="161"/>
      <c r="AG223" s="161"/>
      <c r="AH223" s="161"/>
      <c r="AI223" s="161"/>
      <c r="AJ223" s="161"/>
      <c r="AK223" s="161"/>
      <c r="AL223" s="161"/>
      <c r="AM223" s="161"/>
      <c r="AN223" s="161"/>
      <c r="AO223" s="161"/>
      <c r="AP223" s="161"/>
      <c r="AQ223" s="161"/>
      <c r="AR223" s="161"/>
      <c r="AS223" s="161"/>
      <c r="AT223" s="161"/>
      <c r="AU223" s="161"/>
      <c r="AV223" s="161"/>
      <c r="AW223" s="161"/>
      <c r="AX223" s="161"/>
      <c r="AY223" s="161"/>
      <c r="AZ223" s="161"/>
      <c r="BA223" s="161"/>
      <c r="BB223" s="161"/>
      <c r="BC223" s="161"/>
      <c r="BD223" s="161"/>
    </row>
    <row r="224" spans="1:56" x14ac:dyDescent="0.2">
      <c r="A224" s="161"/>
      <c r="B224" s="161"/>
      <c r="C224" s="161"/>
      <c r="D224" s="161"/>
      <c r="E224" s="162"/>
      <c r="F224" s="161"/>
      <c r="G224" s="161"/>
      <c r="H224" s="161"/>
      <c r="I224" s="161"/>
      <c r="J224" s="161"/>
      <c r="K224" s="161"/>
      <c r="L224" s="161"/>
      <c r="M224" s="161"/>
      <c r="N224" s="161"/>
      <c r="O224" s="161"/>
      <c r="P224" s="161"/>
      <c r="Q224" s="160"/>
      <c r="R224" s="161"/>
      <c r="S224" s="161"/>
      <c r="T224" s="161"/>
      <c r="U224" s="161"/>
      <c r="V224" s="161"/>
      <c r="W224" s="161"/>
      <c r="X224" s="161"/>
      <c r="Y224" s="161"/>
      <c r="Z224" s="161"/>
      <c r="AA224" s="161"/>
      <c r="AB224" s="161"/>
      <c r="AC224" s="161"/>
      <c r="AD224" s="161"/>
      <c r="AE224" s="161"/>
      <c r="AF224" s="161"/>
      <c r="AG224" s="161"/>
      <c r="AH224" s="161"/>
      <c r="AI224" s="161"/>
      <c r="AJ224" s="161"/>
      <c r="AK224" s="161"/>
      <c r="AL224" s="161"/>
      <c r="AM224" s="161"/>
      <c r="AN224" s="161"/>
      <c r="AO224" s="161"/>
      <c r="AP224" s="161"/>
      <c r="AQ224" s="161"/>
      <c r="AR224" s="161"/>
      <c r="AS224" s="161"/>
      <c r="AT224" s="161"/>
      <c r="AU224" s="161"/>
      <c r="AV224" s="161"/>
      <c r="AW224" s="161"/>
      <c r="AX224" s="161"/>
      <c r="AY224" s="161"/>
      <c r="AZ224" s="161"/>
      <c r="BA224" s="161"/>
      <c r="BB224" s="161"/>
      <c r="BC224" s="161"/>
      <c r="BD224" s="161"/>
    </row>
    <row r="225" spans="1:56" x14ac:dyDescent="0.2">
      <c r="A225" s="161"/>
      <c r="B225" s="161"/>
      <c r="C225" s="161"/>
      <c r="D225" s="161"/>
      <c r="E225" s="162"/>
      <c r="F225" s="161"/>
      <c r="G225" s="161"/>
      <c r="H225" s="161"/>
      <c r="I225" s="161"/>
      <c r="J225" s="161"/>
      <c r="K225" s="161"/>
      <c r="L225" s="161"/>
      <c r="M225" s="161"/>
      <c r="N225" s="161"/>
      <c r="O225" s="161"/>
      <c r="P225" s="161"/>
      <c r="Q225" s="160"/>
      <c r="R225" s="161"/>
      <c r="S225" s="161"/>
      <c r="T225" s="161"/>
      <c r="U225" s="161"/>
      <c r="V225" s="161"/>
      <c r="W225" s="161"/>
      <c r="X225" s="161"/>
      <c r="Y225" s="161"/>
      <c r="Z225" s="161"/>
      <c r="AA225" s="161"/>
      <c r="AB225" s="161"/>
      <c r="AC225" s="161"/>
      <c r="AD225" s="161"/>
      <c r="AE225" s="161"/>
      <c r="AF225" s="161"/>
      <c r="AG225" s="161"/>
      <c r="AH225" s="161"/>
      <c r="AI225" s="161"/>
      <c r="AJ225" s="161"/>
      <c r="AK225" s="161"/>
      <c r="AL225" s="161"/>
      <c r="AM225" s="161"/>
      <c r="AN225" s="161"/>
      <c r="AO225" s="161"/>
      <c r="AP225" s="161"/>
      <c r="AQ225" s="161"/>
      <c r="AR225" s="161"/>
      <c r="AS225" s="161"/>
      <c r="AT225" s="161"/>
      <c r="AU225" s="161"/>
      <c r="AV225" s="161"/>
      <c r="AW225" s="161"/>
      <c r="AX225" s="161"/>
      <c r="AY225" s="161"/>
      <c r="AZ225" s="161"/>
      <c r="BA225" s="161"/>
      <c r="BB225" s="161"/>
      <c r="BC225" s="161"/>
      <c r="BD225" s="161"/>
    </row>
    <row r="226" spans="1:56" x14ac:dyDescent="0.2">
      <c r="A226" s="161"/>
      <c r="B226" s="161"/>
      <c r="C226" s="161"/>
      <c r="D226" s="161"/>
      <c r="E226" s="162"/>
      <c r="F226" s="161"/>
      <c r="G226" s="161"/>
      <c r="H226" s="161"/>
      <c r="I226" s="161"/>
      <c r="J226" s="161"/>
      <c r="K226" s="161"/>
      <c r="L226" s="161"/>
      <c r="M226" s="161"/>
      <c r="N226" s="161"/>
      <c r="O226" s="161"/>
      <c r="P226" s="161"/>
      <c r="Q226" s="160"/>
      <c r="R226" s="161"/>
      <c r="S226" s="161"/>
      <c r="T226" s="161"/>
      <c r="U226" s="161"/>
      <c r="V226" s="161"/>
      <c r="W226" s="161"/>
      <c r="X226" s="161"/>
      <c r="Y226" s="161"/>
      <c r="Z226" s="161"/>
      <c r="AA226" s="161"/>
      <c r="AB226" s="161"/>
      <c r="AC226" s="161"/>
      <c r="AD226" s="161"/>
      <c r="AE226" s="161"/>
      <c r="AF226" s="161"/>
      <c r="AG226" s="161"/>
      <c r="AH226" s="161"/>
      <c r="AI226" s="161"/>
      <c r="AJ226" s="161"/>
      <c r="AK226" s="161"/>
      <c r="AL226" s="161"/>
      <c r="AM226" s="161"/>
      <c r="AN226" s="161"/>
      <c r="AO226" s="161"/>
      <c r="AP226" s="161"/>
      <c r="AQ226" s="161"/>
      <c r="AR226" s="161"/>
      <c r="AS226" s="161"/>
      <c r="AT226" s="161"/>
      <c r="AU226" s="161"/>
      <c r="AV226" s="161"/>
      <c r="AW226" s="161"/>
      <c r="AX226" s="161"/>
      <c r="AY226" s="161"/>
      <c r="AZ226" s="161"/>
      <c r="BA226" s="161"/>
      <c r="BB226" s="161"/>
      <c r="BC226" s="161"/>
      <c r="BD226" s="161"/>
    </row>
    <row r="227" spans="1:56" x14ac:dyDescent="0.2">
      <c r="A227" s="161"/>
      <c r="B227" s="161"/>
      <c r="C227" s="161"/>
      <c r="D227" s="161"/>
      <c r="E227" s="162"/>
      <c r="F227" s="161"/>
      <c r="G227" s="161"/>
      <c r="H227" s="161"/>
      <c r="I227" s="161"/>
      <c r="J227" s="161"/>
      <c r="K227" s="161"/>
      <c r="L227" s="161"/>
      <c r="M227" s="161"/>
      <c r="N227" s="161"/>
      <c r="O227" s="161"/>
      <c r="P227" s="161"/>
      <c r="Q227" s="160"/>
      <c r="R227" s="161"/>
      <c r="S227" s="161"/>
      <c r="T227" s="161"/>
      <c r="U227" s="161"/>
      <c r="V227" s="161"/>
      <c r="W227" s="161"/>
      <c r="X227" s="161"/>
      <c r="Y227" s="161"/>
      <c r="Z227" s="161"/>
      <c r="AA227" s="161"/>
      <c r="AB227" s="161"/>
      <c r="AC227" s="161"/>
      <c r="AD227" s="161"/>
      <c r="AE227" s="161"/>
      <c r="AF227" s="161"/>
      <c r="AG227" s="161"/>
      <c r="AH227" s="161"/>
      <c r="AI227" s="161"/>
      <c r="AJ227" s="161"/>
      <c r="AK227" s="161"/>
      <c r="AL227" s="161"/>
      <c r="AM227" s="161"/>
      <c r="AN227" s="161"/>
      <c r="AO227" s="161"/>
      <c r="AP227" s="161"/>
      <c r="AQ227" s="161"/>
      <c r="AR227" s="161"/>
      <c r="AS227" s="161"/>
      <c r="AT227" s="161"/>
      <c r="AU227" s="161"/>
      <c r="AV227" s="161"/>
      <c r="AW227" s="161"/>
      <c r="AX227" s="161"/>
      <c r="AY227" s="161"/>
      <c r="AZ227" s="161"/>
      <c r="BA227" s="161"/>
      <c r="BB227" s="161"/>
      <c r="BC227" s="161"/>
      <c r="BD227" s="161"/>
    </row>
    <row r="228" spans="1:56" x14ac:dyDescent="0.2">
      <c r="A228" s="161"/>
      <c r="B228" s="161"/>
      <c r="C228" s="161"/>
      <c r="D228" s="161"/>
      <c r="E228" s="162"/>
      <c r="F228" s="161"/>
      <c r="G228" s="161"/>
      <c r="H228" s="161"/>
      <c r="I228" s="161"/>
      <c r="J228" s="161"/>
      <c r="K228" s="161"/>
      <c r="L228" s="161"/>
      <c r="M228" s="161"/>
      <c r="N228" s="161"/>
      <c r="O228" s="161"/>
      <c r="P228" s="161"/>
      <c r="Q228" s="160"/>
      <c r="R228" s="161"/>
      <c r="S228" s="161"/>
      <c r="T228" s="161"/>
      <c r="U228" s="161"/>
      <c r="V228" s="161"/>
      <c r="W228" s="161"/>
      <c r="X228" s="161"/>
      <c r="Y228" s="161"/>
      <c r="Z228" s="161"/>
      <c r="AA228" s="161"/>
      <c r="AB228" s="161"/>
      <c r="AC228" s="161"/>
      <c r="AD228" s="161"/>
      <c r="AE228" s="161"/>
      <c r="AF228" s="161"/>
      <c r="AG228" s="161"/>
      <c r="AH228" s="161"/>
      <c r="AI228" s="161"/>
      <c r="AJ228" s="161"/>
      <c r="AK228" s="161"/>
      <c r="AL228" s="161"/>
      <c r="AM228" s="161"/>
      <c r="AN228" s="161"/>
      <c r="AO228" s="161"/>
      <c r="AP228" s="161"/>
      <c r="AQ228" s="161"/>
      <c r="AR228" s="161"/>
      <c r="AS228" s="161"/>
      <c r="AT228" s="161"/>
      <c r="AU228" s="161"/>
      <c r="AV228" s="161"/>
      <c r="AW228" s="161"/>
      <c r="AX228" s="161"/>
      <c r="AY228" s="161"/>
      <c r="AZ228" s="161"/>
      <c r="BA228" s="161"/>
      <c r="BB228" s="161"/>
      <c r="BC228" s="161"/>
      <c r="BD228" s="161"/>
    </row>
    <row r="229" spans="1:56" x14ac:dyDescent="0.2">
      <c r="A229" s="161"/>
      <c r="B229" s="161"/>
      <c r="C229" s="161"/>
      <c r="D229" s="161"/>
      <c r="E229" s="162"/>
      <c r="F229" s="161"/>
      <c r="G229" s="161"/>
      <c r="H229" s="161"/>
      <c r="I229" s="161"/>
      <c r="J229" s="161"/>
      <c r="K229" s="161"/>
      <c r="L229" s="161"/>
      <c r="M229" s="161"/>
      <c r="N229" s="161"/>
      <c r="O229" s="161"/>
      <c r="P229" s="161"/>
      <c r="Q229" s="160"/>
      <c r="R229" s="161"/>
      <c r="S229" s="161"/>
      <c r="T229" s="161"/>
      <c r="U229" s="161"/>
      <c r="V229" s="161"/>
      <c r="W229" s="161"/>
      <c r="X229" s="161"/>
      <c r="Y229" s="161"/>
      <c r="Z229" s="161"/>
      <c r="AA229" s="161"/>
      <c r="AB229" s="161"/>
      <c r="AC229" s="161"/>
      <c r="AD229" s="161"/>
      <c r="AE229" s="161"/>
      <c r="AF229" s="161"/>
      <c r="AG229" s="161"/>
      <c r="AH229" s="161"/>
      <c r="AI229" s="161"/>
      <c r="AJ229" s="161"/>
      <c r="AK229" s="161"/>
      <c r="AL229" s="161"/>
      <c r="AM229" s="161"/>
      <c r="AN229" s="161"/>
      <c r="AO229" s="161"/>
      <c r="AP229" s="161"/>
      <c r="AQ229" s="161"/>
      <c r="AR229" s="161"/>
      <c r="AS229" s="161"/>
      <c r="AT229" s="161"/>
      <c r="AU229" s="161"/>
      <c r="AV229" s="161"/>
      <c r="AW229" s="161"/>
      <c r="AX229" s="161"/>
      <c r="AY229" s="161"/>
      <c r="AZ229" s="161"/>
      <c r="BA229" s="161"/>
      <c r="BB229" s="161"/>
      <c r="BC229" s="161"/>
      <c r="BD229" s="161"/>
    </row>
    <row r="230" spans="1:56" x14ac:dyDescent="0.2">
      <c r="A230" s="161"/>
      <c r="B230" s="161"/>
      <c r="C230" s="161"/>
      <c r="D230" s="161"/>
      <c r="E230" s="162"/>
      <c r="F230" s="161"/>
      <c r="G230" s="161"/>
      <c r="H230" s="161"/>
      <c r="I230" s="161"/>
      <c r="J230" s="161"/>
      <c r="K230" s="161"/>
      <c r="L230" s="161"/>
      <c r="M230" s="161"/>
      <c r="N230" s="161"/>
      <c r="O230" s="161"/>
      <c r="P230" s="161"/>
      <c r="Q230" s="160"/>
      <c r="R230" s="161"/>
      <c r="S230" s="161"/>
      <c r="T230" s="161"/>
      <c r="U230" s="161"/>
      <c r="V230" s="161"/>
      <c r="W230" s="161"/>
      <c r="X230" s="161"/>
      <c r="Y230" s="161"/>
      <c r="Z230" s="161"/>
      <c r="AA230" s="161"/>
      <c r="AB230" s="161"/>
      <c r="AC230" s="161"/>
      <c r="AD230" s="161"/>
      <c r="AE230" s="161"/>
      <c r="AF230" s="161"/>
      <c r="AG230" s="161"/>
      <c r="AH230" s="161"/>
      <c r="AI230" s="161"/>
      <c r="AJ230" s="161"/>
      <c r="AK230" s="161"/>
      <c r="AL230" s="161"/>
      <c r="AM230" s="161"/>
      <c r="AN230" s="161"/>
      <c r="AO230" s="161"/>
      <c r="AP230" s="161"/>
      <c r="AQ230" s="161"/>
      <c r="AR230" s="161"/>
      <c r="AS230" s="161"/>
      <c r="AT230" s="161"/>
      <c r="AU230" s="161"/>
      <c r="AV230" s="161"/>
      <c r="AW230" s="161"/>
      <c r="AX230" s="161"/>
      <c r="AY230" s="161"/>
      <c r="AZ230" s="161"/>
      <c r="BA230" s="161"/>
      <c r="BB230" s="161"/>
      <c r="BC230" s="161"/>
      <c r="BD230" s="161"/>
    </row>
    <row r="231" spans="1:56" x14ac:dyDescent="0.2">
      <c r="A231" s="161"/>
      <c r="B231" s="161"/>
      <c r="C231" s="161"/>
      <c r="D231" s="161"/>
      <c r="E231" s="162"/>
      <c r="F231" s="161"/>
      <c r="G231" s="161"/>
      <c r="H231" s="161"/>
      <c r="I231" s="161"/>
      <c r="J231" s="161"/>
      <c r="K231" s="161"/>
      <c r="L231" s="161"/>
      <c r="M231" s="161"/>
      <c r="N231" s="161"/>
      <c r="O231" s="161"/>
      <c r="P231" s="161"/>
      <c r="Q231" s="160"/>
      <c r="R231" s="161"/>
      <c r="S231" s="161"/>
      <c r="T231" s="161"/>
      <c r="U231" s="161"/>
      <c r="V231" s="161"/>
      <c r="W231" s="161"/>
      <c r="X231" s="161"/>
      <c r="Y231" s="161"/>
      <c r="Z231" s="161"/>
      <c r="AA231" s="161"/>
      <c r="AB231" s="161"/>
      <c r="AC231" s="161"/>
      <c r="AD231" s="161"/>
      <c r="AE231" s="161"/>
      <c r="AF231" s="161"/>
      <c r="AG231" s="161"/>
      <c r="AH231" s="161"/>
      <c r="AI231" s="161"/>
      <c r="AJ231" s="161"/>
      <c r="AK231" s="161"/>
      <c r="AL231" s="161"/>
      <c r="AM231" s="161"/>
      <c r="AN231" s="161"/>
      <c r="AO231" s="161"/>
      <c r="AP231" s="161"/>
      <c r="AQ231" s="161"/>
      <c r="AR231" s="161"/>
      <c r="AS231" s="161"/>
      <c r="AT231" s="161"/>
      <c r="AU231" s="161"/>
      <c r="AV231" s="161"/>
      <c r="AW231" s="161"/>
      <c r="AX231" s="161"/>
      <c r="AY231" s="161"/>
      <c r="AZ231" s="161"/>
      <c r="BA231" s="161"/>
      <c r="BB231" s="161"/>
      <c r="BC231" s="161"/>
      <c r="BD231" s="161"/>
    </row>
    <row r="232" spans="1:56" x14ac:dyDescent="0.2">
      <c r="A232" s="161"/>
      <c r="B232" s="161"/>
      <c r="C232" s="161"/>
      <c r="D232" s="161"/>
      <c r="E232" s="162"/>
      <c r="F232" s="161"/>
      <c r="G232" s="161"/>
      <c r="H232" s="161"/>
      <c r="I232" s="161"/>
      <c r="J232" s="161"/>
      <c r="K232" s="161"/>
      <c r="L232" s="161"/>
      <c r="M232" s="161"/>
      <c r="N232" s="161"/>
      <c r="O232" s="161"/>
      <c r="P232" s="161"/>
      <c r="Q232" s="160"/>
      <c r="R232" s="161"/>
      <c r="S232" s="161"/>
      <c r="T232" s="161"/>
      <c r="U232" s="161"/>
      <c r="V232" s="161"/>
      <c r="W232" s="161"/>
      <c r="X232" s="161"/>
      <c r="Y232" s="161"/>
      <c r="Z232" s="161"/>
      <c r="AA232" s="161"/>
      <c r="AB232" s="161"/>
      <c r="AC232" s="161"/>
      <c r="AD232" s="161"/>
      <c r="AE232" s="161"/>
      <c r="AF232" s="161"/>
      <c r="AG232" s="161"/>
      <c r="AH232" s="161"/>
      <c r="AI232" s="161"/>
      <c r="AJ232" s="161"/>
      <c r="AK232" s="161"/>
      <c r="AL232" s="161"/>
      <c r="AM232" s="161"/>
      <c r="AN232" s="161"/>
      <c r="AO232" s="161"/>
      <c r="AP232" s="161"/>
      <c r="AQ232" s="161"/>
      <c r="AR232" s="161"/>
      <c r="AS232" s="161"/>
      <c r="AT232" s="161"/>
      <c r="AU232" s="161"/>
      <c r="AV232" s="161"/>
      <c r="AW232" s="161"/>
      <c r="AX232" s="161"/>
      <c r="AY232" s="161"/>
      <c r="AZ232" s="161"/>
      <c r="BA232" s="161"/>
      <c r="BB232" s="161"/>
      <c r="BC232" s="161"/>
      <c r="BD232" s="161"/>
    </row>
    <row r="233" spans="1:56" x14ac:dyDescent="0.2">
      <c r="A233" s="161"/>
      <c r="B233" s="161"/>
      <c r="C233" s="161"/>
      <c r="D233" s="161"/>
      <c r="E233" s="162"/>
      <c r="F233" s="161"/>
      <c r="G233" s="161"/>
      <c r="H233" s="161"/>
      <c r="I233" s="161"/>
      <c r="J233" s="161"/>
      <c r="K233" s="161"/>
      <c r="L233" s="161"/>
      <c r="M233" s="161"/>
      <c r="N233" s="161"/>
      <c r="O233" s="161"/>
      <c r="P233" s="161"/>
      <c r="Q233" s="160"/>
      <c r="R233" s="161"/>
      <c r="S233" s="161"/>
      <c r="T233" s="161"/>
      <c r="U233" s="161"/>
      <c r="V233" s="161"/>
      <c r="W233" s="161"/>
      <c r="X233" s="161"/>
      <c r="Y233" s="161"/>
      <c r="Z233" s="161"/>
      <c r="AA233" s="161"/>
      <c r="AB233" s="161"/>
      <c r="AC233" s="161"/>
      <c r="AD233" s="161"/>
      <c r="AE233" s="161"/>
      <c r="AF233" s="161"/>
      <c r="AG233" s="161"/>
      <c r="AH233" s="161"/>
      <c r="AI233" s="161"/>
      <c r="AJ233" s="161"/>
      <c r="AK233" s="161"/>
      <c r="AL233" s="161"/>
      <c r="AM233" s="161"/>
      <c r="AN233" s="161"/>
      <c r="AO233" s="161"/>
      <c r="AP233" s="161"/>
      <c r="AQ233" s="161"/>
      <c r="AR233" s="161"/>
      <c r="AS233" s="161"/>
      <c r="AT233" s="161"/>
      <c r="AU233" s="161"/>
      <c r="AV233" s="161"/>
      <c r="AW233" s="161"/>
      <c r="AX233" s="161"/>
      <c r="AY233" s="161"/>
      <c r="AZ233" s="161"/>
      <c r="BA233" s="161"/>
      <c r="BB233" s="161"/>
      <c r="BC233" s="161"/>
      <c r="BD233" s="161"/>
    </row>
    <row r="234" spans="1:56" x14ac:dyDescent="0.2">
      <c r="A234" s="161"/>
      <c r="B234" s="161"/>
      <c r="C234" s="161"/>
      <c r="D234" s="161"/>
      <c r="E234" s="162"/>
      <c r="F234" s="161"/>
      <c r="G234" s="161"/>
      <c r="H234" s="161"/>
      <c r="I234" s="161"/>
      <c r="J234" s="161"/>
      <c r="K234" s="161"/>
      <c r="L234" s="161"/>
      <c r="M234" s="161"/>
      <c r="N234" s="161"/>
      <c r="O234" s="161"/>
      <c r="P234" s="161"/>
      <c r="Q234" s="160"/>
      <c r="R234" s="161"/>
      <c r="S234" s="161"/>
      <c r="T234" s="161"/>
      <c r="U234" s="161"/>
      <c r="V234" s="161"/>
      <c r="W234" s="161"/>
      <c r="X234" s="161"/>
      <c r="Y234" s="161"/>
      <c r="Z234" s="161"/>
      <c r="AA234" s="161"/>
      <c r="AB234" s="161"/>
      <c r="AC234" s="161"/>
      <c r="AD234" s="161"/>
      <c r="AE234" s="161"/>
      <c r="AF234" s="161"/>
      <c r="AG234" s="161"/>
      <c r="AH234" s="161"/>
      <c r="AI234" s="161"/>
      <c r="AJ234" s="161"/>
      <c r="AK234" s="161"/>
      <c r="AL234" s="161"/>
      <c r="AM234" s="161"/>
      <c r="AN234" s="161"/>
      <c r="AO234" s="161"/>
      <c r="AP234" s="161"/>
      <c r="AQ234" s="161"/>
      <c r="AR234" s="161"/>
      <c r="AS234" s="161"/>
      <c r="AT234" s="161"/>
      <c r="AU234" s="161"/>
      <c r="AV234" s="161"/>
      <c r="AW234" s="161"/>
      <c r="AX234" s="161"/>
      <c r="AY234" s="161"/>
      <c r="AZ234" s="161"/>
      <c r="BA234" s="161"/>
      <c r="BB234" s="161"/>
      <c r="BC234" s="161"/>
      <c r="BD234" s="161"/>
    </row>
    <row r="235" spans="1:56" x14ac:dyDescent="0.2">
      <c r="A235" s="161"/>
      <c r="B235" s="161"/>
      <c r="C235" s="161"/>
      <c r="D235" s="161"/>
      <c r="E235" s="162"/>
      <c r="F235" s="161"/>
      <c r="G235" s="161"/>
      <c r="H235" s="161"/>
      <c r="I235" s="161"/>
      <c r="J235" s="161"/>
      <c r="K235" s="161"/>
      <c r="L235" s="161"/>
      <c r="M235" s="161"/>
      <c r="N235" s="161"/>
      <c r="O235" s="161"/>
      <c r="P235" s="161"/>
      <c r="Q235" s="160"/>
      <c r="R235" s="161"/>
      <c r="S235" s="161"/>
      <c r="T235" s="161"/>
      <c r="U235" s="161"/>
      <c r="V235" s="161"/>
      <c r="W235" s="161"/>
      <c r="X235" s="161"/>
      <c r="Y235" s="161"/>
      <c r="Z235" s="161"/>
      <c r="AA235" s="161"/>
      <c r="AB235" s="161"/>
      <c r="AC235" s="161"/>
      <c r="AD235" s="161"/>
      <c r="AE235" s="161"/>
      <c r="AF235" s="161"/>
      <c r="AG235" s="161"/>
      <c r="AH235" s="161"/>
      <c r="AI235" s="161"/>
      <c r="AJ235" s="161"/>
      <c r="AK235" s="161"/>
      <c r="AL235" s="161"/>
      <c r="AM235" s="161"/>
      <c r="AN235" s="161"/>
      <c r="AO235" s="161"/>
      <c r="AP235" s="161"/>
      <c r="AQ235" s="161"/>
      <c r="AR235" s="161"/>
      <c r="AS235" s="161"/>
      <c r="AT235" s="161"/>
      <c r="AU235" s="161"/>
      <c r="AV235" s="161"/>
      <c r="AW235" s="161"/>
      <c r="AX235" s="161"/>
      <c r="AY235" s="161"/>
      <c r="AZ235" s="161"/>
      <c r="BA235" s="161"/>
      <c r="BB235" s="161"/>
      <c r="BC235" s="161"/>
      <c r="BD235" s="161"/>
    </row>
    <row r="236" spans="1:56" x14ac:dyDescent="0.2">
      <c r="A236" s="161"/>
      <c r="B236" s="161"/>
      <c r="C236" s="161"/>
      <c r="D236" s="161"/>
      <c r="E236" s="162"/>
      <c r="F236" s="161"/>
      <c r="G236" s="161"/>
      <c r="H236" s="161"/>
      <c r="I236" s="161"/>
      <c r="J236" s="161"/>
      <c r="K236" s="161"/>
      <c r="L236" s="161"/>
      <c r="M236" s="161"/>
      <c r="N236" s="161"/>
      <c r="O236" s="161"/>
      <c r="P236" s="161"/>
      <c r="Q236" s="160"/>
      <c r="R236" s="161"/>
      <c r="S236" s="161"/>
      <c r="T236" s="161"/>
      <c r="U236" s="161"/>
      <c r="V236" s="161"/>
      <c r="W236" s="161"/>
      <c r="X236" s="161"/>
      <c r="Y236" s="161"/>
      <c r="Z236" s="161"/>
      <c r="AA236" s="161"/>
      <c r="AB236" s="161"/>
      <c r="AC236" s="161"/>
      <c r="AD236" s="161"/>
      <c r="AE236" s="161"/>
      <c r="AF236" s="161"/>
      <c r="AG236" s="161"/>
      <c r="AH236" s="161"/>
      <c r="AI236" s="161"/>
      <c r="AJ236" s="161"/>
      <c r="AK236" s="161"/>
      <c r="AL236" s="161"/>
      <c r="AM236" s="161"/>
      <c r="AN236" s="161"/>
      <c r="AO236" s="161"/>
      <c r="AP236" s="161"/>
      <c r="AQ236" s="161"/>
      <c r="AR236" s="161"/>
      <c r="AS236" s="161"/>
      <c r="AT236" s="161"/>
      <c r="AU236" s="161"/>
      <c r="AV236" s="161"/>
      <c r="AW236" s="161"/>
      <c r="AX236" s="161"/>
      <c r="AY236" s="161"/>
      <c r="AZ236" s="161"/>
      <c r="BA236" s="161"/>
      <c r="BB236" s="161"/>
      <c r="BC236" s="161"/>
      <c r="BD236" s="161"/>
    </row>
    <row r="237" spans="1:56" x14ac:dyDescent="0.2">
      <c r="A237" s="161"/>
      <c r="B237" s="161"/>
      <c r="C237" s="161"/>
      <c r="D237" s="161"/>
      <c r="E237" s="162"/>
      <c r="F237" s="161"/>
      <c r="G237" s="161"/>
      <c r="H237" s="161"/>
      <c r="I237" s="161"/>
      <c r="J237" s="161"/>
      <c r="K237" s="161"/>
      <c r="L237" s="161"/>
      <c r="M237" s="161"/>
      <c r="N237" s="161"/>
      <c r="O237" s="161"/>
      <c r="P237" s="161"/>
      <c r="Q237" s="160"/>
      <c r="R237" s="161"/>
      <c r="S237" s="161"/>
      <c r="T237" s="161"/>
      <c r="U237" s="161"/>
      <c r="V237" s="161"/>
      <c r="W237" s="161"/>
      <c r="X237" s="161"/>
      <c r="Y237" s="161"/>
      <c r="Z237" s="161"/>
      <c r="AA237" s="161"/>
      <c r="AB237" s="161"/>
      <c r="AC237" s="161"/>
      <c r="AD237" s="161"/>
      <c r="AE237" s="161"/>
      <c r="AF237" s="161"/>
      <c r="AG237" s="161"/>
      <c r="AH237" s="161"/>
      <c r="AI237" s="161"/>
      <c r="AJ237" s="161"/>
      <c r="AK237" s="161"/>
      <c r="AL237" s="161"/>
      <c r="AM237" s="161"/>
      <c r="AN237" s="161"/>
      <c r="AO237" s="161"/>
      <c r="AP237" s="161"/>
      <c r="AQ237" s="161"/>
      <c r="AR237" s="161"/>
      <c r="AS237" s="161"/>
      <c r="AT237" s="161"/>
      <c r="AU237" s="161"/>
      <c r="AV237" s="161"/>
      <c r="AW237" s="161"/>
      <c r="AX237" s="161"/>
      <c r="AY237" s="161"/>
      <c r="AZ237" s="161"/>
      <c r="BA237" s="161"/>
      <c r="BB237" s="161"/>
      <c r="BC237" s="161"/>
      <c r="BD237" s="161"/>
    </row>
    <row r="238" spans="1:56" x14ac:dyDescent="0.2">
      <c r="A238" s="161"/>
      <c r="B238" s="161"/>
      <c r="C238" s="161"/>
      <c r="D238" s="161"/>
      <c r="E238" s="162"/>
      <c r="F238" s="161"/>
      <c r="G238" s="161"/>
      <c r="H238" s="161"/>
      <c r="I238" s="161"/>
      <c r="J238" s="161"/>
      <c r="K238" s="161"/>
      <c r="L238" s="161"/>
      <c r="M238" s="161"/>
      <c r="N238" s="161"/>
      <c r="O238" s="161"/>
      <c r="P238" s="161"/>
      <c r="Q238" s="160"/>
      <c r="R238" s="161"/>
      <c r="S238" s="161"/>
      <c r="T238" s="161"/>
      <c r="U238" s="161"/>
      <c r="V238" s="161"/>
      <c r="W238" s="161"/>
      <c r="X238" s="161"/>
      <c r="Y238" s="161"/>
      <c r="Z238" s="161"/>
      <c r="AA238" s="161"/>
      <c r="AB238" s="161"/>
      <c r="AC238" s="161"/>
      <c r="AD238" s="161"/>
      <c r="AE238" s="161"/>
      <c r="AF238" s="161"/>
      <c r="AG238" s="161"/>
      <c r="AH238" s="161"/>
      <c r="AI238" s="161"/>
      <c r="AJ238" s="161"/>
      <c r="AK238" s="161"/>
      <c r="AL238" s="161"/>
      <c r="AM238" s="161"/>
      <c r="AN238" s="161"/>
      <c r="AO238" s="161"/>
      <c r="AP238" s="161"/>
      <c r="AQ238" s="161"/>
      <c r="AR238" s="161"/>
      <c r="AS238" s="161"/>
      <c r="AT238" s="161"/>
      <c r="AU238" s="161"/>
      <c r="AV238" s="161"/>
      <c r="AW238" s="161"/>
      <c r="AX238" s="161"/>
      <c r="AY238" s="161"/>
      <c r="AZ238" s="161"/>
      <c r="BA238" s="161"/>
      <c r="BB238" s="161"/>
      <c r="BC238" s="161"/>
      <c r="BD238" s="161"/>
    </row>
    <row r="239" spans="1:56" x14ac:dyDescent="0.2">
      <c r="A239" s="161"/>
      <c r="B239" s="161"/>
      <c r="C239" s="161"/>
      <c r="D239" s="161"/>
      <c r="E239" s="162"/>
      <c r="F239" s="161"/>
      <c r="G239" s="161"/>
      <c r="H239" s="161"/>
      <c r="I239" s="161"/>
      <c r="J239" s="161"/>
      <c r="K239" s="161"/>
      <c r="L239" s="161"/>
      <c r="M239" s="161"/>
      <c r="N239" s="161"/>
      <c r="O239" s="161"/>
      <c r="P239" s="161"/>
      <c r="Q239" s="160"/>
      <c r="R239" s="161"/>
      <c r="S239" s="161"/>
      <c r="T239" s="161"/>
      <c r="U239" s="161"/>
      <c r="V239" s="161"/>
      <c r="W239" s="161"/>
      <c r="X239" s="161"/>
      <c r="Y239" s="161"/>
      <c r="Z239" s="161"/>
      <c r="AA239" s="161"/>
      <c r="AB239" s="161"/>
      <c r="AC239" s="161"/>
      <c r="AD239" s="161"/>
      <c r="AE239" s="161"/>
      <c r="AF239" s="161"/>
      <c r="AG239" s="161"/>
      <c r="AH239" s="161"/>
      <c r="AI239" s="161"/>
      <c r="AJ239" s="161"/>
      <c r="AK239" s="161"/>
      <c r="AL239" s="161"/>
      <c r="AM239" s="161"/>
      <c r="AN239" s="161"/>
      <c r="AO239" s="161"/>
      <c r="AP239" s="161"/>
      <c r="AQ239" s="161"/>
      <c r="AR239" s="161"/>
      <c r="AS239" s="161"/>
      <c r="AT239" s="161"/>
      <c r="AU239" s="161"/>
      <c r="AV239" s="161"/>
      <c r="AW239" s="161"/>
      <c r="AX239" s="161"/>
      <c r="AY239" s="161"/>
      <c r="AZ239" s="161"/>
      <c r="BA239" s="161"/>
      <c r="BB239" s="161"/>
      <c r="BC239" s="161"/>
      <c r="BD239" s="161"/>
    </row>
    <row r="240" spans="1:56" x14ac:dyDescent="0.2">
      <c r="A240" s="161"/>
      <c r="B240" s="161"/>
      <c r="C240" s="161"/>
      <c r="D240" s="161"/>
      <c r="E240" s="162"/>
      <c r="F240" s="161"/>
      <c r="G240" s="161"/>
      <c r="H240" s="161"/>
      <c r="I240" s="161"/>
      <c r="J240" s="161"/>
      <c r="K240" s="161"/>
      <c r="L240" s="161"/>
      <c r="M240" s="161"/>
      <c r="N240" s="161"/>
      <c r="O240" s="161"/>
      <c r="P240" s="161"/>
      <c r="Q240" s="160"/>
      <c r="R240" s="161"/>
      <c r="S240" s="161"/>
      <c r="T240" s="161"/>
      <c r="U240" s="161"/>
      <c r="V240" s="161"/>
      <c r="W240" s="161"/>
      <c r="X240" s="161"/>
      <c r="Y240" s="161"/>
      <c r="Z240" s="161"/>
      <c r="AA240" s="161"/>
      <c r="AB240" s="161"/>
      <c r="AC240" s="161"/>
      <c r="AD240" s="161"/>
      <c r="AE240" s="161"/>
      <c r="AF240" s="161"/>
      <c r="AG240" s="161"/>
      <c r="AH240" s="161"/>
      <c r="AI240" s="161"/>
      <c r="AJ240" s="161"/>
      <c r="AK240" s="161"/>
      <c r="AL240" s="161"/>
      <c r="AM240" s="161"/>
      <c r="AN240" s="161"/>
      <c r="AO240" s="161"/>
      <c r="AP240" s="161"/>
      <c r="AQ240" s="161"/>
      <c r="AR240" s="161"/>
      <c r="AS240" s="161"/>
      <c r="AT240" s="161"/>
      <c r="AU240" s="161"/>
      <c r="AV240" s="161"/>
      <c r="AW240" s="161"/>
      <c r="AX240" s="161"/>
      <c r="AY240" s="161"/>
      <c r="AZ240" s="161"/>
      <c r="BA240" s="161"/>
      <c r="BB240" s="161"/>
      <c r="BC240" s="161"/>
      <c r="BD240" s="161"/>
    </row>
    <row r="241" spans="1:56" x14ac:dyDescent="0.2">
      <c r="A241" s="161"/>
      <c r="B241" s="161"/>
      <c r="C241" s="161"/>
      <c r="D241" s="161"/>
      <c r="E241" s="162"/>
      <c r="F241" s="161"/>
      <c r="G241" s="161"/>
      <c r="H241" s="161"/>
      <c r="I241" s="161"/>
      <c r="J241" s="161"/>
      <c r="K241" s="161"/>
      <c r="L241" s="161"/>
      <c r="M241" s="161"/>
      <c r="N241" s="161"/>
      <c r="O241" s="161"/>
      <c r="P241" s="161"/>
      <c r="Q241" s="160"/>
      <c r="R241" s="161"/>
      <c r="S241" s="161"/>
      <c r="T241" s="161"/>
      <c r="U241" s="161"/>
      <c r="V241" s="161"/>
      <c r="W241" s="161"/>
      <c r="X241" s="161"/>
      <c r="Y241" s="161"/>
      <c r="Z241" s="161"/>
      <c r="AA241" s="161"/>
      <c r="AB241" s="161"/>
      <c r="AC241" s="161"/>
      <c r="AD241" s="161"/>
      <c r="AE241" s="161"/>
      <c r="AF241" s="161"/>
      <c r="AG241" s="161"/>
      <c r="AH241" s="161"/>
      <c r="AI241" s="161"/>
      <c r="AJ241" s="161"/>
      <c r="AK241" s="161"/>
      <c r="AL241" s="161"/>
      <c r="AM241" s="161"/>
      <c r="AN241" s="161"/>
      <c r="AO241" s="161"/>
      <c r="AP241" s="161"/>
      <c r="AQ241" s="161"/>
      <c r="AR241" s="161"/>
      <c r="AS241" s="161"/>
      <c r="AT241" s="161"/>
      <c r="AU241" s="161"/>
      <c r="AV241" s="161"/>
      <c r="AW241" s="161"/>
      <c r="AX241" s="161"/>
      <c r="AY241" s="161"/>
      <c r="AZ241" s="161"/>
      <c r="BA241" s="161"/>
      <c r="BB241" s="161"/>
      <c r="BC241" s="161"/>
      <c r="BD241" s="161"/>
    </row>
    <row r="242" spans="1:56" x14ac:dyDescent="0.2">
      <c r="A242" s="161"/>
      <c r="B242" s="161"/>
      <c r="C242" s="161"/>
      <c r="D242" s="161"/>
      <c r="E242" s="162"/>
      <c r="F242" s="161"/>
      <c r="G242" s="161"/>
      <c r="H242" s="161"/>
      <c r="I242" s="161"/>
      <c r="J242" s="161"/>
      <c r="K242" s="161"/>
      <c r="L242" s="161"/>
      <c r="M242" s="161"/>
      <c r="N242" s="161"/>
      <c r="O242" s="161"/>
      <c r="P242" s="161"/>
      <c r="Q242" s="160"/>
      <c r="R242" s="161"/>
      <c r="S242" s="161"/>
      <c r="T242" s="161"/>
      <c r="U242" s="161"/>
      <c r="V242" s="161"/>
      <c r="W242" s="161"/>
      <c r="X242" s="161"/>
      <c r="Y242" s="161"/>
      <c r="Z242" s="161"/>
      <c r="AA242" s="161"/>
      <c r="AB242" s="161"/>
      <c r="AC242" s="161"/>
      <c r="AD242" s="161"/>
      <c r="AE242" s="161"/>
      <c r="AF242" s="161"/>
      <c r="AG242" s="161"/>
      <c r="AH242" s="161"/>
      <c r="AI242" s="161"/>
      <c r="AJ242" s="161"/>
      <c r="AK242" s="161"/>
      <c r="AL242" s="161"/>
      <c r="AM242" s="161"/>
      <c r="AN242" s="161"/>
      <c r="AO242" s="161"/>
      <c r="AP242" s="161"/>
      <c r="AQ242" s="161"/>
      <c r="AR242" s="161"/>
      <c r="AS242" s="161"/>
      <c r="AT242" s="161"/>
      <c r="AU242" s="161"/>
      <c r="AV242" s="161"/>
      <c r="AW242" s="161"/>
      <c r="AX242" s="161"/>
      <c r="AY242" s="161"/>
      <c r="AZ242" s="161"/>
      <c r="BA242" s="161"/>
      <c r="BB242" s="161"/>
      <c r="BC242" s="161"/>
      <c r="BD242" s="161"/>
    </row>
    <row r="243" spans="1:56" x14ac:dyDescent="0.2">
      <c r="A243" s="161"/>
      <c r="B243" s="161"/>
      <c r="C243" s="161"/>
      <c r="D243" s="161"/>
      <c r="E243" s="162"/>
      <c r="F243" s="161"/>
      <c r="G243" s="161"/>
      <c r="H243" s="161"/>
      <c r="I243" s="161"/>
      <c r="J243" s="161"/>
      <c r="K243" s="161"/>
      <c r="L243" s="161"/>
      <c r="M243" s="161"/>
      <c r="N243" s="161"/>
      <c r="O243" s="161"/>
      <c r="P243" s="161"/>
      <c r="Q243" s="160"/>
      <c r="R243" s="161"/>
      <c r="S243" s="161"/>
      <c r="T243" s="161"/>
      <c r="U243" s="161"/>
      <c r="V243" s="161"/>
      <c r="W243" s="161"/>
      <c r="X243" s="161"/>
      <c r="Y243" s="161"/>
      <c r="Z243" s="161"/>
      <c r="AA243" s="161"/>
      <c r="AB243" s="161"/>
      <c r="AC243" s="161"/>
      <c r="AD243" s="161"/>
      <c r="AE243" s="161"/>
      <c r="AF243" s="161"/>
      <c r="AG243" s="161"/>
      <c r="AH243" s="161"/>
      <c r="AI243" s="161"/>
      <c r="AJ243" s="161"/>
      <c r="AK243" s="161"/>
      <c r="AL243" s="161"/>
      <c r="AM243" s="161"/>
      <c r="AN243" s="161"/>
      <c r="AO243" s="161"/>
      <c r="AP243" s="161"/>
      <c r="AQ243" s="161"/>
      <c r="AR243" s="161"/>
      <c r="AS243" s="161"/>
      <c r="AT243" s="161"/>
      <c r="AU243" s="161"/>
      <c r="AV243" s="161"/>
      <c r="AW243" s="161"/>
      <c r="AX243" s="161"/>
      <c r="AY243" s="161"/>
      <c r="AZ243" s="161"/>
      <c r="BA243" s="161"/>
      <c r="BB243" s="161"/>
      <c r="BC243" s="161"/>
      <c r="BD243" s="161"/>
    </row>
    <row r="244" spans="1:56" x14ac:dyDescent="0.2">
      <c r="A244" s="161"/>
      <c r="B244" s="161"/>
      <c r="C244" s="161"/>
      <c r="D244" s="161"/>
      <c r="E244" s="162"/>
      <c r="F244" s="161"/>
      <c r="G244" s="161"/>
      <c r="H244" s="161"/>
      <c r="I244" s="161"/>
      <c r="J244" s="161"/>
      <c r="K244" s="161"/>
      <c r="L244" s="161"/>
      <c r="M244" s="161"/>
      <c r="N244" s="161"/>
      <c r="O244" s="161"/>
      <c r="P244" s="161"/>
      <c r="Q244" s="160"/>
      <c r="R244" s="161"/>
      <c r="S244" s="161"/>
      <c r="T244" s="161"/>
      <c r="U244" s="161"/>
      <c r="V244" s="161"/>
      <c r="W244" s="161"/>
      <c r="X244" s="161"/>
      <c r="Y244" s="161"/>
      <c r="Z244" s="161"/>
      <c r="AA244" s="161"/>
      <c r="AB244" s="161"/>
      <c r="AC244" s="161"/>
      <c r="AD244" s="161"/>
      <c r="AE244" s="161"/>
      <c r="AF244" s="161"/>
      <c r="AG244" s="161"/>
      <c r="AH244" s="161"/>
      <c r="AI244" s="161"/>
      <c r="AJ244" s="161"/>
      <c r="AK244" s="161"/>
      <c r="AL244" s="161"/>
      <c r="AM244" s="161"/>
      <c r="AN244" s="161"/>
      <c r="AO244" s="161"/>
      <c r="AP244" s="161"/>
      <c r="AQ244" s="161"/>
      <c r="AR244" s="161"/>
      <c r="AS244" s="161"/>
      <c r="AT244" s="161"/>
      <c r="AU244" s="161"/>
      <c r="AV244" s="161"/>
      <c r="AW244" s="161"/>
      <c r="AX244" s="161"/>
      <c r="AY244" s="161"/>
      <c r="AZ244" s="161"/>
      <c r="BA244" s="161"/>
      <c r="BB244" s="161"/>
      <c r="BC244" s="161"/>
      <c r="BD244" s="161"/>
    </row>
    <row r="245" spans="1:56" x14ac:dyDescent="0.2">
      <c r="A245" s="161"/>
      <c r="B245" s="161"/>
      <c r="C245" s="161"/>
      <c r="D245" s="161"/>
      <c r="E245" s="162"/>
      <c r="F245" s="161"/>
      <c r="G245" s="161"/>
      <c r="H245" s="161"/>
      <c r="I245" s="161"/>
      <c r="J245" s="161"/>
      <c r="K245" s="161"/>
      <c r="L245" s="161"/>
      <c r="M245" s="161"/>
      <c r="N245" s="161"/>
      <c r="O245" s="161"/>
      <c r="P245" s="161"/>
      <c r="Q245" s="160"/>
      <c r="R245" s="161"/>
      <c r="S245" s="161"/>
      <c r="T245" s="161"/>
      <c r="U245" s="161"/>
      <c r="V245" s="161"/>
      <c r="W245" s="161"/>
      <c r="X245" s="161"/>
      <c r="Y245" s="161"/>
      <c r="Z245" s="161"/>
      <c r="AA245" s="161"/>
      <c r="AB245" s="161"/>
      <c r="AC245" s="161"/>
      <c r="AD245" s="161"/>
      <c r="AE245" s="161"/>
      <c r="AF245" s="161"/>
      <c r="AG245" s="161"/>
      <c r="AH245" s="161"/>
      <c r="AI245" s="161"/>
      <c r="AJ245" s="161"/>
      <c r="AK245" s="161"/>
      <c r="AL245" s="161"/>
      <c r="AM245" s="161"/>
      <c r="AN245" s="161"/>
      <c r="AO245" s="161"/>
      <c r="AP245" s="161"/>
      <c r="AQ245" s="161"/>
      <c r="AR245" s="161"/>
      <c r="AS245" s="161"/>
      <c r="AT245" s="161"/>
      <c r="AU245" s="161"/>
      <c r="AV245" s="161"/>
      <c r="AW245" s="161"/>
      <c r="AX245" s="161"/>
      <c r="AY245" s="161"/>
      <c r="AZ245" s="161"/>
      <c r="BA245" s="161"/>
      <c r="BB245" s="161"/>
      <c r="BC245" s="161"/>
      <c r="BD245" s="161"/>
    </row>
    <row r="246" spans="1:56" x14ac:dyDescent="0.2">
      <c r="A246" s="161"/>
      <c r="B246" s="161"/>
      <c r="C246" s="161"/>
      <c r="D246" s="161"/>
      <c r="E246" s="162"/>
      <c r="F246" s="161"/>
      <c r="G246" s="161"/>
      <c r="H246" s="161"/>
      <c r="I246" s="161"/>
      <c r="J246" s="161"/>
      <c r="K246" s="161"/>
      <c r="L246" s="161"/>
      <c r="M246" s="161"/>
      <c r="N246" s="161"/>
      <c r="O246" s="161"/>
      <c r="P246" s="161"/>
      <c r="Q246" s="160"/>
      <c r="R246" s="161"/>
      <c r="S246" s="161"/>
      <c r="T246" s="161"/>
      <c r="U246" s="161"/>
      <c r="V246" s="161"/>
      <c r="W246" s="161"/>
      <c r="X246" s="161"/>
      <c r="Y246" s="161"/>
      <c r="Z246" s="161"/>
      <c r="AA246" s="161"/>
      <c r="AB246" s="161"/>
      <c r="AC246" s="161"/>
      <c r="AD246" s="161"/>
      <c r="AE246" s="161"/>
      <c r="AF246" s="161"/>
      <c r="AG246" s="161"/>
      <c r="AH246" s="161"/>
      <c r="AI246" s="161"/>
      <c r="AJ246" s="161"/>
      <c r="AK246" s="161"/>
      <c r="AL246" s="161"/>
      <c r="AM246" s="161"/>
      <c r="AN246" s="161"/>
      <c r="AO246" s="161"/>
      <c r="AP246" s="161"/>
      <c r="AQ246" s="161"/>
      <c r="AR246" s="161"/>
      <c r="AS246" s="161"/>
      <c r="AT246" s="161"/>
      <c r="AU246" s="161"/>
      <c r="AV246" s="161"/>
      <c r="AW246" s="161"/>
      <c r="AX246" s="161"/>
      <c r="AY246" s="161"/>
      <c r="AZ246" s="161"/>
      <c r="BA246" s="161"/>
      <c r="BB246" s="161"/>
      <c r="BC246" s="161"/>
      <c r="BD246" s="161"/>
    </row>
    <row r="247" spans="1:56" x14ac:dyDescent="0.2">
      <c r="A247" s="161"/>
      <c r="B247" s="161"/>
      <c r="C247" s="161"/>
      <c r="D247" s="161"/>
      <c r="E247" s="162"/>
      <c r="F247" s="161"/>
      <c r="G247" s="161"/>
      <c r="H247" s="161"/>
      <c r="I247" s="161"/>
      <c r="J247" s="161"/>
      <c r="K247" s="161"/>
      <c r="L247" s="161"/>
      <c r="M247" s="161"/>
      <c r="N247" s="161"/>
      <c r="O247" s="161"/>
      <c r="P247" s="161"/>
      <c r="Q247" s="160"/>
      <c r="R247" s="161"/>
      <c r="S247" s="161"/>
      <c r="T247" s="161"/>
      <c r="U247" s="161"/>
      <c r="V247" s="161"/>
      <c r="W247" s="161"/>
      <c r="X247" s="161"/>
      <c r="Y247" s="161"/>
      <c r="Z247" s="161"/>
      <c r="AA247" s="161"/>
      <c r="AB247" s="161"/>
      <c r="AC247" s="161"/>
      <c r="AD247" s="161"/>
      <c r="AE247" s="161"/>
      <c r="AF247" s="161"/>
      <c r="AG247" s="161"/>
      <c r="AH247" s="161"/>
      <c r="AI247" s="161"/>
      <c r="AJ247" s="161"/>
      <c r="AK247" s="161"/>
      <c r="AL247" s="161"/>
      <c r="AM247" s="161"/>
      <c r="AN247" s="161"/>
      <c r="AO247" s="161"/>
      <c r="AP247" s="161"/>
      <c r="AQ247" s="161"/>
      <c r="AR247" s="161"/>
      <c r="AS247" s="161"/>
      <c r="AT247" s="161"/>
      <c r="AU247" s="161"/>
      <c r="AV247" s="161"/>
      <c r="AW247" s="161"/>
      <c r="AX247" s="161"/>
      <c r="AY247" s="161"/>
      <c r="AZ247" s="161"/>
      <c r="BA247" s="161"/>
      <c r="BB247" s="161"/>
      <c r="BC247" s="161"/>
      <c r="BD247" s="161"/>
    </row>
    <row r="248" spans="1:56" x14ac:dyDescent="0.2">
      <c r="A248" s="161"/>
      <c r="B248" s="161"/>
      <c r="C248" s="161"/>
      <c r="D248" s="161"/>
      <c r="E248" s="162"/>
      <c r="F248" s="161"/>
      <c r="G248" s="161"/>
      <c r="H248" s="161"/>
      <c r="I248" s="161"/>
      <c r="J248" s="161"/>
      <c r="K248" s="161"/>
      <c r="L248" s="161"/>
      <c r="M248" s="161"/>
      <c r="N248" s="161"/>
      <c r="O248" s="161"/>
      <c r="P248" s="161"/>
      <c r="Q248" s="160"/>
      <c r="R248" s="161"/>
      <c r="S248" s="161"/>
      <c r="T248" s="161"/>
      <c r="U248" s="161"/>
      <c r="V248" s="161"/>
      <c r="W248" s="161"/>
      <c r="X248" s="161"/>
      <c r="Y248" s="161"/>
      <c r="Z248" s="161"/>
      <c r="AA248" s="161"/>
      <c r="AB248" s="161"/>
      <c r="AC248" s="161"/>
      <c r="AD248" s="161"/>
      <c r="AE248" s="161"/>
      <c r="AF248" s="161"/>
      <c r="AG248" s="161"/>
      <c r="AH248" s="161"/>
      <c r="AI248" s="161"/>
      <c r="AJ248" s="161"/>
      <c r="AK248" s="161"/>
      <c r="AL248" s="161"/>
      <c r="AM248" s="161"/>
      <c r="AN248" s="161"/>
      <c r="AO248" s="161"/>
      <c r="AP248" s="161"/>
      <c r="AQ248" s="161"/>
      <c r="AR248" s="161"/>
      <c r="AS248" s="161"/>
      <c r="AT248" s="161"/>
      <c r="AU248" s="161"/>
      <c r="AV248" s="161"/>
      <c r="AW248" s="161"/>
      <c r="AX248" s="161"/>
      <c r="AY248" s="161"/>
      <c r="AZ248" s="161"/>
      <c r="BA248" s="161"/>
      <c r="BB248" s="161"/>
      <c r="BC248" s="161"/>
      <c r="BD248" s="161"/>
    </row>
    <row r="249" spans="1:56" x14ac:dyDescent="0.2">
      <c r="A249" s="161"/>
      <c r="B249" s="161"/>
      <c r="C249" s="161"/>
      <c r="D249" s="161"/>
      <c r="E249" s="162"/>
      <c r="F249" s="161"/>
      <c r="G249" s="161"/>
      <c r="H249" s="161"/>
      <c r="I249" s="161"/>
      <c r="J249" s="161"/>
      <c r="K249" s="161"/>
      <c r="L249" s="161"/>
      <c r="M249" s="161"/>
      <c r="N249" s="161"/>
      <c r="O249" s="161"/>
      <c r="P249" s="161"/>
      <c r="Q249" s="160"/>
      <c r="R249" s="161"/>
      <c r="S249" s="161"/>
      <c r="T249" s="161"/>
      <c r="U249" s="161"/>
      <c r="V249" s="161"/>
      <c r="W249" s="161"/>
      <c r="X249" s="161"/>
      <c r="Y249" s="161"/>
      <c r="Z249" s="161"/>
      <c r="AA249" s="161"/>
      <c r="AB249" s="161"/>
      <c r="AC249" s="161"/>
      <c r="AD249" s="161"/>
      <c r="AE249" s="161"/>
      <c r="AF249" s="161"/>
      <c r="AG249" s="161"/>
      <c r="AH249" s="161"/>
      <c r="AI249" s="161"/>
      <c r="AJ249" s="161"/>
      <c r="AK249" s="161"/>
      <c r="AL249" s="161"/>
      <c r="AM249" s="161"/>
      <c r="AN249" s="161"/>
      <c r="AO249" s="161"/>
      <c r="AP249" s="161"/>
      <c r="AQ249" s="161"/>
      <c r="AR249" s="161"/>
      <c r="AS249" s="161"/>
      <c r="AT249" s="161"/>
      <c r="AU249" s="161"/>
      <c r="AV249" s="161"/>
      <c r="AW249" s="161"/>
      <c r="AX249" s="161"/>
      <c r="AY249" s="161"/>
      <c r="AZ249" s="161"/>
      <c r="BA249" s="161"/>
      <c r="BB249" s="161"/>
      <c r="BC249" s="161"/>
      <c r="BD249" s="161"/>
    </row>
    <row r="250" spans="1:56" x14ac:dyDescent="0.2">
      <c r="A250" s="161"/>
      <c r="B250" s="161"/>
      <c r="C250" s="161"/>
      <c r="D250" s="161"/>
      <c r="E250" s="162"/>
      <c r="F250" s="161"/>
      <c r="G250" s="161"/>
      <c r="H250" s="161"/>
      <c r="I250" s="161"/>
      <c r="J250" s="161"/>
      <c r="K250" s="161"/>
      <c r="L250" s="161"/>
      <c r="M250" s="161"/>
      <c r="N250" s="161"/>
      <c r="O250" s="161"/>
      <c r="P250" s="161"/>
      <c r="Q250" s="160"/>
      <c r="R250" s="161"/>
      <c r="S250" s="161"/>
      <c r="T250" s="161"/>
      <c r="U250" s="161"/>
      <c r="V250" s="161"/>
      <c r="W250" s="161"/>
      <c r="X250" s="161"/>
      <c r="Y250" s="161"/>
      <c r="Z250" s="161"/>
      <c r="AA250" s="161"/>
      <c r="AB250" s="161"/>
      <c r="AC250" s="161"/>
      <c r="AD250" s="161"/>
      <c r="AE250" s="161"/>
      <c r="AF250" s="161"/>
      <c r="AG250" s="161"/>
      <c r="AH250" s="161"/>
      <c r="AI250" s="161"/>
      <c r="AJ250" s="161"/>
      <c r="AK250" s="161"/>
      <c r="AL250" s="161"/>
      <c r="AM250" s="161"/>
      <c r="AN250" s="161"/>
      <c r="AO250" s="161"/>
      <c r="AP250" s="161"/>
      <c r="AQ250" s="161"/>
      <c r="AR250" s="161"/>
      <c r="AS250" s="161"/>
      <c r="AT250" s="161"/>
      <c r="AU250" s="161"/>
      <c r="AV250" s="161"/>
      <c r="AW250" s="161"/>
      <c r="AX250" s="161"/>
      <c r="AY250" s="161"/>
      <c r="AZ250" s="161"/>
      <c r="BA250" s="161"/>
      <c r="BB250" s="161"/>
      <c r="BC250" s="161"/>
      <c r="BD250" s="161"/>
    </row>
    <row r="251" spans="1:56" x14ac:dyDescent="0.2">
      <c r="A251" s="161"/>
      <c r="B251" s="161"/>
      <c r="C251" s="161"/>
      <c r="D251" s="161"/>
      <c r="E251" s="162"/>
      <c r="F251" s="161"/>
      <c r="G251" s="161"/>
      <c r="H251" s="161"/>
      <c r="I251" s="161"/>
      <c r="J251" s="161"/>
      <c r="K251" s="161"/>
      <c r="L251" s="161"/>
      <c r="M251" s="161"/>
      <c r="N251" s="161"/>
      <c r="O251" s="161"/>
      <c r="P251" s="161"/>
      <c r="Q251" s="160"/>
      <c r="R251" s="161"/>
      <c r="S251" s="161"/>
      <c r="T251" s="161"/>
      <c r="U251" s="161"/>
      <c r="V251" s="161"/>
      <c r="W251" s="161"/>
      <c r="X251" s="161"/>
      <c r="Y251" s="161"/>
      <c r="Z251" s="161"/>
      <c r="AA251" s="161"/>
      <c r="AB251" s="161"/>
      <c r="AC251" s="161"/>
      <c r="AD251" s="161"/>
      <c r="AE251" s="161"/>
      <c r="AF251" s="161"/>
      <c r="AG251" s="161"/>
      <c r="AH251" s="161"/>
      <c r="AI251" s="161"/>
      <c r="AJ251" s="161"/>
      <c r="AK251" s="161"/>
      <c r="AL251" s="161"/>
      <c r="AM251" s="161"/>
      <c r="AN251" s="161"/>
      <c r="AO251" s="161"/>
      <c r="AP251" s="161"/>
      <c r="AQ251" s="161"/>
      <c r="AR251" s="161"/>
      <c r="AS251" s="161"/>
      <c r="AT251" s="161"/>
      <c r="AU251" s="161"/>
      <c r="AV251" s="161"/>
      <c r="AW251" s="161"/>
      <c r="AX251" s="161"/>
      <c r="AY251" s="161"/>
      <c r="AZ251" s="161"/>
      <c r="BA251" s="161"/>
      <c r="BB251" s="161"/>
      <c r="BC251" s="161"/>
      <c r="BD251" s="161"/>
    </row>
    <row r="252" spans="1:56" x14ac:dyDescent="0.2">
      <c r="A252" s="161"/>
      <c r="B252" s="161"/>
      <c r="C252" s="161"/>
      <c r="D252" s="161"/>
      <c r="E252" s="162"/>
      <c r="F252" s="161"/>
      <c r="G252" s="161"/>
      <c r="H252" s="161"/>
      <c r="I252" s="161"/>
      <c r="J252" s="161"/>
      <c r="K252" s="161"/>
      <c r="L252" s="161"/>
      <c r="M252" s="161"/>
      <c r="N252" s="161"/>
      <c r="O252" s="161"/>
      <c r="P252" s="161"/>
      <c r="Q252" s="160"/>
      <c r="R252" s="161"/>
      <c r="S252" s="161"/>
      <c r="T252" s="161"/>
      <c r="U252" s="161"/>
      <c r="V252" s="161"/>
      <c r="W252" s="161"/>
      <c r="X252" s="161"/>
      <c r="Y252" s="161"/>
      <c r="Z252" s="161"/>
      <c r="AA252" s="161"/>
      <c r="AB252" s="161"/>
      <c r="AC252" s="161"/>
      <c r="AD252" s="161"/>
      <c r="AE252" s="161"/>
      <c r="AF252" s="161"/>
      <c r="AG252" s="161"/>
      <c r="AH252" s="161"/>
      <c r="AI252" s="161"/>
      <c r="AJ252" s="161"/>
      <c r="AK252" s="161"/>
      <c r="AL252" s="161"/>
      <c r="AM252" s="161"/>
      <c r="AN252" s="161"/>
      <c r="AO252" s="161"/>
      <c r="AP252" s="161"/>
      <c r="AQ252" s="161"/>
      <c r="AR252" s="161"/>
      <c r="AS252" s="161"/>
      <c r="AT252" s="161"/>
      <c r="AU252" s="161"/>
      <c r="AV252" s="161"/>
      <c r="AW252" s="161"/>
      <c r="AX252" s="161"/>
      <c r="AY252" s="161"/>
      <c r="AZ252" s="161"/>
      <c r="BA252" s="161"/>
      <c r="BB252" s="161"/>
      <c r="BC252" s="161"/>
      <c r="BD252" s="161"/>
    </row>
    <row r="253" spans="1:56" x14ac:dyDescent="0.2">
      <c r="A253" s="161"/>
      <c r="B253" s="161"/>
      <c r="C253" s="161"/>
      <c r="D253" s="161"/>
      <c r="E253" s="162"/>
      <c r="F253" s="161"/>
      <c r="G253" s="161"/>
      <c r="H253" s="161"/>
      <c r="I253" s="161"/>
      <c r="J253" s="161"/>
      <c r="K253" s="161"/>
      <c r="L253" s="161"/>
      <c r="M253" s="161"/>
      <c r="N253" s="161"/>
      <c r="O253" s="161"/>
      <c r="P253" s="161"/>
      <c r="Q253" s="160"/>
      <c r="R253" s="161"/>
      <c r="S253" s="161"/>
      <c r="T253" s="161"/>
      <c r="U253" s="161"/>
      <c r="V253" s="161"/>
      <c r="W253" s="161"/>
      <c r="X253" s="161"/>
      <c r="Y253" s="161"/>
      <c r="Z253" s="161"/>
      <c r="AA253" s="161"/>
      <c r="AB253" s="161"/>
      <c r="AC253" s="161"/>
      <c r="AD253" s="161"/>
      <c r="AE253" s="161"/>
      <c r="AF253" s="161"/>
      <c r="AG253" s="161"/>
      <c r="AH253" s="161"/>
      <c r="AI253" s="161"/>
      <c r="AJ253" s="161"/>
      <c r="AK253" s="161"/>
      <c r="AL253" s="161"/>
      <c r="AM253" s="161"/>
      <c r="AN253" s="161"/>
      <c r="AO253" s="161"/>
      <c r="AP253" s="161"/>
      <c r="AQ253" s="161"/>
      <c r="AR253" s="161"/>
      <c r="AS253" s="161"/>
      <c r="AT253" s="161"/>
      <c r="AU253" s="161"/>
      <c r="AV253" s="161"/>
      <c r="AW253" s="161"/>
      <c r="AX253" s="161"/>
      <c r="AY253" s="161"/>
      <c r="AZ253" s="161"/>
      <c r="BA253" s="161"/>
      <c r="BB253" s="161"/>
      <c r="BC253" s="161"/>
      <c r="BD253" s="161"/>
    </row>
    <row r="254" spans="1:56" x14ac:dyDescent="0.2">
      <c r="A254" s="161"/>
      <c r="B254" s="161"/>
      <c r="C254" s="161"/>
      <c r="D254" s="161"/>
      <c r="E254" s="162"/>
      <c r="F254" s="161"/>
      <c r="G254" s="161"/>
      <c r="H254" s="161"/>
      <c r="I254" s="161"/>
      <c r="J254" s="161"/>
      <c r="K254" s="161"/>
      <c r="L254" s="161"/>
      <c r="M254" s="161"/>
      <c r="N254" s="161"/>
      <c r="O254" s="161"/>
      <c r="P254" s="161"/>
      <c r="Q254" s="160"/>
      <c r="R254" s="161"/>
      <c r="S254" s="161"/>
      <c r="T254" s="161"/>
      <c r="U254" s="161"/>
      <c r="V254" s="161"/>
      <c r="W254" s="161"/>
      <c r="X254" s="161"/>
      <c r="Y254" s="161"/>
      <c r="Z254" s="161"/>
      <c r="AA254" s="161"/>
      <c r="AB254" s="161"/>
      <c r="AC254" s="161"/>
      <c r="AD254" s="161"/>
      <c r="AE254" s="161"/>
      <c r="AF254" s="161"/>
      <c r="AG254" s="161"/>
      <c r="AH254" s="161"/>
      <c r="AI254" s="161"/>
      <c r="AJ254" s="161"/>
      <c r="AK254" s="161"/>
      <c r="AL254" s="161"/>
      <c r="AM254" s="161"/>
      <c r="AN254" s="161"/>
      <c r="AO254" s="161"/>
      <c r="AP254" s="161"/>
      <c r="AQ254" s="161"/>
      <c r="AR254" s="161"/>
      <c r="AS254" s="161"/>
      <c r="AT254" s="161"/>
      <c r="AU254" s="161"/>
      <c r="AV254" s="161"/>
      <c r="AW254" s="161"/>
      <c r="AX254" s="161"/>
      <c r="AY254" s="161"/>
      <c r="AZ254" s="161"/>
      <c r="BA254" s="161"/>
      <c r="BB254" s="161"/>
      <c r="BC254" s="161"/>
      <c r="BD254" s="161"/>
    </row>
    <row r="255" spans="1:56" x14ac:dyDescent="0.2">
      <c r="A255" s="161"/>
      <c r="B255" s="161"/>
      <c r="C255" s="161"/>
      <c r="D255" s="161"/>
      <c r="E255" s="162"/>
      <c r="F255" s="161"/>
      <c r="G255" s="161"/>
      <c r="H255" s="161"/>
      <c r="I255" s="161"/>
      <c r="J255" s="161"/>
      <c r="K255" s="161"/>
      <c r="L255" s="161"/>
      <c r="M255" s="161"/>
      <c r="N255" s="161"/>
      <c r="O255" s="161"/>
      <c r="P255" s="161"/>
      <c r="Q255" s="160"/>
      <c r="R255" s="161"/>
      <c r="S255" s="161"/>
      <c r="T255" s="161"/>
      <c r="U255" s="161"/>
      <c r="V255" s="161"/>
      <c r="W255" s="161"/>
      <c r="X255" s="161"/>
      <c r="Y255" s="161"/>
      <c r="Z255" s="161"/>
      <c r="AA255" s="161"/>
      <c r="AB255" s="161"/>
      <c r="AC255" s="161"/>
      <c r="AD255" s="161"/>
      <c r="AE255" s="161"/>
      <c r="AF255" s="161"/>
      <c r="AG255" s="161"/>
      <c r="AH255" s="161"/>
      <c r="AI255" s="161"/>
      <c r="AJ255" s="161"/>
      <c r="AK255" s="161"/>
      <c r="AL255" s="161"/>
      <c r="AM255" s="161"/>
      <c r="AN255" s="161"/>
      <c r="AO255" s="161"/>
      <c r="AP255" s="161"/>
      <c r="AQ255" s="161"/>
      <c r="AR255" s="161"/>
      <c r="AS255" s="161"/>
      <c r="AT255" s="161"/>
      <c r="AU255" s="161"/>
      <c r="AV255" s="161"/>
      <c r="AW255" s="161"/>
      <c r="AX255" s="161"/>
      <c r="AY255" s="161"/>
      <c r="AZ255" s="161"/>
      <c r="BA255" s="161"/>
      <c r="BB255" s="161"/>
      <c r="BC255" s="161"/>
      <c r="BD255" s="161"/>
    </row>
    <row r="256" spans="1:56" x14ac:dyDescent="0.2">
      <c r="A256" s="161"/>
      <c r="B256" s="161"/>
      <c r="C256" s="161"/>
      <c r="D256" s="161"/>
      <c r="E256" s="162"/>
      <c r="F256" s="161"/>
      <c r="G256" s="161"/>
      <c r="H256" s="161"/>
      <c r="I256" s="161"/>
      <c r="J256" s="161"/>
      <c r="K256" s="161"/>
      <c r="L256" s="161"/>
      <c r="M256" s="161"/>
      <c r="N256" s="161"/>
      <c r="O256" s="161"/>
      <c r="P256" s="161"/>
      <c r="Q256" s="160"/>
      <c r="R256" s="161"/>
      <c r="S256" s="161"/>
      <c r="T256" s="161"/>
      <c r="U256" s="161"/>
      <c r="V256" s="161"/>
      <c r="W256" s="161"/>
      <c r="X256" s="161"/>
      <c r="Y256" s="161"/>
      <c r="Z256" s="161"/>
      <c r="AA256" s="161"/>
      <c r="AB256" s="161"/>
      <c r="AC256" s="161"/>
      <c r="AD256" s="161"/>
      <c r="AE256" s="161"/>
      <c r="AF256" s="161"/>
      <c r="AG256" s="161"/>
      <c r="AH256" s="161"/>
      <c r="AI256" s="161"/>
      <c r="AJ256" s="161"/>
      <c r="AK256" s="161"/>
      <c r="AL256" s="161"/>
      <c r="AM256" s="161"/>
      <c r="AN256" s="161"/>
      <c r="AO256" s="161"/>
      <c r="AP256" s="161"/>
      <c r="AQ256" s="161"/>
      <c r="AR256" s="161"/>
      <c r="AS256" s="161"/>
      <c r="AT256" s="161"/>
      <c r="AU256" s="161"/>
      <c r="AV256" s="161"/>
      <c r="AW256" s="161"/>
      <c r="AX256" s="161"/>
      <c r="AY256" s="161"/>
      <c r="AZ256" s="161"/>
      <c r="BA256" s="161"/>
      <c r="BB256" s="161"/>
      <c r="BC256" s="161"/>
      <c r="BD256" s="161"/>
    </row>
    <row r="257" spans="1:56" x14ac:dyDescent="0.2">
      <c r="A257" s="161"/>
      <c r="B257" s="161"/>
      <c r="C257" s="161"/>
      <c r="D257" s="161"/>
      <c r="E257" s="162"/>
      <c r="F257" s="161"/>
      <c r="G257" s="161"/>
      <c r="H257" s="161"/>
      <c r="I257" s="161"/>
      <c r="J257" s="161"/>
      <c r="K257" s="161"/>
      <c r="L257" s="161"/>
      <c r="M257" s="161"/>
      <c r="N257" s="161"/>
      <c r="O257" s="161"/>
      <c r="P257" s="161"/>
      <c r="Q257" s="160"/>
      <c r="R257" s="161"/>
      <c r="S257" s="161"/>
      <c r="T257" s="161"/>
      <c r="U257" s="161"/>
      <c r="V257" s="161"/>
      <c r="W257" s="161"/>
      <c r="X257" s="161"/>
      <c r="Y257" s="161"/>
      <c r="Z257" s="161"/>
      <c r="AA257" s="161"/>
      <c r="AB257" s="161"/>
      <c r="AC257" s="161"/>
      <c r="AD257" s="161"/>
      <c r="AE257" s="161"/>
      <c r="AF257" s="161"/>
      <c r="AG257" s="161"/>
      <c r="AH257" s="161"/>
      <c r="AI257" s="161"/>
      <c r="AJ257" s="161"/>
      <c r="AK257" s="161"/>
      <c r="AL257" s="161"/>
      <c r="AM257" s="161"/>
      <c r="AN257" s="161"/>
      <c r="AO257" s="161"/>
      <c r="AP257" s="161"/>
      <c r="AQ257" s="161"/>
      <c r="AR257" s="161"/>
      <c r="AS257" s="161"/>
      <c r="AT257" s="161"/>
      <c r="AU257" s="161"/>
      <c r="AV257" s="161"/>
      <c r="AW257" s="161"/>
      <c r="AX257" s="161"/>
      <c r="AY257" s="161"/>
      <c r="AZ257" s="161"/>
      <c r="BA257" s="161"/>
      <c r="BB257" s="161"/>
      <c r="BC257" s="161"/>
      <c r="BD257" s="161"/>
    </row>
    <row r="258" spans="1:56" x14ac:dyDescent="0.2">
      <c r="A258" s="161"/>
      <c r="B258" s="161"/>
      <c r="C258" s="161"/>
      <c r="D258" s="161"/>
      <c r="E258" s="162"/>
      <c r="F258" s="161"/>
      <c r="G258" s="161"/>
      <c r="H258" s="161"/>
      <c r="I258" s="161"/>
      <c r="J258" s="161"/>
      <c r="K258" s="161"/>
      <c r="L258" s="161"/>
      <c r="M258" s="161"/>
      <c r="N258" s="161"/>
      <c r="O258" s="161"/>
      <c r="P258" s="161"/>
      <c r="Q258" s="160"/>
      <c r="R258" s="161"/>
      <c r="S258" s="161"/>
      <c r="T258" s="161"/>
      <c r="U258" s="161"/>
      <c r="V258" s="161"/>
      <c r="W258" s="161"/>
      <c r="X258" s="161"/>
      <c r="Y258" s="161"/>
      <c r="Z258" s="161"/>
      <c r="AA258" s="161"/>
      <c r="AB258" s="161"/>
      <c r="AC258" s="161"/>
      <c r="AD258" s="161"/>
      <c r="AE258" s="161"/>
      <c r="AF258" s="161"/>
      <c r="AG258" s="161"/>
      <c r="AH258" s="161"/>
      <c r="AI258" s="161"/>
      <c r="AJ258" s="161"/>
      <c r="AK258" s="161"/>
      <c r="AL258" s="161"/>
      <c r="AM258" s="161"/>
      <c r="AN258" s="161"/>
      <c r="AO258" s="161"/>
      <c r="AP258" s="161"/>
      <c r="AQ258" s="161"/>
      <c r="AR258" s="161"/>
      <c r="AS258" s="161"/>
      <c r="AT258" s="161"/>
      <c r="AU258" s="161"/>
      <c r="AV258" s="161"/>
      <c r="AW258" s="161"/>
      <c r="AX258" s="161"/>
      <c r="AY258" s="161"/>
      <c r="AZ258" s="161"/>
      <c r="BA258" s="161"/>
      <c r="BB258" s="161"/>
      <c r="BC258" s="161"/>
      <c r="BD258" s="161"/>
    </row>
    <row r="259" spans="1:56" x14ac:dyDescent="0.2">
      <c r="A259" s="161"/>
      <c r="B259" s="161"/>
      <c r="C259" s="161"/>
      <c r="D259" s="161"/>
      <c r="E259" s="162"/>
      <c r="F259" s="161"/>
      <c r="G259" s="161"/>
      <c r="H259" s="161"/>
      <c r="I259" s="161"/>
      <c r="J259" s="161"/>
      <c r="K259" s="161"/>
      <c r="L259" s="161"/>
      <c r="M259" s="161"/>
      <c r="N259" s="161"/>
      <c r="O259" s="161"/>
      <c r="P259" s="161"/>
      <c r="Q259" s="160"/>
      <c r="R259" s="161"/>
      <c r="S259" s="161"/>
      <c r="T259" s="161"/>
      <c r="U259" s="161"/>
      <c r="V259" s="161"/>
      <c r="W259" s="161"/>
      <c r="X259" s="161"/>
      <c r="Y259" s="161"/>
      <c r="Z259" s="161"/>
      <c r="AA259" s="161"/>
      <c r="AB259" s="161"/>
      <c r="AC259" s="161"/>
      <c r="AD259" s="161"/>
      <c r="AE259" s="161"/>
      <c r="AF259" s="161"/>
      <c r="AG259" s="161"/>
      <c r="AH259" s="161"/>
      <c r="AI259" s="161"/>
      <c r="AJ259" s="161"/>
      <c r="AK259" s="161"/>
      <c r="AL259" s="161"/>
      <c r="AM259" s="161"/>
      <c r="AN259" s="161"/>
      <c r="AO259" s="161"/>
      <c r="AP259" s="161"/>
      <c r="AQ259" s="161"/>
      <c r="AR259" s="161"/>
      <c r="AS259" s="161"/>
      <c r="AT259" s="161"/>
      <c r="AU259" s="161"/>
      <c r="AV259" s="161"/>
      <c r="AW259" s="161"/>
      <c r="AX259" s="161"/>
      <c r="AY259" s="161"/>
      <c r="AZ259" s="161"/>
      <c r="BA259" s="161"/>
      <c r="BB259" s="161"/>
      <c r="BC259" s="161"/>
      <c r="BD259" s="161"/>
    </row>
    <row r="260" spans="1:56" x14ac:dyDescent="0.2">
      <c r="A260" s="161"/>
      <c r="B260" s="161"/>
      <c r="C260" s="161"/>
      <c r="D260" s="161"/>
      <c r="E260" s="162"/>
      <c r="F260" s="161"/>
      <c r="G260" s="161"/>
      <c r="H260" s="161"/>
      <c r="I260" s="161"/>
      <c r="J260" s="161"/>
      <c r="K260" s="161"/>
      <c r="L260" s="161"/>
      <c r="M260" s="161"/>
      <c r="N260" s="161"/>
      <c r="O260" s="161"/>
      <c r="P260" s="161"/>
      <c r="Q260" s="160"/>
      <c r="R260" s="161"/>
      <c r="S260" s="161"/>
      <c r="T260" s="161"/>
      <c r="U260" s="161"/>
      <c r="V260" s="161"/>
      <c r="W260" s="161"/>
      <c r="X260" s="161"/>
      <c r="Y260" s="161"/>
      <c r="Z260" s="161"/>
      <c r="AA260" s="161"/>
      <c r="AB260" s="161"/>
      <c r="AC260" s="161"/>
      <c r="AD260" s="161"/>
      <c r="AE260" s="161"/>
      <c r="AF260" s="161"/>
      <c r="AG260" s="161"/>
      <c r="AH260" s="161"/>
      <c r="AI260" s="161"/>
      <c r="AJ260" s="161"/>
      <c r="AK260" s="161"/>
      <c r="AL260" s="161"/>
      <c r="AM260" s="161"/>
      <c r="AN260" s="161"/>
      <c r="AO260" s="161"/>
      <c r="AP260" s="161"/>
      <c r="AQ260" s="161"/>
      <c r="AR260" s="161"/>
      <c r="AS260" s="161"/>
      <c r="AT260" s="161"/>
      <c r="AU260" s="161"/>
      <c r="AV260" s="161"/>
      <c r="AW260" s="161"/>
      <c r="AX260" s="161"/>
      <c r="AY260" s="161"/>
      <c r="AZ260" s="161"/>
      <c r="BA260" s="161"/>
      <c r="BB260" s="161"/>
      <c r="BC260" s="161"/>
      <c r="BD260" s="161"/>
    </row>
    <row r="261" spans="1:56" x14ac:dyDescent="0.2">
      <c r="A261" s="161"/>
      <c r="B261" s="161"/>
      <c r="C261" s="161"/>
      <c r="D261" s="161"/>
      <c r="E261" s="162"/>
      <c r="F261" s="161"/>
      <c r="G261" s="161"/>
      <c r="H261" s="161"/>
      <c r="I261" s="161"/>
      <c r="J261" s="161"/>
      <c r="K261" s="161"/>
      <c r="L261" s="161"/>
      <c r="M261" s="161"/>
      <c r="N261" s="161"/>
      <c r="O261" s="161"/>
      <c r="P261" s="161"/>
      <c r="Q261" s="160"/>
      <c r="R261" s="161"/>
      <c r="S261" s="161"/>
      <c r="T261" s="161"/>
      <c r="U261" s="161"/>
      <c r="V261" s="161"/>
      <c r="W261" s="161"/>
      <c r="X261" s="161"/>
      <c r="Y261" s="161"/>
      <c r="Z261" s="161"/>
      <c r="AA261" s="161"/>
      <c r="AB261" s="161"/>
      <c r="AC261" s="161"/>
      <c r="AD261" s="161"/>
      <c r="AE261" s="161"/>
      <c r="AF261" s="161"/>
      <c r="AG261" s="161"/>
      <c r="AH261" s="161"/>
      <c r="AI261" s="161"/>
      <c r="AJ261" s="161"/>
      <c r="AK261" s="161"/>
      <c r="AL261" s="161"/>
      <c r="AM261" s="161"/>
      <c r="AN261" s="161"/>
      <c r="AO261" s="161"/>
      <c r="AP261" s="161"/>
      <c r="AQ261" s="161"/>
      <c r="AR261" s="161"/>
      <c r="AS261" s="161"/>
      <c r="AT261" s="161"/>
      <c r="AU261" s="161"/>
      <c r="AV261" s="161"/>
      <c r="AW261" s="161"/>
      <c r="AX261" s="161"/>
      <c r="AY261" s="161"/>
      <c r="AZ261" s="161"/>
      <c r="BA261" s="161"/>
      <c r="BB261" s="161"/>
      <c r="BC261" s="161"/>
      <c r="BD261" s="161"/>
    </row>
    <row r="262" spans="1:56" x14ac:dyDescent="0.2">
      <c r="A262" s="161"/>
      <c r="B262" s="161"/>
      <c r="C262" s="161"/>
      <c r="D262" s="161"/>
      <c r="E262" s="162"/>
      <c r="F262" s="161"/>
      <c r="G262" s="161"/>
      <c r="H262" s="161"/>
      <c r="I262" s="161"/>
      <c r="J262" s="161"/>
      <c r="K262" s="161"/>
      <c r="L262" s="161"/>
      <c r="M262" s="161"/>
      <c r="N262" s="161"/>
      <c r="O262" s="161"/>
      <c r="P262" s="161"/>
      <c r="Q262" s="160"/>
      <c r="R262" s="161"/>
      <c r="S262" s="161"/>
      <c r="T262" s="161"/>
      <c r="U262" s="161"/>
      <c r="V262" s="161"/>
      <c r="W262" s="161"/>
      <c r="X262" s="161"/>
      <c r="Y262" s="161"/>
      <c r="Z262" s="161"/>
      <c r="AA262" s="161"/>
      <c r="AB262" s="161"/>
      <c r="AC262" s="161"/>
      <c r="AD262" s="161"/>
      <c r="AE262" s="161"/>
      <c r="AF262" s="161"/>
      <c r="AG262" s="161"/>
      <c r="AH262" s="161"/>
      <c r="AI262" s="161"/>
      <c r="AJ262" s="161"/>
      <c r="AK262" s="161"/>
      <c r="AL262" s="161"/>
      <c r="AM262" s="161"/>
      <c r="AN262" s="161"/>
      <c r="AO262" s="161"/>
      <c r="AP262" s="161"/>
      <c r="AQ262" s="161"/>
      <c r="AR262" s="161"/>
      <c r="AS262" s="161"/>
      <c r="AT262" s="161"/>
      <c r="AU262" s="161"/>
      <c r="AV262" s="161"/>
      <c r="AW262" s="161"/>
      <c r="AX262" s="161"/>
      <c r="AY262" s="161"/>
      <c r="AZ262" s="161"/>
      <c r="BA262" s="161"/>
      <c r="BB262" s="161"/>
      <c r="BC262" s="161"/>
      <c r="BD262" s="161"/>
    </row>
    <row r="263" spans="1:56" x14ac:dyDescent="0.2">
      <c r="A263" s="161"/>
      <c r="B263" s="161"/>
      <c r="C263" s="161"/>
      <c r="D263" s="161"/>
      <c r="E263" s="162"/>
      <c r="F263" s="161"/>
      <c r="G263" s="161"/>
      <c r="H263" s="161"/>
      <c r="I263" s="161"/>
      <c r="J263" s="161"/>
      <c r="K263" s="161"/>
      <c r="L263" s="161"/>
      <c r="M263" s="161"/>
      <c r="N263" s="161"/>
      <c r="O263" s="161"/>
      <c r="P263" s="161"/>
      <c r="Q263" s="160"/>
      <c r="R263" s="161"/>
      <c r="S263" s="161"/>
      <c r="T263" s="161"/>
      <c r="U263" s="161"/>
      <c r="V263" s="161"/>
      <c r="W263" s="161"/>
      <c r="X263" s="161"/>
      <c r="Y263" s="161"/>
      <c r="Z263" s="161"/>
      <c r="AA263" s="161"/>
      <c r="AB263" s="161"/>
      <c r="AC263" s="161"/>
      <c r="AD263" s="161"/>
      <c r="AE263" s="161"/>
      <c r="AF263" s="161"/>
      <c r="AG263" s="161"/>
      <c r="AH263" s="161"/>
      <c r="AI263" s="161"/>
      <c r="AJ263" s="161"/>
      <c r="AK263" s="161"/>
      <c r="AL263" s="161"/>
      <c r="AM263" s="161"/>
      <c r="AN263" s="161"/>
      <c r="AO263" s="161"/>
      <c r="AP263" s="161"/>
      <c r="AQ263" s="161"/>
      <c r="AR263" s="161"/>
      <c r="AS263" s="161"/>
      <c r="AT263" s="161"/>
      <c r="AU263" s="161"/>
      <c r="AV263" s="161"/>
      <c r="AW263" s="161"/>
      <c r="AX263" s="161"/>
      <c r="AY263" s="161"/>
      <c r="AZ263" s="161"/>
      <c r="BA263" s="161"/>
      <c r="BB263" s="161"/>
      <c r="BC263" s="161"/>
      <c r="BD263" s="161"/>
    </row>
    <row r="264" spans="1:56" x14ac:dyDescent="0.2">
      <c r="A264" s="161"/>
      <c r="B264" s="161"/>
      <c r="C264" s="161"/>
      <c r="D264" s="161"/>
      <c r="E264" s="162"/>
      <c r="F264" s="161"/>
      <c r="G264" s="161"/>
      <c r="H264" s="161"/>
      <c r="I264" s="161"/>
      <c r="J264" s="161"/>
      <c r="K264" s="161"/>
      <c r="L264" s="161"/>
      <c r="M264" s="161"/>
      <c r="N264" s="161"/>
      <c r="O264" s="161"/>
      <c r="P264" s="161"/>
      <c r="Q264" s="160"/>
      <c r="R264" s="161"/>
      <c r="S264" s="161"/>
      <c r="T264" s="161"/>
      <c r="U264" s="161"/>
      <c r="V264" s="161"/>
      <c r="W264" s="161"/>
      <c r="X264" s="161"/>
      <c r="Y264" s="161"/>
      <c r="Z264" s="161"/>
      <c r="AA264" s="161"/>
      <c r="AB264" s="161"/>
      <c r="AC264" s="161"/>
      <c r="AD264" s="161"/>
      <c r="AE264" s="161"/>
      <c r="AF264" s="161"/>
      <c r="AG264" s="161"/>
      <c r="AH264" s="161"/>
      <c r="AI264" s="161"/>
      <c r="AJ264" s="161"/>
      <c r="AK264" s="161"/>
      <c r="AL264" s="161"/>
      <c r="AM264" s="161"/>
      <c r="AN264" s="161"/>
      <c r="AO264" s="161"/>
      <c r="AP264" s="161"/>
      <c r="AQ264" s="161"/>
      <c r="AR264" s="161"/>
      <c r="AS264" s="161"/>
      <c r="AT264" s="161"/>
      <c r="AU264" s="161"/>
      <c r="AV264" s="161"/>
      <c r="AW264" s="161"/>
      <c r="AX264" s="161"/>
      <c r="AY264" s="161"/>
      <c r="AZ264" s="161"/>
      <c r="BA264" s="161"/>
      <c r="BB264" s="161"/>
      <c r="BC264" s="161"/>
      <c r="BD264" s="161"/>
    </row>
    <row r="265" spans="1:56" x14ac:dyDescent="0.2">
      <c r="A265" s="161"/>
      <c r="B265" s="161"/>
      <c r="C265" s="161"/>
      <c r="D265" s="161"/>
      <c r="E265" s="162"/>
      <c r="F265" s="161"/>
      <c r="G265" s="161"/>
      <c r="H265" s="161"/>
      <c r="I265" s="161"/>
      <c r="J265" s="161"/>
      <c r="K265" s="161"/>
      <c r="L265" s="161"/>
      <c r="M265" s="161"/>
      <c r="N265" s="161"/>
      <c r="O265" s="161"/>
      <c r="P265" s="161"/>
      <c r="Q265" s="160"/>
      <c r="R265" s="161"/>
      <c r="S265" s="161"/>
      <c r="T265" s="161"/>
      <c r="U265" s="161"/>
      <c r="V265" s="161"/>
      <c r="W265" s="161"/>
      <c r="X265" s="161"/>
      <c r="Y265" s="161"/>
      <c r="Z265" s="161"/>
      <c r="AA265" s="161"/>
      <c r="AB265" s="161"/>
      <c r="AC265" s="161"/>
      <c r="AD265" s="161"/>
      <c r="AE265" s="161"/>
      <c r="AF265" s="161"/>
      <c r="AG265" s="161"/>
      <c r="AH265" s="161"/>
      <c r="AI265" s="161"/>
      <c r="AJ265" s="161"/>
      <c r="AK265" s="161"/>
      <c r="AL265" s="161"/>
      <c r="AM265" s="161"/>
      <c r="AN265" s="161"/>
      <c r="AO265" s="161"/>
      <c r="AP265" s="161"/>
      <c r="AQ265" s="161"/>
      <c r="AR265" s="161"/>
      <c r="AS265" s="161"/>
      <c r="AT265" s="161"/>
      <c r="AU265" s="161"/>
      <c r="AV265" s="161"/>
      <c r="AW265" s="161"/>
      <c r="AX265" s="161"/>
      <c r="AY265" s="161"/>
      <c r="AZ265" s="161"/>
      <c r="BA265" s="161"/>
      <c r="BB265" s="161"/>
      <c r="BC265" s="161"/>
      <c r="BD265" s="161"/>
    </row>
    <row r="266" spans="1:56" x14ac:dyDescent="0.2">
      <c r="A266" s="161"/>
      <c r="B266" s="161"/>
      <c r="C266" s="161"/>
      <c r="D266" s="161"/>
      <c r="E266" s="162"/>
      <c r="F266" s="161"/>
      <c r="G266" s="161"/>
      <c r="H266" s="161"/>
      <c r="I266" s="161"/>
      <c r="J266" s="161"/>
      <c r="K266" s="161"/>
      <c r="L266" s="161"/>
      <c r="M266" s="161"/>
      <c r="N266" s="161"/>
      <c r="O266" s="161"/>
      <c r="P266" s="161"/>
      <c r="Q266" s="160"/>
      <c r="R266" s="161"/>
      <c r="S266" s="161"/>
      <c r="T266" s="161"/>
      <c r="U266" s="161"/>
      <c r="V266" s="161"/>
      <c r="W266" s="161"/>
      <c r="X266" s="161"/>
      <c r="Y266" s="161"/>
      <c r="Z266" s="161"/>
      <c r="AA266" s="161"/>
      <c r="AB266" s="161"/>
      <c r="AC266" s="161"/>
      <c r="AD266" s="161"/>
      <c r="AE266" s="161"/>
      <c r="AF266" s="161"/>
      <c r="AG266" s="161"/>
      <c r="AH266" s="161"/>
      <c r="AI266" s="161"/>
      <c r="AJ266" s="161"/>
      <c r="AK266" s="161"/>
      <c r="AL266" s="161"/>
      <c r="AM266" s="161"/>
      <c r="AN266" s="161"/>
      <c r="AO266" s="161"/>
      <c r="AP266" s="161"/>
      <c r="AQ266" s="161"/>
      <c r="AR266" s="161"/>
      <c r="AS266" s="161"/>
      <c r="AT266" s="161"/>
      <c r="AU266" s="161"/>
      <c r="AV266" s="161"/>
      <c r="AW266" s="161"/>
      <c r="AX266" s="161"/>
      <c r="AY266" s="161"/>
      <c r="AZ266" s="161"/>
      <c r="BA266" s="161"/>
      <c r="BB266" s="161"/>
      <c r="BC266" s="161"/>
      <c r="BD266" s="161"/>
    </row>
    <row r="267" spans="1:56" x14ac:dyDescent="0.2">
      <c r="A267" s="161"/>
      <c r="B267" s="161"/>
      <c r="C267" s="161"/>
      <c r="D267" s="161"/>
      <c r="E267" s="162"/>
      <c r="F267" s="161"/>
      <c r="G267" s="161"/>
      <c r="H267" s="161"/>
      <c r="I267" s="161"/>
      <c r="J267" s="161"/>
      <c r="K267" s="161"/>
      <c r="L267" s="161"/>
      <c r="M267" s="161"/>
      <c r="N267" s="161"/>
      <c r="O267" s="161"/>
      <c r="P267" s="161"/>
      <c r="Q267" s="160"/>
      <c r="R267" s="161"/>
      <c r="S267" s="161"/>
      <c r="T267" s="161"/>
      <c r="U267" s="161"/>
      <c r="V267" s="161"/>
      <c r="W267" s="161"/>
      <c r="X267" s="161"/>
      <c r="Y267" s="161"/>
      <c r="Z267" s="161"/>
      <c r="AA267" s="161"/>
      <c r="AB267" s="161"/>
      <c r="AC267" s="161"/>
      <c r="AD267" s="161"/>
      <c r="AE267" s="161"/>
      <c r="AF267" s="161"/>
      <c r="AG267" s="161"/>
      <c r="AH267" s="161"/>
      <c r="AI267" s="161"/>
      <c r="AJ267" s="161"/>
      <c r="AK267" s="161"/>
      <c r="AL267" s="161"/>
      <c r="AM267" s="161"/>
      <c r="AN267" s="161"/>
      <c r="AO267" s="161"/>
      <c r="AP267" s="161"/>
      <c r="AQ267" s="161"/>
      <c r="AR267" s="161"/>
      <c r="AS267" s="161"/>
      <c r="AT267" s="161"/>
      <c r="AU267" s="161"/>
      <c r="AV267" s="161"/>
      <c r="AW267" s="161"/>
      <c r="AX267" s="161"/>
      <c r="AY267" s="161"/>
      <c r="AZ267" s="161"/>
      <c r="BA267" s="161"/>
      <c r="BB267" s="161"/>
      <c r="BC267" s="161"/>
      <c r="BD267" s="161"/>
    </row>
    <row r="268" spans="1:56" x14ac:dyDescent="0.2">
      <c r="A268" s="161"/>
      <c r="B268" s="161"/>
      <c r="C268" s="161"/>
      <c r="D268" s="161"/>
      <c r="E268" s="162"/>
      <c r="F268" s="161"/>
      <c r="G268" s="161"/>
      <c r="H268" s="161"/>
      <c r="I268" s="161"/>
      <c r="J268" s="161"/>
      <c r="K268" s="161"/>
      <c r="L268" s="161"/>
      <c r="M268" s="161"/>
      <c r="N268" s="161"/>
      <c r="O268" s="161"/>
      <c r="P268" s="161"/>
      <c r="Q268" s="160"/>
      <c r="R268" s="161"/>
      <c r="S268" s="161"/>
      <c r="T268" s="161"/>
      <c r="U268" s="161"/>
      <c r="V268" s="161"/>
      <c r="W268" s="161"/>
      <c r="X268" s="161"/>
      <c r="Y268" s="161"/>
      <c r="Z268" s="161"/>
      <c r="AA268" s="161"/>
      <c r="AB268" s="161"/>
      <c r="AC268" s="161"/>
      <c r="AD268" s="161"/>
      <c r="AE268" s="161"/>
      <c r="AF268" s="161"/>
      <c r="AG268" s="161"/>
      <c r="AH268" s="161"/>
      <c r="AI268" s="161"/>
      <c r="AJ268" s="161"/>
      <c r="AK268" s="161"/>
      <c r="AL268" s="161"/>
      <c r="AM268" s="161"/>
      <c r="AN268" s="161"/>
      <c r="AO268" s="161"/>
      <c r="AP268" s="161"/>
      <c r="AQ268" s="161"/>
      <c r="AR268" s="161"/>
      <c r="AS268" s="161"/>
      <c r="AT268" s="161"/>
      <c r="AU268" s="161"/>
      <c r="AV268" s="161"/>
      <c r="AW268" s="161"/>
      <c r="AX268" s="161"/>
      <c r="AY268" s="161"/>
      <c r="AZ268" s="161"/>
      <c r="BA268" s="161"/>
      <c r="BB268" s="161"/>
      <c r="BC268" s="161"/>
      <c r="BD268" s="161"/>
    </row>
    <row r="269" spans="1:56" x14ac:dyDescent="0.2">
      <c r="A269" s="161"/>
      <c r="B269" s="161"/>
      <c r="C269" s="161"/>
      <c r="D269" s="161"/>
      <c r="E269" s="162"/>
      <c r="F269" s="161"/>
      <c r="G269" s="161"/>
      <c r="H269" s="161"/>
      <c r="I269" s="161"/>
      <c r="J269" s="161"/>
      <c r="K269" s="161"/>
      <c r="L269" s="161"/>
      <c r="M269" s="161"/>
      <c r="N269" s="161"/>
      <c r="O269" s="161"/>
      <c r="P269" s="161"/>
      <c r="Q269" s="160"/>
      <c r="R269" s="161"/>
      <c r="S269" s="161"/>
      <c r="T269" s="161"/>
      <c r="U269" s="161"/>
      <c r="V269" s="161"/>
      <c r="W269" s="161"/>
      <c r="X269" s="161"/>
      <c r="Y269" s="161"/>
      <c r="Z269" s="161"/>
      <c r="AA269" s="161"/>
      <c r="AB269" s="161"/>
      <c r="AC269" s="161"/>
      <c r="AD269" s="161"/>
      <c r="AE269" s="161"/>
      <c r="AF269" s="161"/>
      <c r="AG269" s="161"/>
      <c r="AH269" s="161"/>
      <c r="AI269" s="161"/>
      <c r="AJ269" s="161"/>
      <c r="AK269" s="161"/>
      <c r="AL269" s="161"/>
      <c r="AM269" s="161"/>
      <c r="AN269" s="161"/>
      <c r="AO269" s="161"/>
      <c r="AP269" s="161"/>
      <c r="AQ269" s="161"/>
      <c r="AR269" s="161"/>
      <c r="AS269" s="161"/>
      <c r="AT269" s="161"/>
      <c r="AU269" s="161"/>
      <c r="AV269" s="161"/>
      <c r="AW269" s="161"/>
      <c r="AX269" s="161"/>
      <c r="AY269" s="161"/>
      <c r="AZ269" s="161"/>
      <c r="BA269" s="161"/>
      <c r="BB269" s="161"/>
      <c r="BC269" s="161"/>
      <c r="BD269" s="161"/>
    </row>
    <row r="270" spans="1:56" x14ac:dyDescent="0.2">
      <c r="A270" s="161"/>
      <c r="B270" s="161"/>
      <c r="C270" s="161"/>
      <c r="D270" s="161"/>
      <c r="E270" s="162"/>
      <c r="F270" s="161"/>
      <c r="G270" s="161"/>
      <c r="H270" s="161"/>
      <c r="I270" s="161"/>
      <c r="J270" s="161"/>
      <c r="K270" s="161"/>
      <c r="L270" s="161"/>
      <c r="M270" s="161"/>
      <c r="N270" s="161"/>
      <c r="O270" s="161"/>
      <c r="P270" s="161"/>
      <c r="Q270" s="160"/>
      <c r="R270" s="161"/>
      <c r="S270" s="161"/>
      <c r="T270" s="161"/>
      <c r="U270" s="161"/>
      <c r="V270" s="161"/>
      <c r="W270" s="161"/>
      <c r="X270" s="161"/>
      <c r="Y270" s="161"/>
      <c r="Z270" s="161"/>
      <c r="AA270" s="161"/>
      <c r="AB270" s="161"/>
      <c r="AC270" s="161"/>
      <c r="AD270" s="161"/>
      <c r="AE270" s="161"/>
      <c r="AF270" s="161"/>
      <c r="AG270" s="161"/>
      <c r="AH270" s="161"/>
      <c r="AI270" s="161"/>
      <c r="AJ270" s="161"/>
      <c r="AK270" s="161"/>
      <c r="AL270" s="161"/>
      <c r="AM270" s="161"/>
      <c r="AN270" s="161"/>
      <c r="AO270" s="161"/>
      <c r="AP270" s="161"/>
      <c r="AQ270" s="161"/>
      <c r="AR270" s="161"/>
      <c r="AS270" s="161"/>
      <c r="AT270" s="161"/>
      <c r="AU270" s="161"/>
      <c r="AV270" s="161"/>
      <c r="AW270" s="161"/>
      <c r="AX270" s="161"/>
      <c r="AY270" s="161"/>
      <c r="AZ270" s="161"/>
      <c r="BA270" s="161"/>
      <c r="BB270" s="161"/>
      <c r="BC270" s="161"/>
      <c r="BD270" s="161"/>
    </row>
    <row r="271" spans="1:56" x14ac:dyDescent="0.2">
      <c r="A271" s="161"/>
      <c r="B271" s="161"/>
      <c r="C271" s="161"/>
      <c r="D271" s="161"/>
      <c r="E271" s="162"/>
      <c r="F271" s="161"/>
      <c r="G271" s="161"/>
      <c r="H271" s="161"/>
      <c r="I271" s="161"/>
      <c r="J271" s="161"/>
      <c r="K271" s="161"/>
      <c r="L271" s="161"/>
      <c r="M271" s="161"/>
      <c r="N271" s="161"/>
      <c r="O271" s="161"/>
      <c r="P271" s="161"/>
      <c r="Q271" s="160"/>
      <c r="R271" s="161"/>
      <c r="S271" s="161"/>
      <c r="T271" s="161"/>
      <c r="U271" s="161"/>
      <c r="V271" s="161"/>
      <c r="W271" s="161"/>
      <c r="X271" s="161"/>
      <c r="Y271" s="161"/>
      <c r="Z271" s="161"/>
      <c r="AA271" s="161"/>
      <c r="AB271" s="161"/>
      <c r="AC271" s="161"/>
      <c r="AD271" s="161"/>
      <c r="AE271" s="161"/>
      <c r="AF271" s="161"/>
      <c r="AG271" s="161"/>
      <c r="AH271" s="161"/>
      <c r="AI271" s="161"/>
      <c r="AJ271" s="161"/>
      <c r="AK271" s="161"/>
      <c r="AL271" s="161"/>
      <c r="AM271" s="161"/>
      <c r="AN271" s="161"/>
      <c r="AO271" s="161"/>
      <c r="AP271" s="161"/>
      <c r="AQ271" s="161"/>
      <c r="AR271" s="161"/>
      <c r="AS271" s="161"/>
      <c r="AT271" s="161"/>
      <c r="AU271" s="161"/>
      <c r="AV271" s="161"/>
      <c r="AW271" s="161"/>
      <c r="AX271" s="161"/>
      <c r="AY271" s="161"/>
      <c r="AZ271" s="161"/>
      <c r="BA271" s="161"/>
      <c r="BB271" s="161"/>
      <c r="BC271" s="161"/>
      <c r="BD271" s="161"/>
    </row>
    <row r="272" spans="1:56" x14ac:dyDescent="0.2">
      <c r="A272" s="161"/>
      <c r="B272" s="161"/>
      <c r="C272" s="161"/>
      <c r="D272" s="161"/>
      <c r="E272" s="162"/>
      <c r="F272" s="161"/>
      <c r="G272" s="161"/>
      <c r="H272" s="161"/>
      <c r="I272" s="161"/>
      <c r="J272" s="161"/>
      <c r="K272" s="161"/>
      <c r="L272" s="161"/>
      <c r="M272" s="161"/>
      <c r="N272" s="161"/>
      <c r="O272" s="161"/>
      <c r="P272" s="161"/>
      <c r="Q272" s="160"/>
      <c r="R272" s="161"/>
      <c r="S272" s="161"/>
      <c r="T272" s="161"/>
      <c r="U272" s="161"/>
      <c r="V272" s="161"/>
      <c r="W272" s="161"/>
      <c r="X272" s="161"/>
      <c r="Y272" s="161"/>
      <c r="Z272" s="161"/>
      <c r="AA272" s="161"/>
      <c r="AB272" s="161"/>
      <c r="AC272" s="161"/>
      <c r="AD272" s="161"/>
      <c r="AE272" s="161"/>
      <c r="AF272" s="161"/>
      <c r="AG272" s="161"/>
      <c r="AH272" s="161"/>
      <c r="AI272" s="161"/>
      <c r="AJ272" s="161"/>
      <c r="AK272" s="161"/>
      <c r="AL272" s="161"/>
      <c r="AM272" s="161"/>
      <c r="AN272" s="161"/>
      <c r="AO272" s="161"/>
      <c r="AP272" s="161"/>
      <c r="AQ272" s="161"/>
      <c r="AR272" s="161"/>
      <c r="AS272" s="161"/>
      <c r="AT272" s="161"/>
      <c r="AU272" s="161"/>
      <c r="AV272" s="161"/>
      <c r="AW272" s="161"/>
      <c r="AX272" s="161"/>
      <c r="AY272" s="161"/>
      <c r="AZ272" s="161"/>
      <c r="BA272" s="161"/>
      <c r="BB272" s="161"/>
      <c r="BC272" s="161"/>
      <c r="BD272" s="161"/>
    </row>
    <row r="273" spans="1:56" x14ac:dyDescent="0.2">
      <c r="A273" s="161"/>
      <c r="B273" s="161"/>
      <c r="C273" s="161"/>
      <c r="D273" s="161"/>
      <c r="E273" s="162"/>
      <c r="F273" s="161"/>
      <c r="G273" s="161"/>
      <c r="H273" s="161"/>
      <c r="I273" s="161"/>
      <c r="J273" s="161"/>
      <c r="K273" s="161"/>
      <c r="L273" s="161"/>
      <c r="M273" s="161"/>
      <c r="N273" s="161"/>
      <c r="O273" s="161"/>
      <c r="P273" s="161"/>
      <c r="Q273" s="160"/>
      <c r="R273" s="161"/>
      <c r="S273" s="161"/>
      <c r="T273" s="161"/>
      <c r="U273" s="161"/>
      <c r="V273" s="161"/>
      <c r="W273" s="161"/>
      <c r="X273" s="161"/>
      <c r="Y273" s="161"/>
      <c r="Z273" s="161"/>
      <c r="AA273" s="161"/>
      <c r="AB273" s="161"/>
      <c r="AC273" s="161"/>
      <c r="AD273" s="161"/>
      <c r="AE273" s="161"/>
      <c r="AF273" s="161"/>
      <c r="AG273" s="161"/>
      <c r="AH273" s="161"/>
      <c r="AI273" s="161"/>
      <c r="AJ273" s="161"/>
      <c r="AK273" s="161"/>
      <c r="AL273" s="161"/>
      <c r="AM273" s="161"/>
      <c r="AN273" s="161"/>
      <c r="AO273" s="161"/>
      <c r="AP273" s="161"/>
      <c r="AQ273" s="161"/>
      <c r="AR273" s="161"/>
      <c r="AS273" s="161"/>
      <c r="AT273" s="161"/>
      <c r="AU273" s="161"/>
      <c r="AV273" s="161"/>
      <c r="AW273" s="161"/>
      <c r="AX273" s="161"/>
      <c r="AY273" s="161"/>
      <c r="AZ273" s="161"/>
      <c r="BA273" s="161"/>
      <c r="BB273" s="161"/>
      <c r="BC273" s="161"/>
      <c r="BD273" s="161"/>
    </row>
    <row r="274" spans="1:56" x14ac:dyDescent="0.2">
      <c r="A274" s="161"/>
      <c r="B274" s="161"/>
      <c r="C274" s="161"/>
      <c r="D274" s="161"/>
      <c r="E274" s="162"/>
      <c r="F274" s="161"/>
      <c r="G274" s="161"/>
      <c r="H274" s="161"/>
      <c r="I274" s="161"/>
      <c r="J274" s="161"/>
      <c r="K274" s="161"/>
      <c r="L274" s="161"/>
      <c r="M274" s="161"/>
      <c r="N274" s="161"/>
      <c r="O274" s="161"/>
      <c r="P274" s="161"/>
      <c r="Q274" s="160"/>
      <c r="R274" s="161"/>
      <c r="S274" s="161"/>
      <c r="T274" s="161"/>
      <c r="U274" s="161"/>
      <c r="V274" s="161"/>
      <c r="W274" s="161"/>
      <c r="X274" s="161"/>
      <c r="Y274" s="161"/>
      <c r="Z274" s="161"/>
      <c r="AA274" s="161"/>
      <c r="AB274" s="161"/>
      <c r="AC274" s="161"/>
      <c r="AD274" s="161"/>
      <c r="AE274" s="161"/>
      <c r="AF274" s="161"/>
      <c r="AG274" s="161"/>
      <c r="AH274" s="161"/>
      <c r="AI274" s="161"/>
      <c r="AJ274" s="161"/>
      <c r="AK274" s="161"/>
      <c r="AL274" s="161"/>
      <c r="AM274" s="161"/>
      <c r="AN274" s="161"/>
      <c r="AO274" s="161"/>
      <c r="AP274" s="161"/>
      <c r="AQ274" s="161"/>
      <c r="AR274" s="161"/>
      <c r="AS274" s="161"/>
      <c r="AT274" s="161"/>
      <c r="AU274" s="161"/>
      <c r="AV274" s="161"/>
      <c r="AW274" s="161"/>
      <c r="AX274" s="161"/>
      <c r="AY274" s="161"/>
      <c r="AZ274" s="161"/>
      <c r="BA274" s="161"/>
      <c r="BB274" s="161"/>
      <c r="BC274" s="161"/>
      <c r="BD274" s="161"/>
    </row>
    <row r="275" spans="1:56" x14ac:dyDescent="0.2">
      <c r="A275" s="161"/>
      <c r="B275" s="161"/>
      <c r="C275" s="161"/>
      <c r="D275" s="161"/>
      <c r="E275" s="162"/>
      <c r="F275" s="161"/>
      <c r="G275" s="161"/>
      <c r="H275" s="161"/>
      <c r="I275" s="161"/>
      <c r="J275" s="161"/>
      <c r="K275" s="161"/>
      <c r="L275" s="161"/>
      <c r="M275" s="161"/>
      <c r="N275" s="161"/>
      <c r="O275" s="161"/>
      <c r="P275" s="161"/>
      <c r="Q275" s="160"/>
      <c r="R275" s="161"/>
      <c r="S275" s="161"/>
      <c r="T275" s="161"/>
      <c r="U275" s="161"/>
      <c r="V275" s="161"/>
      <c r="W275" s="161"/>
      <c r="X275" s="161"/>
      <c r="Y275" s="161"/>
      <c r="Z275" s="161"/>
      <c r="AA275" s="161"/>
      <c r="AB275" s="161"/>
      <c r="AC275" s="161"/>
      <c r="AD275" s="161"/>
      <c r="AE275" s="161"/>
      <c r="AF275" s="161"/>
      <c r="AG275" s="161"/>
      <c r="AH275" s="161"/>
      <c r="AI275" s="161"/>
      <c r="AJ275" s="161"/>
      <c r="AK275" s="161"/>
      <c r="AL275" s="161"/>
      <c r="AM275" s="161"/>
      <c r="AN275" s="161"/>
      <c r="AO275" s="161"/>
      <c r="AP275" s="161"/>
      <c r="AQ275" s="161"/>
      <c r="AR275" s="161"/>
      <c r="AS275" s="161"/>
      <c r="AT275" s="161"/>
      <c r="AU275" s="161"/>
      <c r="AV275" s="161"/>
      <c r="AW275" s="161"/>
      <c r="AX275" s="161"/>
      <c r="AY275" s="161"/>
      <c r="AZ275" s="161"/>
      <c r="BA275" s="161"/>
      <c r="BB275" s="161"/>
      <c r="BC275" s="161"/>
      <c r="BD275" s="161"/>
    </row>
    <row r="276" spans="1:56" x14ac:dyDescent="0.2">
      <c r="A276" s="161"/>
      <c r="B276" s="161"/>
      <c r="C276" s="161"/>
      <c r="D276" s="161"/>
      <c r="E276" s="162"/>
      <c r="F276" s="161"/>
      <c r="G276" s="161"/>
      <c r="H276" s="161"/>
      <c r="I276" s="161"/>
      <c r="J276" s="161"/>
      <c r="K276" s="161"/>
      <c r="L276" s="161"/>
      <c r="M276" s="161"/>
      <c r="N276" s="161"/>
      <c r="O276" s="161"/>
      <c r="P276" s="161"/>
      <c r="Q276" s="160"/>
      <c r="R276" s="161"/>
      <c r="S276" s="161"/>
      <c r="T276" s="161"/>
      <c r="U276" s="161"/>
      <c r="V276" s="161"/>
      <c r="W276" s="161"/>
      <c r="X276" s="161"/>
      <c r="Y276" s="161"/>
      <c r="Z276" s="161"/>
      <c r="AA276" s="161"/>
      <c r="AB276" s="161"/>
      <c r="AC276" s="161"/>
      <c r="AD276" s="161"/>
      <c r="AE276" s="161"/>
      <c r="AF276" s="161"/>
      <c r="AG276" s="161"/>
      <c r="AH276" s="161"/>
      <c r="AI276" s="161"/>
      <c r="AJ276" s="161"/>
      <c r="AK276" s="161"/>
      <c r="AL276" s="161"/>
      <c r="AM276" s="161"/>
      <c r="AN276" s="161"/>
      <c r="AO276" s="161"/>
      <c r="AP276" s="161"/>
      <c r="AQ276" s="161"/>
      <c r="AR276" s="161"/>
      <c r="AS276" s="161"/>
      <c r="AT276" s="161"/>
      <c r="AU276" s="161"/>
      <c r="AV276" s="161"/>
      <c r="AW276" s="161"/>
      <c r="AX276" s="161"/>
      <c r="AY276" s="161"/>
      <c r="AZ276" s="161"/>
      <c r="BA276" s="161"/>
      <c r="BB276" s="161"/>
      <c r="BC276" s="161"/>
      <c r="BD276" s="161"/>
    </row>
    <row r="277" spans="1:56" x14ac:dyDescent="0.2">
      <c r="A277" s="161"/>
      <c r="B277" s="161"/>
      <c r="C277" s="161"/>
      <c r="D277" s="161"/>
      <c r="E277" s="162"/>
      <c r="F277" s="161"/>
      <c r="G277" s="161"/>
      <c r="H277" s="161"/>
      <c r="I277" s="161"/>
      <c r="J277" s="161"/>
      <c r="K277" s="161"/>
      <c r="L277" s="161"/>
      <c r="M277" s="161"/>
      <c r="N277" s="161"/>
      <c r="O277" s="161"/>
      <c r="P277" s="161"/>
      <c r="Q277" s="160"/>
      <c r="R277" s="161"/>
      <c r="S277" s="161"/>
      <c r="T277" s="161"/>
      <c r="U277" s="161"/>
      <c r="V277" s="161"/>
      <c r="W277" s="161"/>
      <c r="X277" s="161"/>
      <c r="Y277" s="161"/>
      <c r="Z277" s="161"/>
      <c r="AA277" s="161"/>
      <c r="AB277" s="161"/>
      <c r="AC277" s="161"/>
      <c r="AD277" s="161"/>
      <c r="AE277" s="161"/>
      <c r="AF277" s="161"/>
      <c r="AG277" s="161"/>
      <c r="AH277" s="161"/>
      <c r="AI277" s="161"/>
      <c r="AJ277" s="161"/>
      <c r="AK277" s="161"/>
      <c r="AL277" s="161"/>
      <c r="AM277" s="161"/>
      <c r="AN277" s="161"/>
      <c r="AO277" s="161"/>
      <c r="AP277" s="161"/>
      <c r="AQ277" s="161"/>
      <c r="AR277" s="161"/>
      <c r="AS277" s="161"/>
      <c r="AT277" s="161"/>
      <c r="AU277" s="161"/>
      <c r="AV277" s="161"/>
      <c r="AW277" s="161"/>
      <c r="AX277" s="161"/>
      <c r="AY277" s="161"/>
      <c r="AZ277" s="161"/>
      <c r="BA277" s="161"/>
      <c r="BB277" s="161"/>
      <c r="BC277" s="161"/>
      <c r="BD277" s="161"/>
    </row>
    <row r="278" spans="1:56" x14ac:dyDescent="0.2">
      <c r="A278" s="161"/>
      <c r="B278" s="161"/>
      <c r="C278" s="161"/>
      <c r="D278" s="161"/>
      <c r="E278" s="162"/>
      <c r="F278" s="161"/>
      <c r="G278" s="161"/>
      <c r="H278" s="161"/>
      <c r="I278" s="161"/>
      <c r="J278" s="161"/>
      <c r="K278" s="161"/>
      <c r="L278" s="161"/>
      <c r="M278" s="161"/>
      <c r="N278" s="161"/>
      <c r="O278" s="161"/>
      <c r="P278" s="161"/>
      <c r="Q278" s="160"/>
      <c r="R278" s="161"/>
      <c r="S278" s="161"/>
      <c r="T278" s="161"/>
      <c r="U278" s="161"/>
      <c r="V278" s="161"/>
      <c r="W278" s="161"/>
      <c r="X278" s="161"/>
      <c r="Y278" s="161"/>
      <c r="Z278" s="161"/>
      <c r="AA278" s="161"/>
      <c r="AB278" s="161"/>
      <c r="AC278" s="161"/>
      <c r="AD278" s="161"/>
      <c r="AE278" s="161"/>
      <c r="AF278" s="161"/>
      <c r="AG278" s="161"/>
      <c r="AH278" s="161"/>
      <c r="AI278" s="161"/>
      <c r="AJ278" s="161"/>
      <c r="AK278" s="161"/>
      <c r="AL278" s="161"/>
      <c r="AM278" s="161"/>
      <c r="AN278" s="161"/>
      <c r="AO278" s="161"/>
      <c r="AP278" s="161"/>
      <c r="AQ278" s="161"/>
      <c r="AR278" s="161"/>
      <c r="AS278" s="161"/>
      <c r="AT278" s="161"/>
      <c r="AU278" s="161"/>
      <c r="AV278" s="161"/>
      <c r="AW278" s="161"/>
      <c r="AX278" s="161"/>
      <c r="AY278" s="161"/>
      <c r="AZ278" s="161"/>
      <c r="BA278" s="161"/>
      <c r="BB278" s="161"/>
      <c r="BC278" s="161"/>
      <c r="BD278" s="161"/>
    </row>
    <row r="279" spans="1:56" x14ac:dyDescent="0.2">
      <c r="A279" s="161"/>
      <c r="B279" s="161"/>
      <c r="C279" s="161"/>
      <c r="D279" s="161"/>
      <c r="E279" s="162"/>
      <c r="F279" s="161"/>
      <c r="G279" s="161"/>
      <c r="H279" s="161"/>
      <c r="I279" s="161"/>
      <c r="J279" s="161"/>
      <c r="K279" s="161"/>
      <c r="L279" s="161"/>
      <c r="M279" s="161"/>
      <c r="N279" s="161"/>
      <c r="O279" s="161"/>
      <c r="P279" s="161"/>
      <c r="Q279" s="160"/>
      <c r="R279" s="161"/>
      <c r="S279" s="161"/>
      <c r="T279" s="161"/>
      <c r="U279" s="161"/>
      <c r="V279" s="161"/>
      <c r="W279" s="161"/>
      <c r="X279" s="161"/>
      <c r="Y279" s="161"/>
      <c r="Z279" s="161"/>
      <c r="AA279" s="161"/>
      <c r="AB279" s="161"/>
      <c r="AC279" s="161"/>
      <c r="AD279" s="161"/>
      <c r="AE279" s="161"/>
      <c r="AF279" s="161"/>
      <c r="AG279" s="161"/>
      <c r="AH279" s="161"/>
      <c r="AI279" s="161"/>
      <c r="AJ279" s="161"/>
      <c r="AK279" s="161"/>
      <c r="AL279" s="161"/>
      <c r="AM279" s="161"/>
      <c r="AN279" s="161"/>
      <c r="AO279" s="161"/>
      <c r="AP279" s="161"/>
      <c r="AQ279" s="161"/>
      <c r="AR279" s="161"/>
      <c r="AS279" s="161"/>
      <c r="AT279" s="161"/>
      <c r="AU279" s="161"/>
      <c r="AV279" s="161"/>
      <c r="AW279" s="161"/>
      <c r="AX279" s="161"/>
      <c r="AY279" s="161"/>
      <c r="AZ279" s="161"/>
      <c r="BA279" s="161"/>
      <c r="BB279" s="161"/>
      <c r="BC279" s="161"/>
      <c r="BD279" s="161"/>
    </row>
    <row r="280" spans="1:56" x14ac:dyDescent="0.2">
      <c r="A280" s="161"/>
      <c r="B280" s="161"/>
      <c r="C280" s="161"/>
      <c r="D280" s="161"/>
      <c r="E280" s="162"/>
      <c r="F280" s="161"/>
      <c r="G280" s="161"/>
      <c r="H280" s="161"/>
      <c r="I280" s="161"/>
      <c r="J280" s="161"/>
      <c r="K280" s="161"/>
      <c r="L280" s="161"/>
      <c r="M280" s="161"/>
      <c r="N280" s="161"/>
      <c r="O280" s="161"/>
      <c r="P280" s="161"/>
      <c r="Q280" s="160"/>
      <c r="R280" s="161"/>
      <c r="S280" s="161"/>
      <c r="T280" s="161"/>
      <c r="U280" s="161"/>
      <c r="V280" s="161"/>
      <c r="W280" s="161"/>
      <c r="X280" s="161"/>
      <c r="Y280" s="161"/>
      <c r="Z280" s="161"/>
      <c r="AA280" s="161"/>
      <c r="AB280" s="161"/>
      <c r="AC280" s="161"/>
      <c r="AD280" s="161"/>
      <c r="AE280" s="161"/>
      <c r="AF280" s="161"/>
      <c r="AG280" s="161"/>
      <c r="AH280" s="161"/>
      <c r="AI280" s="161"/>
      <c r="AJ280" s="161"/>
      <c r="AK280" s="161"/>
      <c r="AL280" s="161"/>
      <c r="AM280" s="161"/>
      <c r="AN280" s="161"/>
      <c r="AO280" s="161"/>
      <c r="AP280" s="161"/>
      <c r="AQ280" s="161"/>
      <c r="AR280" s="161"/>
      <c r="AS280" s="161"/>
      <c r="AT280" s="161"/>
      <c r="AU280" s="161"/>
      <c r="AV280" s="161"/>
      <c r="AW280" s="161"/>
      <c r="AX280" s="161"/>
      <c r="AY280" s="161"/>
      <c r="AZ280" s="161"/>
      <c r="BA280" s="161"/>
      <c r="BB280" s="161"/>
      <c r="BC280" s="161"/>
      <c r="BD280" s="161"/>
    </row>
    <row r="281" spans="1:56" x14ac:dyDescent="0.2">
      <c r="A281" s="161"/>
      <c r="B281" s="161"/>
      <c r="C281" s="161"/>
      <c r="D281" s="161"/>
      <c r="E281" s="162"/>
      <c r="F281" s="161"/>
      <c r="G281" s="161"/>
      <c r="H281" s="161"/>
      <c r="I281" s="161"/>
      <c r="J281" s="161"/>
      <c r="K281" s="161"/>
      <c r="L281" s="161"/>
      <c r="M281" s="161"/>
      <c r="N281" s="161"/>
      <c r="O281" s="161"/>
      <c r="P281" s="161"/>
      <c r="Q281" s="160"/>
      <c r="R281" s="161"/>
      <c r="S281" s="161"/>
      <c r="T281" s="161"/>
      <c r="U281" s="161"/>
      <c r="V281" s="161"/>
      <c r="W281" s="161"/>
      <c r="X281" s="161"/>
      <c r="Y281" s="161"/>
      <c r="Z281" s="161"/>
      <c r="AA281" s="161"/>
      <c r="AB281" s="161"/>
      <c r="AC281" s="161"/>
      <c r="AD281" s="161"/>
      <c r="AE281" s="161"/>
      <c r="AF281" s="161"/>
      <c r="AG281" s="161"/>
      <c r="AH281" s="161"/>
      <c r="AI281" s="161"/>
      <c r="AJ281" s="161"/>
      <c r="AK281" s="161"/>
      <c r="AL281" s="161"/>
      <c r="AM281" s="161"/>
      <c r="AN281" s="161"/>
      <c r="AO281" s="161"/>
      <c r="AP281" s="161"/>
      <c r="AQ281" s="161"/>
      <c r="AR281" s="161"/>
      <c r="AS281" s="161"/>
      <c r="AT281" s="161"/>
      <c r="AU281" s="161"/>
      <c r="AV281" s="161"/>
      <c r="AW281" s="161"/>
      <c r="AX281" s="161"/>
      <c r="AY281" s="161"/>
      <c r="AZ281" s="161"/>
      <c r="BA281" s="161"/>
      <c r="BB281" s="161"/>
      <c r="BC281" s="161"/>
      <c r="BD281" s="161"/>
    </row>
    <row r="282" spans="1:56" x14ac:dyDescent="0.2">
      <c r="A282" s="161"/>
      <c r="B282" s="161"/>
      <c r="C282" s="161"/>
      <c r="D282" s="161"/>
      <c r="E282" s="162"/>
      <c r="F282" s="161"/>
      <c r="G282" s="161"/>
      <c r="H282" s="161"/>
      <c r="I282" s="161"/>
      <c r="J282" s="161"/>
      <c r="K282" s="161"/>
      <c r="L282" s="161"/>
      <c r="M282" s="161"/>
      <c r="N282" s="161"/>
      <c r="O282" s="161"/>
      <c r="P282" s="161"/>
      <c r="Q282" s="160"/>
      <c r="R282" s="161"/>
      <c r="S282" s="161"/>
      <c r="T282" s="161"/>
      <c r="U282" s="161"/>
      <c r="V282" s="161"/>
      <c r="W282" s="161"/>
      <c r="X282" s="161"/>
      <c r="Y282" s="161"/>
      <c r="Z282" s="161"/>
      <c r="AA282" s="161"/>
      <c r="AB282" s="161"/>
      <c r="AC282" s="161"/>
      <c r="AD282" s="161"/>
      <c r="AE282" s="161"/>
      <c r="AF282" s="161"/>
      <c r="AG282" s="161"/>
      <c r="AH282" s="161"/>
      <c r="AI282" s="161"/>
      <c r="AJ282" s="161"/>
      <c r="AK282" s="161"/>
      <c r="AL282" s="161"/>
      <c r="AM282" s="161"/>
      <c r="AN282" s="161"/>
      <c r="AO282" s="161"/>
      <c r="AP282" s="161"/>
      <c r="AQ282" s="161"/>
      <c r="AR282" s="161"/>
      <c r="AS282" s="161"/>
      <c r="AT282" s="161"/>
      <c r="AU282" s="161"/>
      <c r="AV282" s="161"/>
      <c r="AW282" s="161"/>
      <c r="AX282" s="161"/>
      <c r="AY282" s="161"/>
      <c r="AZ282" s="161"/>
      <c r="BA282" s="161"/>
      <c r="BB282" s="161"/>
      <c r="BC282" s="161"/>
      <c r="BD282" s="161"/>
    </row>
    <row r="283" spans="1:56" x14ac:dyDescent="0.2">
      <c r="A283" s="161"/>
      <c r="B283" s="161"/>
      <c r="C283" s="161"/>
      <c r="D283" s="161"/>
      <c r="E283" s="162"/>
      <c r="F283" s="161"/>
      <c r="G283" s="161"/>
      <c r="H283" s="161"/>
      <c r="I283" s="161"/>
      <c r="J283" s="161"/>
      <c r="K283" s="161"/>
      <c r="L283" s="161"/>
      <c r="M283" s="161"/>
      <c r="N283" s="161"/>
      <c r="O283" s="161"/>
      <c r="P283" s="161"/>
      <c r="Q283" s="160"/>
      <c r="R283" s="161"/>
      <c r="S283" s="161"/>
      <c r="T283" s="161"/>
      <c r="U283" s="161"/>
      <c r="V283" s="161"/>
      <c r="W283" s="161"/>
      <c r="X283" s="161"/>
      <c r="Y283" s="161"/>
      <c r="Z283" s="161"/>
      <c r="AA283" s="161"/>
      <c r="AB283" s="161"/>
      <c r="AC283" s="161"/>
      <c r="AD283" s="161"/>
      <c r="AE283" s="161"/>
      <c r="AF283" s="161"/>
      <c r="AG283" s="161"/>
      <c r="AH283" s="161"/>
      <c r="AI283" s="161"/>
      <c r="AJ283" s="161"/>
      <c r="AK283" s="161"/>
      <c r="AL283" s="161"/>
      <c r="AM283" s="161"/>
      <c r="AN283" s="161"/>
      <c r="AO283" s="161"/>
      <c r="AP283" s="161"/>
      <c r="AQ283" s="161"/>
      <c r="AR283" s="161"/>
      <c r="AS283" s="161"/>
      <c r="AT283" s="161"/>
      <c r="AU283" s="161"/>
      <c r="AV283" s="161"/>
      <c r="AW283" s="161"/>
      <c r="AX283" s="161"/>
      <c r="AY283" s="161"/>
      <c r="AZ283" s="161"/>
      <c r="BA283" s="161"/>
      <c r="BB283" s="161"/>
      <c r="BC283" s="161"/>
      <c r="BD283" s="161"/>
    </row>
    <row r="284" spans="1:56" x14ac:dyDescent="0.2">
      <c r="A284" s="161"/>
      <c r="B284" s="161"/>
      <c r="C284" s="161"/>
      <c r="D284" s="161"/>
      <c r="E284" s="162"/>
      <c r="F284" s="161"/>
      <c r="G284" s="161"/>
      <c r="H284" s="161"/>
      <c r="I284" s="161"/>
      <c r="J284" s="161"/>
      <c r="K284" s="161"/>
      <c r="L284" s="161"/>
      <c r="M284" s="161"/>
      <c r="N284" s="161"/>
      <c r="O284" s="161"/>
      <c r="P284" s="161"/>
      <c r="Q284" s="160"/>
      <c r="R284" s="161"/>
      <c r="S284" s="161"/>
      <c r="T284" s="161"/>
      <c r="U284" s="161"/>
      <c r="V284" s="161"/>
      <c r="W284" s="161"/>
      <c r="X284" s="161"/>
      <c r="Y284" s="161"/>
      <c r="Z284" s="161"/>
      <c r="AA284" s="161"/>
      <c r="AB284" s="161"/>
      <c r="AC284" s="161"/>
      <c r="AD284" s="161"/>
      <c r="AE284" s="161"/>
      <c r="AF284" s="161"/>
      <c r="AG284" s="161"/>
      <c r="AH284" s="161"/>
      <c r="AI284" s="161"/>
      <c r="AJ284" s="161"/>
      <c r="AK284" s="161"/>
      <c r="AL284" s="161"/>
      <c r="AM284" s="161"/>
      <c r="AN284" s="161"/>
      <c r="AO284" s="161"/>
      <c r="AP284" s="161"/>
      <c r="AQ284" s="161"/>
      <c r="AR284" s="161"/>
      <c r="AS284" s="161"/>
      <c r="AT284" s="161"/>
      <c r="AU284" s="161"/>
      <c r="AV284" s="161"/>
      <c r="AW284" s="161"/>
      <c r="AX284" s="161"/>
      <c r="AY284" s="161"/>
      <c r="AZ284" s="161"/>
      <c r="BA284" s="161"/>
      <c r="BB284" s="161"/>
      <c r="BC284" s="161"/>
      <c r="BD284" s="161"/>
    </row>
    <row r="285" spans="1:56" x14ac:dyDescent="0.2">
      <c r="A285" s="161"/>
      <c r="B285" s="161"/>
      <c r="C285" s="161"/>
      <c r="D285" s="161"/>
      <c r="E285" s="162"/>
      <c r="F285" s="161"/>
      <c r="G285" s="161"/>
      <c r="H285" s="161"/>
      <c r="I285" s="161"/>
      <c r="J285" s="161"/>
      <c r="K285" s="161"/>
      <c r="L285" s="161"/>
      <c r="M285" s="161"/>
      <c r="N285" s="161"/>
      <c r="O285" s="161"/>
      <c r="P285" s="161"/>
      <c r="Q285" s="160"/>
      <c r="R285" s="161"/>
      <c r="S285" s="161"/>
      <c r="T285" s="161"/>
      <c r="U285" s="161"/>
      <c r="V285" s="161"/>
      <c r="W285" s="161"/>
      <c r="X285" s="161"/>
      <c r="Y285" s="161"/>
      <c r="Z285" s="161"/>
      <c r="AA285" s="161"/>
      <c r="AB285" s="161"/>
      <c r="AC285" s="161"/>
      <c r="AD285" s="161"/>
      <c r="AE285" s="161"/>
      <c r="AF285" s="161"/>
      <c r="AG285" s="161"/>
      <c r="AH285" s="161"/>
      <c r="AI285" s="161"/>
      <c r="AJ285" s="161"/>
      <c r="AK285" s="161"/>
      <c r="AL285" s="161"/>
      <c r="AM285" s="161"/>
      <c r="AN285" s="161"/>
      <c r="AO285" s="161"/>
      <c r="AP285" s="161"/>
      <c r="AQ285" s="161"/>
      <c r="AR285" s="161"/>
      <c r="AS285" s="161"/>
      <c r="AT285" s="161"/>
      <c r="AU285" s="161"/>
      <c r="AV285" s="161"/>
      <c r="AW285" s="161"/>
      <c r="AX285" s="161"/>
      <c r="AY285" s="161"/>
      <c r="AZ285" s="161"/>
      <c r="BA285" s="161"/>
      <c r="BB285" s="161"/>
      <c r="BC285" s="161"/>
      <c r="BD285" s="161"/>
    </row>
    <row r="286" spans="1:56" x14ac:dyDescent="0.2">
      <c r="A286" s="161"/>
      <c r="B286" s="161"/>
      <c r="C286" s="161"/>
      <c r="D286" s="161"/>
      <c r="E286" s="162"/>
      <c r="F286" s="161"/>
      <c r="G286" s="161"/>
      <c r="H286" s="161"/>
      <c r="I286" s="161"/>
      <c r="J286" s="161"/>
      <c r="K286" s="161"/>
      <c r="L286" s="161"/>
      <c r="M286" s="161"/>
      <c r="N286" s="161"/>
      <c r="O286" s="161"/>
      <c r="P286" s="161"/>
      <c r="Q286" s="160"/>
      <c r="R286" s="161"/>
      <c r="S286" s="161"/>
      <c r="T286" s="161"/>
      <c r="U286" s="161"/>
      <c r="V286" s="161"/>
      <c r="W286" s="161"/>
      <c r="X286" s="161"/>
      <c r="Y286" s="161"/>
      <c r="Z286" s="161"/>
      <c r="AA286" s="161"/>
      <c r="AB286" s="161"/>
      <c r="AC286" s="161"/>
      <c r="AD286" s="161"/>
      <c r="AE286" s="161"/>
      <c r="AF286" s="161"/>
      <c r="AG286" s="161"/>
      <c r="AH286" s="161"/>
      <c r="AI286" s="161"/>
      <c r="AJ286" s="161"/>
      <c r="AK286" s="161"/>
      <c r="AL286" s="161"/>
      <c r="AM286" s="161"/>
      <c r="AN286" s="161"/>
      <c r="AO286" s="161"/>
      <c r="AP286" s="161"/>
      <c r="AQ286" s="161"/>
      <c r="AR286" s="161"/>
      <c r="AS286" s="161"/>
      <c r="AT286" s="161"/>
      <c r="AU286" s="161"/>
      <c r="AV286" s="161"/>
      <c r="AW286" s="161"/>
      <c r="AX286" s="161"/>
      <c r="AY286" s="161"/>
      <c r="AZ286" s="161"/>
      <c r="BA286" s="161"/>
      <c r="BB286" s="161"/>
      <c r="BC286" s="161"/>
      <c r="BD286" s="161"/>
    </row>
    <row r="287" spans="1:56" x14ac:dyDescent="0.2">
      <c r="A287" s="161"/>
      <c r="B287" s="161"/>
      <c r="C287" s="161"/>
      <c r="D287" s="161"/>
      <c r="E287" s="162"/>
      <c r="F287" s="161"/>
      <c r="G287" s="161"/>
      <c r="H287" s="161"/>
      <c r="I287" s="161"/>
      <c r="J287" s="161"/>
      <c r="K287" s="161"/>
      <c r="L287" s="161"/>
      <c r="M287" s="161"/>
      <c r="N287" s="161"/>
      <c r="O287" s="161"/>
      <c r="P287" s="161"/>
      <c r="Q287" s="160"/>
      <c r="R287" s="161"/>
      <c r="S287" s="161"/>
      <c r="T287" s="161"/>
      <c r="U287" s="161"/>
      <c r="V287" s="161"/>
      <c r="W287" s="161"/>
      <c r="X287" s="161"/>
      <c r="Y287" s="161"/>
      <c r="Z287" s="161"/>
      <c r="AA287" s="161"/>
      <c r="AB287" s="161"/>
      <c r="AC287" s="161"/>
      <c r="AD287" s="161"/>
      <c r="AE287" s="161"/>
      <c r="AF287" s="161"/>
      <c r="AG287" s="161"/>
      <c r="AH287" s="161"/>
      <c r="AI287" s="161"/>
      <c r="AJ287" s="161"/>
      <c r="AK287" s="161"/>
      <c r="AL287" s="161"/>
      <c r="AM287" s="161"/>
      <c r="AN287" s="161"/>
      <c r="AO287" s="161"/>
      <c r="AP287" s="161"/>
      <c r="AQ287" s="161"/>
      <c r="AR287" s="161"/>
      <c r="AS287" s="161"/>
      <c r="AT287" s="161"/>
      <c r="AU287" s="161"/>
      <c r="AV287" s="161"/>
      <c r="AW287" s="161"/>
      <c r="AX287" s="161"/>
      <c r="AY287" s="161"/>
      <c r="AZ287" s="161"/>
      <c r="BA287" s="161"/>
      <c r="BB287" s="161"/>
      <c r="BC287" s="161"/>
      <c r="BD287" s="161"/>
    </row>
    <row r="288" spans="1:56" x14ac:dyDescent="0.2">
      <c r="A288" s="161"/>
      <c r="B288" s="161"/>
      <c r="C288" s="161"/>
      <c r="D288" s="161"/>
      <c r="E288" s="162"/>
      <c r="F288" s="161"/>
      <c r="G288" s="161"/>
      <c r="H288" s="161"/>
      <c r="I288" s="161"/>
      <c r="J288" s="161"/>
      <c r="K288" s="161"/>
      <c r="L288" s="161"/>
      <c r="M288" s="161"/>
      <c r="N288" s="161"/>
      <c r="O288" s="161"/>
      <c r="P288" s="161"/>
      <c r="Q288" s="160"/>
      <c r="R288" s="161"/>
      <c r="S288" s="161"/>
      <c r="T288" s="161"/>
      <c r="U288" s="161"/>
      <c r="V288" s="161"/>
      <c r="W288" s="161"/>
      <c r="X288" s="161"/>
      <c r="Y288" s="161"/>
      <c r="Z288" s="161"/>
      <c r="AA288" s="161"/>
      <c r="AB288" s="161"/>
      <c r="AC288" s="161"/>
      <c r="AD288" s="161"/>
      <c r="AE288" s="161"/>
      <c r="AF288" s="161"/>
      <c r="AG288" s="161"/>
      <c r="AH288" s="161"/>
      <c r="AI288" s="161"/>
      <c r="AJ288" s="161"/>
      <c r="AK288" s="161"/>
      <c r="AL288" s="161"/>
      <c r="AM288" s="161"/>
      <c r="AN288" s="161"/>
      <c r="AO288" s="161"/>
      <c r="AP288" s="161"/>
      <c r="AQ288" s="161"/>
      <c r="AR288" s="161"/>
      <c r="AS288" s="161"/>
      <c r="AT288" s="161"/>
      <c r="AU288" s="161"/>
      <c r="AV288" s="161"/>
      <c r="AW288" s="161"/>
      <c r="AX288" s="161"/>
      <c r="AY288" s="161"/>
      <c r="AZ288" s="161"/>
      <c r="BA288" s="161"/>
      <c r="BB288" s="161"/>
      <c r="BC288" s="161"/>
      <c r="BD288" s="161"/>
    </row>
    <row r="289" spans="1:56" x14ac:dyDescent="0.2">
      <c r="A289" s="161"/>
      <c r="B289" s="161"/>
      <c r="C289" s="161"/>
      <c r="D289" s="161"/>
      <c r="E289" s="162"/>
      <c r="F289" s="161"/>
      <c r="G289" s="161"/>
      <c r="H289" s="161"/>
      <c r="I289" s="161"/>
      <c r="J289" s="161"/>
      <c r="K289" s="161"/>
      <c r="L289" s="161"/>
      <c r="M289" s="161"/>
      <c r="N289" s="161"/>
      <c r="O289" s="161"/>
      <c r="P289" s="161"/>
      <c r="Q289" s="160"/>
      <c r="R289" s="161"/>
      <c r="S289" s="161"/>
      <c r="T289" s="161"/>
      <c r="U289" s="161"/>
      <c r="V289" s="161"/>
      <c r="W289" s="161"/>
      <c r="X289" s="161"/>
      <c r="Y289" s="161"/>
      <c r="Z289" s="161"/>
      <c r="AA289" s="161"/>
      <c r="AB289" s="161"/>
      <c r="AC289" s="161"/>
      <c r="AD289" s="161"/>
      <c r="AE289" s="161"/>
      <c r="AF289" s="161"/>
      <c r="AG289" s="161"/>
      <c r="AH289" s="161"/>
      <c r="AI289" s="161"/>
      <c r="AJ289" s="161"/>
      <c r="AK289" s="161"/>
      <c r="AL289" s="161"/>
      <c r="AM289" s="161"/>
      <c r="AN289" s="161"/>
      <c r="AO289" s="161"/>
      <c r="AP289" s="161"/>
      <c r="AQ289" s="161"/>
      <c r="AR289" s="161"/>
      <c r="AS289" s="161"/>
      <c r="AT289" s="161"/>
      <c r="AU289" s="161"/>
      <c r="AV289" s="161"/>
      <c r="AW289" s="161"/>
      <c r="AX289" s="161"/>
      <c r="AY289" s="161"/>
      <c r="AZ289" s="161"/>
      <c r="BA289" s="161"/>
      <c r="BB289" s="161"/>
      <c r="BC289" s="161"/>
      <c r="BD289" s="161"/>
    </row>
    <row r="290" spans="1:56" x14ac:dyDescent="0.2">
      <c r="A290" s="161"/>
      <c r="B290" s="161"/>
      <c r="C290" s="161"/>
      <c r="D290" s="161"/>
      <c r="E290" s="162"/>
      <c r="F290" s="161"/>
      <c r="G290" s="161"/>
      <c r="H290" s="161"/>
      <c r="I290" s="161"/>
      <c r="J290" s="161"/>
      <c r="K290" s="161"/>
      <c r="L290" s="161"/>
      <c r="M290" s="161"/>
      <c r="N290" s="161"/>
      <c r="O290" s="161"/>
      <c r="P290" s="161"/>
      <c r="Q290" s="160"/>
      <c r="R290" s="161"/>
      <c r="S290" s="161"/>
      <c r="T290" s="161"/>
      <c r="U290" s="161"/>
      <c r="V290" s="161"/>
      <c r="W290" s="161"/>
      <c r="X290" s="161"/>
      <c r="Y290" s="161"/>
      <c r="Z290" s="161"/>
      <c r="AA290" s="161"/>
      <c r="AB290" s="161"/>
      <c r="AC290" s="161"/>
      <c r="AD290" s="161"/>
      <c r="AE290" s="161"/>
      <c r="AF290" s="161"/>
      <c r="AG290" s="161"/>
      <c r="AH290" s="161"/>
      <c r="AI290" s="161"/>
      <c r="AJ290" s="161"/>
      <c r="AK290" s="161"/>
      <c r="AL290" s="161"/>
      <c r="AM290" s="161"/>
      <c r="AN290" s="161"/>
      <c r="AO290" s="161"/>
      <c r="AP290" s="161"/>
      <c r="AQ290" s="161"/>
      <c r="AR290" s="161"/>
      <c r="AS290" s="161"/>
      <c r="AT290" s="161"/>
      <c r="AU290" s="161"/>
      <c r="AV290" s="161"/>
      <c r="AW290" s="161"/>
      <c r="AX290" s="161"/>
      <c r="AY290" s="161"/>
      <c r="AZ290" s="161"/>
      <c r="BA290" s="161"/>
      <c r="BB290" s="161"/>
      <c r="BC290" s="161"/>
      <c r="BD290" s="161"/>
    </row>
    <row r="291" spans="1:56" x14ac:dyDescent="0.2">
      <c r="A291" s="161"/>
      <c r="B291" s="161"/>
      <c r="C291" s="161"/>
      <c r="D291" s="161"/>
      <c r="E291" s="162"/>
      <c r="F291" s="161"/>
      <c r="G291" s="161"/>
      <c r="H291" s="161"/>
      <c r="I291" s="161"/>
      <c r="J291" s="161"/>
      <c r="K291" s="161"/>
      <c r="L291" s="161"/>
      <c r="M291" s="161"/>
      <c r="N291" s="161"/>
      <c r="O291" s="161"/>
      <c r="P291" s="161"/>
      <c r="Q291" s="160"/>
      <c r="R291" s="161"/>
      <c r="S291" s="161"/>
      <c r="T291" s="161"/>
      <c r="U291" s="161"/>
      <c r="V291" s="161"/>
      <c r="W291" s="161"/>
      <c r="X291" s="161"/>
      <c r="Y291" s="161"/>
      <c r="Z291" s="161"/>
      <c r="AA291" s="161"/>
      <c r="AB291" s="161"/>
      <c r="AC291" s="161"/>
      <c r="AD291" s="161"/>
      <c r="AE291" s="161"/>
      <c r="AF291" s="161"/>
      <c r="AG291" s="161"/>
      <c r="AH291" s="161"/>
      <c r="AI291" s="161"/>
      <c r="AJ291" s="161"/>
      <c r="AK291" s="161"/>
      <c r="AL291" s="161"/>
      <c r="AM291" s="161"/>
      <c r="AN291" s="161"/>
      <c r="AO291" s="161"/>
      <c r="AP291" s="161"/>
      <c r="AQ291" s="161"/>
      <c r="AR291" s="161"/>
      <c r="AS291" s="161"/>
      <c r="AT291" s="161"/>
      <c r="AU291" s="161"/>
      <c r="AV291" s="161"/>
      <c r="AW291" s="161"/>
      <c r="AX291" s="161"/>
      <c r="AY291" s="161"/>
      <c r="AZ291" s="161"/>
      <c r="BA291" s="161"/>
      <c r="BB291" s="161"/>
      <c r="BC291" s="161"/>
      <c r="BD291" s="161"/>
    </row>
    <row r="292" spans="1:56" x14ac:dyDescent="0.2">
      <c r="A292" s="161"/>
      <c r="B292" s="161"/>
      <c r="C292" s="161"/>
      <c r="D292" s="161"/>
      <c r="E292" s="162"/>
      <c r="F292" s="161"/>
      <c r="G292" s="161"/>
      <c r="H292" s="161"/>
      <c r="I292" s="161"/>
      <c r="J292" s="161"/>
      <c r="K292" s="161"/>
      <c r="L292" s="161"/>
      <c r="M292" s="161"/>
      <c r="N292" s="161"/>
      <c r="O292" s="161"/>
      <c r="P292" s="161"/>
      <c r="Q292" s="160"/>
      <c r="R292" s="161"/>
      <c r="S292" s="161"/>
      <c r="T292" s="161"/>
      <c r="U292" s="161"/>
      <c r="V292" s="161"/>
      <c r="W292" s="161"/>
      <c r="X292" s="161"/>
      <c r="Y292" s="161"/>
      <c r="Z292" s="161"/>
      <c r="AA292" s="161"/>
      <c r="AB292" s="161"/>
      <c r="AC292" s="161"/>
      <c r="AD292" s="161"/>
      <c r="AE292" s="161"/>
      <c r="AF292" s="161"/>
      <c r="AG292" s="161"/>
      <c r="AH292" s="161"/>
      <c r="AI292" s="161"/>
      <c r="AJ292" s="161"/>
      <c r="AK292" s="161"/>
      <c r="AL292" s="161"/>
      <c r="AM292" s="161"/>
      <c r="AN292" s="161"/>
      <c r="AO292" s="161"/>
      <c r="AP292" s="161"/>
      <c r="AQ292" s="161"/>
      <c r="AR292" s="161"/>
      <c r="AS292" s="161"/>
      <c r="AT292" s="161"/>
      <c r="AU292" s="161"/>
      <c r="AV292" s="161"/>
      <c r="AW292" s="161"/>
      <c r="AX292" s="161"/>
      <c r="AY292" s="161"/>
      <c r="AZ292" s="161"/>
      <c r="BA292" s="161"/>
      <c r="BB292" s="161"/>
      <c r="BC292" s="161"/>
      <c r="BD292" s="161"/>
    </row>
    <row r="293" spans="1:56" x14ac:dyDescent="0.2">
      <c r="A293" s="161"/>
      <c r="B293" s="161"/>
      <c r="C293" s="161"/>
      <c r="D293" s="161"/>
      <c r="E293" s="162"/>
      <c r="F293" s="161"/>
      <c r="G293" s="161"/>
      <c r="H293" s="161"/>
      <c r="I293" s="161"/>
      <c r="J293" s="161"/>
      <c r="K293" s="161"/>
      <c r="L293" s="161"/>
      <c r="M293" s="161"/>
      <c r="N293" s="161"/>
      <c r="O293" s="161"/>
      <c r="P293" s="161"/>
      <c r="Q293" s="160"/>
      <c r="R293" s="161"/>
      <c r="S293" s="161"/>
      <c r="T293" s="161"/>
      <c r="U293" s="161"/>
      <c r="V293" s="161"/>
      <c r="W293" s="161"/>
      <c r="X293" s="161"/>
      <c r="Y293" s="161"/>
      <c r="Z293" s="161"/>
      <c r="AA293" s="161"/>
      <c r="AB293" s="161"/>
      <c r="AC293" s="161"/>
      <c r="AD293" s="161"/>
      <c r="AE293" s="161"/>
      <c r="AF293" s="161"/>
      <c r="AG293" s="161"/>
      <c r="AH293" s="161"/>
      <c r="AI293" s="161"/>
      <c r="AJ293" s="161"/>
      <c r="AK293" s="161"/>
      <c r="AL293" s="161"/>
      <c r="AM293" s="161"/>
      <c r="AN293" s="161"/>
      <c r="AO293" s="161"/>
      <c r="AP293" s="161"/>
      <c r="AQ293" s="161"/>
      <c r="AR293" s="161"/>
      <c r="AS293" s="161"/>
      <c r="AT293" s="161"/>
      <c r="AU293" s="161"/>
      <c r="AV293" s="161"/>
      <c r="AW293" s="161"/>
      <c r="AX293" s="161"/>
      <c r="AY293" s="161"/>
      <c r="AZ293" s="161"/>
      <c r="BA293" s="161"/>
      <c r="BB293" s="161"/>
      <c r="BC293" s="161"/>
      <c r="BD293" s="161"/>
    </row>
    <row r="294" spans="1:56" x14ac:dyDescent="0.2">
      <c r="A294" s="161"/>
      <c r="B294" s="161"/>
      <c r="C294" s="161"/>
      <c r="D294" s="161"/>
      <c r="E294" s="162"/>
      <c r="F294" s="161"/>
      <c r="G294" s="161"/>
      <c r="H294" s="161"/>
      <c r="I294" s="161"/>
      <c r="J294" s="161"/>
      <c r="K294" s="161"/>
      <c r="L294" s="161"/>
      <c r="M294" s="161"/>
      <c r="N294" s="161"/>
      <c r="O294" s="161"/>
      <c r="P294" s="161"/>
      <c r="Q294" s="160"/>
      <c r="R294" s="161"/>
      <c r="S294" s="161"/>
      <c r="T294" s="161"/>
      <c r="U294" s="161"/>
      <c r="V294" s="161"/>
      <c r="W294" s="161"/>
      <c r="X294" s="161"/>
      <c r="Y294" s="161"/>
      <c r="Z294" s="161"/>
      <c r="AA294" s="161"/>
      <c r="AB294" s="161"/>
      <c r="AC294" s="161"/>
      <c r="AD294" s="161"/>
      <c r="AE294" s="161"/>
      <c r="AF294" s="161"/>
      <c r="AG294" s="161"/>
      <c r="AH294" s="161"/>
      <c r="AI294" s="161"/>
      <c r="AJ294" s="161"/>
      <c r="AK294" s="161"/>
      <c r="AL294" s="161"/>
      <c r="AM294" s="161"/>
      <c r="AN294" s="161"/>
      <c r="AO294" s="161"/>
      <c r="AP294" s="161"/>
      <c r="AQ294" s="161"/>
      <c r="AR294" s="161"/>
      <c r="AS294" s="161"/>
      <c r="AT294" s="161"/>
      <c r="AU294" s="161"/>
      <c r="AV294" s="161"/>
      <c r="AW294" s="161"/>
      <c r="AX294" s="161"/>
      <c r="AY294" s="161"/>
      <c r="AZ294" s="161"/>
      <c r="BA294" s="161"/>
      <c r="BB294" s="161"/>
      <c r="BC294" s="161"/>
      <c r="BD294" s="161"/>
    </row>
    <row r="295" spans="1:56" x14ac:dyDescent="0.2">
      <c r="A295" s="161"/>
      <c r="B295" s="161"/>
      <c r="C295" s="161"/>
      <c r="D295" s="161"/>
      <c r="E295" s="162"/>
      <c r="F295" s="161"/>
      <c r="G295" s="161"/>
      <c r="H295" s="161"/>
      <c r="I295" s="161"/>
      <c r="J295" s="161"/>
      <c r="K295" s="161"/>
      <c r="L295" s="161"/>
      <c r="M295" s="161"/>
      <c r="N295" s="161"/>
      <c r="O295" s="161"/>
      <c r="P295" s="161"/>
      <c r="Q295" s="160"/>
      <c r="R295" s="161"/>
      <c r="S295" s="161"/>
      <c r="T295" s="161"/>
      <c r="U295" s="161"/>
      <c r="V295" s="161"/>
      <c r="W295" s="161"/>
      <c r="X295" s="161"/>
      <c r="Y295" s="161"/>
      <c r="Z295" s="161"/>
      <c r="AA295" s="161"/>
      <c r="AB295" s="161"/>
      <c r="AC295" s="161"/>
      <c r="AD295" s="161"/>
      <c r="AE295" s="161"/>
      <c r="AF295" s="161"/>
      <c r="AG295" s="161"/>
      <c r="AH295" s="161"/>
      <c r="AI295" s="161"/>
      <c r="AJ295" s="161"/>
      <c r="AK295" s="161"/>
      <c r="AL295" s="161"/>
      <c r="AM295" s="161"/>
      <c r="AN295" s="161"/>
      <c r="AO295" s="161"/>
      <c r="AP295" s="161"/>
      <c r="AQ295" s="161"/>
      <c r="AR295" s="161"/>
      <c r="AS295" s="161"/>
      <c r="AT295" s="161"/>
      <c r="AU295" s="161"/>
      <c r="AV295" s="161"/>
      <c r="AW295" s="161"/>
      <c r="AX295" s="161"/>
      <c r="AY295" s="161"/>
      <c r="AZ295" s="161"/>
      <c r="BA295" s="161"/>
      <c r="BB295" s="161"/>
      <c r="BC295" s="161"/>
      <c r="BD295" s="161"/>
    </row>
    <row r="296" spans="1:56" x14ac:dyDescent="0.2">
      <c r="A296" s="161"/>
      <c r="B296" s="161"/>
      <c r="C296" s="161"/>
      <c r="D296" s="161"/>
      <c r="E296" s="162"/>
      <c r="F296" s="161"/>
      <c r="G296" s="161"/>
      <c r="H296" s="161"/>
      <c r="I296" s="161"/>
      <c r="J296" s="161"/>
      <c r="K296" s="161"/>
      <c r="L296" s="161"/>
      <c r="M296" s="161"/>
      <c r="N296" s="161"/>
      <c r="O296" s="161"/>
      <c r="P296" s="161"/>
      <c r="Q296" s="160"/>
      <c r="R296" s="161"/>
      <c r="S296" s="161"/>
      <c r="T296" s="161"/>
      <c r="U296" s="161"/>
      <c r="V296" s="161"/>
      <c r="W296" s="161"/>
      <c r="X296" s="161"/>
      <c r="Y296" s="161"/>
      <c r="Z296" s="161"/>
      <c r="AA296" s="161"/>
      <c r="AB296" s="161"/>
      <c r="AC296" s="161"/>
      <c r="AD296" s="161"/>
      <c r="AE296" s="161"/>
      <c r="AF296" s="161"/>
      <c r="AG296" s="161"/>
      <c r="AH296" s="161"/>
      <c r="AI296" s="161"/>
      <c r="AJ296" s="161"/>
      <c r="AK296" s="161"/>
      <c r="AL296" s="161"/>
      <c r="AM296" s="161"/>
      <c r="AN296" s="161"/>
      <c r="AO296" s="161"/>
      <c r="AP296" s="161"/>
      <c r="AQ296" s="161"/>
      <c r="AR296" s="161"/>
      <c r="AS296" s="161"/>
      <c r="AT296" s="161"/>
      <c r="AU296" s="161"/>
      <c r="AV296" s="161"/>
      <c r="AW296" s="161"/>
      <c r="AX296" s="161"/>
      <c r="AY296" s="161"/>
      <c r="AZ296" s="161"/>
      <c r="BA296" s="161"/>
      <c r="BB296" s="161"/>
      <c r="BC296" s="161"/>
      <c r="BD296" s="161"/>
    </row>
    <row r="297" spans="1:56" x14ac:dyDescent="0.2">
      <c r="A297" s="161"/>
      <c r="B297" s="161"/>
      <c r="C297" s="161"/>
      <c r="D297" s="161"/>
      <c r="E297" s="162"/>
      <c r="F297" s="161"/>
      <c r="G297" s="161"/>
      <c r="H297" s="161"/>
      <c r="I297" s="161"/>
      <c r="J297" s="161"/>
      <c r="K297" s="161"/>
      <c r="L297" s="161"/>
      <c r="M297" s="161"/>
      <c r="N297" s="161"/>
      <c r="O297" s="161"/>
      <c r="P297" s="161"/>
      <c r="Q297" s="160"/>
      <c r="R297" s="161"/>
      <c r="S297" s="161"/>
      <c r="T297" s="161"/>
      <c r="U297" s="161"/>
      <c r="V297" s="161"/>
      <c r="W297" s="161"/>
      <c r="X297" s="161"/>
      <c r="Y297" s="161"/>
      <c r="Z297" s="161"/>
      <c r="AA297" s="161"/>
      <c r="AB297" s="161"/>
      <c r="AC297" s="161"/>
      <c r="AD297" s="161"/>
      <c r="AE297" s="161"/>
      <c r="AF297" s="161"/>
      <c r="AG297" s="161"/>
      <c r="AH297" s="161"/>
      <c r="AI297" s="161"/>
      <c r="AJ297" s="161"/>
      <c r="AK297" s="161"/>
      <c r="AL297" s="161"/>
      <c r="AM297" s="161"/>
      <c r="AN297" s="161"/>
      <c r="AO297" s="161"/>
      <c r="AP297" s="161"/>
      <c r="AQ297" s="161"/>
      <c r="AR297" s="161"/>
      <c r="AS297" s="161"/>
      <c r="AT297" s="161"/>
      <c r="AU297" s="161"/>
      <c r="AV297" s="161"/>
      <c r="AW297" s="161"/>
      <c r="AX297" s="161"/>
      <c r="AY297" s="161"/>
      <c r="AZ297" s="161"/>
      <c r="BA297" s="161"/>
      <c r="BB297" s="161"/>
      <c r="BC297" s="161"/>
      <c r="BD297" s="161"/>
    </row>
    <row r="298" spans="1:56" x14ac:dyDescent="0.2">
      <c r="A298" s="161"/>
      <c r="B298" s="161"/>
      <c r="C298" s="161"/>
      <c r="D298" s="161"/>
      <c r="E298" s="162"/>
      <c r="F298" s="161"/>
      <c r="G298" s="161"/>
      <c r="H298" s="161"/>
      <c r="I298" s="161"/>
      <c r="J298" s="161"/>
      <c r="K298" s="161"/>
      <c r="L298" s="161"/>
      <c r="M298" s="161"/>
      <c r="N298" s="161"/>
      <c r="O298" s="161"/>
      <c r="P298" s="161"/>
      <c r="Q298" s="160"/>
      <c r="R298" s="161"/>
      <c r="S298" s="161"/>
      <c r="T298" s="161"/>
      <c r="U298" s="161"/>
      <c r="V298" s="161"/>
      <c r="W298" s="161"/>
      <c r="X298" s="161"/>
      <c r="Y298" s="161"/>
      <c r="Z298" s="161"/>
      <c r="AA298" s="161"/>
      <c r="AB298" s="161"/>
      <c r="AC298" s="161"/>
      <c r="AD298" s="161"/>
      <c r="AE298" s="161"/>
      <c r="AF298" s="161"/>
      <c r="AG298" s="161"/>
      <c r="AH298" s="161"/>
      <c r="AI298" s="161"/>
      <c r="AJ298" s="161"/>
      <c r="AK298" s="161"/>
      <c r="AL298" s="161"/>
      <c r="AM298" s="161"/>
      <c r="AN298" s="161"/>
      <c r="AO298" s="161"/>
      <c r="AP298" s="161"/>
      <c r="AQ298" s="161"/>
      <c r="AR298" s="161"/>
      <c r="AS298" s="161"/>
      <c r="AT298" s="161"/>
      <c r="AU298" s="161"/>
      <c r="AV298" s="161"/>
      <c r="AW298" s="161"/>
      <c r="AX298" s="161"/>
      <c r="AY298" s="161"/>
      <c r="AZ298" s="161"/>
      <c r="BA298" s="161"/>
      <c r="BB298" s="161"/>
      <c r="BC298" s="161"/>
      <c r="BD298" s="161"/>
    </row>
    <row r="299" spans="1:56" x14ac:dyDescent="0.2">
      <c r="A299" s="161"/>
      <c r="B299" s="161"/>
      <c r="C299" s="161"/>
      <c r="D299" s="161"/>
      <c r="E299" s="162"/>
      <c r="F299" s="161"/>
      <c r="G299" s="161"/>
      <c r="H299" s="161"/>
      <c r="I299" s="161"/>
      <c r="J299" s="161"/>
      <c r="K299" s="161"/>
      <c r="L299" s="161"/>
      <c r="M299" s="161"/>
      <c r="N299" s="161"/>
      <c r="O299" s="161"/>
      <c r="P299" s="161"/>
      <c r="Q299" s="160"/>
      <c r="R299" s="161"/>
      <c r="S299" s="161"/>
      <c r="T299" s="161"/>
      <c r="U299" s="161"/>
      <c r="V299" s="161"/>
      <c r="W299" s="161"/>
      <c r="X299" s="161"/>
      <c r="Y299" s="161"/>
      <c r="Z299" s="161"/>
      <c r="AA299" s="161"/>
      <c r="AB299" s="161"/>
      <c r="AC299" s="161"/>
      <c r="AD299" s="161"/>
      <c r="AE299" s="161"/>
      <c r="AF299" s="161"/>
      <c r="AG299" s="161"/>
      <c r="AH299" s="161"/>
      <c r="AI299" s="161"/>
      <c r="AJ299" s="161"/>
      <c r="AK299" s="161"/>
      <c r="AL299" s="161"/>
      <c r="AM299" s="161"/>
      <c r="AN299" s="161"/>
      <c r="AO299" s="161"/>
      <c r="AP299" s="161"/>
      <c r="AQ299" s="161"/>
      <c r="AR299" s="161"/>
      <c r="AS299" s="161"/>
      <c r="AT299" s="161"/>
      <c r="AU299" s="161"/>
      <c r="AV299" s="161"/>
      <c r="AW299" s="161"/>
      <c r="AX299" s="161"/>
      <c r="AY299" s="161"/>
      <c r="AZ299" s="161"/>
      <c r="BA299" s="161"/>
      <c r="BB299" s="161"/>
      <c r="BC299" s="161"/>
      <c r="BD299" s="161"/>
    </row>
    <row r="300" spans="1:56" x14ac:dyDescent="0.2">
      <c r="A300" s="161"/>
      <c r="B300" s="161"/>
      <c r="C300" s="161"/>
      <c r="D300" s="161"/>
      <c r="E300" s="162"/>
      <c r="F300" s="161"/>
      <c r="G300" s="161"/>
      <c r="H300" s="161"/>
      <c r="I300" s="161"/>
      <c r="J300" s="161"/>
      <c r="K300" s="161"/>
      <c r="L300" s="161"/>
      <c r="M300" s="161"/>
      <c r="N300" s="161"/>
      <c r="O300" s="161"/>
      <c r="P300" s="161"/>
      <c r="Q300" s="160"/>
      <c r="R300" s="161"/>
      <c r="S300" s="161"/>
      <c r="T300" s="161"/>
      <c r="U300" s="161"/>
      <c r="V300" s="161"/>
      <c r="W300" s="161"/>
      <c r="X300" s="161"/>
      <c r="Y300" s="161"/>
      <c r="Z300" s="161"/>
      <c r="AA300" s="161"/>
      <c r="AB300" s="161"/>
      <c r="AC300" s="161"/>
      <c r="AD300" s="161"/>
      <c r="AE300" s="161"/>
      <c r="AF300" s="161"/>
      <c r="AG300" s="161"/>
      <c r="AH300" s="161"/>
      <c r="AI300" s="161"/>
      <c r="AJ300" s="161"/>
      <c r="AK300" s="161"/>
      <c r="AL300" s="161"/>
      <c r="AM300" s="161"/>
      <c r="AN300" s="161"/>
      <c r="AO300" s="161"/>
      <c r="AP300" s="161"/>
      <c r="AQ300" s="161"/>
      <c r="AR300" s="161"/>
      <c r="AS300" s="161"/>
      <c r="AT300" s="161"/>
      <c r="AU300" s="161"/>
      <c r="AV300" s="161"/>
      <c r="AW300" s="161"/>
      <c r="AX300" s="161"/>
      <c r="AY300" s="161"/>
      <c r="AZ300" s="161"/>
      <c r="BA300" s="161"/>
      <c r="BB300" s="161"/>
      <c r="BC300" s="161"/>
      <c r="BD300" s="161"/>
    </row>
    <row r="301" spans="1:56" x14ac:dyDescent="0.2">
      <c r="A301" s="161"/>
      <c r="B301" s="161"/>
      <c r="C301" s="161"/>
      <c r="D301" s="161"/>
      <c r="E301" s="162"/>
      <c r="F301" s="161"/>
      <c r="G301" s="161"/>
      <c r="H301" s="161"/>
      <c r="I301" s="161"/>
      <c r="J301" s="161"/>
      <c r="K301" s="161"/>
      <c r="L301" s="161"/>
      <c r="M301" s="161"/>
      <c r="N301" s="161"/>
      <c r="O301" s="161"/>
      <c r="P301" s="161"/>
      <c r="Q301" s="160"/>
      <c r="R301" s="161"/>
      <c r="S301" s="161"/>
      <c r="T301" s="161"/>
      <c r="U301" s="161"/>
      <c r="V301" s="161"/>
      <c r="W301" s="161"/>
      <c r="X301" s="161"/>
      <c r="Y301" s="161"/>
      <c r="Z301" s="161"/>
      <c r="AA301" s="161"/>
      <c r="AB301" s="161"/>
      <c r="AC301" s="161"/>
      <c r="AD301" s="161"/>
      <c r="AE301" s="161"/>
      <c r="AF301" s="161"/>
      <c r="AG301" s="161"/>
      <c r="AH301" s="161"/>
      <c r="AI301" s="161"/>
      <c r="AJ301" s="161"/>
      <c r="AK301" s="161"/>
      <c r="AL301" s="161"/>
      <c r="AM301" s="161"/>
      <c r="AN301" s="161"/>
      <c r="AO301" s="161"/>
      <c r="AP301" s="161"/>
      <c r="AQ301" s="161"/>
      <c r="AR301" s="161"/>
      <c r="AS301" s="161"/>
      <c r="AT301" s="161"/>
      <c r="AU301" s="161"/>
      <c r="AV301" s="161"/>
      <c r="AW301" s="161"/>
      <c r="AX301" s="161"/>
      <c r="AY301" s="161"/>
      <c r="AZ301" s="161"/>
      <c r="BA301" s="161"/>
      <c r="BB301" s="161"/>
      <c r="BC301" s="161"/>
      <c r="BD301" s="161"/>
    </row>
    <row r="302" spans="1:56" x14ac:dyDescent="0.2">
      <c r="A302" s="161"/>
      <c r="B302" s="161"/>
      <c r="C302" s="161"/>
      <c r="D302" s="161"/>
      <c r="E302" s="162"/>
      <c r="F302" s="161"/>
      <c r="G302" s="161"/>
      <c r="H302" s="161"/>
      <c r="I302" s="161"/>
      <c r="J302" s="161"/>
      <c r="K302" s="161"/>
      <c r="L302" s="161"/>
      <c r="M302" s="161"/>
      <c r="N302" s="161"/>
      <c r="O302" s="161"/>
      <c r="P302" s="161"/>
      <c r="Q302" s="160"/>
      <c r="R302" s="161"/>
      <c r="S302" s="161"/>
      <c r="T302" s="161"/>
      <c r="U302" s="161"/>
      <c r="V302" s="161"/>
      <c r="W302" s="161"/>
      <c r="X302" s="161"/>
      <c r="Y302" s="161"/>
      <c r="Z302" s="161"/>
      <c r="AA302" s="161"/>
      <c r="AB302" s="161"/>
      <c r="AC302" s="161"/>
      <c r="AD302" s="161"/>
      <c r="AE302" s="161"/>
      <c r="AF302" s="161"/>
      <c r="AG302" s="161"/>
      <c r="AH302" s="161"/>
      <c r="AI302" s="161"/>
      <c r="AJ302" s="161"/>
      <c r="AK302" s="161"/>
      <c r="AL302" s="161"/>
      <c r="AM302" s="161"/>
      <c r="AN302" s="161"/>
      <c r="AO302" s="161"/>
      <c r="AP302" s="161"/>
      <c r="AQ302" s="161"/>
      <c r="AR302" s="161"/>
      <c r="AS302" s="161"/>
      <c r="AT302" s="161"/>
      <c r="AU302" s="161"/>
      <c r="AV302" s="161"/>
      <c r="AW302" s="161"/>
      <c r="AX302" s="161"/>
      <c r="AY302" s="161"/>
      <c r="AZ302" s="161"/>
      <c r="BA302" s="161"/>
      <c r="BB302" s="161"/>
      <c r="BC302" s="161"/>
      <c r="BD302" s="161"/>
    </row>
    <row r="303" spans="1:56" x14ac:dyDescent="0.2">
      <c r="A303" s="161"/>
      <c r="B303" s="161"/>
      <c r="C303" s="161"/>
      <c r="D303" s="161"/>
      <c r="E303" s="162"/>
      <c r="F303" s="161"/>
      <c r="G303" s="161"/>
      <c r="H303" s="161"/>
      <c r="I303" s="161"/>
      <c r="J303" s="161"/>
      <c r="K303" s="161"/>
      <c r="L303" s="161"/>
      <c r="M303" s="161"/>
      <c r="N303" s="161"/>
      <c r="O303" s="161"/>
      <c r="P303" s="161"/>
      <c r="Q303" s="160"/>
      <c r="R303" s="161"/>
      <c r="S303" s="161"/>
      <c r="T303" s="161"/>
      <c r="U303" s="161"/>
      <c r="V303" s="161"/>
      <c r="W303" s="161"/>
      <c r="X303" s="161"/>
      <c r="Y303" s="161"/>
      <c r="Z303" s="161"/>
      <c r="AA303" s="161"/>
      <c r="AB303" s="161"/>
      <c r="AC303" s="161"/>
      <c r="AD303" s="161"/>
      <c r="AE303" s="161"/>
      <c r="AF303" s="161"/>
      <c r="AG303" s="161"/>
      <c r="AH303" s="161"/>
      <c r="AI303" s="161"/>
      <c r="AJ303" s="161"/>
      <c r="AK303" s="161"/>
      <c r="AL303" s="161"/>
      <c r="AM303" s="161"/>
      <c r="AN303" s="161"/>
      <c r="AO303" s="161"/>
      <c r="AP303" s="161"/>
      <c r="AQ303" s="161"/>
      <c r="AR303" s="161"/>
      <c r="AS303" s="161"/>
      <c r="AT303" s="161"/>
      <c r="AU303" s="161"/>
      <c r="AV303" s="161"/>
      <c r="AW303" s="161"/>
      <c r="AX303" s="161"/>
      <c r="AY303" s="161"/>
      <c r="AZ303" s="161"/>
      <c r="BA303" s="161"/>
      <c r="BB303" s="161"/>
      <c r="BC303" s="161"/>
      <c r="BD303" s="161"/>
    </row>
    <row r="304" spans="1:56" x14ac:dyDescent="0.2">
      <c r="A304" s="161"/>
      <c r="B304" s="161"/>
      <c r="C304" s="161"/>
      <c r="D304" s="161"/>
      <c r="E304" s="162"/>
      <c r="F304" s="161"/>
      <c r="G304" s="161"/>
      <c r="H304" s="161"/>
      <c r="I304" s="161"/>
      <c r="J304" s="161"/>
      <c r="K304" s="161"/>
      <c r="L304" s="161"/>
      <c r="M304" s="161"/>
      <c r="N304" s="161"/>
      <c r="O304" s="161"/>
      <c r="P304" s="161"/>
      <c r="Q304" s="160"/>
      <c r="R304" s="161"/>
      <c r="S304" s="161"/>
      <c r="T304" s="161"/>
      <c r="U304" s="161"/>
      <c r="V304" s="161"/>
      <c r="W304" s="161"/>
      <c r="X304" s="161"/>
      <c r="Y304" s="161"/>
      <c r="Z304" s="161"/>
      <c r="AA304" s="161"/>
      <c r="AB304" s="161"/>
      <c r="AC304" s="161"/>
      <c r="AD304" s="161"/>
      <c r="AE304" s="161"/>
      <c r="AF304" s="161"/>
      <c r="AG304" s="161"/>
      <c r="AH304" s="161"/>
      <c r="AI304" s="161"/>
      <c r="AJ304" s="161"/>
      <c r="AK304" s="161"/>
      <c r="AL304" s="161"/>
      <c r="AM304" s="161"/>
      <c r="AN304" s="161"/>
      <c r="AO304" s="161"/>
      <c r="AP304" s="161"/>
      <c r="AQ304" s="161"/>
      <c r="AR304" s="161"/>
      <c r="AS304" s="161"/>
      <c r="AT304" s="161"/>
      <c r="AU304" s="161"/>
      <c r="AV304" s="161"/>
      <c r="AW304" s="161"/>
      <c r="AX304" s="161"/>
      <c r="AY304" s="161"/>
      <c r="AZ304" s="161"/>
      <c r="BA304" s="161"/>
      <c r="BB304" s="161"/>
      <c r="BC304" s="161"/>
      <c r="BD304" s="161"/>
    </row>
    <row r="305" spans="1:56" x14ac:dyDescent="0.2">
      <c r="A305" s="161"/>
      <c r="B305" s="161"/>
      <c r="C305" s="161"/>
      <c r="D305" s="161"/>
      <c r="E305" s="162"/>
      <c r="F305" s="161"/>
      <c r="G305" s="161"/>
      <c r="H305" s="161"/>
      <c r="I305" s="161"/>
      <c r="J305" s="161"/>
      <c r="K305" s="161"/>
      <c r="L305" s="161"/>
      <c r="M305" s="161"/>
      <c r="N305" s="161"/>
      <c r="O305" s="161"/>
      <c r="P305" s="161"/>
      <c r="Q305" s="160"/>
      <c r="R305" s="161"/>
      <c r="S305" s="161"/>
      <c r="T305" s="161"/>
      <c r="U305" s="161"/>
      <c r="V305" s="161"/>
      <c r="W305" s="161"/>
      <c r="X305" s="161"/>
      <c r="Y305" s="161"/>
      <c r="Z305" s="161"/>
      <c r="AA305" s="161"/>
      <c r="AB305" s="161"/>
      <c r="AC305" s="161"/>
      <c r="AD305" s="161"/>
      <c r="AE305" s="161"/>
      <c r="AF305" s="161"/>
      <c r="AG305" s="161"/>
      <c r="AH305" s="161"/>
      <c r="AI305" s="161"/>
      <c r="AJ305" s="161"/>
      <c r="AK305" s="161"/>
      <c r="AL305" s="161"/>
      <c r="AM305" s="161"/>
      <c r="AN305" s="161"/>
      <c r="AO305" s="161"/>
      <c r="AP305" s="161"/>
      <c r="AQ305" s="161"/>
      <c r="AR305" s="161"/>
      <c r="AS305" s="161"/>
      <c r="AT305" s="161"/>
      <c r="AU305" s="161"/>
      <c r="AV305" s="161"/>
      <c r="AW305" s="161"/>
      <c r="AX305" s="161"/>
      <c r="AY305" s="161"/>
      <c r="AZ305" s="161"/>
      <c r="BA305" s="161"/>
      <c r="BB305" s="161"/>
      <c r="BC305" s="161"/>
      <c r="BD305" s="161"/>
    </row>
    <row r="306" spans="1:56" x14ac:dyDescent="0.2">
      <c r="A306" s="161"/>
      <c r="B306" s="161"/>
      <c r="C306" s="161"/>
      <c r="D306" s="161"/>
      <c r="E306" s="162"/>
      <c r="F306" s="161"/>
      <c r="G306" s="161"/>
      <c r="H306" s="161"/>
      <c r="I306" s="161"/>
      <c r="J306" s="161"/>
      <c r="K306" s="161"/>
      <c r="L306" s="161"/>
      <c r="M306" s="161"/>
      <c r="N306" s="161"/>
      <c r="O306" s="161"/>
      <c r="P306" s="161"/>
      <c r="Q306" s="160"/>
      <c r="R306" s="161"/>
      <c r="S306" s="161"/>
      <c r="T306" s="161"/>
      <c r="U306" s="161"/>
      <c r="V306" s="161"/>
      <c r="W306" s="161"/>
      <c r="X306" s="161"/>
      <c r="Y306" s="161"/>
      <c r="Z306" s="161"/>
      <c r="AA306" s="161"/>
      <c r="AB306" s="161"/>
      <c r="AC306" s="161"/>
      <c r="AD306" s="161"/>
      <c r="AE306" s="161"/>
      <c r="AF306" s="161"/>
      <c r="AG306" s="161"/>
      <c r="AH306" s="161"/>
      <c r="AI306" s="161"/>
      <c r="AJ306" s="161"/>
      <c r="AK306" s="161"/>
      <c r="AL306" s="161"/>
      <c r="AM306" s="161"/>
      <c r="AN306" s="161"/>
      <c r="AO306" s="161"/>
      <c r="AP306" s="161"/>
      <c r="AQ306" s="161"/>
      <c r="AR306" s="161"/>
      <c r="AS306" s="161"/>
      <c r="AT306" s="161"/>
      <c r="AU306" s="161"/>
      <c r="AV306" s="161"/>
      <c r="AW306" s="161"/>
      <c r="AX306" s="161"/>
      <c r="AY306" s="161"/>
      <c r="AZ306" s="161"/>
      <c r="BA306" s="161"/>
      <c r="BB306" s="161"/>
      <c r="BC306" s="161"/>
      <c r="BD306" s="161"/>
    </row>
    <row r="307" spans="1:56" x14ac:dyDescent="0.2">
      <c r="A307" s="161"/>
      <c r="B307" s="161"/>
      <c r="C307" s="161"/>
      <c r="D307" s="161"/>
      <c r="E307" s="162"/>
      <c r="F307" s="161"/>
      <c r="G307" s="161"/>
      <c r="H307" s="161"/>
      <c r="I307" s="161"/>
      <c r="J307" s="161"/>
      <c r="K307" s="161"/>
      <c r="L307" s="161"/>
      <c r="M307" s="161"/>
      <c r="N307" s="161"/>
      <c r="O307" s="161"/>
      <c r="P307" s="161"/>
      <c r="Q307" s="160"/>
      <c r="R307" s="161"/>
      <c r="S307" s="161"/>
      <c r="T307" s="161"/>
      <c r="U307" s="161"/>
      <c r="V307" s="161"/>
      <c r="W307" s="161"/>
      <c r="X307" s="161"/>
      <c r="Y307" s="161"/>
      <c r="Z307" s="161"/>
      <c r="AA307" s="161"/>
      <c r="AB307" s="161"/>
      <c r="AC307" s="161"/>
      <c r="AD307" s="161"/>
      <c r="AE307" s="161"/>
      <c r="AF307" s="161"/>
      <c r="AG307" s="161"/>
      <c r="AH307" s="161"/>
      <c r="AI307" s="161"/>
      <c r="AJ307" s="161"/>
      <c r="AK307" s="161"/>
      <c r="AL307" s="161"/>
      <c r="AM307" s="161"/>
      <c r="AN307" s="161"/>
      <c r="AO307" s="161"/>
      <c r="AP307" s="161"/>
      <c r="AQ307" s="161"/>
      <c r="AR307" s="161"/>
      <c r="AS307" s="161"/>
      <c r="AT307" s="161"/>
      <c r="AU307" s="161"/>
      <c r="AV307" s="161"/>
      <c r="AW307" s="161"/>
      <c r="AX307" s="161"/>
      <c r="AY307" s="161"/>
      <c r="AZ307" s="161"/>
      <c r="BA307" s="161"/>
      <c r="BB307" s="161"/>
      <c r="BC307" s="161"/>
      <c r="BD307" s="161"/>
    </row>
    <row r="308" spans="1:56" x14ac:dyDescent="0.2">
      <c r="A308" s="161"/>
      <c r="B308" s="161"/>
      <c r="C308" s="161"/>
      <c r="D308" s="161"/>
      <c r="E308" s="162"/>
      <c r="F308" s="161"/>
      <c r="G308" s="161"/>
      <c r="H308" s="161"/>
      <c r="I308" s="161"/>
      <c r="J308" s="161"/>
      <c r="K308" s="161"/>
      <c r="L308" s="161"/>
      <c r="M308" s="161"/>
      <c r="N308" s="161"/>
      <c r="O308" s="161"/>
      <c r="P308" s="161"/>
      <c r="Q308" s="160"/>
      <c r="R308" s="161"/>
      <c r="S308" s="161"/>
      <c r="T308" s="161"/>
      <c r="U308" s="161"/>
      <c r="V308" s="161"/>
      <c r="W308" s="161"/>
      <c r="X308" s="161"/>
      <c r="Y308" s="161"/>
      <c r="Z308" s="161"/>
      <c r="AA308" s="161"/>
      <c r="AB308" s="161"/>
      <c r="AC308" s="161"/>
      <c r="AD308" s="161"/>
      <c r="AE308" s="161"/>
      <c r="AF308" s="161"/>
      <c r="AG308" s="161"/>
      <c r="AH308" s="161"/>
      <c r="AI308" s="161"/>
      <c r="AJ308" s="161"/>
      <c r="AK308" s="161"/>
      <c r="AL308" s="161"/>
      <c r="AM308" s="161"/>
      <c r="AN308" s="161"/>
      <c r="AO308" s="161"/>
      <c r="AP308" s="161"/>
      <c r="AQ308" s="161"/>
      <c r="AR308" s="161"/>
      <c r="AS308" s="161"/>
      <c r="AT308" s="161"/>
      <c r="AU308" s="161"/>
      <c r="AV308" s="161"/>
      <c r="AW308" s="161"/>
      <c r="AX308" s="161"/>
      <c r="AY308" s="161"/>
      <c r="AZ308" s="161"/>
      <c r="BA308" s="161"/>
      <c r="BB308" s="161"/>
      <c r="BC308" s="161"/>
      <c r="BD308" s="161"/>
    </row>
    <row r="309" spans="1:56" x14ac:dyDescent="0.2">
      <c r="A309" s="161"/>
      <c r="B309" s="161"/>
      <c r="C309" s="161"/>
      <c r="D309" s="161"/>
      <c r="E309" s="162"/>
      <c r="F309" s="161"/>
      <c r="G309" s="161"/>
      <c r="H309" s="161"/>
      <c r="I309" s="161"/>
      <c r="J309" s="161"/>
      <c r="K309" s="161"/>
      <c r="L309" s="161"/>
      <c r="M309" s="161"/>
      <c r="N309" s="161"/>
      <c r="O309" s="161"/>
      <c r="P309" s="161"/>
      <c r="Q309" s="160"/>
      <c r="R309" s="161"/>
      <c r="S309" s="161"/>
      <c r="T309" s="161"/>
      <c r="U309" s="161"/>
      <c r="V309" s="161"/>
      <c r="W309" s="161"/>
      <c r="X309" s="161"/>
      <c r="Y309" s="161"/>
      <c r="Z309" s="161"/>
      <c r="AA309" s="161"/>
      <c r="AB309" s="161"/>
      <c r="AC309" s="161"/>
      <c r="AD309" s="161"/>
      <c r="AE309" s="161"/>
      <c r="AF309" s="161"/>
      <c r="AG309" s="161"/>
      <c r="AH309" s="161"/>
      <c r="AI309" s="161"/>
      <c r="AJ309" s="161"/>
      <c r="AK309" s="161"/>
      <c r="AL309" s="161"/>
      <c r="AM309" s="161"/>
      <c r="AN309" s="161"/>
      <c r="AO309" s="161"/>
      <c r="AP309" s="161"/>
      <c r="AQ309" s="161"/>
      <c r="AR309" s="161"/>
      <c r="AS309" s="161"/>
      <c r="AT309" s="161"/>
      <c r="AU309" s="161"/>
      <c r="AV309" s="161"/>
      <c r="AW309" s="161"/>
      <c r="AX309" s="161"/>
      <c r="AY309" s="161"/>
      <c r="AZ309" s="161"/>
      <c r="BA309" s="161"/>
      <c r="BB309" s="161"/>
      <c r="BC309" s="161"/>
      <c r="BD309" s="161"/>
    </row>
    <row r="310" spans="1:56" x14ac:dyDescent="0.2">
      <c r="A310" s="161"/>
      <c r="B310" s="161"/>
      <c r="C310" s="161"/>
      <c r="D310" s="161"/>
      <c r="E310" s="162"/>
      <c r="F310" s="161"/>
      <c r="G310" s="161"/>
      <c r="H310" s="161"/>
      <c r="I310" s="161"/>
      <c r="J310" s="161"/>
      <c r="K310" s="161"/>
      <c r="L310" s="161"/>
      <c r="M310" s="161"/>
      <c r="N310" s="161"/>
      <c r="O310" s="161"/>
      <c r="P310" s="161"/>
      <c r="Q310" s="160"/>
      <c r="R310" s="161"/>
      <c r="S310" s="161"/>
      <c r="T310" s="161"/>
      <c r="U310" s="161"/>
      <c r="V310" s="161"/>
      <c r="W310" s="161"/>
      <c r="X310" s="161"/>
      <c r="Y310" s="161"/>
      <c r="Z310" s="161"/>
      <c r="AA310" s="161"/>
      <c r="AB310" s="161"/>
      <c r="AC310" s="161"/>
      <c r="AD310" s="161"/>
      <c r="AE310" s="161"/>
      <c r="AF310" s="161"/>
      <c r="AG310" s="161"/>
      <c r="AH310" s="161"/>
      <c r="AI310" s="161"/>
      <c r="AJ310" s="161"/>
      <c r="AK310" s="161"/>
      <c r="AL310" s="161"/>
      <c r="AM310" s="161"/>
      <c r="AN310" s="161"/>
      <c r="AO310" s="161"/>
      <c r="AP310" s="161"/>
      <c r="AQ310" s="161"/>
      <c r="AR310" s="161"/>
      <c r="AS310" s="161"/>
      <c r="AT310" s="161"/>
      <c r="AU310" s="161"/>
      <c r="AV310" s="161"/>
      <c r="AW310" s="161"/>
      <c r="AX310" s="161"/>
      <c r="AY310" s="161"/>
      <c r="AZ310" s="161"/>
      <c r="BA310" s="161"/>
      <c r="BB310" s="161"/>
      <c r="BC310" s="161"/>
      <c r="BD310" s="161"/>
    </row>
    <row r="311" spans="1:56" x14ac:dyDescent="0.2">
      <c r="A311" s="161"/>
      <c r="B311" s="161"/>
      <c r="C311" s="161"/>
      <c r="D311" s="161"/>
      <c r="E311" s="162"/>
      <c r="F311" s="161"/>
      <c r="G311" s="161"/>
      <c r="H311" s="161"/>
      <c r="I311" s="161"/>
      <c r="J311" s="161"/>
      <c r="K311" s="161"/>
      <c r="L311" s="161"/>
      <c r="M311" s="161"/>
      <c r="N311" s="161"/>
      <c r="O311" s="161"/>
      <c r="P311" s="161"/>
      <c r="Q311" s="160"/>
      <c r="R311" s="161"/>
      <c r="S311" s="161"/>
      <c r="T311" s="161"/>
      <c r="U311" s="161"/>
      <c r="V311" s="161"/>
      <c r="W311" s="161"/>
      <c r="X311" s="161"/>
      <c r="Y311" s="161"/>
      <c r="Z311" s="161"/>
      <c r="AA311" s="161"/>
      <c r="AB311" s="161"/>
      <c r="AC311" s="161"/>
      <c r="AD311" s="161"/>
      <c r="AE311" s="161"/>
      <c r="AF311" s="161"/>
      <c r="AG311" s="161"/>
      <c r="AH311" s="161"/>
      <c r="AI311" s="161"/>
      <c r="AJ311" s="161"/>
      <c r="AK311" s="161"/>
      <c r="AL311" s="161"/>
      <c r="AM311" s="161"/>
      <c r="AN311" s="161"/>
      <c r="AO311" s="161"/>
      <c r="AP311" s="161"/>
      <c r="AQ311" s="161"/>
      <c r="AR311" s="161"/>
      <c r="AS311" s="161"/>
      <c r="AT311" s="161"/>
      <c r="AU311" s="161"/>
      <c r="AV311" s="161"/>
      <c r="AW311" s="161"/>
      <c r="AX311" s="161"/>
      <c r="AY311" s="161"/>
      <c r="AZ311" s="161"/>
      <c r="BA311" s="161"/>
      <c r="BB311" s="161"/>
      <c r="BC311" s="161"/>
      <c r="BD311" s="161"/>
    </row>
    <row r="312" spans="1:56" x14ac:dyDescent="0.2">
      <c r="A312" s="161"/>
      <c r="B312" s="161"/>
      <c r="C312" s="161"/>
      <c r="D312" s="161"/>
      <c r="E312" s="162"/>
      <c r="F312" s="161"/>
      <c r="G312" s="161"/>
      <c r="H312" s="161"/>
      <c r="I312" s="161"/>
      <c r="J312" s="161"/>
      <c r="K312" s="161"/>
      <c r="L312" s="161"/>
      <c r="M312" s="161"/>
      <c r="N312" s="161"/>
      <c r="O312" s="161"/>
      <c r="P312" s="161"/>
      <c r="Q312" s="160"/>
      <c r="R312" s="161"/>
      <c r="S312" s="161"/>
      <c r="T312" s="161"/>
      <c r="U312" s="161"/>
      <c r="V312" s="161"/>
      <c r="W312" s="161"/>
      <c r="X312" s="161"/>
      <c r="Y312" s="161"/>
      <c r="Z312" s="161"/>
      <c r="AA312" s="161"/>
      <c r="AB312" s="161"/>
      <c r="AC312" s="161"/>
      <c r="AD312" s="161"/>
      <c r="AE312" s="161"/>
      <c r="AF312" s="161"/>
      <c r="AG312" s="161"/>
      <c r="AH312" s="161"/>
      <c r="AI312" s="161"/>
      <c r="AJ312" s="161"/>
      <c r="AK312" s="161"/>
      <c r="AL312" s="161"/>
      <c r="AM312" s="161"/>
      <c r="AN312" s="161"/>
      <c r="AO312" s="161"/>
      <c r="AP312" s="161"/>
      <c r="AQ312" s="161"/>
      <c r="AR312" s="161"/>
      <c r="AS312" s="161"/>
      <c r="AT312" s="161"/>
      <c r="AU312" s="161"/>
      <c r="AV312" s="161"/>
      <c r="AW312" s="161"/>
      <c r="AX312" s="161"/>
      <c r="AY312" s="161"/>
      <c r="AZ312" s="161"/>
      <c r="BA312" s="161"/>
      <c r="BB312" s="161"/>
      <c r="BC312" s="161"/>
      <c r="BD312" s="161"/>
    </row>
    <row r="313" spans="1:56" x14ac:dyDescent="0.2">
      <c r="A313" s="161"/>
      <c r="B313" s="161"/>
      <c r="C313" s="161"/>
      <c r="D313" s="161"/>
      <c r="E313" s="162"/>
      <c r="F313" s="161"/>
      <c r="G313" s="161"/>
      <c r="H313" s="161"/>
      <c r="I313" s="161"/>
      <c r="J313" s="161"/>
      <c r="K313" s="161"/>
      <c r="L313" s="161"/>
      <c r="M313" s="161"/>
      <c r="N313" s="161"/>
      <c r="O313" s="161"/>
      <c r="P313" s="161"/>
      <c r="Q313" s="160"/>
      <c r="R313" s="161"/>
      <c r="S313" s="161"/>
      <c r="T313" s="161"/>
      <c r="U313" s="161"/>
      <c r="V313" s="161"/>
      <c r="W313" s="161"/>
      <c r="X313" s="161"/>
      <c r="Y313" s="161"/>
      <c r="Z313" s="161"/>
      <c r="AA313" s="161"/>
      <c r="AB313" s="161"/>
      <c r="AC313" s="161"/>
      <c r="AD313" s="161"/>
      <c r="AE313" s="161"/>
      <c r="AF313" s="161"/>
      <c r="AG313" s="161"/>
      <c r="AH313" s="161"/>
      <c r="AI313" s="161"/>
      <c r="AJ313" s="161"/>
      <c r="AK313" s="161"/>
      <c r="AL313" s="161"/>
      <c r="AM313" s="161"/>
      <c r="AN313" s="161"/>
      <c r="AO313" s="161"/>
      <c r="AP313" s="161"/>
      <c r="AQ313" s="161"/>
      <c r="AR313" s="161"/>
      <c r="AS313" s="161"/>
      <c r="AT313" s="161"/>
      <c r="AU313" s="161"/>
      <c r="AV313" s="161"/>
      <c r="AW313" s="161"/>
      <c r="AX313" s="161"/>
      <c r="AY313" s="161"/>
      <c r="AZ313" s="161"/>
      <c r="BA313" s="161"/>
      <c r="BB313" s="161"/>
      <c r="BC313" s="161"/>
      <c r="BD313" s="161"/>
    </row>
    <row r="314" spans="1:56" x14ac:dyDescent="0.2">
      <c r="A314" s="161"/>
      <c r="B314" s="161"/>
      <c r="C314" s="161"/>
      <c r="D314" s="161"/>
      <c r="E314" s="162"/>
      <c r="F314" s="161"/>
      <c r="G314" s="161"/>
      <c r="H314" s="161"/>
      <c r="I314" s="161"/>
      <c r="J314" s="161"/>
      <c r="K314" s="161"/>
      <c r="L314" s="161"/>
      <c r="M314" s="161"/>
      <c r="N314" s="161"/>
      <c r="O314" s="161"/>
      <c r="P314" s="161"/>
      <c r="Q314" s="160"/>
      <c r="R314" s="161"/>
      <c r="S314" s="161"/>
      <c r="T314" s="161"/>
      <c r="U314" s="161"/>
      <c r="V314" s="161"/>
      <c r="W314" s="161"/>
      <c r="X314" s="161"/>
      <c r="Y314" s="161"/>
      <c r="Z314" s="161"/>
      <c r="AA314" s="161"/>
      <c r="AB314" s="161"/>
      <c r="AC314" s="161"/>
      <c r="AD314" s="161"/>
      <c r="AE314" s="161"/>
      <c r="AF314" s="161"/>
      <c r="AG314" s="161"/>
      <c r="AH314" s="161"/>
      <c r="AI314" s="161"/>
      <c r="AJ314" s="161"/>
      <c r="AK314" s="161"/>
      <c r="AL314" s="161"/>
      <c r="AM314" s="161"/>
      <c r="AN314" s="161"/>
      <c r="AO314" s="161"/>
      <c r="AP314" s="161"/>
      <c r="AQ314" s="161"/>
      <c r="AR314" s="161"/>
      <c r="AS314" s="161"/>
      <c r="AT314" s="161"/>
      <c r="AU314" s="161"/>
      <c r="AV314" s="161"/>
      <c r="AW314" s="161"/>
      <c r="AX314" s="161"/>
      <c r="AY314" s="161"/>
      <c r="AZ314" s="161"/>
      <c r="BA314" s="161"/>
      <c r="BB314" s="161"/>
      <c r="BC314" s="161"/>
      <c r="BD314" s="161"/>
    </row>
    <row r="315" spans="1:56" x14ac:dyDescent="0.2">
      <c r="A315" s="161"/>
      <c r="B315" s="161"/>
      <c r="C315" s="161"/>
      <c r="D315" s="161"/>
      <c r="E315" s="162"/>
      <c r="F315" s="161"/>
      <c r="G315" s="161"/>
      <c r="H315" s="161"/>
      <c r="I315" s="161"/>
      <c r="J315" s="161"/>
      <c r="K315" s="161"/>
      <c r="L315" s="161"/>
      <c r="M315" s="161"/>
      <c r="N315" s="161"/>
      <c r="O315" s="161"/>
      <c r="P315" s="161"/>
      <c r="Q315" s="160"/>
      <c r="R315" s="161"/>
      <c r="S315" s="161"/>
      <c r="T315" s="161"/>
      <c r="U315" s="161"/>
      <c r="V315" s="161"/>
      <c r="W315" s="161"/>
      <c r="X315" s="161"/>
      <c r="Y315" s="161"/>
      <c r="Z315" s="161"/>
      <c r="AA315" s="161"/>
      <c r="AB315" s="161"/>
      <c r="AC315" s="161"/>
      <c r="AD315" s="161"/>
      <c r="AE315" s="161"/>
      <c r="AF315" s="161"/>
      <c r="AG315" s="161"/>
      <c r="AH315" s="161"/>
      <c r="AI315" s="161"/>
      <c r="AJ315" s="161"/>
      <c r="AK315" s="161"/>
      <c r="AL315" s="161"/>
      <c r="AM315" s="161"/>
      <c r="AN315" s="161"/>
      <c r="AO315" s="161"/>
      <c r="AP315" s="161"/>
      <c r="AQ315" s="161"/>
      <c r="AR315" s="161"/>
      <c r="AS315" s="161"/>
      <c r="AT315" s="161"/>
      <c r="AU315" s="161"/>
      <c r="AV315" s="161"/>
      <c r="AW315" s="161"/>
      <c r="AX315" s="161"/>
      <c r="AY315" s="161"/>
      <c r="AZ315" s="161"/>
      <c r="BA315" s="161"/>
      <c r="BB315" s="161"/>
      <c r="BC315" s="161"/>
      <c r="BD315" s="161"/>
    </row>
    <row r="316" spans="1:56" x14ac:dyDescent="0.2">
      <c r="A316" s="161"/>
      <c r="B316" s="161"/>
      <c r="C316" s="161"/>
      <c r="D316" s="161"/>
      <c r="E316" s="162"/>
      <c r="F316" s="161"/>
      <c r="G316" s="161"/>
      <c r="H316" s="161"/>
      <c r="I316" s="161"/>
      <c r="J316" s="161"/>
      <c r="K316" s="161"/>
      <c r="L316" s="161"/>
      <c r="M316" s="161"/>
      <c r="N316" s="161"/>
      <c r="O316" s="161"/>
      <c r="P316" s="161"/>
      <c r="Q316" s="160"/>
      <c r="R316" s="161"/>
      <c r="S316" s="161"/>
      <c r="T316" s="161"/>
      <c r="U316" s="161"/>
      <c r="V316" s="161"/>
      <c r="W316" s="161"/>
      <c r="X316" s="161"/>
      <c r="Y316" s="161"/>
      <c r="Z316" s="161"/>
      <c r="AA316" s="161"/>
      <c r="AB316" s="161"/>
      <c r="AC316" s="161"/>
      <c r="AD316" s="161"/>
      <c r="AE316" s="161"/>
      <c r="AF316" s="161"/>
      <c r="AG316" s="161"/>
      <c r="AH316" s="161"/>
      <c r="AI316" s="161"/>
      <c r="AJ316" s="161"/>
      <c r="AK316" s="161"/>
      <c r="AL316" s="161"/>
      <c r="AM316" s="161"/>
      <c r="AN316" s="161"/>
      <c r="AO316" s="161"/>
      <c r="AP316" s="161"/>
      <c r="AQ316" s="161"/>
      <c r="AR316" s="161"/>
      <c r="AS316" s="161"/>
      <c r="AT316" s="161"/>
      <c r="AU316" s="161"/>
      <c r="AV316" s="161"/>
      <c r="AW316" s="161"/>
      <c r="AX316" s="161"/>
      <c r="AY316" s="161"/>
      <c r="AZ316" s="161"/>
      <c r="BA316" s="161"/>
      <c r="BB316" s="161"/>
      <c r="BC316" s="161"/>
      <c r="BD316" s="161"/>
    </row>
    <row r="317" spans="1:56" x14ac:dyDescent="0.2">
      <c r="A317" s="161"/>
      <c r="B317" s="161"/>
      <c r="C317" s="161"/>
      <c r="D317" s="161"/>
      <c r="E317" s="162"/>
      <c r="F317" s="161"/>
      <c r="G317" s="161"/>
      <c r="H317" s="161"/>
      <c r="I317" s="161"/>
      <c r="J317" s="161"/>
      <c r="K317" s="161"/>
      <c r="L317" s="161"/>
      <c r="M317" s="161"/>
      <c r="N317" s="161"/>
      <c r="O317" s="161"/>
      <c r="P317" s="161"/>
      <c r="Q317" s="160"/>
      <c r="R317" s="161"/>
      <c r="S317" s="161"/>
      <c r="T317" s="161"/>
      <c r="U317" s="161"/>
      <c r="V317" s="161"/>
      <c r="W317" s="161"/>
      <c r="X317" s="161"/>
      <c r="Y317" s="161"/>
      <c r="Z317" s="161"/>
      <c r="AA317" s="161"/>
      <c r="AB317" s="161"/>
      <c r="AC317" s="161"/>
      <c r="AD317" s="161"/>
      <c r="AE317" s="161"/>
      <c r="AF317" s="161"/>
      <c r="AG317" s="161"/>
      <c r="AH317" s="161"/>
      <c r="AI317" s="161"/>
      <c r="AJ317" s="161"/>
      <c r="AK317" s="161"/>
      <c r="AL317" s="161"/>
      <c r="AM317" s="161"/>
      <c r="AN317" s="161"/>
      <c r="AO317" s="161"/>
      <c r="AP317" s="161"/>
      <c r="AQ317" s="161"/>
      <c r="AR317" s="161"/>
      <c r="AS317" s="161"/>
      <c r="AT317" s="161"/>
      <c r="AU317" s="161"/>
      <c r="AV317" s="161"/>
      <c r="AW317" s="161"/>
      <c r="AX317" s="161"/>
      <c r="AY317" s="161"/>
      <c r="AZ317" s="161"/>
      <c r="BA317" s="161"/>
      <c r="BB317" s="161"/>
      <c r="BC317" s="161"/>
      <c r="BD317" s="161"/>
    </row>
    <row r="318" spans="1:56" x14ac:dyDescent="0.2">
      <c r="A318" s="161"/>
      <c r="B318" s="161"/>
      <c r="C318" s="161"/>
      <c r="D318" s="161"/>
      <c r="E318" s="162"/>
      <c r="F318" s="161"/>
      <c r="G318" s="161"/>
      <c r="H318" s="161"/>
      <c r="I318" s="161"/>
      <c r="J318" s="161"/>
      <c r="K318" s="161"/>
      <c r="L318" s="161"/>
      <c r="M318" s="161"/>
      <c r="N318" s="161"/>
      <c r="O318" s="161"/>
      <c r="P318" s="161"/>
      <c r="Q318" s="160"/>
      <c r="R318" s="161"/>
      <c r="S318" s="161"/>
      <c r="T318" s="161"/>
      <c r="U318" s="161"/>
      <c r="V318" s="161"/>
      <c r="W318" s="161"/>
      <c r="X318" s="161"/>
      <c r="Y318" s="161"/>
      <c r="Z318" s="161"/>
      <c r="AA318" s="161"/>
      <c r="AB318" s="161"/>
      <c r="AC318" s="161"/>
      <c r="AD318" s="161"/>
      <c r="AE318" s="161"/>
      <c r="AF318" s="161"/>
      <c r="AG318" s="161"/>
      <c r="AH318" s="161"/>
      <c r="AI318" s="161"/>
      <c r="AJ318" s="161"/>
      <c r="AK318" s="161"/>
      <c r="AL318" s="161"/>
      <c r="AM318" s="161"/>
      <c r="AN318" s="161"/>
      <c r="AO318" s="161"/>
      <c r="AP318" s="161"/>
      <c r="AQ318" s="161"/>
      <c r="AR318" s="161"/>
      <c r="AS318" s="161"/>
      <c r="AT318" s="161"/>
      <c r="AU318" s="161"/>
      <c r="AV318" s="161"/>
      <c r="AW318" s="161"/>
      <c r="AX318" s="161"/>
      <c r="AY318" s="161"/>
      <c r="AZ318" s="161"/>
      <c r="BA318" s="161"/>
      <c r="BB318" s="161"/>
      <c r="BC318" s="161"/>
      <c r="BD318" s="161"/>
    </row>
    <row r="319" spans="1:56" x14ac:dyDescent="0.2">
      <c r="A319" s="161"/>
      <c r="B319" s="161"/>
      <c r="C319" s="161"/>
      <c r="D319" s="161"/>
      <c r="E319" s="162"/>
      <c r="F319" s="161"/>
      <c r="G319" s="161"/>
      <c r="H319" s="161"/>
      <c r="I319" s="161"/>
      <c r="J319" s="161"/>
      <c r="K319" s="161"/>
      <c r="L319" s="161"/>
      <c r="M319" s="161"/>
      <c r="N319" s="161"/>
      <c r="O319" s="161"/>
      <c r="P319" s="161"/>
      <c r="Q319" s="160"/>
      <c r="R319" s="161"/>
      <c r="S319" s="161"/>
      <c r="T319" s="161"/>
      <c r="U319" s="161"/>
      <c r="V319" s="161"/>
      <c r="W319" s="161"/>
      <c r="X319" s="161"/>
      <c r="Y319" s="161"/>
      <c r="Z319" s="161"/>
      <c r="AA319" s="161"/>
      <c r="AB319" s="161"/>
      <c r="AC319" s="161"/>
      <c r="AD319" s="161"/>
      <c r="AE319" s="161"/>
      <c r="AF319" s="161"/>
      <c r="AG319" s="161"/>
      <c r="AH319" s="161"/>
      <c r="AI319" s="161"/>
      <c r="AJ319" s="161"/>
      <c r="AK319" s="161"/>
      <c r="AL319" s="161"/>
      <c r="AM319" s="161"/>
      <c r="AN319" s="161"/>
      <c r="AO319" s="161"/>
      <c r="AP319" s="161"/>
      <c r="AQ319" s="161"/>
      <c r="AR319" s="161"/>
      <c r="AS319" s="161"/>
      <c r="AT319" s="161"/>
      <c r="AU319" s="161"/>
      <c r="AV319" s="161"/>
      <c r="AW319" s="161"/>
      <c r="AX319" s="161"/>
      <c r="AY319" s="161"/>
      <c r="AZ319" s="161"/>
      <c r="BA319" s="161"/>
      <c r="BB319" s="161"/>
      <c r="BC319" s="161"/>
      <c r="BD319" s="161"/>
    </row>
    <row r="320" spans="1:56" x14ac:dyDescent="0.2">
      <c r="A320" s="161"/>
      <c r="B320" s="161"/>
      <c r="C320" s="161"/>
      <c r="D320" s="161"/>
      <c r="E320" s="162"/>
      <c r="F320" s="161"/>
      <c r="G320" s="161"/>
      <c r="H320" s="161"/>
      <c r="I320" s="161"/>
      <c r="J320" s="161"/>
      <c r="K320" s="161"/>
      <c r="L320" s="161"/>
      <c r="M320" s="161"/>
      <c r="N320" s="161"/>
      <c r="O320" s="161"/>
      <c r="P320" s="161"/>
      <c r="Q320" s="160"/>
      <c r="R320" s="161"/>
      <c r="S320" s="161"/>
      <c r="T320" s="161"/>
      <c r="U320" s="161"/>
      <c r="V320" s="161"/>
      <c r="W320" s="161"/>
      <c r="X320" s="161"/>
      <c r="Y320" s="161"/>
      <c r="Z320" s="161"/>
      <c r="AA320" s="161"/>
      <c r="AB320" s="161"/>
      <c r="AC320" s="161"/>
      <c r="AD320" s="161"/>
      <c r="AE320" s="161"/>
      <c r="AF320" s="161"/>
      <c r="AG320" s="161"/>
      <c r="AH320" s="161"/>
      <c r="AI320" s="161"/>
      <c r="AJ320" s="161"/>
      <c r="AK320" s="161"/>
      <c r="AL320" s="161"/>
      <c r="AM320" s="161"/>
      <c r="AN320" s="161"/>
      <c r="AO320" s="161"/>
      <c r="AP320" s="161"/>
      <c r="AQ320" s="161"/>
      <c r="AR320" s="161"/>
      <c r="AS320" s="161"/>
      <c r="AT320" s="161"/>
      <c r="AU320" s="161"/>
      <c r="AV320" s="161"/>
      <c r="AW320" s="161"/>
      <c r="AX320" s="161"/>
      <c r="AY320" s="161"/>
      <c r="AZ320" s="161"/>
      <c r="BA320" s="161"/>
      <c r="BB320" s="161"/>
      <c r="BC320" s="161"/>
      <c r="BD320" s="161"/>
    </row>
    <row r="321" spans="1:56" x14ac:dyDescent="0.2">
      <c r="A321" s="161"/>
      <c r="B321" s="161"/>
      <c r="C321" s="161"/>
      <c r="D321" s="161"/>
      <c r="E321" s="162"/>
      <c r="F321" s="161"/>
      <c r="G321" s="161"/>
      <c r="H321" s="161"/>
      <c r="I321" s="161"/>
      <c r="J321" s="161"/>
      <c r="K321" s="161"/>
      <c r="L321" s="161"/>
      <c r="M321" s="161"/>
      <c r="N321" s="161"/>
      <c r="O321" s="161"/>
      <c r="P321" s="161"/>
      <c r="Q321" s="160"/>
      <c r="R321" s="161"/>
      <c r="S321" s="161"/>
      <c r="T321" s="161"/>
      <c r="U321" s="161"/>
      <c r="V321" s="161"/>
      <c r="W321" s="161"/>
      <c r="X321" s="161"/>
      <c r="Y321" s="161"/>
      <c r="Z321" s="161"/>
      <c r="AA321" s="161"/>
      <c r="AB321" s="161"/>
      <c r="AC321" s="161"/>
      <c r="AD321" s="161"/>
      <c r="AE321" s="161"/>
      <c r="AF321" s="161"/>
      <c r="AG321" s="161"/>
      <c r="AH321" s="161"/>
      <c r="AI321" s="161"/>
      <c r="AJ321" s="161"/>
      <c r="AK321" s="161"/>
      <c r="AL321" s="161"/>
      <c r="AM321" s="161"/>
      <c r="AN321" s="161"/>
      <c r="AO321" s="161"/>
      <c r="AP321" s="161"/>
      <c r="AQ321" s="161"/>
      <c r="AR321" s="161"/>
      <c r="AS321" s="161"/>
      <c r="AT321" s="161"/>
      <c r="AU321" s="161"/>
      <c r="AV321" s="161"/>
      <c r="AW321" s="161"/>
      <c r="AX321" s="161"/>
      <c r="AY321" s="161"/>
      <c r="AZ321" s="161"/>
      <c r="BA321" s="161"/>
      <c r="BB321" s="161"/>
      <c r="BC321" s="161"/>
      <c r="BD321" s="161"/>
    </row>
    <row r="322" spans="1:56" x14ac:dyDescent="0.2">
      <c r="A322" s="161"/>
      <c r="B322" s="161"/>
      <c r="C322" s="161"/>
      <c r="D322" s="161"/>
      <c r="E322" s="162"/>
      <c r="F322" s="161"/>
      <c r="G322" s="161"/>
      <c r="H322" s="161"/>
      <c r="I322" s="161"/>
      <c r="J322" s="161"/>
      <c r="K322" s="161"/>
      <c r="L322" s="161"/>
      <c r="M322" s="161"/>
      <c r="N322" s="161"/>
      <c r="O322" s="161"/>
      <c r="P322" s="161"/>
      <c r="Q322" s="160"/>
      <c r="R322" s="161"/>
      <c r="S322" s="161"/>
      <c r="T322" s="161"/>
      <c r="U322" s="161"/>
      <c r="V322" s="161"/>
      <c r="W322" s="161"/>
      <c r="X322" s="161"/>
      <c r="Y322" s="161"/>
      <c r="Z322" s="161"/>
      <c r="AA322" s="161"/>
      <c r="AB322" s="161"/>
      <c r="AC322" s="161"/>
      <c r="AD322" s="161"/>
      <c r="AE322" s="161"/>
      <c r="AF322" s="161"/>
      <c r="AG322" s="161"/>
      <c r="AH322" s="161"/>
      <c r="AI322" s="161"/>
      <c r="AJ322" s="161"/>
      <c r="AK322" s="161"/>
      <c r="AL322" s="161"/>
      <c r="AM322" s="161"/>
      <c r="AN322" s="161"/>
      <c r="AO322" s="161"/>
      <c r="AP322" s="161"/>
      <c r="AQ322" s="161"/>
      <c r="AR322" s="161"/>
      <c r="AS322" s="161"/>
      <c r="AT322" s="161"/>
      <c r="AU322" s="161"/>
      <c r="AV322" s="161"/>
      <c r="AW322" s="161"/>
      <c r="AX322" s="161"/>
      <c r="AY322" s="161"/>
      <c r="AZ322" s="161"/>
      <c r="BA322" s="161"/>
      <c r="BB322" s="161"/>
      <c r="BC322" s="161"/>
      <c r="BD322" s="161"/>
    </row>
    <row r="323" spans="1:56" x14ac:dyDescent="0.2">
      <c r="A323" s="161"/>
      <c r="B323" s="161"/>
      <c r="C323" s="161"/>
      <c r="D323" s="161"/>
      <c r="E323" s="162"/>
      <c r="F323" s="161"/>
      <c r="G323" s="161"/>
      <c r="H323" s="161"/>
      <c r="I323" s="161"/>
      <c r="J323" s="161"/>
      <c r="K323" s="161"/>
      <c r="L323" s="161"/>
      <c r="M323" s="161"/>
      <c r="N323" s="161"/>
      <c r="O323" s="161"/>
      <c r="P323" s="161"/>
      <c r="Q323" s="160"/>
      <c r="R323" s="161"/>
      <c r="S323" s="161"/>
      <c r="T323" s="161"/>
      <c r="U323" s="161"/>
      <c r="V323" s="161"/>
      <c r="W323" s="161"/>
      <c r="X323" s="161"/>
      <c r="Y323" s="161"/>
      <c r="Z323" s="161"/>
      <c r="AA323" s="161"/>
      <c r="AB323" s="161"/>
      <c r="AC323" s="161"/>
      <c r="AD323" s="161"/>
      <c r="AE323" s="161"/>
      <c r="AF323" s="161"/>
      <c r="AG323" s="161"/>
      <c r="AH323" s="161"/>
      <c r="AI323" s="161"/>
      <c r="AJ323" s="161"/>
      <c r="AK323" s="161"/>
      <c r="AL323" s="161"/>
      <c r="AM323" s="161"/>
      <c r="AN323" s="161"/>
      <c r="AO323" s="161"/>
      <c r="AP323" s="161"/>
      <c r="AQ323" s="161"/>
      <c r="AR323" s="161"/>
      <c r="AS323" s="161"/>
      <c r="AT323" s="161"/>
      <c r="AU323" s="161"/>
      <c r="AV323" s="161"/>
      <c r="AW323" s="161"/>
      <c r="AX323" s="161"/>
      <c r="AY323" s="161"/>
      <c r="AZ323" s="161"/>
      <c r="BA323" s="161"/>
      <c r="BB323" s="161"/>
      <c r="BC323" s="161"/>
      <c r="BD323" s="161"/>
    </row>
    <row r="324" spans="1:56" x14ac:dyDescent="0.2">
      <c r="A324" s="161"/>
      <c r="B324" s="161"/>
      <c r="C324" s="161"/>
      <c r="D324" s="161"/>
      <c r="E324" s="162"/>
      <c r="F324" s="161"/>
      <c r="G324" s="161"/>
      <c r="H324" s="161"/>
      <c r="I324" s="161"/>
      <c r="J324" s="161"/>
      <c r="K324" s="161"/>
      <c r="L324" s="161"/>
      <c r="M324" s="161"/>
      <c r="N324" s="161"/>
      <c r="O324" s="161"/>
      <c r="P324" s="161"/>
      <c r="Q324" s="160"/>
      <c r="R324" s="161"/>
      <c r="S324" s="161"/>
      <c r="T324" s="161"/>
      <c r="U324" s="161"/>
      <c r="V324" s="161"/>
      <c r="W324" s="161"/>
      <c r="X324" s="161"/>
      <c r="Y324" s="161"/>
      <c r="Z324" s="161"/>
      <c r="AA324" s="161"/>
      <c r="AB324" s="161"/>
      <c r="AC324" s="161"/>
      <c r="AD324" s="161"/>
      <c r="AE324" s="161"/>
      <c r="AF324" s="161"/>
      <c r="AG324" s="161"/>
      <c r="AH324" s="161"/>
      <c r="AI324" s="161"/>
      <c r="AJ324" s="161"/>
      <c r="AK324" s="161"/>
      <c r="AL324" s="161"/>
      <c r="AM324" s="161"/>
      <c r="AN324" s="161"/>
      <c r="AO324" s="161"/>
      <c r="AP324" s="161"/>
      <c r="AQ324" s="161"/>
      <c r="AR324" s="161"/>
      <c r="AS324" s="161"/>
      <c r="AT324" s="161"/>
      <c r="AU324" s="161"/>
      <c r="AV324" s="161"/>
      <c r="AW324" s="161"/>
      <c r="AX324" s="161"/>
      <c r="AY324" s="161"/>
      <c r="AZ324" s="161"/>
      <c r="BA324" s="161"/>
      <c r="BB324" s="161"/>
      <c r="BC324" s="161"/>
      <c r="BD324" s="161"/>
    </row>
    <row r="325" spans="1:56" x14ac:dyDescent="0.2">
      <c r="A325" s="161"/>
      <c r="B325" s="161"/>
      <c r="C325" s="161"/>
      <c r="D325" s="161"/>
      <c r="E325" s="162"/>
      <c r="F325" s="161"/>
      <c r="G325" s="161"/>
      <c r="H325" s="161"/>
      <c r="I325" s="161"/>
      <c r="J325" s="161"/>
      <c r="K325" s="161"/>
      <c r="L325" s="161"/>
      <c r="M325" s="161"/>
      <c r="N325" s="161"/>
      <c r="O325" s="161"/>
      <c r="P325" s="161"/>
      <c r="Q325" s="160"/>
      <c r="R325" s="161"/>
      <c r="S325" s="161"/>
      <c r="T325" s="161"/>
      <c r="U325" s="161"/>
      <c r="V325" s="161"/>
      <c r="W325" s="161"/>
      <c r="X325" s="161"/>
      <c r="Y325" s="161"/>
      <c r="Z325" s="161"/>
      <c r="AA325" s="161"/>
      <c r="AB325" s="161"/>
      <c r="AC325" s="161"/>
      <c r="AD325" s="161"/>
      <c r="AE325" s="161"/>
      <c r="AF325" s="161"/>
      <c r="AG325" s="161"/>
      <c r="AH325" s="161"/>
      <c r="AI325" s="161"/>
      <c r="AJ325" s="161"/>
      <c r="AK325" s="161"/>
      <c r="AL325" s="161"/>
      <c r="AM325" s="161"/>
      <c r="AN325" s="161"/>
      <c r="AO325" s="161"/>
      <c r="AP325" s="161"/>
      <c r="AQ325" s="161"/>
      <c r="AR325" s="161"/>
      <c r="AS325" s="161"/>
      <c r="AT325" s="161"/>
      <c r="AU325" s="161"/>
      <c r="AV325" s="161"/>
      <c r="AW325" s="161"/>
      <c r="AX325" s="161"/>
      <c r="AY325" s="161"/>
      <c r="AZ325" s="161"/>
      <c r="BA325" s="161"/>
      <c r="BB325" s="161"/>
      <c r="BC325" s="161"/>
      <c r="BD325" s="161"/>
    </row>
    <row r="326" spans="1:56" x14ac:dyDescent="0.2">
      <c r="A326" s="161"/>
      <c r="B326" s="161"/>
      <c r="C326" s="161"/>
      <c r="D326" s="161"/>
      <c r="E326" s="162"/>
      <c r="F326" s="161"/>
      <c r="G326" s="161"/>
      <c r="H326" s="161"/>
      <c r="I326" s="161"/>
      <c r="J326" s="161"/>
      <c r="K326" s="161"/>
      <c r="L326" s="161"/>
      <c r="M326" s="161"/>
      <c r="N326" s="161"/>
      <c r="O326" s="161"/>
      <c r="P326" s="161"/>
      <c r="Q326" s="160"/>
      <c r="R326" s="161"/>
      <c r="S326" s="161"/>
      <c r="T326" s="161"/>
      <c r="U326" s="161"/>
      <c r="V326" s="161"/>
      <c r="W326" s="161"/>
      <c r="X326" s="161"/>
      <c r="Y326" s="161"/>
      <c r="Z326" s="161"/>
      <c r="AA326" s="161"/>
      <c r="AB326" s="161"/>
      <c r="AC326" s="161"/>
      <c r="AD326" s="161"/>
      <c r="AE326" s="161"/>
      <c r="AF326" s="161"/>
      <c r="AG326" s="161"/>
      <c r="AH326" s="161"/>
      <c r="AI326" s="161"/>
      <c r="AJ326" s="161"/>
      <c r="AK326" s="161"/>
      <c r="AL326" s="161"/>
      <c r="AM326" s="161"/>
      <c r="AN326" s="161"/>
      <c r="AO326" s="161"/>
      <c r="AP326" s="161"/>
      <c r="AQ326" s="161"/>
      <c r="AR326" s="161"/>
      <c r="AS326" s="161"/>
      <c r="AT326" s="161"/>
      <c r="AU326" s="161"/>
      <c r="AV326" s="161"/>
      <c r="AW326" s="161"/>
      <c r="AX326" s="161"/>
      <c r="AY326" s="161"/>
      <c r="AZ326" s="161"/>
      <c r="BA326" s="161"/>
      <c r="BB326" s="161"/>
      <c r="BC326" s="161"/>
      <c r="BD326" s="161"/>
    </row>
    <row r="327" spans="1:56" x14ac:dyDescent="0.2">
      <c r="A327" s="161"/>
      <c r="B327" s="161"/>
      <c r="C327" s="161"/>
      <c r="D327" s="161"/>
      <c r="E327" s="162"/>
      <c r="F327" s="161"/>
      <c r="G327" s="161"/>
      <c r="H327" s="161"/>
      <c r="I327" s="161"/>
      <c r="J327" s="161"/>
      <c r="K327" s="161"/>
      <c r="L327" s="161"/>
      <c r="M327" s="161"/>
      <c r="N327" s="161"/>
      <c r="O327" s="161"/>
      <c r="P327" s="161"/>
      <c r="Q327" s="160"/>
      <c r="R327" s="161"/>
      <c r="S327" s="161"/>
      <c r="T327" s="161"/>
      <c r="U327" s="161"/>
      <c r="V327" s="161"/>
      <c r="W327" s="161"/>
      <c r="X327" s="161"/>
      <c r="Y327" s="161"/>
      <c r="Z327" s="161"/>
      <c r="AA327" s="161"/>
      <c r="AB327" s="161"/>
      <c r="AC327" s="161"/>
      <c r="AD327" s="161"/>
      <c r="AE327" s="161"/>
      <c r="AF327" s="161"/>
      <c r="AG327" s="161"/>
      <c r="AH327" s="161"/>
      <c r="AI327" s="161"/>
      <c r="AJ327" s="161"/>
      <c r="AK327" s="161"/>
      <c r="AL327" s="161"/>
      <c r="AM327" s="161"/>
      <c r="AN327" s="161"/>
      <c r="AO327" s="161"/>
      <c r="AP327" s="161"/>
      <c r="AQ327" s="161"/>
      <c r="AR327" s="161"/>
      <c r="AS327" s="161"/>
      <c r="AT327" s="161"/>
      <c r="AU327" s="161"/>
      <c r="AV327" s="161"/>
      <c r="AW327" s="161"/>
      <c r="AX327" s="161"/>
      <c r="AY327" s="161"/>
      <c r="AZ327" s="161"/>
      <c r="BA327" s="161"/>
      <c r="BB327" s="161"/>
      <c r="BC327" s="161"/>
      <c r="BD327" s="161"/>
    </row>
    <row r="328" spans="1:56" x14ac:dyDescent="0.2">
      <c r="A328" s="161"/>
      <c r="B328" s="161"/>
      <c r="C328" s="161"/>
      <c r="D328" s="161"/>
      <c r="E328" s="162"/>
      <c r="F328" s="161"/>
      <c r="G328" s="161"/>
      <c r="H328" s="161"/>
      <c r="I328" s="161"/>
      <c r="J328" s="161"/>
      <c r="K328" s="161"/>
      <c r="L328" s="161"/>
      <c r="M328" s="161"/>
      <c r="N328" s="161"/>
      <c r="O328" s="161"/>
      <c r="P328" s="161"/>
      <c r="Q328" s="160"/>
      <c r="R328" s="161"/>
      <c r="S328" s="161"/>
      <c r="T328" s="161"/>
      <c r="U328" s="161"/>
      <c r="V328" s="161"/>
      <c r="W328" s="161"/>
      <c r="X328" s="161"/>
      <c r="Y328" s="161"/>
      <c r="Z328" s="161"/>
      <c r="AA328" s="161"/>
      <c r="AB328" s="161"/>
      <c r="AC328" s="161"/>
      <c r="AD328" s="161"/>
      <c r="AE328" s="161"/>
      <c r="AF328" s="161"/>
      <c r="AG328" s="161"/>
      <c r="AH328" s="161"/>
      <c r="AI328" s="161"/>
      <c r="AJ328" s="161"/>
      <c r="AK328" s="161"/>
      <c r="AL328" s="161"/>
      <c r="AM328" s="161"/>
      <c r="AN328" s="161"/>
      <c r="AO328" s="161"/>
      <c r="AP328" s="161"/>
      <c r="AQ328" s="161"/>
      <c r="AR328" s="161"/>
      <c r="AS328" s="161"/>
      <c r="AT328" s="161"/>
      <c r="AU328" s="161"/>
      <c r="AV328" s="161"/>
      <c r="AW328" s="161"/>
      <c r="AX328" s="161"/>
      <c r="AY328" s="161"/>
      <c r="AZ328" s="161"/>
      <c r="BA328" s="161"/>
      <c r="BB328" s="161"/>
      <c r="BC328" s="161"/>
      <c r="BD328" s="161"/>
    </row>
    <row r="329" spans="1:56" x14ac:dyDescent="0.2">
      <c r="A329" s="161"/>
      <c r="B329" s="161"/>
      <c r="C329" s="161"/>
      <c r="D329" s="161"/>
      <c r="E329" s="162"/>
      <c r="F329" s="161"/>
      <c r="G329" s="161"/>
      <c r="H329" s="161"/>
      <c r="I329" s="161"/>
      <c r="J329" s="161"/>
      <c r="K329" s="161"/>
      <c r="L329" s="161"/>
      <c r="M329" s="161"/>
      <c r="N329" s="161"/>
      <c r="O329" s="161"/>
      <c r="P329" s="161"/>
      <c r="Q329" s="160"/>
      <c r="R329" s="161"/>
      <c r="S329" s="161"/>
      <c r="T329" s="161"/>
      <c r="U329" s="161"/>
      <c r="V329" s="161"/>
      <c r="W329" s="161"/>
      <c r="X329" s="161"/>
      <c r="Y329" s="161"/>
      <c r="Z329" s="161"/>
      <c r="AA329" s="161"/>
      <c r="AB329" s="161"/>
      <c r="AC329" s="161"/>
      <c r="AD329" s="161"/>
      <c r="AE329" s="161"/>
      <c r="AF329" s="161"/>
      <c r="AG329" s="161"/>
      <c r="AH329" s="161"/>
      <c r="AI329" s="161"/>
      <c r="AJ329" s="161"/>
      <c r="AK329" s="161"/>
      <c r="AL329" s="161"/>
      <c r="AM329" s="161"/>
      <c r="AN329" s="161"/>
      <c r="AO329" s="161"/>
      <c r="AP329" s="161"/>
      <c r="AQ329" s="161"/>
      <c r="AR329" s="161"/>
      <c r="AS329" s="161"/>
      <c r="AT329" s="161"/>
      <c r="AU329" s="161"/>
      <c r="AV329" s="161"/>
      <c r="AW329" s="161"/>
      <c r="AX329" s="161"/>
      <c r="AY329" s="161"/>
      <c r="AZ329" s="161"/>
      <c r="BA329" s="161"/>
      <c r="BB329" s="161"/>
      <c r="BC329" s="161"/>
      <c r="BD329" s="161"/>
    </row>
    <row r="330" spans="1:56" x14ac:dyDescent="0.2">
      <c r="A330" s="161"/>
      <c r="B330" s="161"/>
      <c r="C330" s="161"/>
      <c r="D330" s="161"/>
      <c r="E330" s="162"/>
      <c r="F330" s="161"/>
      <c r="G330" s="161"/>
      <c r="H330" s="161"/>
      <c r="I330" s="161"/>
      <c r="J330" s="161"/>
      <c r="K330" s="161"/>
      <c r="L330" s="161"/>
      <c r="M330" s="161"/>
      <c r="N330" s="161"/>
      <c r="O330" s="161"/>
      <c r="P330" s="161"/>
      <c r="Q330" s="160"/>
      <c r="R330" s="161"/>
      <c r="S330" s="161"/>
      <c r="T330" s="161"/>
      <c r="U330" s="161"/>
      <c r="V330" s="161"/>
      <c r="W330" s="161"/>
      <c r="X330" s="161"/>
      <c r="Y330" s="161"/>
      <c r="Z330" s="161"/>
      <c r="AA330" s="161"/>
      <c r="AB330" s="161"/>
      <c r="AC330" s="161"/>
      <c r="AD330" s="161"/>
      <c r="AE330" s="161"/>
      <c r="AF330" s="161"/>
      <c r="AG330" s="161"/>
      <c r="AH330" s="161"/>
      <c r="AI330" s="161"/>
      <c r="AJ330" s="161"/>
      <c r="AK330" s="161"/>
      <c r="AL330" s="161"/>
      <c r="AM330" s="161"/>
      <c r="AN330" s="161"/>
      <c r="AO330" s="161"/>
      <c r="AP330" s="161"/>
      <c r="AQ330" s="161"/>
      <c r="AR330" s="161"/>
      <c r="AS330" s="161"/>
      <c r="AT330" s="161"/>
      <c r="AU330" s="161"/>
      <c r="AV330" s="161"/>
      <c r="AW330" s="161"/>
      <c r="AX330" s="161"/>
      <c r="AY330" s="161"/>
      <c r="AZ330" s="161"/>
      <c r="BA330" s="161"/>
      <c r="BB330" s="161"/>
      <c r="BC330" s="161"/>
      <c r="BD330" s="161"/>
    </row>
    <row r="331" spans="1:56" x14ac:dyDescent="0.2">
      <c r="A331" s="161"/>
      <c r="B331" s="161"/>
      <c r="C331" s="161"/>
      <c r="D331" s="161"/>
      <c r="E331" s="162"/>
      <c r="F331" s="161"/>
      <c r="G331" s="161"/>
      <c r="H331" s="161"/>
      <c r="I331" s="161"/>
      <c r="J331" s="161"/>
      <c r="K331" s="161"/>
      <c r="L331" s="161"/>
      <c r="M331" s="161"/>
      <c r="N331" s="161"/>
      <c r="O331" s="161"/>
      <c r="P331" s="161"/>
      <c r="Q331" s="160"/>
      <c r="R331" s="161"/>
      <c r="S331" s="161"/>
      <c r="T331" s="161"/>
      <c r="U331" s="161"/>
      <c r="V331" s="161"/>
      <c r="W331" s="161"/>
      <c r="X331" s="161"/>
      <c r="Y331" s="161"/>
      <c r="Z331" s="161"/>
      <c r="AA331" s="161"/>
      <c r="AB331" s="161"/>
      <c r="AC331" s="161"/>
      <c r="AD331" s="161"/>
      <c r="AE331" s="161"/>
      <c r="AF331" s="161"/>
      <c r="AG331" s="161"/>
      <c r="AH331" s="161"/>
      <c r="AI331" s="161"/>
      <c r="AJ331" s="161"/>
      <c r="AK331" s="161"/>
      <c r="AL331" s="161"/>
      <c r="AM331" s="161"/>
      <c r="AN331" s="161"/>
      <c r="AO331" s="161"/>
      <c r="AP331" s="161"/>
      <c r="AQ331" s="161"/>
      <c r="AR331" s="161"/>
      <c r="AS331" s="161"/>
      <c r="AT331" s="161"/>
      <c r="AU331" s="161"/>
      <c r="AV331" s="161"/>
      <c r="AW331" s="161"/>
      <c r="AX331" s="161"/>
      <c r="AY331" s="161"/>
      <c r="AZ331" s="161"/>
      <c r="BA331" s="161"/>
      <c r="BB331" s="161"/>
      <c r="BC331" s="161"/>
      <c r="BD331" s="161"/>
    </row>
    <row r="332" spans="1:56" x14ac:dyDescent="0.2">
      <c r="A332" s="161"/>
      <c r="B332" s="161"/>
      <c r="C332" s="161"/>
      <c r="D332" s="161"/>
      <c r="E332" s="162"/>
      <c r="F332" s="161"/>
      <c r="G332" s="161"/>
      <c r="H332" s="161"/>
      <c r="I332" s="161"/>
      <c r="J332" s="161"/>
      <c r="K332" s="161"/>
      <c r="L332" s="161"/>
      <c r="M332" s="161"/>
      <c r="N332" s="161"/>
      <c r="O332" s="161"/>
      <c r="P332" s="161"/>
      <c r="Q332" s="160"/>
      <c r="R332" s="161"/>
      <c r="S332" s="161"/>
      <c r="T332" s="161"/>
      <c r="U332" s="161"/>
      <c r="V332" s="161"/>
      <c r="W332" s="161"/>
      <c r="X332" s="161"/>
      <c r="Y332" s="161"/>
      <c r="Z332" s="161"/>
      <c r="AA332" s="161"/>
      <c r="AB332" s="161"/>
      <c r="AC332" s="161"/>
      <c r="AD332" s="161"/>
      <c r="AE332" s="161"/>
      <c r="AF332" s="161"/>
      <c r="AG332" s="161"/>
      <c r="AH332" s="161"/>
      <c r="AI332" s="161"/>
      <c r="AJ332" s="161"/>
      <c r="AK332" s="161"/>
      <c r="AL332" s="161"/>
      <c r="AM332" s="161"/>
      <c r="AN332" s="161"/>
      <c r="AO332" s="161"/>
      <c r="AP332" s="161"/>
      <c r="AQ332" s="161"/>
      <c r="AR332" s="161"/>
      <c r="AS332" s="161"/>
      <c r="AT332" s="161"/>
      <c r="AU332" s="161"/>
      <c r="AV332" s="161"/>
      <c r="AW332" s="161"/>
      <c r="AX332" s="161"/>
      <c r="AY332" s="161"/>
      <c r="AZ332" s="161"/>
      <c r="BA332" s="161"/>
      <c r="BB332" s="161"/>
      <c r="BC332" s="161"/>
      <c r="BD332" s="161"/>
    </row>
    <row r="333" spans="1:56" x14ac:dyDescent="0.2">
      <c r="A333" s="161"/>
      <c r="B333" s="161"/>
      <c r="C333" s="161"/>
      <c r="D333" s="161"/>
      <c r="E333" s="162"/>
      <c r="F333" s="161"/>
      <c r="G333" s="161"/>
      <c r="H333" s="161"/>
      <c r="I333" s="161"/>
      <c r="J333" s="161"/>
      <c r="K333" s="161"/>
      <c r="L333" s="161"/>
      <c r="M333" s="161"/>
      <c r="N333" s="161"/>
      <c r="O333" s="161"/>
      <c r="P333" s="161"/>
      <c r="Q333" s="160"/>
      <c r="R333" s="161"/>
      <c r="S333" s="161"/>
      <c r="T333" s="161"/>
      <c r="U333" s="161"/>
      <c r="V333" s="161"/>
      <c r="W333" s="161"/>
      <c r="X333" s="161"/>
      <c r="Y333" s="161"/>
      <c r="Z333" s="161"/>
      <c r="AA333" s="161"/>
      <c r="AB333" s="161"/>
      <c r="AC333" s="161"/>
      <c r="AD333" s="161"/>
      <c r="AE333" s="161"/>
      <c r="AF333" s="161"/>
      <c r="AG333" s="161"/>
      <c r="AH333" s="161"/>
      <c r="AI333" s="161"/>
      <c r="AJ333" s="161"/>
      <c r="AK333" s="161"/>
      <c r="AL333" s="161"/>
      <c r="AM333" s="161"/>
      <c r="AN333" s="161"/>
      <c r="AO333" s="161"/>
      <c r="AP333" s="161"/>
      <c r="AQ333" s="161"/>
      <c r="AR333" s="161"/>
      <c r="AS333" s="161"/>
      <c r="AT333" s="161"/>
      <c r="AU333" s="161"/>
      <c r="AV333" s="161"/>
      <c r="AW333" s="161"/>
      <c r="AX333" s="161"/>
      <c r="AY333" s="161"/>
      <c r="AZ333" s="161"/>
      <c r="BA333" s="161"/>
      <c r="BB333" s="161"/>
      <c r="BC333" s="161"/>
      <c r="BD333" s="161"/>
    </row>
    <row r="334" spans="1:56" x14ac:dyDescent="0.2">
      <c r="A334" s="161"/>
      <c r="B334" s="161"/>
      <c r="C334" s="161"/>
      <c r="D334" s="161"/>
      <c r="E334" s="162"/>
      <c r="F334" s="161"/>
      <c r="G334" s="161"/>
      <c r="H334" s="161"/>
      <c r="I334" s="161"/>
      <c r="J334" s="161"/>
      <c r="K334" s="161"/>
      <c r="L334" s="161"/>
      <c r="M334" s="161"/>
      <c r="N334" s="161"/>
      <c r="O334" s="161"/>
      <c r="P334" s="161"/>
      <c r="Q334" s="160"/>
      <c r="R334" s="161"/>
      <c r="S334" s="161"/>
      <c r="T334" s="161"/>
      <c r="U334" s="161"/>
      <c r="V334" s="161"/>
      <c r="W334" s="161"/>
      <c r="X334" s="161"/>
      <c r="Y334" s="161"/>
      <c r="Z334" s="161"/>
      <c r="AA334" s="161"/>
      <c r="AB334" s="161"/>
      <c r="AC334" s="161"/>
      <c r="AD334" s="161"/>
      <c r="AE334" s="161"/>
      <c r="AF334" s="161"/>
      <c r="AG334" s="161"/>
      <c r="AH334" s="161"/>
      <c r="AI334" s="161"/>
      <c r="AJ334" s="161"/>
      <c r="AK334" s="161"/>
      <c r="AL334" s="161"/>
      <c r="AM334" s="161"/>
      <c r="AN334" s="161"/>
      <c r="AO334" s="161"/>
      <c r="AP334" s="161"/>
      <c r="AQ334" s="161"/>
      <c r="AR334" s="161"/>
      <c r="AS334" s="161"/>
      <c r="AT334" s="161"/>
      <c r="AU334" s="161"/>
      <c r="AV334" s="161"/>
      <c r="AW334" s="161"/>
      <c r="AX334" s="161"/>
      <c r="AY334" s="161"/>
      <c r="AZ334" s="161"/>
      <c r="BA334" s="161"/>
      <c r="BB334" s="161"/>
      <c r="BC334" s="161"/>
      <c r="BD334" s="161"/>
    </row>
    <row r="335" spans="1:56" x14ac:dyDescent="0.2">
      <c r="A335" s="161"/>
      <c r="B335" s="161"/>
      <c r="C335" s="161"/>
      <c r="D335" s="161"/>
      <c r="E335" s="162"/>
      <c r="F335" s="161"/>
      <c r="G335" s="161"/>
      <c r="H335" s="161"/>
      <c r="I335" s="161"/>
      <c r="J335" s="161"/>
      <c r="K335" s="161"/>
      <c r="L335" s="161"/>
      <c r="M335" s="161"/>
      <c r="N335" s="161"/>
      <c r="O335" s="161"/>
      <c r="P335" s="161"/>
      <c r="Q335" s="160"/>
      <c r="R335" s="161"/>
      <c r="S335" s="161"/>
      <c r="T335" s="161"/>
      <c r="U335" s="161"/>
      <c r="V335" s="161"/>
      <c r="W335" s="161"/>
      <c r="X335" s="161"/>
      <c r="Y335" s="161"/>
      <c r="Z335" s="161"/>
      <c r="AA335" s="161"/>
      <c r="AB335" s="161"/>
      <c r="AC335" s="161"/>
      <c r="AD335" s="161"/>
      <c r="AE335" s="161"/>
      <c r="AF335" s="161"/>
      <c r="AG335" s="161"/>
      <c r="AH335" s="161"/>
      <c r="AI335" s="161"/>
      <c r="AJ335" s="161"/>
      <c r="AK335" s="161"/>
      <c r="AL335" s="161"/>
      <c r="AM335" s="161"/>
      <c r="AN335" s="161"/>
      <c r="AO335" s="161"/>
      <c r="AP335" s="161"/>
      <c r="AQ335" s="161"/>
      <c r="AR335" s="161"/>
      <c r="AS335" s="161"/>
      <c r="AT335" s="161"/>
      <c r="AU335" s="161"/>
      <c r="AV335" s="161"/>
      <c r="AW335" s="161"/>
      <c r="AX335" s="161"/>
      <c r="AY335" s="161"/>
      <c r="AZ335" s="161"/>
      <c r="BA335" s="161"/>
      <c r="BB335" s="161"/>
      <c r="BC335" s="161"/>
      <c r="BD335" s="161"/>
    </row>
    <row r="336" spans="1:56" x14ac:dyDescent="0.2">
      <c r="A336" s="161"/>
      <c r="B336" s="161"/>
      <c r="C336" s="161"/>
      <c r="D336" s="161"/>
      <c r="E336" s="162"/>
      <c r="F336" s="161"/>
      <c r="G336" s="161"/>
      <c r="H336" s="161"/>
      <c r="I336" s="161"/>
      <c r="J336" s="161"/>
      <c r="K336" s="161"/>
      <c r="L336" s="161"/>
      <c r="M336" s="161"/>
      <c r="N336" s="161"/>
      <c r="O336" s="161"/>
      <c r="P336" s="161"/>
      <c r="Q336" s="160"/>
      <c r="R336" s="161"/>
      <c r="S336" s="161"/>
      <c r="T336" s="161"/>
      <c r="U336" s="161"/>
      <c r="V336" s="161"/>
      <c r="W336" s="161"/>
      <c r="X336" s="161"/>
      <c r="Y336" s="161"/>
      <c r="Z336" s="161"/>
      <c r="AA336" s="161"/>
      <c r="AB336" s="161"/>
      <c r="AC336" s="161"/>
      <c r="AD336" s="161"/>
      <c r="AE336" s="161"/>
      <c r="AF336" s="161"/>
      <c r="AG336" s="161"/>
      <c r="AH336" s="161"/>
      <c r="AI336" s="161"/>
      <c r="AJ336" s="161"/>
      <c r="AK336" s="161"/>
      <c r="AL336" s="161"/>
      <c r="AM336" s="161"/>
      <c r="AN336" s="161"/>
      <c r="AO336" s="161"/>
      <c r="AP336" s="161"/>
      <c r="AQ336" s="161"/>
      <c r="AR336" s="161"/>
      <c r="AS336" s="161"/>
      <c r="AT336" s="161"/>
      <c r="AU336" s="161"/>
      <c r="AV336" s="161"/>
      <c r="AW336" s="161"/>
      <c r="AX336" s="161"/>
      <c r="AY336" s="161"/>
      <c r="AZ336" s="161"/>
      <c r="BA336" s="161"/>
      <c r="BB336" s="161"/>
      <c r="BC336" s="161"/>
      <c r="BD336" s="161"/>
    </row>
    <row r="337" spans="1:56" x14ac:dyDescent="0.2">
      <c r="A337" s="161"/>
      <c r="B337" s="161"/>
      <c r="C337" s="161"/>
      <c r="D337" s="161"/>
      <c r="E337" s="162"/>
      <c r="F337" s="161"/>
      <c r="G337" s="161"/>
      <c r="H337" s="161"/>
      <c r="I337" s="161"/>
      <c r="J337" s="161"/>
      <c r="K337" s="161"/>
      <c r="L337" s="161"/>
      <c r="M337" s="161"/>
      <c r="N337" s="161"/>
      <c r="O337" s="161"/>
      <c r="P337" s="161"/>
      <c r="Q337" s="160"/>
      <c r="R337" s="161"/>
      <c r="S337" s="161"/>
      <c r="T337" s="161"/>
      <c r="U337" s="161"/>
      <c r="V337" s="161"/>
      <c r="W337" s="161"/>
      <c r="X337" s="161"/>
      <c r="Y337" s="161"/>
      <c r="Z337" s="161"/>
      <c r="AA337" s="161"/>
      <c r="AB337" s="161"/>
      <c r="AC337" s="161"/>
      <c r="AD337" s="161"/>
      <c r="AE337" s="161"/>
      <c r="AF337" s="161"/>
      <c r="AG337" s="161"/>
      <c r="AH337" s="161"/>
      <c r="AI337" s="161"/>
      <c r="AJ337" s="161"/>
      <c r="AK337" s="161"/>
      <c r="AL337" s="161"/>
      <c r="AM337" s="161"/>
      <c r="AN337" s="161"/>
      <c r="AO337" s="161"/>
      <c r="AP337" s="161"/>
      <c r="AQ337" s="161"/>
      <c r="AR337" s="161"/>
      <c r="AS337" s="161"/>
      <c r="AT337" s="161"/>
      <c r="AU337" s="161"/>
      <c r="AV337" s="161"/>
      <c r="AW337" s="161"/>
      <c r="AX337" s="161"/>
      <c r="AY337" s="161"/>
      <c r="AZ337" s="161"/>
      <c r="BA337" s="161"/>
      <c r="BB337" s="161"/>
      <c r="BC337" s="161"/>
      <c r="BD337" s="161"/>
    </row>
    <row r="338" spans="1:56" x14ac:dyDescent="0.2">
      <c r="A338" s="161"/>
      <c r="B338" s="161"/>
      <c r="C338" s="161"/>
      <c r="D338" s="161"/>
      <c r="E338" s="162"/>
      <c r="F338" s="161"/>
      <c r="G338" s="161"/>
      <c r="H338" s="161"/>
      <c r="I338" s="161"/>
      <c r="J338" s="161"/>
      <c r="K338" s="161"/>
      <c r="L338" s="161"/>
      <c r="M338" s="161"/>
      <c r="N338" s="161"/>
      <c r="O338" s="161"/>
      <c r="P338" s="161"/>
      <c r="Q338" s="160"/>
      <c r="R338" s="161"/>
      <c r="S338" s="161"/>
      <c r="T338" s="161"/>
      <c r="U338" s="161"/>
      <c r="V338" s="161"/>
      <c r="W338" s="161"/>
      <c r="X338" s="161"/>
      <c r="Y338" s="161"/>
      <c r="Z338" s="161"/>
      <c r="AA338" s="161"/>
      <c r="AB338" s="161"/>
      <c r="AC338" s="161"/>
      <c r="AD338" s="161"/>
      <c r="AE338" s="161"/>
      <c r="AF338" s="161"/>
      <c r="AG338" s="161"/>
      <c r="AH338" s="161"/>
      <c r="AI338" s="161"/>
      <c r="AJ338" s="161"/>
      <c r="AK338" s="161"/>
      <c r="AL338" s="161"/>
      <c r="AM338" s="161"/>
      <c r="AN338" s="161"/>
      <c r="AO338" s="161"/>
      <c r="AP338" s="161"/>
      <c r="AQ338" s="161"/>
      <c r="AR338" s="161"/>
      <c r="AS338" s="161"/>
      <c r="AT338" s="161"/>
      <c r="AU338" s="161"/>
      <c r="AV338" s="161"/>
      <c r="AW338" s="161"/>
      <c r="AX338" s="161"/>
      <c r="AY338" s="161"/>
      <c r="AZ338" s="161"/>
      <c r="BA338" s="161"/>
      <c r="BB338" s="161"/>
      <c r="BC338" s="161"/>
      <c r="BD338" s="161"/>
    </row>
    <row r="339" spans="1:56" x14ac:dyDescent="0.2">
      <c r="A339" s="161"/>
      <c r="B339" s="161"/>
      <c r="C339" s="161"/>
      <c r="D339" s="161"/>
      <c r="E339" s="162"/>
      <c r="F339" s="161"/>
      <c r="G339" s="161"/>
      <c r="H339" s="161"/>
      <c r="I339" s="161"/>
      <c r="J339" s="161"/>
      <c r="K339" s="161"/>
      <c r="L339" s="161"/>
      <c r="M339" s="161"/>
      <c r="N339" s="161"/>
      <c r="O339" s="161"/>
      <c r="P339" s="161"/>
      <c r="Q339" s="160"/>
      <c r="R339" s="161"/>
      <c r="S339" s="161"/>
      <c r="T339" s="161"/>
      <c r="U339" s="161"/>
      <c r="V339" s="161"/>
      <c r="W339" s="161"/>
      <c r="X339" s="161"/>
      <c r="Y339" s="161"/>
      <c r="Z339" s="161"/>
      <c r="AA339" s="161"/>
      <c r="AB339" s="161"/>
      <c r="AC339" s="161"/>
      <c r="AD339" s="161"/>
      <c r="AE339" s="161"/>
      <c r="AF339" s="161"/>
      <c r="AG339" s="161"/>
      <c r="AH339" s="161"/>
      <c r="AI339" s="161"/>
      <c r="AJ339" s="161"/>
      <c r="AK339" s="161"/>
      <c r="AL339" s="161"/>
      <c r="AM339" s="161"/>
      <c r="AN339" s="161"/>
      <c r="AO339" s="161"/>
      <c r="AP339" s="161"/>
      <c r="AQ339" s="161"/>
      <c r="AR339" s="161"/>
      <c r="AS339" s="161"/>
      <c r="AT339" s="161"/>
      <c r="AU339" s="161"/>
      <c r="AV339" s="161"/>
      <c r="AW339" s="161"/>
      <c r="AX339" s="161"/>
      <c r="AY339" s="161"/>
      <c r="AZ339" s="161"/>
      <c r="BA339" s="161"/>
      <c r="BB339" s="161"/>
      <c r="BC339" s="161"/>
      <c r="BD339" s="161"/>
    </row>
    <row r="340" spans="1:56" x14ac:dyDescent="0.2">
      <c r="A340" s="161"/>
      <c r="B340" s="161"/>
      <c r="C340" s="161"/>
      <c r="D340" s="161"/>
      <c r="E340" s="162"/>
      <c r="F340" s="161"/>
      <c r="G340" s="161"/>
      <c r="H340" s="161"/>
      <c r="I340" s="161"/>
      <c r="J340" s="161"/>
      <c r="K340" s="161"/>
      <c r="L340" s="161"/>
      <c r="M340" s="161"/>
      <c r="N340" s="161"/>
      <c r="O340" s="161"/>
      <c r="P340" s="161"/>
      <c r="Q340" s="160"/>
      <c r="R340" s="161"/>
      <c r="S340" s="161"/>
      <c r="T340" s="161"/>
      <c r="U340" s="161"/>
      <c r="V340" s="161"/>
      <c r="W340" s="161"/>
      <c r="X340" s="161"/>
      <c r="Y340" s="161"/>
      <c r="Z340" s="161"/>
      <c r="AA340" s="161"/>
      <c r="AB340" s="161"/>
      <c r="AC340" s="161"/>
      <c r="AD340" s="161"/>
      <c r="AE340" s="161"/>
      <c r="AF340" s="161"/>
      <c r="AG340" s="161"/>
      <c r="AH340" s="161"/>
      <c r="AI340" s="161"/>
      <c r="AJ340" s="161"/>
      <c r="AK340" s="161"/>
      <c r="AL340" s="161"/>
      <c r="AM340" s="161"/>
      <c r="AN340" s="161"/>
      <c r="AO340" s="161"/>
      <c r="AP340" s="161"/>
      <c r="AQ340" s="161"/>
      <c r="AR340" s="161"/>
      <c r="AS340" s="161"/>
      <c r="AT340" s="161"/>
      <c r="AU340" s="161"/>
      <c r="AV340" s="161"/>
      <c r="AW340" s="161"/>
      <c r="AX340" s="161"/>
      <c r="AY340" s="161"/>
      <c r="AZ340" s="161"/>
      <c r="BA340" s="161"/>
      <c r="BB340" s="161"/>
      <c r="BC340" s="161"/>
      <c r="BD340" s="161"/>
    </row>
    <row r="341" spans="1:56" x14ac:dyDescent="0.2">
      <c r="A341" s="161"/>
      <c r="B341" s="161"/>
      <c r="C341" s="161"/>
      <c r="D341" s="161"/>
      <c r="E341" s="162"/>
      <c r="F341" s="161"/>
      <c r="G341" s="161"/>
      <c r="H341" s="161"/>
      <c r="I341" s="161"/>
      <c r="J341" s="161"/>
      <c r="K341" s="161"/>
      <c r="L341" s="161"/>
      <c r="M341" s="161"/>
      <c r="N341" s="161"/>
      <c r="O341" s="161"/>
      <c r="P341" s="161"/>
      <c r="Q341" s="160"/>
      <c r="R341" s="161"/>
      <c r="S341" s="161"/>
      <c r="T341" s="161"/>
      <c r="U341" s="161"/>
      <c r="V341" s="161"/>
      <c r="W341" s="161"/>
      <c r="X341" s="161"/>
      <c r="Y341" s="161"/>
      <c r="Z341" s="161"/>
      <c r="AA341" s="161"/>
      <c r="AB341" s="161"/>
      <c r="AC341" s="161"/>
      <c r="AD341" s="161"/>
      <c r="AE341" s="161"/>
      <c r="AF341" s="161"/>
      <c r="AG341" s="161"/>
      <c r="AH341" s="161"/>
      <c r="AI341" s="161"/>
      <c r="AJ341" s="161"/>
      <c r="AK341" s="161"/>
      <c r="AL341" s="161"/>
      <c r="AM341" s="161"/>
      <c r="AN341" s="161"/>
      <c r="AO341" s="161"/>
      <c r="AP341" s="161"/>
      <c r="AQ341" s="161"/>
      <c r="AR341" s="161"/>
      <c r="AS341" s="161"/>
      <c r="AT341" s="161"/>
      <c r="AU341" s="161"/>
      <c r="AV341" s="161"/>
      <c r="AW341" s="161"/>
      <c r="AX341" s="161"/>
      <c r="AY341" s="161"/>
      <c r="AZ341" s="161"/>
      <c r="BA341" s="161"/>
      <c r="BB341" s="161"/>
      <c r="BC341" s="161"/>
      <c r="BD341" s="161"/>
    </row>
    <row r="342" spans="1:56" x14ac:dyDescent="0.2">
      <c r="A342" s="161"/>
      <c r="B342" s="161"/>
      <c r="C342" s="161"/>
      <c r="D342" s="161"/>
      <c r="E342" s="162"/>
      <c r="F342" s="161"/>
      <c r="G342" s="161"/>
      <c r="H342" s="161"/>
      <c r="I342" s="161"/>
      <c r="J342" s="161"/>
      <c r="K342" s="161"/>
      <c r="L342" s="161"/>
      <c r="M342" s="161"/>
      <c r="N342" s="161"/>
      <c r="O342" s="161"/>
      <c r="P342" s="161"/>
      <c r="Q342" s="160"/>
      <c r="R342" s="161"/>
      <c r="S342" s="161"/>
      <c r="T342" s="161"/>
      <c r="U342" s="161"/>
      <c r="V342" s="161"/>
      <c r="W342" s="161"/>
      <c r="X342" s="161"/>
      <c r="Y342" s="161"/>
      <c r="Z342" s="161"/>
      <c r="AA342" s="161"/>
      <c r="AB342" s="161"/>
      <c r="AC342" s="161"/>
      <c r="AD342" s="161"/>
      <c r="AE342" s="161"/>
      <c r="AF342" s="161"/>
      <c r="AG342" s="161"/>
      <c r="AH342" s="161"/>
      <c r="AI342" s="161"/>
      <c r="AJ342" s="161"/>
      <c r="AK342" s="161"/>
      <c r="AL342" s="161"/>
      <c r="AM342" s="161"/>
      <c r="AN342" s="161"/>
      <c r="AO342" s="161"/>
      <c r="AP342" s="161"/>
      <c r="AQ342" s="161"/>
      <c r="AR342" s="161"/>
      <c r="AS342" s="161"/>
      <c r="AT342" s="161"/>
      <c r="AU342" s="161"/>
      <c r="AV342" s="161"/>
      <c r="AW342" s="161"/>
      <c r="AX342" s="161"/>
      <c r="AY342" s="161"/>
      <c r="AZ342" s="161"/>
      <c r="BA342" s="161"/>
      <c r="BB342" s="161"/>
      <c r="BC342" s="161"/>
      <c r="BD342" s="161"/>
    </row>
    <row r="343" spans="1:56" x14ac:dyDescent="0.2">
      <c r="A343" s="161"/>
      <c r="B343" s="161"/>
      <c r="C343" s="161"/>
      <c r="D343" s="161"/>
      <c r="E343" s="162"/>
      <c r="F343" s="161"/>
      <c r="G343" s="161"/>
      <c r="H343" s="161"/>
      <c r="I343" s="161"/>
      <c r="J343" s="161"/>
      <c r="K343" s="161"/>
      <c r="L343" s="161"/>
      <c r="M343" s="161"/>
      <c r="N343" s="161"/>
      <c r="O343" s="161"/>
      <c r="P343" s="161"/>
      <c r="Q343" s="160"/>
      <c r="R343" s="161"/>
      <c r="S343" s="161"/>
      <c r="T343" s="161"/>
      <c r="U343" s="161"/>
      <c r="V343" s="161"/>
      <c r="W343" s="161"/>
      <c r="X343" s="161"/>
      <c r="Y343" s="161"/>
      <c r="Z343" s="161"/>
      <c r="AA343" s="161"/>
      <c r="AB343" s="161"/>
      <c r="AC343" s="161"/>
      <c r="AD343" s="161"/>
      <c r="AE343" s="161"/>
      <c r="AF343" s="161"/>
      <c r="AG343" s="161"/>
      <c r="AH343" s="161"/>
      <c r="AI343" s="161"/>
      <c r="AJ343" s="161"/>
      <c r="AK343" s="161"/>
      <c r="AL343" s="161"/>
      <c r="AM343" s="161"/>
      <c r="AN343" s="161"/>
      <c r="AO343" s="161"/>
      <c r="AP343" s="161"/>
      <c r="AQ343" s="161"/>
      <c r="AR343" s="161"/>
      <c r="AS343" s="161"/>
      <c r="AT343" s="161"/>
      <c r="AU343" s="161"/>
      <c r="AV343" s="161"/>
      <c r="AW343" s="161"/>
      <c r="AX343" s="161"/>
      <c r="AY343" s="161"/>
      <c r="AZ343" s="161"/>
      <c r="BA343" s="161"/>
      <c r="BB343" s="161"/>
      <c r="BC343" s="161"/>
      <c r="BD343" s="161"/>
    </row>
    <row r="344" spans="1:56" x14ac:dyDescent="0.2">
      <c r="A344" s="161"/>
      <c r="B344" s="161"/>
      <c r="C344" s="161"/>
      <c r="D344" s="161"/>
      <c r="E344" s="162"/>
      <c r="F344" s="161"/>
      <c r="G344" s="161"/>
      <c r="H344" s="161"/>
      <c r="I344" s="161"/>
      <c r="J344" s="161"/>
      <c r="K344" s="161"/>
      <c r="L344" s="161"/>
      <c r="M344" s="161"/>
      <c r="N344" s="161"/>
      <c r="O344" s="161"/>
      <c r="P344" s="161"/>
      <c r="Q344" s="160"/>
      <c r="R344" s="161"/>
      <c r="S344" s="161"/>
      <c r="T344" s="161"/>
      <c r="U344" s="161"/>
      <c r="V344" s="161"/>
      <c r="W344" s="161"/>
      <c r="X344" s="161"/>
      <c r="Y344" s="161"/>
      <c r="Z344" s="161"/>
      <c r="AA344" s="161"/>
      <c r="AB344" s="161"/>
      <c r="AC344" s="161"/>
      <c r="AD344" s="161"/>
      <c r="AE344" s="161"/>
      <c r="AF344" s="161"/>
      <c r="AG344" s="161"/>
      <c r="AH344" s="161"/>
      <c r="AI344" s="161"/>
      <c r="AJ344" s="161"/>
      <c r="AK344" s="161"/>
      <c r="AL344" s="161"/>
      <c r="AM344" s="161"/>
      <c r="AN344" s="161"/>
      <c r="AO344" s="161"/>
      <c r="AP344" s="161"/>
      <c r="AQ344" s="161"/>
      <c r="AR344" s="161"/>
      <c r="AS344" s="161"/>
      <c r="AT344" s="161"/>
      <c r="AU344" s="161"/>
      <c r="AV344" s="161"/>
      <c r="AW344" s="161"/>
      <c r="AX344" s="161"/>
      <c r="AY344" s="161"/>
      <c r="AZ344" s="161"/>
      <c r="BA344" s="161"/>
      <c r="BB344" s="161"/>
      <c r="BC344" s="161"/>
      <c r="BD344" s="161"/>
    </row>
    <row r="345" spans="1:56" x14ac:dyDescent="0.2">
      <c r="A345" s="161"/>
      <c r="B345" s="161"/>
      <c r="C345" s="161"/>
      <c r="D345" s="161"/>
      <c r="E345" s="162"/>
      <c r="F345" s="161"/>
      <c r="G345" s="161"/>
      <c r="H345" s="161"/>
      <c r="I345" s="161"/>
      <c r="J345" s="161"/>
      <c r="K345" s="161"/>
      <c r="L345" s="161"/>
      <c r="M345" s="161"/>
      <c r="N345" s="161"/>
      <c r="O345" s="161"/>
      <c r="P345" s="161"/>
      <c r="Q345" s="160"/>
      <c r="R345" s="161"/>
      <c r="S345" s="161"/>
      <c r="T345" s="161"/>
      <c r="U345" s="161"/>
      <c r="V345" s="161"/>
      <c r="W345" s="161"/>
      <c r="X345" s="161"/>
      <c r="Y345" s="161"/>
      <c r="Z345" s="161"/>
      <c r="AA345" s="161"/>
      <c r="AB345" s="161"/>
      <c r="AC345" s="161"/>
      <c r="AD345" s="161"/>
      <c r="AE345" s="161"/>
      <c r="AF345" s="161"/>
      <c r="AG345" s="161"/>
      <c r="AH345" s="161"/>
      <c r="AI345" s="161"/>
      <c r="AJ345" s="161"/>
      <c r="AK345" s="161"/>
      <c r="AL345" s="161"/>
      <c r="AM345" s="161"/>
      <c r="AN345" s="161"/>
      <c r="AO345" s="161"/>
      <c r="AP345" s="161"/>
      <c r="AQ345" s="161"/>
      <c r="AR345" s="161"/>
      <c r="AS345" s="161"/>
      <c r="AT345" s="161"/>
      <c r="AU345" s="161"/>
      <c r="AV345" s="161"/>
      <c r="AW345" s="161"/>
      <c r="AX345" s="161"/>
      <c r="AY345" s="161"/>
      <c r="AZ345" s="161"/>
      <c r="BA345" s="161"/>
      <c r="BB345" s="161"/>
      <c r="BC345" s="161"/>
      <c r="BD345" s="161"/>
    </row>
    <row r="346" spans="1:56" x14ac:dyDescent="0.2">
      <c r="A346" s="161"/>
      <c r="B346" s="161"/>
      <c r="C346" s="161"/>
      <c r="D346" s="161"/>
      <c r="E346" s="162"/>
      <c r="F346" s="161"/>
      <c r="G346" s="161"/>
      <c r="H346" s="161"/>
      <c r="I346" s="161"/>
      <c r="J346" s="161"/>
      <c r="K346" s="161"/>
      <c r="L346" s="161"/>
      <c r="M346" s="161"/>
      <c r="N346" s="161"/>
      <c r="O346" s="161"/>
      <c r="P346" s="161"/>
      <c r="Q346" s="160"/>
      <c r="R346" s="161"/>
      <c r="S346" s="161"/>
      <c r="T346" s="161"/>
      <c r="U346" s="161"/>
      <c r="V346" s="161"/>
      <c r="W346" s="161"/>
      <c r="X346" s="161"/>
      <c r="Y346" s="161"/>
      <c r="Z346" s="161"/>
      <c r="AA346" s="161"/>
      <c r="AB346" s="161"/>
      <c r="AC346" s="161"/>
      <c r="AD346" s="161"/>
      <c r="AE346" s="161"/>
      <c r="AF346" s="161"/>
      <c r="AG346" s="161"/>
      <c r="AH346" s="161"/>
      <c r="AI346" s="161"/>
      <c r="AJ346" s="161"/>
      <c r="AK346" s="161"/>
      <c r="AL346" s="161"/>
      <c r="AM346" s="161"/>
      <c r="AN346" s="161"/>
      <c r="AO346" s="161"/>
      <c r="AP346" s="161"/>
      <c r="AQ346" s="161"/>
      <c r="AR346" s="161"/>
      <c r="AS346" s="161"/>
      <c r="AT346" s="161"/>
      <c r="AU346" s="161"/>
      <c r="AV346" s="161"/>
      <c r="AW346" s="161"/>
      <c r="AX346" s="161"/>
      <c r="AY346" s="161"/>
      <c r="AZ346" s="161"/>
      <c r="BA346" s="161"/>
      <c r="BB346" s="161"/>
      <c r="BC346" s="161"/>
      <c r="BD346" s="161"/>
    </row>
    <row r="347" spans="1:56" x14ac:dyDescent="0.2">
      <c r="A347" s="161"/>
      <c r="B347" s="161"/>
      <c r="C347" s="161"/>
      <c r="D347" s="161"/>
      <c r="E347" s="162"/>
      <c r="F347" s="161"/>
      <c r="G347" s="161"/>
      <c r="H347" s="161"/>
      <c r="I347" s="161"/>
      <c r="J347" s="161"/>
      <c r="K347" s="161"/>
      <c r="L347" s="161"/>
      <c r="M347" s="161"/>
      <c r="N347" s="161"/>
      <c r="O347" s="161"/>
      <c r="P347" s="161"/>
      <c r="Q347" s="160"/>
      <c r="R347" s="161"/>
      <c r="S347" s="161"/>
      <c r="T347" s="161"/>
      <c r="U347" s="161"/>
      <c r="V347" s="161"/>
      <c r="W347" s="161"/>
      <c r="X347" s="161"/>
      <c r="Y347" s="161"/>
      <c r="Z347" s="161"/>
      <c r="AA347" s="161"/>
      <c r="AB347" s="161"/>
      <c r="AC347" s="161"/>
      <c r="AD347" s="161"/>
      <c r="AE347" s="161"/>
      <c r="AF347" s="161"/>
      <c r="AG347" s="161"/>
      <c r="AH347" s="161"/>
      <c r="AI347" s="161"/>
      <c r="AJ347" s="161"/>
      <c r="AK347" s="161"/>
      <c r="AL347" s="161"/>
      <c r="AM347" s="161"/>
      <c r="AN347" s="161"/>
      <c r="AO347" s="161"/>
      <c r="AP347" s="161"/>
      <c r="AQ347" s="161"/>
      <c r="AR347" s="161"/>
      <c r="AS347" s="161"/>
      <c r="AT347" s="161"/>
      <c r="AU347" s="161"/>
      <c r="AV347" s="161"/>
      <c r="AW347" s="161"/>
      <c r="AX347" s="161"/>
      <c r="AY347" s="161"/>
      <c r="AZ347" s="161"/>
      <c r="BA347" s="161"/>
      <c r="BB347" s="161"/>
      <c r="BC347" s="161"/>
      <c r="BD347" s="161"/>
    </row>
    <row r="348" spans="1:56" x14ac:dyDescent="0.2">
      <c r="A348" s="161"/>
      <c r="B348" s="161"/>
      <c r="C348" s="161"/>
      <c r="D348" s="161"/>
      <c r="E348" s="162"/>
      <c r="F348" s="161"/>
      <c r="G348" s="161"/>
      <c r="H348" s="161"/>
      <c r="I348" s="161"/>
      <c r="J348" s="161"/>
      <c r="K348" s="161"/>
      <c r="L348" s="161"/>
      <c r="M348" s="161"/>
      <c r="N348" s="161"/>
      <c r="O348" s="161"/>
      <c r="P348" s="161"/>
      <c r="Q348" s="160"/>
      <c r="R348" s="161"/>
      <c r="S348" s="161"/>
      <c r="T348" s="161"/>
      <c r="U348" s="161"/>
      <c r="V348" s="161"/>
      <c r="W348" s="161"/>
      <c r="X348" s="161"/>
      <c r="Y348" s="161"/>
      <c r="Z348" s="161"/>
      <c r="AA348" s="161"/>
      <c r="AB348" s="161"/>
      <c r="AC348" s="161"/>
      <c r="AD348" s="161"/>
      <c r="AE348" s="161"/>
      <c r="AF348" s="161"/>
      <c r="AG348" s="161"/>
      <c r="AH348" s="161"/>
      <c r="AI348" s="161"/>
      <c r="AJ348" s="161"/>
      <c r="AK348" s="161"/>
      <c r="AL348" s="161"/>
      <c r="AM348" s="161"/>
      <c r="AN348" s="161"/>
      <c r="AO348" s="161"/>
      <c r="AP348" s="161"/>
      <c r="AQ348" s="161"/>
      <c r="AR348" s="161"/>
      <c r="AS348" s="161"/>
      <c r="AT348" s="161"/>
      <c r="AU348" s="161"/>
      <c r="AV348" s="161"/>
      <c r="AW348" s="161"/>
      <c r="AX348" s="161"/>
      <c r="AY348" s="161"/>
      <c r="AZ348" s="161"/>
      <c r="BA348" s="161"/>
      <c r="BB348" s="161"/>
      <c r="BC348" s="161"/>
      <c r="BD348" s="161"/>
    </row>
    <row r="349" spans="1:56" x14ac:dyDescent="0.2">
      <c r="A349" s="161"/>
      <c r="B349" s="161"/>
      <c r="C349" s="161"/>
      <c r="D349" s="161"/>
      <c r="E349" s="162"/>
      <c r="F349" s="161"/>
      <c r="G349" s="161"/>
      <c r="H349" s="161"/>
      <c r="I349" s="161"/>
      <c r="J349" s="161"/>
      <c r="K349" s="161"/>
      <c r="L349" s="161"/>
      <c r="M349" s="161"/>
      <c r="N349" s="161"/>
      <c r="O349" s="161"/>
      <c r="P349" s="161"/>
      <c r="Q349" s="160"/>
      <c r="R349" s="161"/>
      <c r="S349" s="161"/>
      <c r="T349" s="161"/>
      <c r="U349" s="161"/>
      <c r="V349" s="161"/>
      <c r="W349" s="161"/>
      <c r="X349" s="161"/>
      <c r="Y349" s="161"/>
      <c r="Z349" s="161"/>
      <c r="AA349" s="161"/>
      <c r="AB349" s="161"/>
      <c r="AC349" s="161"/>
      <c r="AD349" s="161"/>
      <c r="AE349" s="161"/>
      <c r="AF349" s="161"/>
      <c r="AG349" s="161"/>
      <c r="AH349" s="161"/>
      <c r="AI349" s="161"/>
      <c r="AJ349" s="161"/>
      <c r="AK349" s="161"/>
      <c r="AL349" s="161"/>
      <c r="AM349" s="161"/>
      <c r="AN349" s="161"/>
      <c r="AO349" s="161"/>
      <c r="AP349" s="161"/>
      <c r="AQ349" s="161"/>
      <c r="AR349" s="161"/>
      <c r="AS349" s="161"/>
      <c r="AT349" s="161"/>
      <c r="AU349" s="161"/>
      <c r="AV349" s="161"/>
      <c r="AW349" s="161"/>
      <c r="AX349" s="161"/>
      <c r="AY349" s="161"/>
      <c r="AZ349" s="161"/>
      <c r="BA349" s="161"/>
      <c r="BB349" s="161"/>
      <c r="BC349" s="161"/>
      <c r="BD349" s="161"/>
    </row>
    <row r="350" spans="1:56" x14ac:dyDescent="0.2">
      <c r="A350" s="161"/>
      <c r="B350" s="161"/>
      <c r="C350" s="161"/>
      <c r="D350" s="161"/>
      <c r="E350" s="162"/>
      <c r="F350" s="161"/>
      <c r="G350" s="161"/>
      <c r="H350" s="161"/>
      <c r="I350" s="161"/>
      <c r="J350" s="161"/>
      <c r="K350" s="161"/>
      <c r="L350" s="161"/>
      <c r="M350" s="161"/>
      <c r="N350" s="161"/>
      <c r="O350" s="161"/>
      <c r="P350" s="161"/>
      <c r="Q350" s="160"/>
      <c r="R350" s="161"/>
      <c r="S350" s="161"/>
      <c r="T350" s="161"/>
      <c r="U350" s="161"/>
      <c r="V350" s="161"/>
      <c r="W350" s="161"/>
      <c r="X350" s="161"/>
      <c r="Y350" s="161"/>
      <c r="Z350" s="161"/>
      <c r="AA350" s="161"/>
      <c r="AB350" s="161"/>
      <c r="AC350" s="161"/>
      <c r="AD350" s="161"/>
      <c r="AE350" s="161"/>
      <c r="AF350" s="161"/>
      <c r="AG350" s="161"/>
      <c r="AH350" s="161"/>
      <c r="AI350" s="161"/>
      <c r="AJ350" s="161"/>
      <c r="AK350" s="161"/>
      <c r="AL350" s="161"/>
      <c r="AM350" s="161"/>
      <c r="AN350" s="161"/>
      <c r="AO350" s="161"/>
      <c r="AP350" s="161"/>
      <c r="AQ350" s="161"/>
      <c r="AR350" s="161"/>
      <c r="AS350" s="161"/>
      <c r="AT350" s="161"/>
      <c r="AU350" s="161"/>
      <c r="AV350" s="161"/>
      <c r="AW350" s="161"/>
      <c r="AX350" s="161"/>
      <c r="AY350" s="161"/>
      <c r="AZ350" s="161"/>
      <c r="BA350" s="161"/>
      <c r="BB350" s="161"/>
      <c r="BC350" s="161"/>
      <c r="BD350" s="161"/>
    </row>
    <row r="351" spans="1:56" x14ac:dyDescent="0.2">
      <c r="A351" s="161"/>
      <c r="B351" s="161"/>
      <c r="C351" s="161"/>
      <c r="D351" s="161"/>
      <c r="E351" s="162"/>
      <c r="F351" s="161"/>
      <c r="G351" s="161"/>
      <c r="H351" s="161"/>
      <c r="I351" s="161"/>
      <c r="J351" s="161"/>
      <c r="K351" s="161"/>
      <c r="L351" s="161"/>
      <c r="M351" s="161"/>
      <c r="N351" s="161"/>
      <c r="O351" s="161"/>
      <c r="P351" s="161"/>
      <c r="Q351" s="160"/>
      <c r="R351" s="161"/>
      <c r="S351" s="161"/>
      <c r="T351" s="161"/>
      <c r="U351" s="161"/>
      <c r="V351" s="161"/>
      <c r="W351" s="161"/>
      <c r="X351" s="161"/>
      <c r="Y351" s="161"/>
      <c r="Z351" s="161"/>
      <c r="AA351" s="161"/>
      <c r="AB351" s="161"/>
      <c r="AC351" s="161"/>
      <c r="AD351" s="161"/>
      <c r="AE351" s="161"/>
      <c r="AF351" s="161"/>
      <c r="AG351" s="161"/>
      <c r="AH351" s="161"/>
      <c r="AI351" s="161"/>
      <c r="AJ351" s="161"/>
      <c r="AK351" s="161"/>
      <c r="AL351" s="161"/>
      <c r="AM351" s="161"/>
      <c r="AN351" s="161"/>
      <c r="AO351" s="161"/>
      <c r="AP351" s="161"/>
      <c r="AQ351" s="161"/>
      <c r="AR351" s="161"/>
      <c r="AS351" s="161"/>
      <c r="AT351" s="161"/>
      <c r="AU351" s="161"/>
      <c r="AV351" s="161"/>
      <c r="AW351" s="161"/>
      <c r="AX351" s="161"/>
      <c r="AY351" s="161"/>
      <c r="AZ351" s="161"/>
      <c r="BA351" s="161"/>
      <c r="BB351" s="161"/>
      <c r="BC351" s="161"/>
      <c r="BD351" s="161"/>
    </row>
    <row r="352" spans="1:56" x14ac:dyDescent="0.2">
      <c r="A352" s="161"/>
      <c r="B352" s="161"/>
      <c r="C352" s="161"/>
      <c r="D352" s="161"/>
      <c r="E352" s="162"/>
      <c r="F352" s="161"/>
      <c r="G352" s="161"/>
      <c r="H352" s="161"/>
      <c r="I352" s="161"/>
      <c r="J352" s="161"/>
      <c r="K352" s="161"/>
      <c r="L352" s="161"/>
      <c r="M352" s="161"/>
      <c r="N352" s="161"/>
      <c r="O352" s="161"/>
      <c r="P352" s="161"/>
      <c r="Q352" s="160"/>
      <c r="R352" s="161"/>
      <c r="S352" s="161"/>
      <c r="T352" s="161"/>
      <c r="U352" s="161"/>
      <c r="V352" s="161"/>
      <c r="W352" s="161"/>
      <c r="X352" s="161"/>
      <c r="Y352" s="161"/>
      <c r="Z352" s="161"/>
      <c r="AA352" s="161"/>
      <c r="AB352" s="161"/>
      <c r="AC352" s="161"/>
      <c r="AD352" s="161"/>
      <c r="AE352" s="161"/>
      <c r="AF352" s="161"/>
      <c r="AG352" s="161"/>
      <c r="AH352" s="161"/>
      <c r="AI352" s="161"/>
      <c r="AJ352" s="161"/>
      <c r="AK352" s="161"/>
      <c r="AL352" s="161"/>
      <c r="AM352" s="161"/>
      <c r="AN352" s="161"/>
      <c r="AO352" s="161"/>
      <c r="AP352" s="161"/>
      <c r="AQ352" s="161"/>
      <c r="AR352" s="161"/>
      <c r="AS352" s="161"/>
      <c r="AT352" s="161"/>
      <c r="AU352" s="161"/>
      <c r="AV352" s="161"/>
      <c r="AW352" s="161"/>
      <c r="AX352" s="161"/>
      <c r="AY352" s="161"/>
      <c r="AZ352" s="161"/>
      <c r="BA352" s="161"/>
      <c r="BB352" s="161"/>
      <c r="BC352" s="161"/>
      <c r="BD352" s="161"/>
    </row>
    <row r="353" spans="1:56" x14ac:dyDescent="0.2">
      <c r="A353" s="161"/>
      <c r="B353" s="161"/>
      <c r="C353" s="161"/>
      <c r="D353" s="161"/>
      <c r="E353" s="162"/>
      <c r="F353" s="161"/>
      <c r="G353" s="161"/>
      <c r="H353" s="161"/>
      <c r="I353" s="161"/>
      <c r="J353" s="161"/>
      <c r="K353" s="161"/>
      <c r="L353" s="161"/>
      <c r="M353" s="161"/>
      <c r="N353" s="161"/>
      <c r="O353" s="161"/>
      <c r="P353" s="161"/>
      <c r="Q353" s="160"/>
      <c r="R353" s="161"/>
      <c r="S353" s="161"/>
      <c r="T353" s="161"/>
      <c r="U353" s="161"/>
      <c r="V353" s="161"/>
      <c r="W353" s="161"/>
      <c r="X353" s="161"/>
      <c r="Y353" s="161"/>
      <c r="Z353" s="161"/>
      <c r="AA353" s="161"/>
      <c r="AB353" s="161"/>
      <c r="AC353" s="161"/>
      <c r="AD353" s="161"/>
      <c r="AE353" s="161"/>
      <c r="AF353" s="161"/>
      <c r="AG353" s="161"/>
      <c r="AH353" s="161"/>
      <c r="AI353" s="161"/>
      <c r="AJ353" s="161"/>
      <c r="AK353" s="161"/>
      <c r="AL353" s="161"/>
      <c r="AM353" s="161"/>
      <c r="AN353" s="161"/>
      <c r="AO353" s="161"/>
      <c r="AP353" s="161"/>
      <c r="AQ353" s="161"/>
      <c r="AR353" s="161"/>
      <c r="AS353" s="161"/>
      <c r="AT353" s="161"/>
      <c r="AU353" s="161"/>
      <c r="AV353" s="161"/>
      <c r="AW353" s="161"/>
      <c r="AX353" s="161"/>
      <c r="AY353" s="161"/>
      <c r="AZ353" s="161"/>
      <c r="BA353" s="161"/>
      <c r="BB353" s="161"/>
      <c r="BC353" s="161"/>
      <c r="BD353" s="161"/>
    </row>
    <row r="354" spans="1:56" x14ac:dyDescent="0.2">
      <c r="A354" s="161"/>
      <c r="B354" s="161"/>
      <c r="C354" s="161"/>
      <c r="D354" s="161"/>
      <c r="E354" s="162"/>
      <c r="F354" s="161"/>
      <c r="G354" s="161"/>
      <c r="H354" s="161"/>
      <c r="I354" s="161"/>
      <c r="J354" s="161"/>
      <c r="K354" s="161"/>
      <c r="L354" s="161"/>
      <c r="M354" s="161"/>
      <c r="N354" s="161"/>
      <c r="O354" s="161"/>
      <c r="P354" s="161"/>
      <c r="Q354" s="160"/>
      <c r="R354" s="161"/>
      <c r="S354" s="161"/>
      <c r="T354" s="161"/>
      <c r="U354" s="161"/>
      <c r="V354" s="161"/>
      <c r="W354" s="161"/>
      <c r="X354" s="161"/>
      <c r="Y354" s="161"/>
      <c r="Z354" s="161"/>
      <c r="AA354" s="161"/>
      <c r="AB354" s="161"/>
      <c r="AC354" s="161"/>
      <c r="AD354" s="161"/>
      <c r="AE354" s="161"/>
      <c r="AF354" s="161"/>
      <c r="AG354" s="161"/>
      <c r="AH354" s="161"/>
      <c r="AI354" s="161"/>
      <c r="AJ354" s="161"/>
      <c r="AK354" s="161"/>
      <c r="AL354" s="161"/>
      <c r="AM354" s="161"/>
      <c r="AN354" s="161"/>
      <c r="AO354" s="161"/>
      <c r="AP354" s="161"/>
      <c r="AQ354" s="161"/>
      <c r="AR354" s="161"/>
      <c r="AS354" s="161"/>
      <c r="AT354" s="161"/>
      <c r="AU354" s="161"/>
      <c r="AV354" s="161"/>
      <c r="AW354" s="161"/>
      <c r="AX354" s="161"/>
      <c r="AY354" s="161"/>
      <c r="AZ354" s="161"/>
      <c r="BA354" s="161"/>
      <c r="BB354" s="161"/>
      <c r="BC354" s="161"/>
      <c r="BD354" s="161"/>
    </row>
    <row r="355" spans="1:56" x14ac:dyDescent="0.2">
      <c r="A355" s="161"/>
      <c r="B355" s="161"/>
      <c r="C355" s="161"/>
      <c r="D355" s="161"/>
      <c r="E355" s="162"/>
      <c r="F355" s="161"/>
      <c r="G355" s="161"/>
      <c r="H355" s="161"/>
      <c r="I355" s="161"/>
      <c r="J355" s="161"/>
      <c r="K355" s="161"/>
      <c r="L355" s="161"/>
      <c r="M355" s="161"/>
      <c r="N355" s="161"/>
      <c r="O355" s="161"/>
      <c r="P355" s="161"/>
      <c r="Q355" s="160"/>
      <c r="R355" s="161"/>
      <c r="S355" s="161"/>
      <c r="T355" s="161"/>
      <c r="U355" s="161"/>
      <c r="V355" s="161"/>
      <c r="W355" s="161"/>
      <c r="X355" s="161"/>
      <c r="Y355" s="161"/>
      <c r="Z355" s="161"/>
      <c r="AA355" s="161"/>
      <c r="AB355" s="161"/>
      <c r="AC355" s="161"/>
      <c r="AD355" s="161"/>
      <c r="AE355" s="161"/>
      <c r="AF355" s="161"/>
      <c r="AG355" s="161"/>
      <c r="AH355" s="161"/>
      <c r="AI355" s="161"/>
      <c r="AJ355" s="161"/>
      <c r="AK355" s="161"/>
      <c r="AL355" s="161"/>
      <c r="AM355" s="161"/>
      <c r="AN355" s="161"/>
      <c r="AO355" s="161"/>
      <c r="AP355" s="161"/>
      <c r="AQ355" s="161"/>
      <c r="AR355" s="161"/>
      <c r="AS355" s="161"/>
      <c r="AT355" s="161"/>
      <c r="AU355" s="161"/>
      <c r="AV355" s="161"/>
      <c r="AW355" s="161"/>
      <c r="AX355" s="161"/>
      <c r="AY355" s="161"/>
      <c r="AZ355" s="161"/>
      <c r="BA355" s="161"/>
      <c r="BB355" s="161"/>
      <c r="BC355" s="161"/>
      <c r="BD355" s="161"/>
    </row>
    <row r="356" spans="1:56" x14ac:dyDescent="0.2">
      <c r="A356" s="161"/>
      <c r="B356" s="161"/>
      <c r="C356" s="161"/>
      <c r="D356" s="161"/>
      <c r="E356" s="162"/>
      <c r="F356" s="161"/>
      <c r="G356" s="161"/>
      <c r="H356" s="161"/>
      <c r="I356" s="161"/>
      <c r="J356" s="161"/>
      <c r="K356" s="161"/>
      <c r="L356" s="161"/>
      <c r="M356" s="161"/>
      <c r="N356" s="161"/>
      <c r="O356" s="161"/>
      <c r="P356" s="161"/>
      <c r="Q356" s="160"/>
      <c r="R356" s="161"/>
      <c r="S356" s="161"/>
      <c r="T356" s="161"/>
      <c r="U356" s="161"/>
      <c r="V356" s="161"/>
      <c r="W356" s="161"/>
      <c r="X356" s="161"/>
      <c r="Y356" s="161"/>
      <c r="Z356" s="161"/>
      <c r="AA356" s="161"/>
      <c r="AB356" s="161"/>
      <c r="AC356" s="161"/>
      <c r="AD356" s="161"/>
      <c r="AE356" s="161"/>
      <c r="AF356" s="161"/>
      <c r="AG356" s="161"/>
      <c r="AH356" s="161"/>
      <c r="AI356" s="161"/>
      <c r="AJ356" s="161"/>
      <c r="AK356" s="161"/>
      <c r="AL356" s="161"/>
      <c r="AM356" s="161"/>
      <c r="AN356" s="161"/>
      <c r="AO356" s="161"/>
      <c r="AP356" s="161"/>
      <c r="AQ356" s="161"/>
      <c r="AR356" s="161"/>
      <c r="AS356" s="161"/>
      <c r="AT356" s="161"/>
      <c r="AU356" s="161"/>
      <c r="AV356" s="161"/>
      <c r="AW356" s="161"/>
      <c r="AX356" s="161"/>
      <c r="AY356" s="161"/>
      <c r="AZ356" s="161"/>
      <c r="BA356" s="161"/>
      <c r="BB356" s="161"/>
      <c r="BC356" s="161"/>
      <c r="BD356" s="161"/>
    </row>
    <row r="357" spans="1:56" x14ac:dyDescent="0.2">
      <c r="A357" s="161"/>
      <c r="B357" s="161"/>
      <c r="C357" s="161"/>
      <c r="D357" s="161"/>
      <c r="E357" s="162"/>
      <c r="F357" s="161"/>
      <c r="G357" s="161"/>
      <c r="H357" s="161"/>
      <c r="I357" s="161"/>
      <c r="J357" s="161"/>
      <c r="K357" s="161"/>
      <c r="L357" s="161"/>
      <c r="M357" s="161"/>
      <c r="N357" s="161"/>
      <c r="O357" s="161"/>
      <c r="P357" s="161"/>
      <c r="Q357" s="160"/>
      <c r="R357" s="161"/>
      <c r="S357" s="161"/>
      <c r="T357" s="161"/>
      <c r="U357" s="161"/>
      <c r="V357" s="161"/>
      <c r="W357" s="161"/>
      <c r="X357" s="161"/>
      <c r="Y357" s="161"/>
      <c r="Z357" s="161"/>
      <c r="AA357" s="161"/>
      <c r="AB357" s="161"/>
      <c r="AC357" s="161"/>
      <c r="AD357" s="161"/>
      <c r="AE357" s="161"/>
      <c r="AF357" s="161"/>
      <c r="AG357" s="161"/>
      <c r="AH357" s="161"/>
      <c r="AI357" s="161"/>
      <c r="AJ357" s="161"/>
      <c r="AK357" s="161"/>
      <c r="AL357" s="161"/>
      <c r="AM357" s="161"/>
      <c r="AN357" s="161"/>
      <c r="AO357" s="161"/>
      <c r="AP357" s="161"/>
      <c r="AQ357" s="161"/>
      <c r="AR357" s="161"/>
      <c r="AS357" s="161"/>
      <c r="AT357" s="161"/>
      <c r="AU357" s="161"/>
      <c r="AV357" s="161"/>
      <c r="AW357" s="161"/>
      <c r="AX357" s="161"/>
      <c r="AY357" s="161"/>
      <c r="AZ357" s="161"/>
      <c r="BA357" s="161"/>
      <c r="BB357" s="161"/>
      <c r="BC357" s="161"/>
      <c r="BD357" s="161"/>
    </row>
    <row r="358" spans="1:56" x14ac:dyDescent="0.2">
      <c r="A358" s="161"/>
      <c r="B358" s="161"/>
      <c r="C358" s="161"/>
      <c r="D358" s="161"/>
      <c r="E358" s="162"/>
      <c r="F358" s="161"/>
      <c r="G358" s="161"/>
      <c r="H358" s="161"/>
      <c r="I358" s="161"/>
      <c r="J358" s="161"/>
      <c r="K358" s="161"/>
      <c r="L358" s="161"/>
      <c r="M358" s="161"/>
      <c r="N358" s="161"/>
      <c r="O358" s="161"/>
      <c r="P358" s="161"/>
      <c r="Q358" s="160"/>
      <c r="R358" s="161"/>
      <c r="S358" s="161"/>
      <c r="T358" s="161"/>
      <c r="U358" s="161"/>
      <c r="V358" s="161"/>
      <c r="W358" s="161"/>
      <c r="X358" s="161"/>
      <c r="Y358" s="161"/>
      <c r="Z358" s="161"/>
      <c r="AA358" s="161"/>
      <c r="AB358" s="161"/>
      <c r="AC358" s="161"/>
      <c r="AD358" s="161"/>
      <c r="AE358" s="161"/>
      <c r="AF358" s="161"/>
      <c r="AG358" s="161"/>
      <c r="AH358" s="161"/>
      <c r="AI358" s="161"/>
      <c r="AJ358" s="161"/>
      <c r="AK358" s="161"/>
      <c r="AL358" s="161"/>
      <c r="AM358" s="161"/>
      <c r="AN358" s="161"/>
      <c r="AO358" s="161"/>
      <c r="AP358" s="161"/>
      <c r="AQ358" s="161"/>
      <c r="AR358" s="161"/>
      <c r="AS358" s="161"/>
      <c r="AT358" s="161"/>
      <c r="AU358" s="161"/>
      <c r="AV358" s="161"/>
      <c r="AW358" s="161"/>
      <c r="AX358" s="161"/>
      <c r="AY358" s="161"/>
      <c r="AZ358" s="161"/>
      <c r="BA358" s="161"/>
      <c r="BB358" s="161"/>
      <c r="BC358" s="161"/>
      <c r="BD358" s="161"/>
    </row>
    <row r="359" spans="1:56" x14ac:dyDescent="0.2">
      <c r="A359" s="161"/>
      <c r="B359" s="161"/>
      <c r="C359" s="161"/>
      <c r="D359" s="161"/>
      <c r="E359" s="162"/>
      <c r="F359" s="161"/>
      <c r="G359" s="161"/>
      <c r="H359" s="161"/>
      <c r="I359" s="161"/>
      <c r="J359" s="161"/>
      <c r="K359" s="161"/>
      <c r="L359" s="161"/>
      <c r="M359" s="161"/>
      <c r="N359" s="161"/>
      <c r="O359" s="161"/>
      <c r="P359" s="161"/>
      <c r="Q359" s="160"/>
      <c r="R359" s="161"/>
      <c r="S359" s="161"/>
      <c r="T359" s="161"/>
      <c r="U359" s="161"/>
      <c r="V359" s="161"/>
      <c r="W359" s="161"/>
      <c r="X359" s="161"/>
      <c r="Y359" s="161"/>
      <c r="Z359" s="161"/>
      <c r="AA359" s="161"/>
      <c r="AB359" s="161"/>
      <c r="AC359" s="161"/>
      <c r="AD359" s="161"/>
      <c r="AE359" s="161"/>
      <c r="AF359" s="161"/>
      <c r="AG359" s="161"/>
      <c r="AH359" s="161"/>
      <c r="AI359" s="161"/>
      <c r="AJ359" s="161"/>
      <c r="AK359" s="161"/>
      <c r="AL359" s="161"/>
      <c r="AM359" s="161"/>
      <c r="AN359" s="161"/>
      <c r="AO359" s="161"/>
      <c r="AP359" s="161"/>
      <c r="AQ359" s="161"/>
      <c r="AR359" s="161"/>
      <c r="AS359" s="161"/>
      <c r="AT359" s="161"/>
      <c r="AU359" s="161"/>
      <c r="AV359" s="161"/>
      <c r="AW359" s="161"/>
      <c r="AX359" s="161"/>
      <c r="AY359" s="161"/>
      <c r="AZ359" s="161"/>
      <c r="BA359" s="161"/>
      <c r="BB359" s="161"/>
      <c r="BC359" s="161"/>
      <c r="BD359" s="161"/>
    </row>
    <row r="360" spans="1:56" x14ac:dyDescent="0.2">
      <c r="A360" s="161"/>
      <c r="B360" s="161"/>
      <c r="C360" s="161"/>
      <c r="D360" s="161"/>
      <c r="E360" s="162"/>
      <c r="F360" s="161"/>
      <c r="G360" s="161"/>
      <c r="H360" s="161"/>
      <c r="I360" s="161"/>
      <c r="J360" s="161"/>
      <c r="K360" s="161"/>
      <c r="L360" s="161"/>
      <c r="M360" s="161"/>
      <c r="N360" s="161"/>
      <c r="O360" s="161"/>
      <c r="P360" s="161"/>
      <c r="Q360" s="160"/>
      <c r="R360" s="161"/>
      <c r="S360" s="161"/>
      <c r="T360" s="161"/>
      <c r="U360" s="161"/>
      <c r="V360" s="161"/>
      <c r="W360" s="161"/>
      <c r="X360" s="161"/>
      <c r="Y360" s="161"/>
      <c r="Z360" s="161"/>
      <c r="AA360" s="161"/>
      <c r="AB360" s="161"/>
      <c r="AC360" s="161"/>
      <c r="AD360" s="161"/>
      <c r="AE360" s="161"/>
      <c r="AF360" s="161"/>
      <c r="AG360" s="161"/>
      <c r="AH360" s="161"/>
      <c r="AI360" s="161"/>
      <c r="AJ360" s="161"/>
      <c r="AK360" s="161"/>
      <c r="AL360" s="161"/>
      <c r="AM360" s="161"/>
      <c r="AN360" s="161"/>
      <c r="AO360" s="161"/>
      <c r="AP360" s="161"/>
      <c r="AQ360" s="161"/>
      <c r="AR360" s="161"/>
      <c r="AS360" s="161"/>
      <c r="AT360" s="161"/>
      <c r="AU360" s="161"/>
      <c r="AV360" s="161"/>
      <c r="AW360" s="161"/>
      <c r="AX360" s="161"/>
      <c r="AY360" s="161"/>
      <c r="AZ360" s="161"/>
      <c r="BA360" s="161"/>
      <c r="BB360" s="161"/>
      <c r="BC360" s="161"/>
      <c r="BD360" s="161"/>
    </row>
    <row r="361" spans="1:56" x14ac:dyDescent="0.2">
      <c r="A361" s="161"/>
      <c r="B361" s="161"/>
      <c r="C361" s="161"/>
      <c r="D361" s="161"/>
      <c r="E361" s="162"/>
      <c r="F361" s="161"/>
      <c r="G361" s="161"/>
      <c r="H361" s="161"/>
      <c r="I361" s="161"/>
      <c r="J361" s="161"/>
      <c r="K361" s="161"/>
      <c r="L361" s="161"/>
      <c r="M361" s="161"/>
      <c r="N361" s="161"/>
      <c r="O361" s="161"/>
      <c r="P361" s="161"/>
      <c r="Q361" s="160"/>
      <c r="R361" s="161"/>
      <c r="S361" s="161"/>
      <c r="T361" s="161"/>
      <c r="U361" s="161"/>
      <c r="V361" s="161"/>
      <c r="W361" s="161"/>
      <c r="X361" s="161"/>
      <c r="Y361" s="161"/>
      <c r="Z361" s="161"/>
      <c r="AA361" s="161"/>
      <c r="AB361" s="161"/>
      <c r="AC361" s="161"/>
      <c r="AD361" s="161"/>
      <c r="AE361" s="161"/>
      <c r="AF361" s="161"/>
      <c r="AG361" s="161"/>
      <c r="AH361" s="161"/>
      <c r="AI361" s="161"/>
      <c r="AJ361" s="161"/>
      <c r="AK361" s="161"/>
      <c r="AL361" s="161"/>
      <c r="AM361" s="161"/>
      <c r="AN361" s="161"/>
      <c r="AO361" s="161"/>
      <c r="AP361" s="161"/>
      <c r="AQ361" s="161"/>
      <c r="AR361" s="161"/>
      <c r="AS361" s="161"/>
      <c r="AT361" s="161"/>
      <c r="AU361" s="161"/>
      <c r="AV361" s="161"/>
      <c r="AW361" s="161"/>
      <c r="AX361" s="161"/>
      <c r="AY361" s="161"/>
      <c r="AZ361" s="161"/>
      <c r="BA361" s="161"/>
      <c r="BB361" s="161"/>
      <c r="BC361" s="161"/>
      <c r="BD361" s="161"/>
    </row>
    <row r="362" spans="1:56" x14ac:dyDescent="0.2">
      <c r="A362" s="161"/>
      <c r="B362" s="161"/>
      <c r="C362" s="161"/>
      <c r="D362" s="161"/>
      <c r="E362" s="162"/>
      <c r="F362" s="161"/>
      <c r="G362" s="161"/>
      <c r="H362" s="161"/>
      <c r="I362" s="161"/>
      <c r="J362" s="161"/>
      <c r="K362" s="161"/>
      <c r="L362" s="161"/>
      <c r="M362" s="161"/>
      <c r="N362" s="161"/>
      <c r="O362" s="161"/>
      <c r="P362" s="161"/>
      <c r="Q362" s="160"/>
      <c r="R362" s="161"/>
      <c r="S362" s="161"/>
      <c r="T362" s="161"/>
      <c r="U362" s="161"/>
      <c r="V362" s="161"/>
      <c r="W362" s="161"/>
      <c r="X362" s="161"/>
      <c r="Y362" s="161"/>
      <c r="Z362" s="161"/>
      <c r="AA362" s="161"/>
      <c r="AB362" s="161"/>
      <c r="AC362" s="161"/>
      <c r="AD362" s="161"/>
      <c r="AE362" s="161"/>
      <c r="AF362" s="161"/>
      <c r="AG362" s="161"/>
      <c r="AH362" s="161"/>
      <c r="AI362" s="161"/>
      <c r="AJ362" s="161"/>
      <c r="AK362" s="161"/>
      <c r="AL362" s="161"/>
      <c r="AM362" s="161"/>
      <c r="AN362" s="161"/>
      <c r="AO362" s="161"/>
      <c r="AP362" s="161"/>
      <c r="AQ362" s="161"/>
      <c r="AR362" s="161"/>
      <c r="AS362" s="161"/>
      <c r="AT362" s="161"/>
      <c r="AU362" s="161"/>
      <c r="AV362" s="161"/>
      <c r="AW362" s="161"/>
      <c r="AX362" s="161"/>
      <c r="AY362" s="161"/>
      <c r="AZ362" s="161"/>
      <c r="BA362" s="161"/>
      <c r="BB362" s="161"/>
      <c r="BC362" s="161"/>
      <c r="BD362" s="161"/>
    </row>
    <row r="363" spans="1:56" x14ac:dyDescent="0.2">
      <c r="A363" s="161"/>
      <c r="B363" s="161"/>
      <c r="C363" s="161"/>
      <c r="D363" s="161"/>
      <c r="E363" s="162"/>
      <c r="F363" s="161"/>
      <c r="G363" s="161"/>
      <c r="H363" s="161"/>
      <c r="I363" s="161"/>
      <c r="J363" s="161"/>
      <c r="K363" s="161"/>
      <c r="L363" s="161"/>
      <c r="M363" s="161"/>
      <c r="N363" s="161"/>
      <c r="O363" s="161"/>
      <c r="P363" s="161"/>
      <c r="Q363" s="160"/>
      <c r="R363" s="161"/>
      <c r="S363" s="161"/>
      <c r="T363" s="161"/>
      <c r="U363" s="161"/>
      <c r="V363" s="161"/>
      <c r="W363" s="161"/>
      <c r="X363" s="161"/>
      <c r="Y363" s="161"/>
      <c r="Z363" s="161"/>
      <c r="AA363" s="161"/>
      <c r="AB363" s="161"/>
      <c r="AC363" s="161"/>
      <c r="AD363" s="161"/>
      <c r="AE363" s="161"/>
      <c r="AF363" s="161"/>
      <c r="AG363" s="161"/>
      <c r="AH363" s="161"/>
      <c r="AI363" s="161"/>
      <c r="AJ363" s="161"/>
      <c r="AK363" s="161"/>
      <c r="AL363" s="161"/>
      <c r="AM363" s="161"/>
      <c r="AN363" s="161"/>
      <c r="AO363" s="161"/>
      <c r="AP363" s="161"/>
      <c r="AQ363" s="161"/>
      <c r="AR363" s="161"/>
      <c r="AS363" s="161"/>
      <c r="AT363" s="161"/>
      <c r="AU363" s="161"/>
      <c r="AV363" s="161"/>
      <c r="AW363" s="161"/>
      <c r="AX363" s="161"/>
      <c r="AY363" s="161"/>
      <c r="AZ363" s="161"/>
      <c r="BA363" s="161"/>
      <c r="BB363" s="161"/>
      <c r="BC363" s="161"/>
      <c r="BD363" s="161"/>
    </row>
    <row r="364" spans="1:56" x14ac:dyDescent="0.2">
      <c r="A364" s="161"/>
      <c r="B364" s="161"/>
      <c r="C364" s="161"/>
      <c r="D364" s="161"/>
      <c r="E364" s="162"/>
      <c r="F364" s="161"/>
      <c r="G364" s="161"/>
      <c r="H364" s="161"/>
      <c r="I364" s="161"/>
      <c r="J364" s="161"/>
      <c r="K364" s="161"/>
      <c r="L364" s="161"/>
      <c r="M364" s="161"/>
      <c r="N364" s="161"/>
      <c r="O364" s="161"/>
      <c r="P364" s="161"/>
      <c r="Q364" s="160"/>
      <c r="R364" s="161"/>
      <c r="S364" s="161"/>
      <c r="T364" s="161"/>
      <c r="U364" s="161"/>
      <c r="V364" s="161"/>
      <c r="W364" s="161"/>
      <c r="X364" s="161"/>
      <c r="Y364" s="161"/>
      <c r="Z364" s="161"/>
      <c r="AA364" s="161"/>
      <c r="AB364" s="161"/>
      <c r="AC364" s="161"/>
      <c r="AD364" s="161"/>
      <c r="AE364" s="161"/>
      <c r="AF364" s="161"/>
      <c r="AG364" s="161"/>
      <c r="AH364" s="161"/>
      <c r="AI364" s="161"/>
      <c r="AJ364" s="161"/>
      <c r="AK364" s="161"/>
      <c r="AL364" s="161"/>
      <c r="AM364" s="161"/>
      <c r="AN364" s="161"/>
      <c r="AO364" s="161"/>
      <c r="AP364" s="161"/>
      <c r="AQ364" s="161"/>
      <c r="AR364" s="161"/>
      <c r="AS364" s="161"/>
      <c r="AT364" s="161"/>
      <c r="AU364" s="161"/>
      <c r="AV364" s="161"/>
      <c r="AW364" s="161"/>
      <c r="AX364" s="161"/>
      <c r="AY364" s="161"/>
      <c r="AZ364" s="161"/>
      <c r="BA364" s="161"/>
      <c r="BB364" s="161"/>
      <c r="BC364" s="161"/>
      <c r="BD364" s="161"/>
    </row>
    <row r="365" spans="1:56" x14ac:dyDescent="0.2">
      <c r="A365" s="161"/>
      <c r="B365" s="161"/>
      <c r="C365" s="161"/>
      <c r="D365" s="161"/>
      <c r="E365" s="162"/>
      <c r="F365" s="161"/>
      <c r="G365" s="161"/>
      <c r="H365" s="161"/>
      <c r="I365" s="161"/>
      <c r="J365" s="161"/>
      <c r="K365" s="161"/>
      <c r="L365" s="161"/>
      <c r="M365" s="161"/>
      <c r="N365" s="161"/>
      <c r="O365" s="161"/>
      <c r="P365" s="161"/>
      <c r="Q365" s="160"/>
      <c r="R365" s="161"/>
      <c r="S365" s="161"/>
      <c r="T365" s="161"/>
      <c r="U365" s="161"/>
      <c r="V365" s="161"/>
      <c r="W365" s="161"/>
      <c r="X365" s="161"/>
      <c r="Y365" s="161"/>
      <c r="Z365" s="161"/>
      <c r="AA365" s="161"/>
      <c r="AB365" s="161"/>
      <c r="AC365" s="161"/>
      <c r="AD365" s="161"/>
      <c r="AE365" s="161"/>
      <c r="AF365" s="161"/>
      <c r="AG365" s="161"/>
      <c r="AH365" s="161"/>
      <c r="AI365" s="161"/>
      <c r="AJ365" s="161"/>
      <c r="AK365" s="161"/>
      <c r="AL365" s="161"/>
      <c r="AM365" s="161"/>
      <c r="AN365" s="161"/>
      <c r="AO365" s="161"/>
      <c r="AP365" s="161"/>
      <c r="AQ365" s="161"/>
      <c r="AR365" s="161"/>
      <c r="AS365" s="161"/>
      <c r="AT365" s="161"/>
      <c r="AU365" s="161"/>
      <c r="AV365" s="161"/>
      <c r="AW365" s="161"/>
      <c r="AX365" s="161"/>
      <c r="AY365" s="161"/>
      <c r="AZ365" s="161"/>
      <c r="BA365" s="161"/>
      <c r="BB365" s="161"/>
      <c r="BC365" s="161"/>
      <c r="BD365" s="161"/>
    </row>
    <row r="366" spans="1:56" x14ac:dyDescent="0.2">
      <c r="A366" s="161"/>
      <c r="B366" s="161"/>
      <c r="C366" s="161"/>
      <c r="D366" s="161"/>
      <c r="E366" s="162"/>
      <c r="F366" s="161"/>
      <c r="G366" s="161"/>
      <c r="H366" s="161"/>
      <c r="I366" s="161"/>
      <c r="J366" s="161"/>
      <c r="K366" s="161"/>
      <c r="L366" s="161"/>
      <c r="M366" s="161"/>
      <c r="N366" s="161"/>
      <c r="O366" s="161"/>
      <c r="P366" s="161"/>
      <c r="Q366" s="160"/>
      <c r="R366" s="161"/>
      <c r="S366" s="161"/>
      <c r="T366" s="161"/>
      <c r="U366" s="161"/>
      <c r="V366" s="161"/>
      <c r="W366" s="161"/>
      <c r="X366" s="161"/>
      <c r="Y366" s="161"/>
      <c r="Z366" s="161"/>
      <c r="AA366" s="161"/>
      <c r="AB366" s="161"/>
      <c r="AC366" s="161"/>
      <c r="AD366" s="161"/>
      <c r="AE366" s="161"/>
      <c r="AF366" s="161"/>
      <c r="AG366" s="161"/>
      <c r="AH366" s="161"/>
      <c r="AI366" s="161"/>
      <c r="AJ366" s="161"/>
      <c r="AK366" s="161"/>
      <c r="AL366" s="161"/>
      <c r="AM366" s="161"/>
      <c r="AN366" s="161"/>
      <c r="AO366" s="161"/>
      <c r="AP366" s="161"/>
      <c r="AQ366" s="161"/>
      <c r="AR366" s="161"/>
      <c r="AS366" s="161"/>
      <c r="AT366" s="161"/>
      <c r="AU366" s="161"/>
      <c r="AV366" s="161"/>
      <c r="AW366" s="161"/>
      <c r="AX366" s="161"/>
      <c r="AY366" s="161"/>
      <c r="AZ366" s="161"/>
      <c r="BA366" s="161"/>
      <c r="BB366" s="161"/>
      <c r="BC366" s="161"/>
      <c r="BD366" s="161"/>
    </row>
    <row r="367" spans="1:56" x14ac:dyDescent="0.2">
      <c r="A367" s="161"/>
      <c r="B367" s="161"/>
      <c r="C367" s="161"/>
      <c r="D367" s="161"/>
      <c r="E367" s="162"/>
      <c r="F367" s="161"/>
      <c r="G367" s="161"/>
      <c r="H367" s="161"/>
      <c r="I367" s="161"/>
      <c r="J367" s="161"/>
      <c r="K367" s="161"/>
      <c r="L367" s="161"/>
      <c r="M367" s="161"/>
      <c r="N367" s="161"/>
      <c r="O367" s="161"/>
      <c r="P367" s="161"/>
      <c r="Q367" s="160"/>
      <c r="R367" s="161"/>
      <c r="S367" s="161"/>
      <c r="T367" s="161"/>
      <c r="U367" s="161"/>
      <c r="V367" s="161"/>
      <c r="W367" s="161"/>
      <c r="X367" s="161"/>
      <c r="Y367" s="161"/>
      <c r="Z367" s="161"/>
      <c r="AA367" s="161"/>
      <c r="AB367" s="161"/>
      <c r="AC367" s="161"/>
      <c r="AD367" s="161"/>
      <c r="AE367" s="161"/>
      <c r="AF367" s="161"/>
      <c r="AG367" s="161"/>
      <c r="AH367" s="161"/>
      <c r="AI367" s="161"/>
      <c r="AJ367" s="161"/>
      <c r="AK367" s="161"/>
      <c r="AL367" s="161"/>
      <c r="AM367" s="161"/>
      <c r="AN367" s="161"/>
      <c r="AO367" s="161"/>
      <c r="AP367" s="161"/>
      <c r="AQ367" s="161"/>
      <c r="AR367" s="161"/>
      <c r="AS367" s="161"/>
      <c r="AT367" s="161"/>
      <c r="AU367" s="161"/>
      <c r="AV367" s="161"/>
      <c r="AW367" s="161"/>
      <c r="AX367" s="161"/>
      <c r="AY367" s="161"/>
      <c r="AZ367" s="161"/>
      <c r="BA367" s="161"/>
      <c r="BB367" s="161"/>
      <c r="BC367" s="161"/>
      <c r="BD367" s="161"/>
    </row>
    <row r="368" spans="1:56" x14ac:dyDescent="0.2">
      <c r="A368" s="161"/>
      <c r="B368" s="161"/>
      <c r="C368" s="161"/>
      <c r="D368" s="161"/>
      <c r="E368" s="162"/>
      <c r="F368" s="161"/>
      <c r="G368" s="161"/>
      <c r="H368" s="161"/>
      <c r="I368" s="161"/>
      <c r="J368" s="161"/>
      <c r="K368" s="161"/>
      <c r="L368" s="161"/>
      <c r="M368" s="161"/>
      <c r="N368" s="161"/>
      <c r="O368" s="161"/>
      <c r="P368" s="161"/>
      <c r="Q368" s="160"/>
      <c r="R368" s="161"/>
      <c r="S368" s="161"/>
      <c r="T368" s="161"/>
      <c r="U368" s="161"/>
      <c r="V368" s="161"/>
      <c r="W368" s="161"/>
      <c r="X368" s="161"/>
      <c r="Y368" s="161"/>
      <c r="Z368" s="161"/>
      <c r="AA368" s="161"/>
      <c r="AB368" s="161"/>
      <c r="AC368" s="161"/>
      <c r="AD368" s="161"/>
      <c r="AE368" s="161"/>
      <c r="AF368" s="161"/>
      <c r="AG368" s="161"/>
      <c r="AH368" s="161"/>
      <c r="AI368" s="161"/>
      <c r="AJ368" s="161"/>
      <c r="AK368" s="161"/>
      <c r="AL368" s="161"/>
      <c r="AM368" s="161"/>
      <c r="AN368" s="161"/>
      <c r="AO368" s="161"/>
      <c r="AP368" s="161"/>
      <c r="AQ368" s="161"/>
      <c r="AR368" s="161"/>
      <c r="AS368" s="161"/>
      <c r="AT368" s="161"/>
      <c r="AU368" s="161"/>
      <c r="AV368" s="161"/>
      <c r="AW368" s="161"/>
      <c r="AX368" s="161"/>
      <c r="AY368" s="161"/>
      <c r="AZ368" s="161"/>
      <c r="BA368" s="161"/>
      <c r="BB368" s="161"/>
      <c r="BC368" s="161"/>
      <c r="BD368" s="161"/>
    </row>
    <row r="369" spans="1:56" x14ac:dyDescent="0.2">
      <c r="A369" s="161"/>
      <c r="B369" s="161"/>
      <c r="C369" s="161"/>
      <c r="D369" s="161"/>
      <c r="E369" s="162"/>
      <c r="F369" s="161"/>
      <c r="G369" s="161"/>
      <c r="H369" s="161"/>
      <c r="I369" s="161"/>
      <c r="J369" s="161"/>
      <c r="K369" s="161"/>
      <c r="L369" s="161"/>
      <c r="M369" s="161"/>
      <c r="N369" s="161"/>
      <c r="O369" s="161"/>
      <c r="P369" s="161"/>
      <c r="Q369" s="160"/>
      <c r="R369" s="161"/>
      <c r="S369" s="161"/>
      <c r="T369" s="161"/>
      <c r="U369" s="161"/>
      <c r="V369" s="161"/>
      <c r="W369" s="161"/>
      <c r="X369" s="161"/>
      <c r="Y369" s="161"/>
      <c r="Z369" s="161"/>
      <c r="AA369" s="161"/>
      <c r="AB369" s="161"/>
      <c r="AC369" s="161"/>
      <c r="AD369" s="161"/>
      <c r="AE369" s="161"/>
      <c r="AF369" s="161"/>
      <c r="AG369" s="161"/>
      <c r="AH369" s="161"/>
      <c r="AI369" s="161"/>
      <c r="AJ369" s="161"/>
      <c r="AK369" s="161"/>
      <c r="AL369" s="161"/>
      <c r="AM369" s="161"/>
      <c r="AN369" s="161"/>
      <c r="AO369" s="161"/>
      <c r="AP369" s="161"/>
      <c r="AQ369" s="161"/>
      <c r="AR369" s="161"/>
      <c r="AS369" s="161"/>
      <c r="AT369" s="161"/>
      <c r="AU369" s="161"/>
      <c r="AV369" s="161"/>
      <c r="AW369" s="161"/>
      <c r="AX369" s="161"/>
      <c r="AY369" s="161"/>
      <c r="AZ369" s="161"/>
      <c r="BA369" s="161"/>
      <c r="BB369" s="161"/>
      <c r="BC369" s="161"/>
      <c r="BD369" s="161"/>
    </row>
    <row r="370" spans="1:56" x14ac:dyDescent="0.2">
      <c r="A370" s="161"/>
      <c r="B370" s="161"/>
      <c r="C370" s="161"/>
      <c r="D370" s="161"/>
      <c r="E370" s="162"/>
      <c r="F370" s="161"/>
      <c r="G370" s="161"/>
      <c r="H370" s="161"/>
      <c r="I370" s="161"/>
      <c r="J370" s="161"/>
      <c r="K370" s="161"/>
      <c r="L370" s="161"/>
      <c r="M370" s="161"/>
      <c r="N370" s="161"/>
      <c r="O370" s="161"/>
      <c r="P370" s="161"/>
      <c r="Q370" s="160"/>
      <c r="R370" s="161"/>
      <c r="S370" s="161"/>
      <c r="T370" s="161"/>
      <c r="U370" s="161"/>
      <c r="V370" s="161"/>
      <c r="W370" s="161"/>
      <c r="X370" s="161"/>
      <c r="Y370" s="161"/>
      <c r="Z370" s="161"/>
      <c r="AA370" s="161"/>
      <c r="AB370" s="161"/>
      <c r="AC370" s="161"/>
      <c r="AD370" s="161"/>
      <c r="AE370" s="161"/>
      <c r="AF370" s="161"/>
      <c r="AG370" s="161"/>
      <c r="AH370" s="161"/>
      <c r="AI370" s="161"/>
      <c r="AJ370" s="161"/>
      <c r="AK370" s="161"/>
      <c r="AL370" s="161"/>
      <c r="AM370" s="161"/>
      <c r="AN370" s="161"/>
      <c r="AO370" s="161"/>
      <c r="AP370" s="161"/>
      <c r="AQ370" s="161"/>
      <c r="AR370" s="161"/>
      <c r="AS370" s="161"/>
      <c r="AT370" s="161"/>
      <c r="AU370" s="161"/>
      <c r="AV370" s="161"/>
      <c r="AW370" s="161"/>
      <c r="AX370" s="161"/>
      <c r="AY370" s="161"/>
      <c r="AZ370" s="161"/>
      <c r="BA370" s="161"/>
      <c r="BB370" s="161"/>
      <c r="BC370" s="161"/>
      <c r="BD370" s="161"/>
    </row>
    <row r="371" spans="1:56" x14ac:dyDescent="0.2">
      <c r="A371" s="161"/>
      <c r="B371" s="161"/>
      <c r="C371" s="161"/>
      <c r="D371" s="161"/>
      <c r="E371" s="162"/>
      <c r="F371" s="161"/>
      <c r="G371" s="161"/>
      <c r="H371" s="161"/>
      <c r="I371" s="161"/>
      <c r="J371" s="161"/>
      <c r="K371" s="161"/>
      <c r="L371" s="161"/>
      <c r="M371" s="161"/>
      <c r="N371" s="161"/>
      <c r="O371" s="161"/>
      <c r="P371" s="161"/>
      <c r="Q371" s="160"/>
      <c r="R371" s="161"/>
      <c r="S371" s="161"/>
      <c r="T371" s="161"/>
      <c r="U371" s="161"/>
      <c r="V371" s="161"/>
      <c r="W371" s="161"/>
      <c r="X371" s="161"/>
      <c r="Y371" s="161"/>
      <c r="Z371" s="161"/>
      <c r="AA371" s="161"/>
      <c r="AB371" s="161"/>
      <c r="AC371" s="161"/>
      <c r="AD371" s="161"/>
      <c r="AE371" s="161"/>
      <c r="AF371" s="161"/>
      <c r="AG371" s="161"/>
      <c r="AH371" s="161"/>
      <c r="AI371" s="161"/>
      <c r="AJ371" s="161"/>
      <c r="AK371" s="161"/>
      <c r="AL371" s="161"/>
      <c r="AM371" s="161"/>
      <c r="AN371" s="161"/>
      <c r="AO371" s="161"/>
      <c r="AP371" s="161"/>
      <c r="AQ371" s="161"/>
      <c r="AR371" s="161"/>
      <c r="AS371" s="161"/>
      <c r="AT371" s="161"/>
      <c r="AU371" s="161"/>
      <c r="AV371" s="161"/>
      <c r="AW371" s="161"/>
      <c r="AX371" s="161"/>
      <c r="AY371" s="161"/>
      <c r="AZ371" s="161"/>
      <c r="BA371" s="161"/>
      <c r="BB371" s="161"/>
      <c r="BC371" s="161"/>
      <c r="BD371" s="161"/>
    </row>
    <row r="372" spans="1:56" x14ac:dyDescent="0.2">
      <c r="A372" s="161"/>
      <c r="B372" s="161"/>
      <c r="C372" s="161"/>
      <c r="D372" s="161"/>
      <c r="E372" s="162"/>
      <c r="F372" s="161"/>
      <c r="G372" s="161"/>
      <c r="H372" s="161"/>
      <c r="I372" s="161"/>
      <c r="J372" s="161"/>
      <c r="K372" s="161"/>
      <c r="L372" s="161"/>
      <c r="M372" s="161"/>
      <c r="N372" s="161"/>
      <c r="O372" s="161"/>
      <c r="P372" s="161"/>
      <c r="Q372" s="160"/>
      <c r="R372" s="161"/>
      <c r="S372" s="161"/>
      <c r="T372" s="161"/>
      <c r="U372" s="161"/>
      <c r="V372" s="161"/>
      <c r="W372" s="161"/>
      <c r="X372" s="161"/>
      <c r="Y372" s="161"/>
      <c r="Z372" s="161"/>
      <c r="AA372" s="161"/>
      <c r="AB372" s="161"/>
      <c r="AC372" s="161"/>
      <c r="AD372" s="161"/>
      <c r="AE372" s="161"/>
      <c r="AF372" s="161"/>
      <c r="AG372" s="161"/>
      <c r="AH372" s="161"/>
      <c r="AI372" s="161"/>
      <c r="AJ372" s="161"/>
      <c r="AK372" s="161"/>
      <c r="AL372" s="161"/>
      <c r="AM372" s="161"/>
      <c r="AN372" s="161"/>
      <c r="AO372" s="161"/>
      <c r="AP372" s="161"/>
      <c r="AQ372" s="161"/>
      <c r="AR372" s="161"/>
      <c r="AS372" s="161"/>
      <c r="AT372" s="161"/>
      <c r="AU372" s="161"/>
      <c r="AV372" s="161"/>
      <c r="AW372" s="161"/>
      <c r="AX372" s="161"/>
      <c r="AY372" s="161"/>
      <c r="AZ372" s="161"/>
      <c r="BA372" s="161"/>
      <c r="BB372" s="161"/>
      <c r="BC372" s="161"/>
      <c r="BD372" s="161"/>
    </row>
    <row r="373" spans="1:56" x14ac:dyDescent="0.2">
      <c r="A373" s="161"/>
      <c r="B373" s="161"/>
      <c r="C373" s="161"/>
      <c r="D373" s="161"/>
      <c r="E373" s="162"/>
      <c r="F373" s="161"/>
      <c r="G373" s="161"/>
      <c r="H373" s="161"/>
      <c r="I373" s="161"/>
      <c r="J373" s="161"/>
      <c r="K373" s="161"/>
      <c r="L373" s="161"/>
      <c r="M373" s="161"/>
      <c r="N373" s="161"/>
      <c r="O373" s="161"/>
      <c r="P373" s="161"/>
      <c r="Q373" s="160"/>
      <c r="R373" s="161"/>
      <c r="S373" s="161"/>
      <c r="T373" s="161"/>
      <c r="U373" s="161"/>
      <c r="V373" s="161"/>
      <c r="W373" s="161"/>
      <c r="X373" s="161"/>
      <c r="Y373" s="161"/>
      <c r="Z373" s="161"/>
      <c r="AA373" s="161"/>
      <c r="AB373" s="161"/>
      <c r="AC373" s="161"/>
      <c r="AD373" s="161"/>
      <c r="AE373" s="161"/>
      <c r="AF373" s="161"/>
      <c r="AG373" s="161"/>
      <c r="AH373" s="161"/>
      <c r="AI373" s="161"/>
      <c r="AJ373" s="161"/>
      <c r="AK373" s="161"/>
      <c r="AL373" s="161"/>
      <c r="AM373" s="161"/>
      <c r="AN373" s="161"/>
      <c r="AO373" s="161"/>
      <c r="AP373" s="161"/>
      <c r="AQ373" s="161"/>
      <c r="AR373" s="161"/>
      <c r="AS373" s="161"/>
      <c r="AT373" s="161"/>
      <c r="AU373" s="161"/>
      <c r="AV373" s="161"/>
      <c r="AW373" s="161"/>
      <c r="AX373" s="161"/>
      <c r="AY373" s="161"/>
      <c r="AZ373" s="161"/>
      <c r="BA373" s="161"/>
      <c r="BB373" s="161"/>
      <c r="BC373" s="161"/>
      <c r="BD373" s="161"/>
    </row>
    <row r="374" spans="1:56" x14ac:dyDescent="0.2">
      <c r="A374" s="161"/>
      <c r="B374" s="161"/>
      <c r="C374" s="161"/>
      <c r="D374" s="161"/>
      <c r="E374" s="162"/>
      <c r="F374" s="161"/>
      <c r="G374" s="161"/>
      <c r="H374" s="161"/>
      <c r="I374" s="161"/>
      <c r="J374" s="161"/>
      <c r="K374" s="161"/>
      <c r="L374" s="161"/>
      <c r="M374" s="161"/>
      <c r="N374" s="161"/>
      <c r="O374" s="161"/>
      <c r="P374" s="161"/>
      <c r="Q374" s="160"/>
      <c r="R374" s="161"/>
      <c r="S374" s="161"/>
      <c r="T374" s="161"/>
      <c r="U374" s="161"/>
      <c r="V374" s="161"/>
      <c r="W374" s="161"/>
      <c r="X374" s="161"/>
      <c r="Y374" s="161"/>
      <c r="Z374" s="161"/>
      <c r="AA374" s="161"/>
      <c r="AB374" s="161"/>
      <c r="AC374" s="161"/>
      <c r="AD374" s="161"/>
      <c r="AE374" s="161"/>
      <c r="AF374" s="161"/>
      <c r="AG374" s="161"/>
      <c r="AH374" s="161"/>
      <c r="AI374" s="161"/>
      <c r="AJ374" s="161"/>
      <c r="AK374" s="161"/>
      <c r="AL374" s="161"/>
      <c r="AM374" s="161"/>
      <c r="AN374" s="161"/>
      <c r="AO374" s="161"/>
      <c r="AP374" s="161"/>
      <c r="AQ374" s="161"/>
      <c r="AR374" s="161"/>
      <c r="AS374" s="161"/>
      <c r="AT374" s="161"/>
      <c r="AU374" s="161"/>
      <c r="AV374" s="161"/>
      <c r="AW374" s="161"/>
      <c r="AX374" s="161"/>
      <c r="AY374" s="161"/>
      <c r="AZ374" s="161"/>
      <c r="BA374" s="161"/>
      <c r="BB374" s="161"/>
      <c r="BC374" s="161"/>
      <c r="BD374" s="161"/>
    </row>
    <row r="375" spans="1:56" x14ac:dyDescent="0.2">
      <c r="A375" s="161"/>
      <c r="B375" s="161"/>
      <c r="C375" s="161"/>
      <c r="D375" s="161"/>
      <c r="E375" s="162"/>
      <c r="F375" s="161"/>
      <c r="G375" s="161"/>
      <c r="H375" s="161"/>
      <c r="I375" s="161"/>
      <c r="J375" s="161"/>
      <c r="K375" s="161"/>
      <c r="L375" s="161"/>
      <c r="M375" s="161"/>
      <c r="N375" s="161"/>
      <c r="O375" s="161"/>
      <c r="P375" s="161"/>
      <c r="Q375" s="160"/>
      <c r="R375" s="161"/>
      <c r="S375" s="161"/>
      <c r="T375" s="161"/>
      <c r="U375" s="161"/>
      <c r="V375" s="161"/>
      <c r="W375" s="161"/>
      <c r="X375" s="161"/>
      <c r="Y375" s="161"/>
      <c r="Z375" s="161"/>
      <c r="AA375" s="161"/>
      <c r="AB375" s="161"/>
      <c r="AC375" s="161"/>
      <c r="AD375" s="161"/>
      <c r="AE375" s="161"/>
      <c r="AF375" s="161"/>
      <c r="AG375" s="161"/>
      <c r="AH375" s="161"/>
      <c r="AI375" s="161"/>
      <c r="AJ375" s="161"/>
      <c r="AK375" s="161"/>
      <c r="AL375" s="161"/>
      <c r="AM375" s="161"/>
      <c r="AN375" s="161"/>
      <c r="AO375" s="161"/>
      <c r="AP375" s="161"/>
      <c r="AQ375" s="161"/>
      <c r="AR375" s="161"/>
      <c r="AS375" s="161"/>
      <c r="AT375" s="161"/>
      <c r="AU375" s="161"/>
      <c r="AV375" s="161"/>
      <c r="AW375" s="161"/>
      <c r="AX375" s="161"/>
      <c r="AY375" s="161"/>
      <c r="AZ375" s="161"/>
      <c r="BA375" s="161"/>
      <c r="BB375" s="161"/>
      <c r="BC375" s="161"/>
      <c r="BD375" s="161"/>
    </row>
    <row r="376" spans="1:56" x14ac:dyDescent="0.2">
      <c r="A376" s="161"/>
      <c r="B376" s="161"/>
      <c r="C376" s="161"/>
      <c r="D376" s="161"/>
      <c r="E376" s="162"/>
      <c r="F376" s="161"/>
      <c r="G376" s="161"/>
      <c r="H376" s="161"/>
      <c r="I376" s="161"/>
      <c r="J376" s="161"/>
      <c r="K376" s="161"/>
      <c r="L376" s="161"/>
      <c r="M376" s="161"/>
      <c r="N376" s="161"/>
      <c r="O376" s="161"/>
      <c r="P376" s="161"/>
      <c r="Q376" s="160"/>
      <c r="R376" s="161"/>
      <c r="S376" s="161"/>
      <c r="T376" s="161"/>
      <c r="U376" s="161"/>
      <c r="V376" s="161"/>
      <c r="W376" s="161"/>
      <c r="X376" s="161"/>
      <c r="Y376" s="161"/>
      <c r="Z376" s="161"/>
      <c r="AA376" s="161"/>
      <c r="AB376" s="161"/>
      <c r="AC376" s="161"/>
      <c r="AD376" s="161"/>
      <c r="AE376" s="161"/>
      <c r="AF376" s="161"/>
      <c r="AG376" s="161"/>
      <c r="AH376" s="161"/>
      <c r="AI376" s="161"/>
      <c r="AJ376" s="161"/>
      <c r="AK376" s="161"/>
      <c r="AL376" s="161"/>
      <c r="AM376" s="161"/>
      <c r="AN376" s="161"/>
      <c r="AO376" s="161"/>
      <c r="AP376" s="161"/>
      <c r="AQ376" s="161"/>
      <c r="AR376" s="161"/>
      <c r="AS376" s="161"/>
      <c r="AT376" s="161"/>
      <c r="AU376" s="161"/>
      <c r="AV376" s="161"/>
      <c r="AW376" s="161"/>
      <c r="AX376" s="161"/>
      <c r="AY376" s="161"/>
      <c r="AZ376" s="161"/>
      <c r="BA376" s="161"/>
      <c r="BB376" s="161"/>
      <c r="BC376" s="161"/>
      <c r="BD376" s="161"/>
    </row>
    <row r="377" spans="1:56" x14ac:dyDescent="0.2">
      <c r="A377" s="161"/>
      <c r="B377" s="161"/>
      <c r="C377" s="161"/>
      <c r="D377" s="161"/>
      <c r="E377" s="162"/>
      <c r="F377" s="161"/>
      <c r="G377" s="161"/>
      <c r="H377" s="161"/>
      <c r="I377" s="161"/>
      <c r="J377" s="161"/>
      <c r="K377" s="161"/>
      <c r="L377" s="161"/>
      <c r="M377" s="161"/>
      <c r="N377" s="161"/>
      <c r="O377" s="161"/>
      <c r="P377" s="161"/>
      <c r="Q377" s="160"/>
      <c r="R377" s="161"/>
      <c r="S377" s="161"/>
      <c r="T377" s="161"/>
      <c r="U377" s="161"/>
      <c r="V377" s="161"/>
      <c r="W377" s="161"/>
      <c r="X377" s="161"/>
      <c r="Y377" s="161"/>
      <c r="Z377" s="161"/>
      <c r="AA377" s="161"/>
      <c r="AB377" s="161"/>
      <c r="AC377" s="161"/>
      <c r="AD377" s="161"/>
      <c r="AE377" s="161"/>
      <c r="AF377" s="161"/>
      <c r="AG377" s="161"/>
      <c r="AH377" s="161"/>
      <c r="AI377" s="161"/>
      <c r="AJ377" s="161"/>
      <c r="AK377" s="161"/>
      <c r="AL377" s="161"/>
      <c r="AM377" s="161"/>
      <c r="AN377" s="161"/>
      <c r="AO377" s="161"/>
      <c r="AP377" s="161"/>
      <c r="AQ377" s="161"/>
      <c r="AR377" s="161"/>
      <c r="AS377" s="161"/>
      <c r="AT377" s="161"/>
      <c r="AU377" s="161"/>
      <c r="AV377" s="161"/>
      <c r="AW377" s="161"/>
      <c r="AX377" s="161"/>
      <c r="AY377" s="161"/>
      <c r="AZ377" s="161"/>
      <c r="BA377" s="161"/>
      <c r="BB377" s="161"/>
      <c r="BC377" s="161"/>
      <c r="BD377" s="161"/>
    </row>
    <row r="378" spans="1:56" x14ac:dyDescent="0.2">
      <c r="A378" s="161"/>
      <c r="B378" s="161"/>
      <c r="C378" s="161"/>
      <c r="D378" s="161"/>
      <c r="E378" s="162"/>
      <c r="F378" s="161"/>
      <c r="G378" s="161"/>
      <c r="H378" s="161"/>
      <c r="I378" s="161"/>
      <c r="J378" s="161"/>
      <c r="K378" s="161"/>
      <c r="L378" s="161"/>
      <c r="M378" s="161"/>
      <c r="N378" s="161"/>
      <c r="O378" s="161"/>
      <c r="P378" s="161"/>
      <c r="Q378" s="160"/>
      <c r="R378" s="161"/>
      <c r="S378" s="161"/>
      <c r="T378" s="161"/>
      <c r="U378" s="161"/>
      <c r="V378" s="161"/>
      <c r="W378" s="161"/>
      <c r="X378" s="161"/>
      <c r="Y378" s="161"/>
      <c r="Z378" s="161"/>
      <c r="AA378" s="161"/>
      <c r="AB378" s="161"/>
      <c r="AC378" s="161"/>
      <c r="AD378" s="161"/>
      <c r="AE378" s="161"/>
      <c r="AF378" s="161"/>
      <c r="AG378" s="161"/>
      <c r="AH378" s="161"/>
      <c r="AI378" s="161"/>
      <c r="AJ378" s="161"/>
      <c r="AK378" s="161"/>
      <c r="AL378" s="161"/>
      <c r="AM378" s="161"/>
      <c r="AN378" s="161"/>
      <c r="AO378" s="161"/>
      <c r="AP378" s="161"/>
      <c r="AQ378" s="161"/>
      <c r="AR378" s="161"/>
      <c r="AS378" s="161"/>
      <c r="AT378" s="161"/>
      <c r="AU378" s="161"/>
      <c r="AV378" s="161"/>
      <c r="AW378" s="161"/>
      <c r="AX378" s="161"/>
      <c r="AY378" s="161"/>
      <c r="AZ378" s="161"/>
      <c r="BA378" s="161"/>
      <c r="BB378" s="161"/>
      <c r="BC378" s="161"/>
      <c r="BD378" s="161"/>
    </row>
    <row r="379" spans="1:56" x14ac:dyDescent="0.2">
      <c r="A379" s="161"/>
      <c r="B379" s="161"/>
      <c r="C379" s="161"/>
      <c r="D379" s="161"/>
      <c r="E379" s="162"/>
      <c r="F379" s="161"/>
      <c r="G379" s="161"/>
      <c r="H379" s="161"/>
      <c r="I379" s="161"/>
      <c r="J379" s="161"/>
      <c r="K379" s="161"/>
      <c r="L379" s="161"/>
      <c r="M379" s="161"/>
      <c r="N379" s="161"/>
      <c r="O379" s="161"/>
      <c r="P379" s="161"/>
      <c r="Q379" s="160"/>
      <c r="R379" s="161"/>
      <c r="S379" s="161"/>
      <c r="T379" s="161"/>
      <c r="U379" s="161"/>
      <c r="V379" s="161"/>
      <c r="W379" s="161"/>
      <c r="X379" s="161"/>
      <c r="Y379" s="161"/>
      <c r="Z379" s="161"/>
      <c r="AA379" s="161"/>
      <c r="AB379" s="161"/>
      <c r="AC379" s="161"/>
      <c r="AD379" s="161"/>
      <c r="AE379" s="161"/>
      <c r="AF379" s="161"/>
      <c r="AG379" s="161"/>
      <c r="AH379" s="161"/>
      <c r="AI379" s="161"/>
      <c r="AJ379" s="161"/>
      <c r="AK379" s="161"/>
      <c r="AL379" s="161"/>
      <c r="AM379" s="161"/>
      <c r="AN379" s="161"/>
      <c r="AO379" s="161"/>
      <c r="AP379" s="161"/>
      <c r="AQ379" s="161"/>
      <c r="AR379" s="161"/>
      <c r="AS379" s="161"/>
      <c r="AT379" s="161"/>
      <c r="AU379" s="161"/>
      <c r="AV379" s="161"/>
      <c r="AW379" s="161"/>
      <c r="AX379" s="161"/>
      <c r="AY379" s="161"/>
      <c r="AZ379" s="161"/>
      <c r="BA379" s="161"/>
      <c r="BB379" s="161"/>
      <c r="BC379" s="161"/>
      <c r="BD379" s="161"/>
    </row>
  </sheetData>
  <mergeCells count="20">
    <mergeCell ref="F44:F45"/>
    <mergeCell ref="G44:G45"/>
    <mergeCell ref="A44:A45"/>
    <mergeCell ref="B44:B45"/>
    <mergeCell ref="C44:C45"/>
    <mergeCell ref="D44:D45"/>
    <mergeCell ref="E44:E45"/>
    <mergeCell ref="G20:G21"/>
    <mergeCell ref="F20:F21"/>
    <mergeCell ref="A1:C7"/>
    <mergeCell ref="E20:E21"/>
    <mergeCell ref="A20:A21"/>
    <mergeCell ref="B20:B21"/>
    <mergeCell ref="C20:C21"/>
    <mergeCell ref="D20:D21"/>
    <mergeCell ref="J8:N8"/>
    <mergeCell ref="J9:L9"/>
    <mergeCell ref="H8:I8"/>
    <mergeCell ref="M29:N29"/>
    <mergeCell ref="Q1:Q7"/>
  </mergeCells>
  <pageMargins left="0.7" right="0.7" top="0.75" bottom="0.75" header="0.3" footer="0.3"/>
  <pageSetup paperSize="8" scale="57" orientation="landscape" r:id="rId1"/>
  <drawing r:id="rId2"/>
  <tableParts count="4">
    <tablePart r:id="rId3"/>
    <tablePart r:id="rId4"/>
    <tablePart r:id="rId5"/>
    <tablePart r:id="rId6"/>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6F7B3-084C-4357-9CF0-D99B8F01DAD3}">
  <sheetPr>
    <tabColor rgb="FF92D050"/>
    <pageSetUpPr fitToPage="1"/>
  </sheetPr>
  <dimension ref="A1:U23"/>
  <sheetViews>
    <sheetView topLeftCell="H1" zoomScaleNormal="100" workbookViewId="0">
      <selection activeCell="U1" sqref="U1:U8"/>
    </sheetView>
  </sheetViews>
  <sheetFormatPr defaultColWidth="9.140625" defaultRowHeight="12.75" x14ac:dyDescent="0.2"/>
  <cols>
    <col min="1" max="1" width="9.5703125" style="80" customWidth="1"/>
    <col min="2" max="2" width="22.5703125" style="80" customWidth="1"/>
    <col min="3" max="3" width="12.28515625" style="80" customWidth="1"/>
    <col min="4" max="4" width="11.85546875" style="80" customWidth="1"/>
    <col min="5" max="5" width="14.7109375" style="80" customWidth="1"/>
    <col min="6" max="6" width="15.42578125" style="80" customWidth="1"/>
    <col min="7" max="9" width="11" style="80" customWidth="1"/>
    <col min="10" max="10" width="8" style="80" customWidth="1"/>
    <col min="11" max="11" width="8.7109375" style="80" customWidth="1"/>
    <col min="12" max="12" width="10" style="80" customWidth="1"/>
    <col min="13" max="13" width="6.140625" style="80" customWidth="1"/>
    <col min="14" max="15" width="6.42578125" style="80" customWidth="1"/>
    <col min="16" max="16" width="7.42578125" style="80" customWidth="1"/>
    <col min="17" max="17" width="9.28515625" style="80" customWidth="1"/>
    <col min="18" max="19" width="8.140625" style="80" customWidth="1"/>
    <col min="20" max="20" width="8.28515625" style="80" customWidth="1"/>
    <col min="21" max="21" width="34.28515625" style="80" customWidth="1"/>
    <col min="22" max="23" width="37.85546875" style="80" customWidth="1"/>
    <col min="24" max="16384" width="9.140625" style="80"/>
  </cols>
  <sheetData>
    <row r="1" spans="1:21" ht="6.75" customHeight="1" x14ac:dyDescent="0.2">
      <c r="A1" s="138"/>
      <c r="B1" s="137"/>
      <c r="C1" s="156"/>
      <c r="D1" s="355"/>
      <c r="E1" s="134"/>
      <c r="F1" s="134"/>
      <c r="G1" s="134"/>
      <c r="H1" s="134"/>
      <c r="I1" s="134"/>
      <c r="J1" s="134"/>
      <c r="K1" s="134"/>
      <c r="L1" s="134"/>
      <c r="M1" s="134"/>
      <c r="N1" s="134"/>
      <c r="O1" s="134"/>
      <c r="P1" s="134"/>
      <c r="Q1" s="134"/>
      <c r="R1" s="134"/>
      <c r="S1" s="134"/>
      <c r="T1" s="133"/>
      <c r="U1" s="811"/>
    </row>
    <row r="2" spans="1:21" ht="12.75" customHeight="1" x14ac:dyDescent="0.2">
      <c r="A2" s="131"/>
      <c r="B2" s="130"/>
      <c r="C2" s="425" t="s">
        <v>71</v>
      </c>
      <c r="D2" s="424"/>
      <c r="E2" s="420">
        <f>'PROJECT SUMMARY'!D3</f>
        <v>0</v>
      </c>
      <c r="F2" s="423"/>
      <c r="G2" s="423"/>
      <c r="H2" s="423"/>
      <c r="I2" s="423"/>
      <c r="J2" s="422"/>
      <c r="K2" s="422"/>
      <c r="L2" s="422"/>
      <c r="M2" s="422"/>
      <c r="N2" s="144"/>
      <c r="O2" s="144"/>
      <c r="P2" s="144"/>
      <c r="Q2" s="144"/>
      <c r="R2" s="144"/>
      <c r="S2" s="144"/>
      <c r="T2" s="421"/>
      <c r="U2" s="812"/>
    </row>
    <row r="3" spans="1:21" ht="12.75" customHeight="1" x14ac:dyDescent="0.2">
      <c r="A3" s="131"/>
      <c r="B3" s="130"/>
      <c r="C3" s="129" t="s">
        <v>72</v>
      </c>
      <c r="D3" s="352"/>
      <c r="E3" s="420">
        <f>'PROJECT SUMMARY'!D4</f>
        <v>0</v>
      </c>
      <c r="F3" s="126"/>
      <c r="G3" s="126"/>
      <c r="H3" s="126"/>
      <c r="I3" s="126"/>
      <c r="J3" s="125"/>
      <c r="K3" s="125"/>
      <c r="L3" s="125"/>
      <c r="M3" s="125"/>
      <c r="N3" s="124"/>
      <c r="O3" s="124"/>
      <c r="P3" s="124"/>
      <c r="Q3" s="124"/>
      <c r="R3" s="124"/>
      <c r="S3" s="124"/>
      <c r="T3" s="123"/>
      <c r="U3" s="812"/>
    </row>
    <row r="4" spans="1:21" ht="12.75" customHeight="1" x14ac:dyDescent="0.2">
      <c r="A4" s="131"/>
      <c r="B4" s="130"/>
      <c r="C4" s="129" t="s">
        <v>73</v>
      </c>
      <c r="D4" s="352"/>
      <c r="E4" s="351" t="s">
        <v>732</v>
      </c>
      <c r="F4" s="126"/>
      <c r="G4" s="126"/>
      <c r="H4" s="126"/>
      <c r="I4" s="126"/>
      <c r="J4" s="125"/>
      <c r="K4" s="125"/>
      <c r="L4" s="125"/>
      <c r="M4" s="125"/>
      <c r="N4" s="124"/>
      <c r="O4" s="124"/>
      <c r="P4" s="124"/>
      <c r="Q4" s="124"/>
      <c r="R4" s="124"/>
      <c r="S4" s="124"/>
      <c r="T4" s="123"/>
      <c r="U4" s="812"/>
    </row>
    <row r="5" spans="1:21" ht="12.75" customHeight="1" x14ac:dyDescent="0.2">
      <c r="A5" s="131"/>
      <c r="B5" s="130"/>
      <c r="C5" s="129" t="s">
        <v>75</v>
      </c>
      <c r="D5" s="352"/>
      <c r="E5" s="351" t="str">
        <f>'PROJECT SUMMARY'!B39</f>
        <v>KEY-SH-M-50-XXX</v>
      </c>
      <c r="F5" s="126"/>
      <c r="G5" s="126"/>
      <c r="H5" s="126"/>
      <c r="I5" s="126"/>
      <c r="J5" s="125"/>
      <c r="K5" s="125"/>
      <c r="L5" s="125"/>
      <c r="M5" s="125"/>
      <c r="N5" s="124"/>
      <c r="O5" s="124"/>
      <c r="P5" s="124"/>
      <c r="Q5" s="124"/>
      <c r="R5" s="124"/>
      <c r="S5" s="124"/>
      <c r="T5" s="123"/>
      <c r="U5" s="812"/>
    </row>
    <row r="6" spans="1:21" ht="12.75" customHeight="1" x14ac:dyDescent="0.2">
      <c r="A6" s="131"/>
      <c r="B6" s="130"/>
      <c r="C6" s="129" t="s">
        <v>76</v>
      </c>
      <c r="D6" s="352"/>
      <c r="E6" s="351">
        <f>'PROJECT SUMMARY'!C39</f>
        <v>0</v>
      </c>
      <c r="F6" s="126"/>
      <c r="G6" s="126"/>
      <c r="H6" s="126"/>
      <c r="I6" s="126"/>
      <c r="J6" s="125"/>
      <c r="K6" s="125"/>
      <c r="L6" s="125"/>
      <c r="M6" s="125"/>
      <c r="N6" s="124"/>
      <c r="O6" s="124"/>
      <c r="P6" s="124"/>
      <c r="Q6" s="124"/>
      <c r="R6" s="124"/>
      <c r="S6" s="124"/>
      <c r="T6" s="123"/>
      <c r="U6" s="812"/>
    </row>
    <row r="7" spans="1:21" ht="12.75" customHeight="1" x14ac:dyDescent="0.2">
      <c r="A7" s="131"/>
      <c r="B7" s="130"/>
      <c r="C7" s="350" t="s">
        <v>77</v>
      </c>
      <c r="D7" s="349"/>
      <c r="E7" s="419">
        <f>'PROJECT SUMMARY'!D5</f>
        <v>0</v>
      </c>
      <c r="F7" s="418"/>
      <c r="G7" s="418"/>
      <c r="H7" s="418"/>
      <c r="I7" s="418"/>
      <c r="J7" s="346"/>
      <c r="K7" s="346"/>
      <c r="L7" s="346"/>
      <c r="M7" s="346"/>
      <c r="N7" s="345"/>
      <c r="O7" s="345"/>
      <c r="P7" s="345"/>
      <c r="Q7" s="345"/>
      <c r="R7" s="345"/>
      <c r="S7" s="345"/>
      <c r="T7" s="344"/>
      <c r="U7" s="812"/>
    </row>
    <row r="8" spans="1:21" ht="5.25" customHeight="1" thickBot="1" x14ac:dyDescent="0.25">
      <c r="A8" s="122"/>
      <c r="B8" s="121"/>
      <c r="C8" s="120"/>
      <c r="D8" s="119"/>
      <c r="E8" s="153"/>
      <c r="F8" s="153"/>
      <c r="G8" s="153"/>
      <c r="H8" s="153"/>
      <c r="I8" s="153"/>
      <c r="J8" s="153"/>
      <c r="K8" s="153"/>
      <c r="L8" s="153"/>
      <c r="M8" s="153"/>
      <c r="N8" s="153"/>
      <c r="O8" s="153"/>
      <c r="P8" s="153"/>
      <c r="Q8" s="153"/>
      <c r="R8" s="153"/>
      <c r="S8" s="153"/>
      <c r="T8" s="362"/>
      <c r="U8" s="813"/>
    </row>
    <row r="9" spans="1:21" ht="5.25" customHeight="1" thickBot="1" x14ac:dyDescent="0.25">
      <c r="A9" s="417"/>
      <c r="B9" s="416"/>
      <c r="C9" s="414"/>
      <c r="D9" s="415"/>
      <c r="E9" s="414"/>
      <c r="F9" s="414"/>
      <c r="G9" s="414"/>
      <c r="H9" s="414"/>
      <c r="I9" s="414"/>
      <c r="J9" s="414"/>
      <c r="K9" s="414"/>
      <c r="L9" s="414"/>
      <c r="M9" s="414"/>
      <c r="N9" s="414"/>
      <c r="O9" s="414"/>
      <c r="P9" s="414"/>
      <c r="Q9" s="414"/>
      <c r="R9" s="414"/>
      <c r="S9" s="414"/>
      <c r="T9" s="414"/>
      <c r="U9" s="414"/>
    </row>
    <row r="10" spans="1:21" ht="12.75" customHeight="1" x14ac:dyDescent="0.2">
      <c r="A10" s="1083" t="s">
        <v>199</v>
      </c>
      <c r="B10" s="1086" t="s">
        <v>200</v>
      </c>
      <c r="C10" s="1086" t="s">
        <v>201</v>
      </c>
      <c r="D10" s="1080" t="s">
        <v>733</v>
      </c>
      <c r="E10" s="1086" t="s">
        <v>734</v>
      </c>
      <c r="F10" s="1086" t="s">
        <v>735</v>
      </c>
      <c r="G10" s="1080" t="s">
        <v>736</v>
      </c>
      <c r="H10" s="1080" t="s">
        <v>737</v>
      </c>
      <c r="I10" s="1080" t="s">
        <v>738</v>
      </c>
      <c r="J10" s="1080" t="s">
        <v>739</v>
      </c>
      <c r="K10" s="1080" t="s">
        <v>740</v>
      </c>
      <c r="L10" s="1080" t="s">
        <v>741</v>
      </c>
      <c r="M10" s="1086" t="s">
        <v>453</v>
      </c>
      <c r="N10" s="1086"/>
      <c r="O10" s="1086"/>
      <c r="P10" s="1086" t="s">
        <v>742</v>
      </c>
      <c r="Q10" s="1086"/>
      <c r="R10" s="1086" t="s">
        <v>743</v>
      </c>
      <c r="S10" s="1086"/>
      <c r="T10" s="1086"/>
      <c r="U10" s="1086" t="s">
        <v>258</v>
      </c>
    </row>
    <row r="11" spans="1:21" x14ac:dyDescent="0.2">
      <c r="A11" s="1084"/>
      <c r="B11" s="1087"/>
      <c r="C11" s="1087"/>
      <c r="D11" s="1081"/>
      <c r="E11" s="1087"/>
      <c r="F11" s="1087"/>
      <c r="G11" s="1081"/>
      <c r="H11" s="1081"/>
      <c r="I11" s="1081"/>
      <c r="J11" s="1081"/>
      <c r="K11" s="1081"/>
      <c r="L11" s="1081"/>
      <c r="M11" s="1087"/>
      <c r="N11" s="1087"/>
      <c r="O11" s="1087"/>
      <c r="P11" s="1087"/>
      <c r="Q11" s="1087"/>
      <c r="R11" s="1087"/>
      <c r="S11" s="1087"/>
      <c r="T11" s="1087"/>
      <c r="U11" s="1087"/>
    </row>
    <row r="12" spans="1:21" ht="22.5" customHeight="1" thickBot="1" x14ac:dyDescent="0.25">
      <c r="A12" s="1085"/>
      <c r="B12" s="1088"/>
      <c r="C12" s="1088"/>
      <c r="D12" s="1082"/>
      <c r="E12" s="1088"/>
      <c r="F12" s="1088"/>
      <c r="G12" s="1082"/>
      <c r="H12" s="1082"/>
      <c r="I12" s="1082"/>
      <c r="J12" s="1082"/>
      <c r="K12" s="1082"/>
      <c r="L12" s="1082"/>
      <c r="M12" s="413" t="s">
        <v>744</v>
      </c>
      <c r="N12" s="413" t="s">
        <v>745</v>
      </c>
      <c r="O12" s="413" t="s">
        <v>746</v>
      </c>
      <c r="P12" s="413" t="s">
        <v>747</v>
      </c>
      <c r="Q12" s="413" t="s">
        <v>748</v>
      </c>
      <c r="R12" s="413" t="s">
        <v>749</v>
      </c>
      <c r="S12" s="413" t="s">
        <v>118</v>
      </c>
      <c r="T12" s="413" t="s">
        <v>750</v>
      </c>
      <c r="U12" s="1088"/>
    </row>
    <row r="13" spans="1:21" ht="53.25" customHeight="1" x14ac:dyDescent="0.2">
      <c r="A13" s="411" t="s">
        <v>751</v>
      </c>
      <c r="B13" s="408" t="s">
        <v>752</v>
      </c>
      <c r="C13" s="408" t="s">
        <v>753</v>
      </c>
      <c r="D13" s="412" t="s">
        <v>754</v>
      </c>
      <c r="E13" s="405" t="s">
        <v>755</v>
      </c>
      <c r="F13" s="405" t="s">
        <v>756</v>
      </c>
      <c r="G13" s="408">
        <v>10</v>
      </c>
      <c r="H13" s="408" t="s">
        <v>148</v>
      </c>
      <c r="I13" s="408" t="s">
        <v>757</v>
      </c>
      <c r="J13" s="405"/>
      <c r="K13" s="405"/>
      <c r="L13" s="405"/>
      <c r="M13" s="405"/>
      <c r="N13" s="405"/>
      <c r="O13" s="405"/>
      <c r="P13" s="405" t="s">
        <v>758</v>
      </c>
      <c r="Q13" s="405" t="s">
        <v>758</v>
      </c>
      <c r="R13" s="405" t="s">
        <v>759</v>
      </c>
      <c r="S13" s="405">
        <v>4.5</v>
      </c>
      <c r="T13" s="405"/>
      <c r="U13" s="402" t="s">
        <v>760</v>
      </c>
    </row>
    <row r="14" spans="1:21" ht="53.25" customHeight="1" x14ac:dyDescent="0.2">
      <c r="A14" s="411" t="s">
        <v>761</v>
      </c>
      <c r="B14" s="408" t="s">
        <v>762</v>
      </c>
      <c r="C14" s="408" t="s">
        <v>753</v>
      </c>
      <c r="D14" s="410" t="s">
        <v>763</v>
      </c>
      <c r="E14" s="405" t="s">
        <v>755</v>
      </c>
      <c r="F14" s="405" t="s">
        <v>756</v>
      </c>
      <c r="G14" s="403">
        <v>10</v>
      </c>
      <c r="H14" s="403"/>
      <c r="I14" s="403"/>
      <c r="J14" s="403"/>
      <c r="K14" s="403"/>
      <c r="L14" s="403"/>
      <c r="M14" s="403"/>
      <c r="N14" s="403"/>
      <c r="O14" s="403"/>
      <c r="P14" s="403" t="s">
        <v>764</v>
      </c>
      <c r="Q14" s="403" t="s">
        <v>764</v>
      </c>
      <c r="R14" s="405" t="s">
        <v>759</v>
      </c>
      <c r="S14" s="404">
        <v>15</v>
      </c>
      <c r="T14" s="403"/>
      <c r="U14" s="402" t="s">
        <v>760</v>
      </c>
    </row>
    <row r="15" spans="1:21" ht="53.25" customHeight="1" x14ac:dyDescent="0.2">
      <c r="A15" s="411" t="s">
        <v>765</v>
      </c>
      <c r="B15" s="408" t="s">
        <v>766</v>
      </c>
      <c r="C15" s="408" t="s">
        <v>753</v>
      </c>
      <c r="D15" s="410" t="s">
        <v>763</v>
      </c>
      <c r="E15" s="405" t="s">
        <v>767</v>
      </c>
      <c r="F15" s="405" t="s">
        <v>756</v>
      </c>
      <c r="G15" s="403">
        <v>10</v>
      </c>
      <c r="H15" s="403"/>
      <c r="I15" s="403"/>
      <c r="J15" s="403"/>
      <c r="K15" s="403"/>
      <c r="L15" s="403"/>
      <c r="M15" s="403"/>
      <c r="N15" s="403"/>
      <c r="O15" s="403"/>
      <c r="P15" s="403" t="s">
        <v>764</v>
      </c>
      <c r="Q15" s="403" t="s">
        <v>764</v>
      </c>
      <c r="R15" s="405" t="s">
        <v>759</v>
      </c>
      <c r="S15" s="404">
        <v>15</v>
      </c>
      <c r="T15" s="403"/>
      <c r="U15" s="402" t="s">
        <v>760</v>
      </c>
    </row>
    <row r="16" spans="1:21" ht="53.25" customHeight="1" x14ac:dyDescent="0.2">
      <c r="A16" s="411" t="s">
        <v>768</v>
      </c>
      <c r="B16" s="408" t="s">
        <v>769</v>
      </c>
      <c r="C16" s="408" t="s">
        <v>753</v>
      </c>
      <c r="D16" s="410" t="s">
        <v>770</v>
      </c>
      <c r="E16" s="405" t="s">
        <v>767</v>
      </c>
      <c r="F16" s="405" t="s">
        <v>756</v>
      </c>
      <c r="G16" s="403">
        <v>65</v>
      </c>
      <c r="H16" s="403"/>
      <c r="I16" s="403"/>
      <c r="J16" s="403"/>
      <c r="K16" s="403"/>
      <c r="L16" s="403"/>
      <c r="M16" s="403"/>
      <c r="N16" s="403"/>
      <c r="O16" s="403"/>
      <c r="P16" s="403" t="s">
        <v>764</v>
      </c>
      <c r="Q16" s="403" t="s">
        <v>764</v>
      </c>
      <c r="R16" s="405" t="s">
        <v>759</v>
      </c>
      <c r="S16" s="404">
        <v>15</v>
      </c>
      <c r="T16" s="403"/>
      <c r="U16" s="402" t="s">
        <v>760</v>
      </c>
    </row>
    <row r="17" spans="1:21" ht="53.25" customHeight="1" x14ac:dyDescent="0.2">
      <c r="A17" s="411" t="s">
        <v>771</v>
      </c>
      <c r="B17" s="408" t="s">
        <v>772</v>
      </c>
      <c r="C17" s="408" t="s">
        <v>753</v>
      </c>
      <c r="D17" s="410" t="s">
        <v>773</v>
      </c>
      <c r="E17" s="405" t="s">
        <v>767</v>
      </c>
      <c r="F17" s="405" t="s">
        <v>756</v>
      </c>
      <c r="G17" s="403">
        <v>2</v>
      </c>
      <c r="H17" s="403"/>
      <c r="I17" s="403"/>
      <c r="J17" s="403"/>
      <c r="K17" s="403"/>
      <c r="L17" s="403"/>
      <c r="M17" s="403"/>
      <c r="N17" s="403"/>
      <c r="O17" s="403"/>
      <c r="P17" s="403" t="s">
        <v>764</v>
      </c>
      <c r="Q17" s="403" t="s">
        <v>764</v>
      </c>
      <c r="R17" s="405" t="s">
        <v>759</v>
      </c>
      <c r="S17" s="404">
        <v>22</v>
      </c>
      <c r="T17" s="403"/>
      <c r="U17" s="402" t="s">
        <v>760</v>
      </c>
    </row>
    <row r="18" spans="1:21" ht="53.25" customHeight="1" x14ac:dyDescent="0.2">
      <c r="A18" s="409" t="s">
        <v>774</v>
      </c>
      <c r="B18" s="408" t="s">
        <v>775</v>
      </c>
      <c r="C18" s="407" t="s">
        <v>753</v>
      </c>
      <c r="D18" s="406" t="s">
        <v>776</v>
      </c>
      <c r="E18" s="405" t="s">
        <v>767</v>
      </c>
      <c r="F18" s="405" t="s">
        <v>756</v>
      </c>
      <c r="G18" s="403">
        <v>65</v>
      </c>
      <c r="H18" s="403"/>
      <c r="I18" s="403"/>
      <c r="J18" s="403"/>
      <c r="K18" s="403"/>
      <c r="L18" s="403"/>
      <c r="M18" s="403"/>
      <c r="N18" s="403"/>
      <c r="O18" s="403"/>
      <c r="P18" s="403" t="s">
        <v>777</v>
      </c>
      <c r="Q18" s="403" t="s">
        <v>777</v>
      </c>
      <c r="R18" s="405" t="s">
        <v>759</v>
      </c>
      <c r="S18" s="404">
        <v>30</v>
      </c>
      <c r="T18" s="403"/>
      <c r="U18" s="402" t="s">
        <v>760</v>
      </c>
    </row>
    <row r="19" spans="1:21" ht="20.100000000000001" customHeight="1" thickBot="1" x14ac:dyDescent="0.25">
      <c r="A19" s="401"/>
      <c r="B19" s="400"/>
      <c r="C19" s="399"/>
      <c r="D19" s="399"/>
      <c r="E19" s="399"/>
      <c r="F19" s="399"/>
      <c r="G19" s="399"/>
      <c r="H19" s="399"/>
      <c r="I19" s="399"/>
      <c r="J19" s="399"/>
      <c r="K19" s="399"/>
      <c r="L19" s="399"/>
      <c r="M19" s="399"/>
      <c r="N19" s="399"/>
      <c r="O19" s="399"/>
      <c r="P19" s="399"/>
      <c r="Q19" s="399"/>
      <c r="R19" s="399"/>
      <c r="S19" s="399"/>
      <c r="T19" s="399"/>
      <c r="U19" s="398"/>
    </row>
    <row r="20" spans="1:21" x14ac:dyDescent="0.2">
      <c r="A20" s="397" t="s">
        <v>189</v>
      </c>
      <c r="B20" s="396"/>
      <c r="C20" s="396"/>
      <c r="D20" s="396"/>
      <c r="E20" s="396"/>
      <c r="F20" s="396"/>
      <c r="G20" s="396"/>
      <c r="H20" s="396"/>
      <c r="I20" s="396"/>
      <c r="J20" s="396"/>
      <c r="K20" s="396"/>
      <c r="L20" s="396"/>
      <c r="M20" s="396"/>
      <c r="N20" s="396"/>
      <c r="O20" s="396"/>
      <c r="P20" s="396"/>
      <c r="Q20" s="396"/>
      <c r="R20" s="396"/>
      <c r="S20" s="396"/>
      <c r="T20" s="396"/>
      <c r="U20" s="395"/>
    </row>
    <row r="21" spans="1:21" x14ac:dyDescent="0.2">
      <c r="A21" s="394" t="s">
        <v>778</v>
      </c>
      <c r="B21" s="139"/>
      <c r="C21" s="139"/>
      <c r="D21" s="139"/>
      <c r="E21" s="139"/>
      <c r="F21" s="139"/>
      <c r="G21" s="139"/>
      <c r="H21" s="139"/>
      <c r="I21" s="139"/>
      <c r="J21" s="139"/>
      <c r="K21" s="139"/>
      <c r="L21" s="139"/>
      <c r="M21" s="139"/>
      <c r="N21" s="139"/>
      <c r="O21" s="139"/>
      <c r="P21" s="139"/>
      <c r="Q21" s="139"/>
      <c r="R21" s="139"/>
      <c r="S21" s="139"/>
      <c r="T21" s="139"/>
      <c r="U21" s="393"/>
    </row>
    <row r="22" spans="1:21" x14ac:dyDescent="0.2">
      <c r="A22" s="394" t="s">
        <v>779</v>
      </c>
      <c r="B22" s="139"/>
      <c r="C22" s="139"/>
      <c r="D22" s="139"/>
      <c r="E22" s="139"/>
      <c r="F22" s="139"/>
      <c r="G22" s="139"/>
      <c r="H22" s="139"/>
      <c r="I22" s="139"/>
      <c r="J22" s="139"/>
      <c r="K22" s="139"/>
      <c r="L22" s="139"/>
      <c r="M22" s="139"/>
      <c r="N22" s="139"/>
      <c r="O22" s="139"/>
      <c r="P22" s="139"/>
      <c r="Q22" s="139"/>
      <c r="R22" s="139"/>
      <c r="S22" s="139"/>
      <c r="T22" s="139"/>
      <c r="U22" s="393"/>
    </row>
    <row r="23" spans="1:21" ht="13.5" thickBot="1" x14ac:dyDescent="0.25">
      <c r="A23" s="392"/>
      <c r="B23" s="391"/>
      <c r="C23" s="391"/>
      <c r="D23" s="391"/>
      <c r="E23" s="391"/>
      <c r="F23" s="391"/>
      <c r="G23" s="391"/>
      <c r="H23" s="391"/>
      <c r="I23" s="391"/>
      <c r="J23" s="391"/>
      <c r="K23" s="391"/>
      <c r="L23" s="391"/>
      <c r="M23" s="391"/>
      <c r="N23" s="391"/>
      <c r="O23" s="391"/>
      <c r="P23" s="391"/>
      <c r="Q23" s="391"/>
      <c r="R23" s="391"/>
      <c r="S23" s="391"/>
      <c r="T23" s="391"/>
      <c r="U23" s="390"/>
    </row>
  </sheetData>
  <mergeCells count="17">
    <mergeCell ref="M10:O11"/>
    <mergeCell ref="U1:U8"/>
    <mergeCell ref="J10:J12"/>
    <mergeCell ref="U10:U12"/>
    <mergeCell ref="R10:T11"/>
    <mergeCell ref="K10:K12"/>
    <mergeCell ref="P10:Q11"/>
    <mergeCell ref="L10:L12"/>
    <mergeCell ref="H10:H12"/>
    <mergeCell ref="I10:I12"/>
    <mergeCell ref="G10:G12"/>
    <mergeCell ref="A10:A12"/>
    <mergeCell ref="B10:B12"/>
    <mergeCell ref="C10:C12"/>
    <mergeCell ref="D10:D12"/>
    <mergeCell ref="E10:E12"/>
    <mergeCell ref="F10:F12"/>
  </mergeCells>
  <pageMargins left="0.7" right="0.7" top="0.75" bottom="0.75" header="0.3" footer="0.3"/>
  <pageSetup paperSize="9" scale="68"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6E6E4-E1E5-4D0F-94FB-26C574342B47}">
  <sheetPr>
    <tabColor rgb="FF92D050"/>
    <pageSetUpPr fitToPage="1"/>
  </sheetPr>
  <dimension ref="A1:T20"/>
  <sheetViews>
    <sheetView zoomScaleNormal="100" workbookViewId="0">
      <selection activeCell="T1" sqref="T1:T8"/>
    </sheetView>
  </sheetViews>
  <sheetFormatPr defaultColWidth="9.140625" defaultRowHeight="12.75" x14ac:dyDescent="0.2"/>
  <cols>
    <col min="1" max="1" width="10.7109375" style="80" customWidth="1"/>
    <col min="2" max="2" width="22.42578125" style="80" customWidth="1"/>
    <col min="3" max="3" width="10.7109375" style="80" customWidth="1"/>
    <col min="4" max="4" width="11.7109375" style="80" customWidth="1"/>
    <col min="5" max="5" width="12.42578125" style="80" customWidth="1"/>
    <col min="6" max="6" width="17.7109375" style="80" customWidth="1"/>
    <col min="7" max="7" width="8" style="80" customWidth="1"/>
    <col min="8" max="8" width="8.7109375" style="80" customWidth="1"/>
    <col min="9" max="9" width="6.140625" style="80" customWidth="1"/>
    <col min="10" max="11" width="6.42578125" style="80" customWidth="1"/>
    <col min="12" max="12" width="9.140625" style="80" customWidth="1"/>
    <col min="13" max="13" width="9.42578125" style="80" customWidth="1"/>
    <col min="14" max="14" width="8.140625" style="80" customWidth="1"/>
    <col min="15" max="15" width="8.28515625" style="80" customWidth="1"/>
    <col min="16" max="16" width="9.85546875" style="80" customWidth="1"/>
    <col min="17" max="19" width="9.140625" style="80"/>
    <col min="20" max="20" width="29.140625" style="80" customWidth="1"/>
    <col min="21" max="16384" width="9.140625" style="80"/>
  </cols>
  <sheetData>
    <row r="1" spans="1:20" ht="6.75" customHeight="1" x14ac:dyDescent="0.2">
      <c r="A1" s="138"/>
      <c r="B1" s="137"/>
      <c r="C1" s="385"/>
      <c r="D1" s="334"/>
      <c r="E1" s="384"/>
      <c r="F1" s="334"/>
      <c r="G1" s="334"/>
      <c r="H1" s="334"/>
      <c r="I1" s="334"/>
      <c r="J1" s="334"/>
      <c r="K1" s="334"/>
      <c r="L1" s="334"/>
      <c r="M1" s="334"/>
      <c r="N1" s="334"/>
      <c r="O1" s="334"/>
      <c r="P1" s="334"/>
      <c r="Q1" s="334"/>
      <c r="R1" s="334"/>
      <c r="S1" s="333"/>
      <c r="T1" s="811"/>
    </row>
    <row r="2" spans="1:20" ht="12.75" customHeight="1" x14ac:dyDescent="0.2">
      <c r="A2" s="131"/>
      <c r="B2" s="130"/>
      <c r="C2" s="383" t="s">
        <v>71</v>
      </c>
      <c r="D2" s="352"/>
      <c r="E2" s="353">
        <f>'PROJECT SUMMARY'!D3</f>
        <v>0</v>
      </c>
      <c r="F2" s="132"/>
      <c r="G2" s="476"/>
      <c r="H2" s="476"/>
      <c r="I2" s="124"/>
      <c r="J2" s="124"/>
      <c r="K2" s="124"/>
      <c r="L2" s="124"/>
      <c r="M2" s="124"/>
      <c r="N2" s="124"/>
      <c r="O2" s="124"/>
      <c r="P2" s="124"/>
      <c r="Q2" s="124"/>
      <c r="R2" s="124"/>
      <c r="S2" s="123"/>
      <c r="T2" s="812"/>
    </row>
    <row r="3" spans="1:20" ht="12.75" customHeight="1" x14ac:dyDescent="0.2">
      <c r="A3" s="131"/>
      <c r="B3" s="130"/>
      <c r="C3" s="382" t="s">
        <v>72</v>
      </c>
      <c r="D3" s="352"/>
      <c r="E3" s="353">
        <f>'PROJECT SUMMARY'!D4</f>
        <v>0</v>
      </c>
      <c r="F3" s="126"/>
      <c r="G3" s="475"/>
      <c r="H3" s="475"/>
      <c r="I3" s="124"/>
      <c r="J3" s="124"/>
      <c r="K3" s="124"/>
      <c r="L3" s="124"/>
      <c r="M3" s="124"/>
      <c r="N3" s="124"/>
      <c r="O3" s="124"/>
      <c r="P3" s="124"/>
      <c r="Q3" s="124"/>
      <c r="R3" s="124"/>
      <c r="S3" s="123"/>
      <c r="T3" s="812"/>
    </row>
    <row r="4" spans="1:20" ht="12.75" customHeight="1" x14ac:dyDescent="0.2">
      <c r="A4" s="131"/>
      <c r="B4" s="130"/>
      <c r="C4" s="382" t="s">
        <v>73</v>
      </c>
      <c r="D4" s="124"/>
      <c r="E4" s="331" t="s">
        <v>780</v>
      </c>
      <c r="F4" s="126"/>
      <c r="G4" s="475"/>
      <c r="H4" s="475"/>
      <c r="I4" s="124"/>
      <c r="J4" s="124"/>
      <c r="K4" s="124"/>
      <c r="L4" s="124"/>
      <c r="M4" s="124"/>
      <c r="N4" s="124"/>
      <c r="O4" s="124"/>
      <c r="P4" s="124"/>
      <c r="Q4" s="124"/>
      <c r="R4" s="124"/>
      <c r="S4" s="123"/>
      <c r="T4" s="812"/>
    </row>
    <row r="5" spans="1:20" ht="12.75" customHeight="1" x14ac:dyDescent="0.2">
      <c r="A5" s="131"/>
      <c r="B5" s="130"/>
      <c r="C5" s="382" t="s">
        <v>75</v>
      </c>
      <c r="D5" s="124"/>
      <c r="E5" s="331" t="str">
        <f>'PROJECT SUMMARY'!B40</f>
        <v>KEY-SH-M-50-XXX</v>
      </c>
      <c r="F5" s="126"/>
      <c r="G5" s="475"/>
      <c r="H5" s="475"/>
      <c r="I5" s="124"/>
      <c r="J5" s="124"/>
      <c r="K5" s="124"/>
      <c r="L5" s="124"/>
      <c r="M5" s="124"/>
      <c r="N5" s="124"/>
      <c r="O5" s="124"/>
      <c r="P5" s="124"/>
      <c r="Q5" s="124"/>
      <c r="R5" s="124"/>
      <c r="S5" s="123"/>
      <c r="T5" s="812"/>
    </row>
    <row r="6" spans="1:20" ht="12.75" customHeight="1" x14ac:dyDescent="0.2">
      <c r="A6" s="131"/>
      <c r="B6" s="130"/>
      <c r="C6" s="382" t="s">
        <v>76</v>
      </c>
      <c r="D6" s="124"/>
      <c r="E6" s="353">
        <f>'PROJECT SUMMARY'!C40</f>
        <v>0</v>
      </c>
      <c r="F6" s="126"/>
      <c r="G6" s="475"/>
      <c r="H6" s="475"/>
      <c r="I6" s="124"/>
      <c r="J6" s="124"/>
      <c r="K6" s="124"/>
      <c r="L6" s="124"/>
      <c r="M6" s="124"/>
      <c r="N6" s="124"/>
      <c r="O6" s="124"/>
      <c r="P6" s="124"/>
      <c r="Q6" s="124"/>
      <c r="R6" s="124"/>
      <c r="S6" s="123"/>
      <c r="T6" s="812"/>
    </row>
    <row r="7" spans="1:20" ht="12.75" customHeight="1" x14ac:dyDescent="0.2">
      <c r="A7" s="131"/>
      <c r="B7" s="130"/>
      <c r="C7" s="382" t="s">
        <v>77</v>
      </c>
      <c r="D7" s="124"/>
      <c r="E7" s="353">
        <f>'PROJECT SUMMARY'!D5</f>
        <v>0</v>
      </c>
      <c r="F7" s="126"/>
      <c r="G7" s="475"/>
      <c r="H7" s="475"/>
      <c r="I7" s="124"/>
      <c r="J7" s="124"/>
      <c r="K7" s="124"/>
      <c r="L7" s="124"/>
      <c r="M7" s="124"/>
      <c r="N7" s="124"/>
      <c r="O7" s="124"/>
      <c r="P7" s="124"/>
      <c r="Q7" s="124"/>
      <c r="R7" s="124"/>
      <c r="S7" s="123"/>
      <c r="T7" s="812"/>
    </row>
    <row r="8" spans="1:20" ht="5.25" customHeight="1" thickBot="1" x14ac:dyDescent="0.25">
      <c r="A8" s="131"/>
      <c r="B8" s="130"/>
      <c r="C8" s="380"/>
      <c r="D8" s="329"/>
      <c r="E8" s="379"/>
      <c r="F8" s="329"/>
      <c r="G8" s="329"/>
      <c r="H8" s="329"/>
      <c r="I8" s="329"/>
      <c r="J8" s="329"/>
      <c r="K8" s="329"/>
      <c r="L8" s="329"/>
      <c r="M8" s="329"/>
      <c r="N8" s="329"/>
      <c r="O8" s="329"/>
      <c r="P8" s="329"/>
      <c r="Q8" s="329"/>
      <c r="R8" s="329"/>
      <c r="S8" s="328"/>
      <c r="T8" s="813"/>
    </row>
    <row r="9" spans="1:20" x14ac:dyDescent="0.2">
      <c r="A9" s="867" t="s">
        <v>199</v>
      </c>
      <c r="B9" s="857" t="s">
        <v>200</v>
      </c>
      <c r="C9" s="857" t="s">
        <v>201</v>
      </c>
      <c r="D9" s="857" t="s">
        <v>781</v>
      </c>
      <c r="E9" s="857" t="s">
        <v>782</v>
      </c>
      <c r="F9" s="857" t="s">
        <v>783</v>
      </c>
      <c r="G9" s="857" t="s">
        <v>742</v>
      </c>
      <c r="H9" s="857"/>
      <c r="I9" s="857" t="s">
        <v>453</v>
      </c>
      <c r="J9" s="857"/>
      <c r="K9" s="857"/>
      <c r="L9" s="857" t="s">
        <v>784</v>
      </c>
      <c r="M9" s="857" t="s">
        <v>785</v>
      </c>
      <c r="N9" s="857" t="s">
        <v>786</v>
      </c>
      <c r="O9" s="857" t="s">
        <v>787</v>
      </c>
      <c r="P9" s="857" t="s">
        <v>788</v>
      </c>
      <c r="Q9" s="857" t="s">
        <v>258</v>
      </c>
      <c r="R9" s="857"/>
      <c r="S9" s="857"/>
      <c r="T9" s="860"/>
    </row>
    <row r="10" spans="1:20" x14ac:dyDescent="0.2">
      <c r="A10" s="868"/>
      <c r="B10" s="858"/>
      <c r="C10" s="858"/>
      <c r="D10" s="858"/>
      <c r="E10" s="858"/>
      <c r="F10" s="858"/>
      <c r="G10" s="858"/>
      <c r="H10" s="858"/>
      <c r="I10" s="858"/>
      <c r="J10" s="858"/>
      <c r="K10" s="858"/>
      <c r="L10" s="858"/>
      <c r="M10" s="858"/>
      <c r="N10" s="858"/>
      <c r="O10" s="858"/>
      <c r="P10" s="858"/>
      <c r="Q10" s="858"/>
      <c r="R10" s="858"/>
      <c r="S10" s="858"/>
      <c r="T10" s="861"/>
    </row>
    <row r="11" spans="1:20" ht="22.5" customHeight="1" thickBot="1" x14ac:dyDescent="0.25">
      <c r="A11" s="869"/>
      <c r="B11" s="859"/>
      <c r="C11" s="859"/>
      <c r="D11" s="859"/>
      <c r="E11" s="859"/>
      <c r="F11" s="859"/>
      <c r="G11" s="341" t="s">
        <v>789</v>
      </c>
      <c r="H11" s="341" t="s">
        <v>790</v>
      </c>
      <c r="I11" s="341" t="s">
        <v>744</v>
      </c>
      <c r="J11" s="341" t="s">
        <v>745</v>
      </c>
      <c r="K11" s="341" t="s">
        <v>746</v>
      </c>
      <c r="L11" s="859"/>
      <c r="M11" s="859"/>
      <c r="N11" s="859"/>
      <c r="O11" s="859"/>
      <c r="P11" s="859"/>
      <c r="Q11" s="859"/>
      <c r="R11" s="859"/>
      <c r="S11" s="859"/>
      <c r="T11" s="862"/>
    </row>
    <row r="12" spans="1:20" ht="3.75" customHeight="1" thickBot="1" x14ac:dyDescent="0.25">
      <c r="A12" s="481"/>
      <c r="B12" s="480"/>
      <c r="C12" s="480"/>
      <c r="D12" s="480"/>
      <c r="E12" s="480"/>
      <c r="F12" s="480"/>
      <c r="G12" s="480"/>
      <c r="H12" s="480"/>
      <c r="I12" s="480"/>
      <c r="J12" s="480"/>
      <c r="K12" s="480"/>
      <c r="L12" s="480"/>
      <c r="M12" s="480"/>
      <c r="N12" s="480"/>
      <c r="O12" s="480"/>
      <c r="P12" s="480"/>
      <c r="Q12" s="876"/>
      <c r="R12" s="876"/>
      <c r="S12" s="876"/>
      <c r="T12" s="877"/>
    </row>
    <row r="13" spans="1:20" ht="140.25" customHeight="1" x14ac:dyDescent="0.2">
      <c r="A13" s="449" t="s">
        <v>791</v>
      </c>
      <c r="B13" s="447" t="s">
        <v>792</v>
      </c>
      <c r="C13" s="447" t="s">
        <v>753</v>
      </c>
      <c r="D13" s="478">
        <v>1500</v>
      </c>
      <c r="E13" s="446" t="s">
        <v>793</v>
      </c>
      <c r="F13" s="446" t="s">
        <v>794</v>
      </c>
      <c r="G13" s="447" t="s">
        <v>795</v>
      </c>
      <c r="H13" s="447" t="s">
        <v>796</v>
      </c>
      <c r="I13" s="407" t="s">
        <v>797</v>
      </c>
      <c r="J13" s="407" t="s">
        <v>798</v>
      </c>
      <c r="K13" s="477">
        <v>1000</v>
      </c>
      <c r="L13" s="447"/>
      <c r="M13" s="447"/>
      <c r="N13" s="447"/>
      <c r="O13" s="447" t="s">
        <v>799</v>
      </c>
      <c r="P13" s="447"/>
      <c r="Q13" s="984" t="s">
        <v>800</v>
      </c>
      <c r="R13" s="984"/>
      <c r="S13" s="984"/>
      <c r="T13" s="985"/>
    </row>
    <row r="14" spans="1:20" ht="122.25" customHeight="1" x14ac:dyDescent="0.2">
      <c r="A14" s="467" t="s">
        <v>801</v>
      </c>
      <c r="B14" s="465" t="s">
        <v>802</v>
      </c>
      <c r="C14" s="447" t="s">
        <v>753</v>
      </c>
      <c r="D14" s="479">
        <v>1500</v>
      </c>
      <c r="E14" s="447" t="s">
        <v>803</v>
      </c>
      <c r="F14" s="446">
        <v>1</v>
      </c>
      <c r="G14" s="447" t="s">
        <v>804</v>
      </c>
      <c r="H14" s="447" t="s">
        <v>805</v>
      </c>
      <c r="I14" s="407" t="s">
        <v>798</v>
      </c>
      <c r="J14" s="407" t="s">
        <v>806</v>
      </c>
      <c r="K14" s="477">
        <v>1500</v>
      </c>
      <c r="L14" s="447"/>
      <c r="M14" s="447"/>
      <c r="N14" s="447"/>
      <c r="O14" s="447" t="s">
        <v>807</v>
      </c>
      <c r="P14" s="447"/>
      <c r="Q14" s="984" t="s">
        <v>808</v>
      </c>
      <c r="R14" s="984"/>
      <c r="S14" s="984"/>
      <c r="T14" s="985"/>
    </row>
    <row r="15" spans="1:20" ht="122.25" customHeight="1" x14ac:dyDescent="0.2">
      <c r="A15" s="467" t="s">
        <v>809</v>
      </c>
      <c r="B15" s="465" t="s">
        <v>810</v>
      </c>
      <c r="C15" s="447" t="s">
        <v>753</v>
      </c>
      <c r="D15" s="478">
        <v>1200</v>
      </c>
      <c r="E15" s="447" t="s">
        <v>803</v>
      </c>
      <c r="F15" s="446">
        <v>1</v>
      </c>
      <c r="G15" s="447" t="s">
        <v>811</v>
      </c>
      <c r="H15" s="447" t="s">
        <v>812</v>
      </c>
      <c r="I15" s="407" t="s">
        <v>798</v>
      </c>
      <c r="J15" s="407" t="s">
        <v>798</v>
      </c>
      <c r="K15" s="477">
        <v>1000</v>
      </c>
      <c r="L15" s="447"/>
      <c r="M15" s="447"/>
      <c r="N15" s="447"/>
      <c r="O15" s="447" t="s">
        <v>799</v>
      </c>
      <c r="P15" s="447"/>
      <c r="Q15" s="984" t="s">
        <v>808</v>
      </c>
      <c r="R15" s="984"/>
      <c r="S15" s="984"/>
      <c r="T15" s="985"/>
    </row>
    <row r="16" spans="1:20" ht="20.100000000000001" customHeight="1" thickBot="1" x14ac:dyDescent="0.25">
      <c r="A16" s="401"/>
      <c r="B16" s="400"/>
      <c r="C16" s="399"/>
      <c r="D16" s="399"/>
      <c r="E16" s="399"/>
      <c r="F16" s="399"/>
      <c r="G16" s="399"/>
      <c r="H16" s="399"/>
      <c r="I16" s="399"/>
      <c r="J16" s="399"/>
      <c r="K16" s="399"/>
      <c r="L16" s="399"/>
      <c r="M16" s="399"/>
      <c r="N16" s="399"/>
      <c r="O16" s="399"/>
      <c r="P16" s="399"/>
      <c r="Q16" s="855"/>
      <c r="R16" s="855"/>
      <c r="S16" s="855"/>
      <c r="T16" s="856"/>
    </row>
    <row r="17" spans="1:20" x14ac:dyDescent="0.2">
      <c r="A17" s="426" t="s">
        <v>189</v>
      </c>
      <c r="B17" s="139"/>
      <c r="C17" s="139"/>
      <c r="D17" s="139"/>
      <c r="E17" s="139"/>
      <c r="F17" s="139"/>
      <c r="G17" s="139"/>
      <c r="H17" s="139"/>
      <c r="I17" s="139"/>
      <c r="J17" s="139"/>
      <c r="K17" s="139"/>
      <c r="L17" s="139"/>
      <c r="M17" s="139"/>
      <c r="N17" s="139"/>
      <c r="O17" s="139"/>
      <c r="P17" s="139"/>
      <c r="Q17" s="139"/>
      <c r="R17" s="139"/>
      <c r="S17" s="139"/>
      <c r="T17" s="393"/>
    </row>
    <row r="18" spans="1:20" x14ac:dyDescent="0.2">
      <c r="A18" s="426" t="s">
        <v>813</v>
      </c>
      <c r="B18" s="139"/>
      <c r="C18" s="139"/>
      <c r="D18" s="139"/>
      <c r="E18" s="139"/>
      <c r="F18" s="139"/>
      <c r="G18" s="139"/>
      <c r="H18" s="139"/>
      <c r="I18" s="139"/>
      <c r="J18" s="139"/>
      <c r="K18" s="139"/>
      <c r="L18" s="139"/>
      <c r="M18" s="139"/>
      <c r="N18" s="139"/>
      <c r="O18" s="139"/>
      <c r="P18" s="139"/>
      <c r="Q18" s="139"/>
      <c r="R18" s="139"/>
      <c r="S18" s="139"/>
      <c r="T18" s="393"/>
    </row>
    <row r="19" spans="1:20" x14ac:dyDescent="0.2">
      <c r="A19" s="426"/>
      <c r="B19" s="139"/>
      <c r="C19" s="139"/>
      <c r="D19" s="139"/>
      <c r="E19" s="139"/>
      <c r="F19" s="139"/>
      <c r="G19" s="139"/>
      <c r="H19" s="139"/>
      <c r="I19" s="139"/>
      <c r="J19" s="139"/>
      <c r="K19" s="139"/>
      <c r="L19" s="139"/>
      <c r="M19" s="139"/>
      <c r="N19" s="139"/>
      <c r="O19" s="139"/>
      <c r="P19" s="139"/>
      <c r="Q19" s="139"/>
      <c r="R19" s="139"/>
      <c r="S19" s="139"/>
      <c r="T19" s="393"/>
    </row>
    <row r="20" spans="1:20" ht="13.5" thickBot="1" x14ac:dyDescent="0.25">
      <c r="A20" s="392"/>
      <c r="B20" s="391"/>
      <c r="C20" s="391"/>
      <c r="D20" s="391"/>
      <c r="E20" s="391"/>
      <c r="F20" s="391"/>
      <c r="G20" s="391"/>
      <c r="H20" s="391"/>
      <c r="I20" s="391"/>
      <c r="J20" s="391"/>
      <c r="K20" s="391"/>
      <c r="L20" s="391"/>
      <c r="M20" s="391"/>
      <c r="N20" s="391"/>
      <c r="O20" s="391"/>
      <c r="P20" s="391"/>
      <c r="Q20" s="391"/>
      <c r="R20" s="391"/>
      <c r="S20" s="391"/>
      <c r="T20" s="390"/>
    </row>
  </sheetData>
  <mergeCells count="20">
    <mergeCell ref="Q16:T16"/>
    <mergeCell ref="Q12:T12"/>
    <mergeCell ref="Q13:T13"/>
    <mergeCell ref="A9:A11"/>
    <mergeCell ref="B9:B11"/>
    <mergeCell ref="C9:C11"/>
    <mergeCell ref="D9:D11"/>
    <mergeCell ref="E9:E11"/>
    <mergeCell ref="F9:F11"/>
    <mergeCell ref="G9:H10"/>
    <mergeCell ref="L9:L11"/>
    <mergeCell ref="M9:M11"/>
    <mergeCell ref="T1:T8"/>
    <mergeCell ref="Q15:T15"/>
    <mergeCell ref="I9:K10"/>
    <mergeCell ref="Q14:T14"/>
    <mergeCell ref="P9:P11"/>
    <mergeCell ref="O9:O11"/>
    <mergeCell ref="Q9:T11"/>
    <mergeCell ref="N9:N11"/>
  </mergeCells>
  <pageMargins left="0.7" right="0.7" top="0.75" bottom="0.75" header="0.3" footer="0.3"/>
  <pageSetup paperSize="9" scale="52"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3FD48-65D7-4DFA-B37A-E1DEF4527A76}">
  <sheetPr>
    <tabColor rgb="FF92D050"/>
    <pageSetUpPr fitToPage="1"/>
  </sheetPr>
  <dimension ref="A1:U19"/>
  <sheetViews>
    <sheetView tabSelected="1" zoomScaleNormal="100" workbookViewId="0">
      <selection activeCell="A3" sqref="A3"/>
    </sheetView>
  </sheetViews>
  <sheetFormatPr defaultColWidth="9.140625" defaultRowHeight="12.75" x14ac:dyDescent="0.2"/>
  <cols>
    <col min="1" max="1" width="8.28515625" style="80" customWidth="1"/>
    <col min="2" max="2" width="22.5703125" style="80" customWidth="1"/>
    <col min="3" max="3" width="12.28515625" style="80" customWidth="1"/>
    <col min="4" max="4" width="11.85546875" style="80" customWidth="1"/>
    <col min="5" max="5" width="14.7109375" style="80" customWidth="1"/>
    <col min="6" max="6" width="15.42578125" style="80" customWidth="1"/>
    <col min="7" max="7" width="8" style="80" customWidth="1"/>
    <col min="8" max="8" width="8.7109375" style="80" customWidth="1"/>
    <col min="9" max="9" width="10.5703125" style="80" customWidth="1"/>
    <col min="10" max="10" width="6.140625" style="80" customWidth="1"/>
    <col min="11" max="13" width="6.42578125" style="80" customWidth="1"/>
    <col min="14" max="14" width="7.85546875" style="80" customWidth="1"/>
    <col min="15" max="15" width="8.140625" style="80" customWidth="1"/>
    <col min="16" max="16" width="8.28515625" style="80" customWidth="1"/>
    <col min="17" max="17" width="6.140625" style="80" customWidth="1"/>
    <col min="18" max="18" width="6" style="80" customWidth="1"/>
    <col min="19" max="19" width="5.5703125" style="80" customWidth="1"/>
    <col min="20" max="20" width="9.140625" style="80"/>
    <col min="21" max="21" width="8.28515625" style="80" customWidth="1"/>
    <col min="22" max="16384" width="9.140625" style="80"/>
  </cols>
  <sheetData>
    <row r="1" spans="1:21" ht="6.75" customHeight="1" x14ac:dyDescent="0.2">
      <c r="A1" s="138"/>
      <c r="B1" s="137"/>
      <c r="C1" s="156"/>
      <c r="D1" s="355"/>
      <c r="E1" s="134"/>
      <c r="F1" s="134"/>
      <c r="G1" s="134"/>
      <c r="H1" s="134"/>
      <c r="I1" s="134"/>
      <c r="J1" s="134"/>
      <c r="K1" s="134"/>
      <c r="L1" s="134"/>
      <c r="M1" s="134"/>
      <c r="N1" s="134"/>
      <c r="O1" s="134"/>
      <c r="P1" s="133"/>
      <c r="Q1" s="890"/>
      <c r="R1" s="1089"/>
      <c r="S1" s="1089"/>
      <c r="T1" s="1089"/>
      <c r="U1" s="891"/>
    </row>
    <row r="2" spans="1:21" ht="12.75" customHeight="1" x14ac:dyDescent="0.2">
      <c r="A2" s="131"/>
      <c r="B2" s="130"/>
      <c r="C2" s="425"/>
      <c r="D2" s="444" t="s">
        <v>71</v>
      </c>
      <c r="E2" s="443">
        <f>'PROJECT SUMMARY'!D3</f>
        <v>0</v>
      </c>
      <c r="F2" s="423"/>
      <c r="G2" s="422"/>
      <c r="H2" s="422"/>
      <c r="I2" s="422"/>
      <c r="J2" s="422"/>
      <c r="K2" s="144"/>
      <c r="L2" s="144"/>
      <c r="M2" s="144"/>
      <c r="N2" s="144"/>
      <c r="O2" s="144"/>
      <c r="P2" s="421"/>
      <c r="Q2" s="892"/>
      <c r="R2" s="1090"/>
      <c r="S2" s="1090"/>
      <c r="T2" s="1090"/>
      <c r="U2" s="893"/>
    </row>
    <row r="3" spans="1:21" ht="12.75" customHeight="1" x14ac:dyDescent="0.2">
      <c r="A3" s="131"/>
      <c r="B3" s="130"/>
      <c r="C3" s="129"/>
      <c r="D3" s="442" t="s">
        <v>72</v>
      </c>
      <c r="E3" s="126">
        <f>'PROJECT SUMMARY'!D4</f>
        <v>0</v>
      </c>
      <c r="F3" s="126"/>
      <c r="G3" s="125"/>
      <c r="H3" s="125"/>
      <c r="I3" s="125"/>
      <c r="J3" s="125"/>
      <c r="K3" s="124"/>
      <c r="L3" s="124"/>
      <c r="M3" s="124"/>
      <c r="N3" s="124"/>
      <c r="O3" s="124"/>
      <c r="P3" s="123"/>
      <c r="Q3" s="892"/>
      <c r="R3" s="1090"/>
      <c r="S3" s="1090"/>
      <c r="T3" s="1090"/>
      <c r="U3" s="893"/>
    </row>
    <row r="4" spans="1:21" ht="12.75" customHeight="1" x14ac:dyDescent="0.2">
      <c r="A4" s="131"/>
      <c r="B4" s="130"/>
      <c r="C4" s="129"/>
      <c r="D4" s="442" t="s">
        <v>73</v>
      </c>
      <c r="E4" s="126" t="s">
        <v>814</v>
      </c>
      <c r="F4" s="126"/>
      <c r="G4" s="125"/>
      <c r="H4" s="125"/>
      <c r="I4" s="125"/>
      <c r="J4" s="125"/>
      <c r="K4" s="124"/>
      <c r="L4" s="124"/>
      <c r="M4" s="124"/>
      <c r="N4" s="124"/>
      <c r="O4" s="124"/>
      <c r="P4" s="123"/>
      <c r="Q4" s="892"/>
      <c r="R4" s="1090"/>
      <c r="S4" s="1090"/>
      <c r="T4" s="1090"/>
      <c r="U4" s="893"/>
    </row>
    <row r="5" spans="1:21" ht="12.75" customHeight="1" x14ac:dyDescent="0.2">
      <c r="A5" s="131"/>
      <c r="B5" s="130"/>
      <c r="C5" s="129"/>
      <c r="D5" s="442" t="s">
        <v>75</v>
      </c>
      <c r="E5" s="126" t="str">
        <f>'PROJECT SUMMARY'!B41</f>
        <v>KEY-SH-M-50-XXX</v>
      </c>
      <c r="F5" s="126"/>
      <c r="G5" s="125"/>
      <c r="H5" s="125"/>
      <c r="I5" s="125"/>
      <c r="J5" s="125"/>
      <c r="K5" s="124"/>
      <c r="L5" s="124"/>
      <c r="M5" s="124"/>
      <c r="N5" s="124"/>
      <c r="O5" s="124"/>
      <c r="P5" s="123"/>
      <c r="Q5" s="892"/>
      <c r="R5" s="1090"/>
      <c r="S5" s="1090"/>
      <c r="T5" s="1090"/>
      <c r="U5" s="893"/>
    </row>
    <row r="6" spans="1:21" ht="12.75" customHeight="1" x14ac:dyDescent="0.2">
      <c r="A6" s="131"/>
      <c r="B6" s="130"/>
      <c r="C6" s="129"/>
      <c r="D6" s="442" t="s">
        <v>76</v>
      </c>
      <c r="E6" s="126">
        <f>'PROJECT SUMMARY'!C41</f>
        <v>0</v>
      </c>
      <c r="F6" s="126"/>
      <c r="G6" s="125"/>
      <c r="H6" s="125"/>
      <c r="I6" s="125"/>
      <c r="J6" s="125"/>
      <c r="K6" s="124"/>
      <c r="L6" s="124"/>
      <c r="M6" s="124"/>
      <c r="N6" s="124"/>
      <c r="O6" s="124"/>
      <c r="P6" s="123"/>
      <c r="Q6" s="892"/>
      <c r="R6" s="1090"/>
      <c r="S6" s="1090"/>
      <c r="T6" s="1090"/>
      <c r="U6" s="893"/>
    </row>
    <row r="7" spans="1:21" ht="12.75" customHeight="1" x14ac:dyDescent="0.2">
      <c r="A7" s="131"/>
      <c r="B7" s="130"/>
      <c r="C7" s="350"/>
      <c r="D7" s="441" t="s">
        <v>77</v>
      </c>
      <c r="E7" s="418">
        <f>'PROJECT SUMMARY'!D5</f>
        <v>0</v>
      </c>
      <c r="F7" s="418"/>
      <c r="G7" s="346"/>
      <c r="H7" s="346"/>
      <c r="I7" s="346"/>
      <c r="J7" s="346"/>
      <c r="K7" s="345"/>
      <c r="L7" s="345"/>
      <c r="M7" s="345"/>
      <c r="N7" s="345"/>
      <c r="O7" s="345"/>
      <c r="P7" s="344"/>
      <c r="Q7" s="892"/>
      <c r="R7" s="1090"/>
      <c r="S7" s="1090"/>
      <c r="T7" s="1090"/>
      <c r="U7" s="893"/>
    </row>
    <row r="8" spans="1:21" ht="5.25" customHeight="1" thickBot="1" x14ac:dyDescent="0.25">
      <c r="A8" s="122"/>
      <c r="B8" s="121"/>
      <c r="C8" s="120"/>
      <c r="D8" s="119"/>
      <c r="E8" s="153"/>
      <c r="F8" s="153"/>
      <c r="G8" s="153"/>
      <c r="H8" s="153"/>
      <c r="I8" s="153"/>
      <c r="J8" s="153"/>
      <c r="K8" s="153"/>
      <c r="L8" s="153"/>
      <c r="M8" s="153"/>
      <c r="N8" s="153"/>
      <c r="O8" s="153"/>
      <c r="P8" s="362"/>
      <c r="Q8" s="894"/>
      <c r="R8" s="1091"/>
      <c r="S8" s="1091"/>
      <c r="T8" s="1091"/>
      <c r="U8" s="895"/>
    </row>
    <row r="9" spans="1:21" ht="5.25" customHeight="1" thickBot="1" x14ac:dyDescent="0.25">
      <c r="A9" s="417"/>
      <c r="B9" s="416"/>
      <c r="C9" s="414"/>
      <c r="D9" s="415"/>
      <c r="E9" s="414"/>
      <c r="F9" s="414"/>
      <c r="G9" s="414"/>
      <c r="H9" s="414"/>
      <c r="I9" s="414"/>
      <c r="J9" s="414"/>
      <c r="K9" s="414"/>
      <c r="L9" s="414"/>
      <c r="M9" s="414"/>
      <c r="N9" s="414"/>
      <c r="O9" s="414"/>
      <c r="P9" s="414"/>
      <c r="Q9" s="414"/>
      <c r="R9" s="414"/>
      <c r="S9" s="414"/>
      <c r="T9" s="414"/>
      <c r="U9" s="440"/>
    </row>
    <row r="10" spans="1:21" ht="12.75" customHeight="1" x14ac:dyDescent="0.2">
      <c r="A10" s="1103" t="s">
        <v>815</v>
      </c>
      <c r="B10" s="873" t="s">
        <v>200</v>
      </c>
      <c r="C10" s="873" t="s">
        <v>201</v>
      </c>
      <c r="D10" s="1092" t="s">
        <v>733</v>
      </c>
      <c r="E10" s="873" t="s">
        <v>734</v>
      </c>
      <c r="F10" s="873" t="s">
        <v>735</v>
      </c>
      <c r="G10" s="1092" t="s">
        <v>739</v>
      </c>
      <c r="H10" s="1092" t="s">
        <v>740</v>
      </c>
      <c r="I10" s="1092" t="s">
        <v>816</v>
      </c>
      <c r="J10" s="873" t="s">
        <v>453</v>
      </c>
      <c r="K10" s="873"/>
      <c r="L10" s="873"/>
      <c r="M10" s="873" t="s">
        <v>742</v>
      </c>
      <c r="N10" s="873"/>
      <c r="O10" s="873" t="s">
        <v>743</v>
      </c>
      <c r="P10" s="873"/>
      <c r="Q10" s="873" t="s">
        <v>258</v>
      </c>
      <c r="R10" s="873"/>
      <c r="S10" s="873"/>
      <c r="T10" s="873"/>
      <c r="U10" s="1027"/>
    </row>
    <row r="11" spans="1:21" x14ac:dyDescent="0.2">
      <c r="A11" s="1104"/>
      <c r="B11" s="874"/>
      <c r="C11" s="874"/>
      <c r="D11" s="1093"/>
      <c r="E11" s="874"/>
      <c r="F11" s="874"/>
      <c r="G11" s="1093"/>
      <c r="H11" s="1093"/>
      <c r="I11" s="1093"/>
      <c r="J11" s="874"/>
      <c r="K11" s="874"/>
      <c r="L11" s="874"/>
      <c r="M11" s="874"/>
      <c r="N11" s="874"/>
      <c r="O11" s="874"/>
      <c r="P11" s="874"/>
      <c r="Q11" s="874"/>
      <c r="R11" s="874"/>
      <c r="S11" s="874"/>
      <c r="T11" s="874"/>
      <c r="U11" s="1028"/>
    </row>
    <row r="12" spans="1:21" ht="22.5" customHeight="1" thickBot="1" x14ac:dyDescent="0.25">
      <c r="A12" s="1105"/>
      <c r="B12" s="1095"/>
      <c r="C12" s="1095"/>
      <c r="D12" s="1094"/>
      <c r="E12" s="1095"/>
      <c r="F12" s="1095"/>
      <c r="G12" s="1094"/>
      <c r="H12" s="1094"/>
      <c r="I12" s="1094"/>
      <c r="J12" s="437" t="s">
        <v>744</v>
      </c>
      <c r="K12" s="437" t="s">
        <v>745</v>
      </c>
      <c r="L12" s="437" t="s">
        <v>746</v>
      </c>
      <c r="M12" s="437" t="s">
        <v>747</v>
      </c>
      <c r="N12" s="437" t="s">
        <v>748</v>
      </c>
      <c r="O12" s="437" t="s">
        <v>749</v>
      </c>
      <c r="P12" s="437" t="s">
        <v>750</v>
      </c>
      <c r="Q12" s="1095"/>
      <c r="R12" s="1095"/>
      <c r="S12" s="1095"/>
      <c r="T12" s="1095"/>
      <c r="U12" s="1029"/>
    </row>
    <row r="13" spans="1:21" ht="20.100000000000001" customHeight="1" x14ac:dyDescent="0.2">
      <c r="A13" s="436"/>
      <c r="B13" s="434"/>
      <c r="C13" s="434"/>
      <c r="D13" s="434"/>
      <c r="E13" s="434"/>
      <c r="F13" s="434"/>
      <c r="G13" s="434"/>
      <c r="H13" s="434"/>
      <c r="I13" s="434"/>
      <c r="J13" s="434"/>
      <c r="K13" s="434"/>
      <c r="L13" s="434"/>
      <c r="M13" s="434"/>
      <c r="N13" s="434"/>
      <c r="O13" s="434"/>
      <c r="P13" s="434"/>
      <c r="Q13" s="1098"/>
      <c r="R13" s="1098"/>
      <c r="S13" s="1098"/>
      <c r="T13" s="1098"/>
      <c r="U13" s="1099"/>
    </row>
    <row r="14" spans="1:21" ht="53.25" customHeight="1" x14ac:dyDescent="0.2">
      <c r="A14" s="435" t="s">
        <v>817</v>
      </c>
      <c r="B14" s="434" t="s">
        <v>53</v>
      </c>
      <c r="C14" s="434" t="s">
        <v>753</v>
      </c>
      <c r="D14" s="433" t="s">
        <v>818</v>
      </c>
      <c r="E14" s="431" t="s">
        <v>819</v>
      </c>
      <c r="F14" s="432" t="s">
        <v>820</v>
      </c>
      <c r="G14" s="432"/>
      <c r="H14" s="432"/>
      <c r="I14" s="431"/>
      <c r="J14" s="431"/>
      <c r="K14" s="431"/>
      <c r="L14" s="431"/>
      <c r="M14" s="431"/>
      <c r="N14" s="431"/>
      <c r="O14" s="431"/>
      <c r="P14" s="431"/>
      <c r="Q14" s="1100" t="s">
        <v>760</v>
      </c>
      <c r="R14" s="1101"/>
      <c r="S14" s="1101"/>
      <c r="T14" s="1101"/>
      <c r="U14" s="1102"/>
    </row>
    <row r="15" spans="1:21" ht="20.100000000000001" customHeight="1" thickBot="1" x14ac:dyDescent="0.25">
      <c r="A15" s="430"/>
      <c r="B15" s="429"/>
      <c r="C15" s="427"/>
      <c r="D15" s="427"/>
      <c r="E15" s="427"/>
      <c r="F15" s="428"/>
      <c r="G15" s="428"/>
      <c r="H15" s="428"/>
      <c r="I15" s="427"/>
      <c r="J15" s="427"/>
      <c r="K15" s="427"/>
      <c r="L15" s="428"/>
      <c r="M15" s="427"/>
      <c r="N15" s="427"/>
      <c r="O15" s="427"/>
      <c r="P15" s="427"/>
      <c r="Q15" s="1096"/>
      <c r="R15" s="1096"/>
      <c r="S15" s="1096"/>
      <c r="T15" s="1096"/>
      <c r="U15" s="1097"/>
    </row>
    <row r="16" spans="1:21" x14ac:dyDescent="0.2">
      <c r="A16" s="397" t="s">
        <v>189</v>
      </c>
      <c r="B16" s="313"/>
      <c r="C16" s="313"/>
      <c r="D16" s="313"/>
      <c r="E16" s="313"/>
      <c r="F16" s="313"/>
      <c r="G16" s="313"/>
      <c r="H16" s="313"/>
      <c r="I16" s="313"/>
      <c r="J16" s="313"/>
      <c r="K16" s="313"/>
      <c r="L16" s="313"/>
      <c r="M16" s="313"/>
      <c r="N16" s="313"/>
      <c r="O16" s="313"/>
      <c r="P16" s="313"/>
      <c r="Q16" s="313"/>
      <c r="R16" s="313"/>
      <c r="S16" s="313"/>
      <c r="T16" s="313"/>
      <c r="U16" s="312"/>
    </row>
    <row r="17" spans="1:21" x14ac:dyDescent="0.2">
      <c r="A17" s="426" t="s">
        <v>778</v>
      </c>
      <c r="U17" s="310"/>
    </row>
    <row r="18" spans="1:21" x14ac:dyDescent="0.2">
      <c r="A18" s="426" t="s">
        <v>821</v>
      </c>
      <c r="U18" s="310"/>
    </row>
    <row r="19" spans="1:21" ht="13.5" thickBot="1" x14ac:dyDescent="0.25">
      <c r="A19" s="392"/>
      <c r="B19" s="308"/>
      <c r="C19" s="308"/>
      <c r="D19" s="308"/>
      <c r="E19" s="308"/>
      <c r="F19" s="308"/>
      <c r="G19" s="308"/>
      <c r="H19" s="308"/>
      <c r="I19" s="308"/>
      <c r="J19" s="308"/>
      <c r="K19" s="308"/>
      <c r="L19" s="308"/>
      <c r="M19" s="308"/>
      <c r="N19" s="308"/>
      <c r="O19" s="308"/>
      <c r="P19" s="308"/>
      <c r="Q19" s="308"/>
      <c r="R19" s="308"/>
      <c r="S19" s="308"/>
      <c r="T19" s="308"/>
      <c r="U19" s="307"/>
    </row>
  </sheetData>
  <mergeCells count="17">
    <mergeCell ref="F10:F12"/>
    <mergeCell ref="A10:A12"/>
    <mergeCell ref="B10:B12"/>
    <mergeCell ref="C10:C12"/>
    <mergeCell ref="D10:D12"/>
    <mergeCell ref="E10:E12"/>
    <mergeCell ref="Q1:U8"/>
    <mergeCell ref="G10:G12"/>
    <mergeCell ref="Q10:U12"/>
    <mergeCell ref="O10:P11"/>
    <mergeCell ref="Q15:U15"/>
    <mergeCell ref="Q13:U13"/>
    <mergeCell ref="Q14:U14"/>
    <mergeCell ref="H10:H12"/>
    <mergeCell ref="M10:N11"/>
    <mergeCell ref="I10:I12"/>
    <mergeCell ref="J10:L11"/>
  </mergeCells>
  <pageMargins left="0.7" right="0.7" top="0.75" bottom="0.75" header="0.3" footer="0.3"/>
  <pageSetup paperSize="9" scale="70"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19CAF-BA5C-4FD7-8508-3606386E04B0}">
  <sheetPr>
    <tabColor rgb="FF92D050"/>
    <pageSetUpPr fitToPage="1"/>
  </sheetPr>
  <dimension ref="A1:S23"/>
  <sheetViews>
    <sheetView zoomScaleNormal="100" workbookViewId="0">
      <selection activeCell="R1" sqref="R1:S8"/>
    </sheetView>
  </sheetViews>
  <sheetFormatPr defaultColWidth="9.140625" defaultRowHeight="12.75" x14ac:dyDescent="0.2"/>
  <cols>
    <col min="1" max="1" width="10.7109375" style="80" customWidth="1"/>
    <col min="2" max="2" width="22.28515625" style="80" customWidth="1"/>
    <col min="3" max="3" width="12.28515625" style="80" customWidth="1"/>
    <col min="4" max="4" width="9.140625" style="80" customWidth="1"/>
    <col min="5" max="5" width="11.85546875" style="80" customWidth="1"/>
    <col min="6" max="9" width="10.28515625" style="80" customWidth="1"/>
    <col min="10" max="10" width="8.42578125" style="80" customWidth="1"/>
    <col min="11" max="11" width="8.7109375" style="80" customWidth="1"/>
    <col min="12" max="12" width="7.140625" style="80" customWidth="1"/>
    <col min="13" max="13" width="5.28515625" style="80" customWidth="1"/>
    <col min="14" max="14" width="5.140625" style="80" customWidth="1"/>
    <col min="15" max="15" width="5.28515625" style="80" customWidth="1"/>
    <col min="16" max="18" width="9.140625" style="80"/>
    <col min="19" max="19" width="21.140625" style="80" customWidth="1"/>
    <col min="20" max="16384" width="9.140625" style="80"/>
  </cols>
  <sheetData>
    <row r="1" spans="1:19" ht="6.75" customHeight="1" x14ac:dyDescent="0.2">
      <c r="A1" s="138"/>
      <c r="B1" s="137"/>
      <c r="C1" s="156"/>
      <c r="D1" s="134"/>
      <c r="E1" s="134"/>
      <c r="F1" s="134"/>
      <c r="G1" s="134"/>
      <c r="H1" s="134"/>
      <c r="I1" s="134"/>
      <c r="J1" s="134"/>
      <c r="K1" s="134"/>
      <c r="L1" s="134"/>
      <c r="M1" s="134"/>
      <c r="N1" s="134"/>
      <c r="O1" s="134"/>
      <c r="P1" s="134"/>
      <c r="Q1" s="133"/>
      <c r="R1" s="890"/>
      <c r="S1" s="891"/>
    </row>
    <row r="2" spans="1:19" ht="12.75" customHeight="1" x14ac:dyDescent="0.2">
      <c r="A2" s="131"/>
      <c r="B2" s="130"/>
      <c r="C2" s="343"/>
      <c r="D2" s="118"/>
      <c r="E2" s="369" t="s">
        <v>71</v>
      </c>
      <c r="F2" s="364">
        <f>'PROJECT SUMMARY'!D3</f>
        <v>0</v>
      </c>
      <c r="G2" s="368"/>
      <c r="H2" s="368"/>
      <c r="I2" s="368"/>
      <c r="J2" s="463"/>
      <c r="K2" s="463"/>
      <c r="L2" s="463"/>
      <c r="M2" s="118"/>
      <c r="N2" s="118"/>
      <c r="O2" s="118"/>
      <c r="P2" s="118"/>
      <c r="Q2" s="117"/>
      <c r="R2" s="892"/>
      <c r="S2" s="893"/>
    </row>
    <row r="3" spans="1:19" ht="12.75" customHeight="1" x14ac:dyDescent="0.2">
      <c r="A3" s="131"/>
      <c r="B3" s="130"/>
      <c r="C3" s="343"/>
      <c r="D3" s="118"/>
      <c r="E3" s="365" t="s">
        <v>72</v>
      </c>
      <c r="F3" s="364">
        <f>'PROJECT SUMMARY'!D4</f>
        <v>0</v>
      </c>
      <c r="G3" s="367"/>
      <c r="H3" s="367"/>
      <c r="I3" s="367"/>
      <c r="J3" s="460"/>
      <c r="K3" s="460"/>
      <c r="L3" s="460"/>
      <c r="M3" s="118"/>
      <c r="N3" s="118"/>
      <c r="O3" s="118"/>
      <c r="P3" s="118"/>
      <c r="Q3" s="117"/>
      <c r="R3" s="892"/>
      <c r="S3" s="893"/>
    </row>
    <row r="4" spans="1:19" ht="12.75" customHeight="1" x14ac:dyDescent="0.2">
      <c r="A4" s="131"/>
      <c r="B4" s="130"/>
      <c r="C4" s="343"/>
      <c r="D4" s="118"/>
      <c r="E4" s="365" t="s">
        <v>73</v>
      </c>
      <c r="F4" s="367" t="s">
        <v>822</v>
      </c>
      <c r="G4" s="367"/>
      <c r="H4" s="367"/>
      <c r="I4" s="367"/>
      <c r="J4" s="460"/>
      <c r="K4" s="460"/>
      <c r="L4" s="460"/>
      <c r="M4" s="118"/>
      <c r="N4" s="118"/>
      <c r="O4" s="118"/>
      <c r="P4" s="118"/>
      <c r="Q4" s="117"/>
      <c r="R4" s="892"/>
      <c r="S4" s="893"/>
    </row>
    <row r="5" spans="1:19" ht="12.75" customHeight="1" x14ac:dyDescent="0.2">
      <c r="A5" s="131"/>
      <c r="B5" s="130"/>
      <c r="C5" s="343"/>
      <c r="D5" s="118"/>
      <c r="E5" s="365" t="s">
        <v>75</v>
      </c>
      <c r="F5" s="462" t="str">
        <f>'PROJECT SUMMARY'!B42</f>
        <v>KEY-SH-M-50-XXX</v>
      </c>
      <c r="G5" s="367"/>
      <c r="H5" s="367"/>
      <c r="I5" s="367"/>
      <c r="J5" s="460"/>
      <c r="K5" s="460"/>
      <c r="L5" s="460"/>
      <c r="M5" s="118"/>
      <c r="N5" s="118"/>
      <c r="O5" s="118"/>
      <c r="P5" s="118"/>
      <c r="Q5" s="117"/>
      <c r="R5" s="892"/>
      <c r="S5" s="893"/>
    </row>
    <row r="6" spans="1:19" ht="12.75" customHeight="1" x14ac:dyDescent="0.2">
      <c r="A6" s="131"/>
      <c r="B6" s="130"/>
      <c r="C6" s="343"/>
      <c r="D6" s="118"/>
      <c r="E6" s="365" t="s">
        <v>76</v>
      </c>
      <c r="F6" s="462">
        <f>'PROJECT SUMMARY'!C42</f>
        <v>0</v>
      </c>
      <c r="G6" s="367"/>
      <c r="H6" s="367"/>
      <c r="I6" s="367"/>
      <c r="J6" s="460"/>
      <c r="K6" s="460"/>
      <c r="L6" s="460"/>
      <c r="M6" s="118"/>
      <c r="N6" s="118"/>
      <c r="O6" s="118"/>
      <c r="P6" s="118"/>
      <c r="Q6" s="117"/>
      <c r="R6" s="892"/>
      <c r="S6" s="893"/>
    </row>
    <row r="7" spans="1:19" ht="12.75" customHeight="1" x14ac:dyDescent="0.2">
      <c r="A7" s="131"/>
      <c r="B7" s="130"/>
      <c r="C7" s="343"/>
      <c r="D7" s="118"/>
      <c r="E7" s="365" t="s">
        <v>77</v>
      </c>
      <c r="F7" s="461">
        <f>'PROJECT SUMMARY'!D5</f>
        <v>0</v>
      </c>
      <c r="G7" s="367"/>
      <c r="H7" s="367"/>
      <c r="I7" s="367"/>
      <c r="J7" s="460"/>
      <c r="K7" s="460"/>
      <c r="L7" s="460"/>
      <c r="M7" s="118"/>
      <c r="N7" s="118"/>
      <c r="O7" s="118"/>
      <c r="P7" s="118"/>
      <c r="Q7" s="117"/>
      <c r="R7" s="892"/>
      <c r="S7" s="893"/>
    </row>
    <row r="8" spans="1:19" ht="5.25" customHeight="1" thickBot="1" x14ac:dyDescent="0.25">
      <c r="A8" s="131"/>
      <c r="B8" s="130"/>
      <c r="C8" s="120"/>
      <c r="D8" s="153"/>
      <c r="E8" s="153"/>
      <c r="F8" s="153"/>
      <c r="G8" s="153"/>
      <c r="H8" s="153"/>
      <c r="I8" s="153"/>
      <c r="J8" s="153"/>
      <c r="K8" s="153"/>
      <c r="L8" s="153"/>
      <c r="M8" s="153"/>
      <c r="N8" s="153"/>
      <c r="O8" s="153"/>
      <c r="P8" s="153"/>
      <c r="Q8" s="362"/>
      <c r="R8" s="894"/>
      <c r="S8" s="895"/>
    </row>
    <row r="9" spans="1:19" ht="12.75" customHeight="1" x14ac:dyDescent="0.2">
      <c r="A9" s="867" t="s">
        <v>199</v>
      </c>
      <c r="B9" s="857" t="s">
        <v>823</v>
      </c>
      <c r="C9" s="857" t="s">
        <v>111</v>
      </c>
      <c r="D9" s="857" t="s">
        <v>824</v>
      </c>
      <c r="E9" s="873" t="s">
        <v>119</v>
      </c>
      <c r="F9" s="873" t="s">
        <v>825</v>
      </c>
      <c r="G9" s="857" t="s">
        <v>826</v>
      </c>
      <c r="H9" s="873" t="s">
        <v>827</v>
      </c>
      <c r="I9" s="873" t="s">
        <v>828</v>
      </c>
      <c r="J9" s="873" t="s">
        <v>829</v>
      </c>
      <c r="K9" s="857" t="s">
        <v>830</v>
      </c>
      <c r="L9" s="857"/>
      <c r="M9" s="857" t="s">
        <v>453</v>
      </c>
      <c r="N9" s="857"/>
      <c r="O9" s="857"/>
      <c r="P9" s="857" t="s">
        <v>258</v>
      </c>
      <c r="Q9" s="857"/>
      <c r="R9" s="857"/>
      <c r="S9" s="860"/>
    </row>
    <row r="10" spans="1:19" ht="12.75" customHeight="1" x14ac:dyDescent="0.2">
      <c r="A10" s="868"/>
      <c r="B10" s="858"/>
      <c r="C10" s="858"/>
      <c r="D10" s="858"/>
      <c r="E10" s="874"/>
      <c r="F10" s="874"/>
      <c r="G10" s="858"/>
      <c r="H10" s="874"/>
      <c r="I10" s="874"/>
      <c r="J10" s="874"/>
      <c r="K10" s="858"/>
      <c r="L10" s="858"/>
      <c r="M10" s="858"/>
      <c r="N10" s="858"/>
      <c r="O10" s="858"/>
      <c r="P10" s="858"/>
      <c r="Q10" s="858"/>
      <c r="R10" s="858"/>
      <c r="S10" s="861"/>
    </row>
    <row r="11" spans="1:19" ht="23.25" customHeight="1" thickBot="1" x14ac:dyDescent="0.25">
      <c r="A11" s="869"/>
      <c r="B11" s="859"/>
      <c r="C11" s="859"/>
      <c r="D11" s="859"/>
      <c r="E11" s="438" t="s">
        <v>831</v>
      </c>
      <c r="F11" s="438" t="s">
        <v>832</v>
      </c>
      <c r="G11" s="859"/>
      <c r="H11" s="438" t="s">
        <v>833</v>
      </c>
      <c r="I11" s="438" t="s">
        <v>834</v>
      </c>
      <c r="J11" s="438" t="s">
        <v>835</v>
      </c>
      <c r="K11" s="341" t="s">
        <v>836</v>
      </c>
      <c r="L11" s="341" t="s">
        <v>837</v>
      </c>
      <c r="M11" s="341" t="s">
        <v>838</v>
      </c>
      <c r="N11" s="341" t="s">
        <v>839</v>
      </c>
      <c r="O11" s="341" t="s">
        <v>840</v>
      </c>
      <c r="P11" s="859"/>
      <c r="Q11" s="859"/>
      <c r="R11" s="859"/>
      <c r="S11" s="862"/>
    </row>
    <row r="12" spans="1:19" ht="3.75" customHeight="1" thickBot="1" x14ac:dyDescent="0.25">
      <c r="A12" s="459"/>
      <c r="B12" s="458"/>
      <c r="C12" s="458"/>
      <c r="D12" s="458"/>
      <c r="E12" s="458"/>
      <c r="F12" s="458"/>
      <c r="G12" s="458"/>
      <c r="H12" s="458"/>
      <c r="I12" s="458"/>
      <c r="J12" s="458"/>
      <c r="K12" s="458"/>
      <c r="L12" s="458"/>
      <c r="M12" s="458"/>
      <c r="N12" s="458"/>
      <c r="O12" s="458"/>
      <c r="P12" s="1106"/>
      <c r="Q12" s="1106"/>
      <c r="R12" s="1106"/>
      <c r="S12" s="1107"/>
    </row>
    <row r="13" spans="1:19" ht="24.95" customHeight="1" x14ac:dyDescent="0.2">
      <c r="A13" s="457" t="s">
        <v>841</v>
      </c>
      <c r="B13" s="456" t="s">
        <v>842</v>
      </c>
      <c r="C13" s="455"/>
      <c r="D13" s="454">
        <v>1</v>
      </c>
      <c r="E13" s="454">
        <v>8.5</v>
      </c>
      <c r="F13" s="454" t="s">
        <v>843</v>
      </c>
      <c r="G13" s="454"/>
      <c r="H13" s="454">
        <v>40</v>
      </c>
      <c r="I13" s="454"/>
      <c r="J13" s="454"/>
      <c r="K13" s="454"/>
      <c r="L13" s="454"/>
      <c r="M13" s="454"/>
      <c r="N13" s="454"/>
      <c r="O13" s="454"/>
      <c r="P13" s="1108" t="s">
        <v>844</v>
      </c>
      <c r="Q13" s="1108"/>
      <c r="R13" s="1108"/>
      <c r="S13" s="1109"/>
    </row>
    <row r="14" spans="1:19" ht="24.95" customHeight="1" x14ac:dyDescent="0.2">
      <c r="A14" s="453" t="s">
        <v>845</v>
      </c>
      <c r="B14" s="452" t="s">
        <v>846</v>
      </c>
      <c r="C14" s="451"/>
      <c r="D14" s="403">
        <v>1</v>
      </c>
      <c r="E14" s="403">
        <v>8.5</v>
      </c>
      <c r="F14" s="403" t="s">
        <v>843</v>
      </c>
      <c r="G14" s="404"/>
      <c r="H14" s="404">
        <v>40</v>
      </c>
      <c r="I14" s="404"/>
      <c r="J14" s="404"/>
      <c r="K14" s="404"/>
      <c r="L14" s="404"/>
      <c r="M14" s="404"/>
      <c r="N14" s="404"/>
      <c r="O14" s="404"/>
      <c r="P14" s="863" t="s">
        <v>844</v>
      </c>
      <c r="Q14" s="863"/>
      <c r="R14" s="863"/>
      <c r="S14" s="864"/>
    </row>
    <row r="15" spans="1:19" ht="24.95" customHeight="1" x14ac:dyDescent="0.2">
      <c r="A15" s="409"/>
      <c r="B15" s="450"/>
      <c r="C15" s="407"/>
      <c r="D15" s="404"/>
      <c r="E15" s="404"/>
      <c r="F15" s="404"/>
      <c r="G15" s="404"/>
      <c r="H15" s="404"/>
      <c r="I15" s="404"/>
      <c r="J15" s="404"/>
      <c r="K15" s="404"/>
      <c r="L15" s="404"/>
      <c r="M15" s="404"/>
      <c r="N15" s="404"/>
      <c r="O15" s="404"/>
      <c r="P15" s="863"/>
      <c r="Q15" s="863"/>
      <c r="R15" s="863"/>
      <c r="S15" s="864"/>
    </row>
    <row r="16" spans="1:19" ht="24.95" customHeight="1" x14ac:dyDescent="0.2">
      <c r="A16" s="449"/>
      <c r="B16" s="448"/>
      <c r="C16" s="447"/>
      <c r="D16" s="446"/>
      <c r="E16" s="446"/>
      <c r="F16" s="446"/>
      <c r="G16" s="446"/>
      <c r="H16" s="446"/>
      <c r="I16" s="446"/>
      <c r="J16" s="446"/>
      <c r="K16" s="446"/>
      <c r="L16" s="446"/>
      <c r="M16" s="446"/>
      <c r="N16" s="446"/>
      <c r="O16" s="446"/>
      <c r="P16" s="865"/>
      <c r="Q16" s="865"/>
      <c r="R16" s="865"/>
      <c r="S16" s="866"/>
    </row>
    <row r="17" spans="1:19" ht="24.95" customHeight="1" x14ac:dyDescent="0.2">
      <c r="A17" s="449"/>
      <c r="B17" s="448"/>
      <c r="C17" s="447"/>
      <c r="D17" s="446"/>
      <c r="E17" s="446"/>
      <c r="F17" s="446"/>
      <c r="G17" s="446"/>
      <c r="H17" s="446"/>
      <c r="I17" s="446"/>
      <c r="J17" s="446"/>
      <c r="K17" s="446"/>
      <c r="L17" s="446"/>
      <c r="M17" s="446"/>
      <c r="N17" s="446"/>
      <c r="O17" s="446"/>
      <c r="P17" s="865"/>
      <c r="Q17" s="865"/>
      <c r="R17" s="865"/>
      <c r="S17" s="866"/>
    </row>
    <row r="18" spans="1:19" ht="24.95" customHeight="1" x14ac:dyDescent="0.2">
      <c r="A18" s="449"/>
      <c r="B18" s="448"/>
      <c r="C18" s="447"/>
      <c r="D18" s="446"/>
      <c r="E18" s="446"/>
      <c r="F18" s="446"/>
      <c r="G18" s="446"/>
      <c r="H18" s="446"/>
      <c r="I18" s="446"/>
      <c r="J18" s="446"/>
      <c r="K18" s="446"/>
      <c r="L18" s="446"/>
      <c r="M18" s="446"/>
      <c r="N18" s="446"/>
      <c r="O18" s="446"/>
      <c r="P18" s="865"/>
      <c r="Q18" s="865"/>
      <c r="R18" s="865"/>
      <c r="S18" s="866"/>
    </row>
    <row r="19" spans="1:19" ht="24.95" customHeight="1" thickBot="1" x14ac:dyDescent="0.25">
      <c r="A19" s="449"/>
      <c r="B19" s="448"/>
      <c r="C19" s="447"/>
      <c r="D19" s="446"/>
      <c r="E19" s="446"/>
      <c r="F19" s="446"/>
      <c r="G19" s="446"/>
      <c r="H19" s="446"/>
      <c r="I19" s="446"/>
      <c r="J19" s="446"/>
      <c r="K19" s="446"/>
      <c r="L19" s="446"/>
      <c r="M19" s="446"/>
      <c r="N19" s="446"/>
      <c r="O19" s="446"/>
      <c r="P19" s="865"/>
      <c r="Q19" s="865"/>
      <c r="R19" s="865"/>
      <c r="S19" s="866"/>
    </row>
    <row r="20" spans="1:19" x14ac:dyDescent="0.2">
      <c r="A20" s="397" t="s">
        <v>189</v>
      </c>
      <c r="B20" s="396"/>
      <c r="C20" s="396"/>
      <c r="D20" s="396"/>
      <c r="E20" s="396"/>
      <c r="F20" s="396"/>
      <c r="G20" s="396"/>
      <c r="H20" s="396"/>
      <c r="I20" s="396"/>
      <c r="J20" s="396"/>
      <c r="K20" s="396"/>
      <c r="L20" s="396"/>
      <c r="M20" s="396"/>
      <c r="N20" s="396"/>
      <c r="O20" s="396"/>
      <c r="P20" s="396"/>
      <c r="Q20" s="396"/>
      <c r="R20" s="396"/>
      <c r="S20" s="395"/>
    </row>
    <row r="21" spans="1:19" x14ac:dyDescent="0.2">
      <c r="A21" s="426" t="s">
        <v>847</v>
      </c>
      <c r="B21" s="139"/>
      <c r="C21" s="139"/>
      <c r="D21" s="139"/>
      <c r="E21" s="139"/>
      <c r="F21" s="139"/>
      <c r="G21" s="139"/>
      <c r="H21" s="139"/>
      <c r="I21" s="139"/>
      <c r="J21" s="139"/>
      <c r="K21" s="139"/>
      <c r="L21" s="139"/>
      <c r="M21" s="139"/>
      <c r="N21" s="139"/>
      <c r="O21" s="139"/>
      <c r="P21" s="139"/>
      <c r="Q21" s="139"/>
      <c r="R21" s="139"/>
      <c r="S21" s="393"/>
    </row>
    <row r="22" spans="1:19" x14ac:dyDescent="0.2">
      <c r="A22" s="426"/>
      <c r="B22" s="139"/>
      <c r="C22" s="139"/>
      <c r="D22" s="139"/>
      <c r="E22" s="139"/>
      <c r="F22" s="139"/>
      <c r="G22" s="139"/>
      <c r="H22" s="139"/>
      <c r="I22" s="139"/>
      <c r="J22" s="139"/>
      <c r="K22" s="139"/>
      <c r="L22" s="139"/>
      <c r="M22" s="139"/>
      <c r="N22" s="139"/>
      <c r="O22" s="139"/>
      <c r="P22" s="139"/>
      <c r="Q22" s="139"/>
      <c r="R22" s="139"/>
      <c r="S22" s="393"/>
    </row>
    <row r="23" spans="1:19" ht="13.5" thickBot="1" x14ac:dyDescent="0.25">
      <c r="A23" s="392"/>
      <c r="B23" s="391"/>
      <c r="C23" s="391"/>
      <c r="D23" s="391"/>
      <c r="E23" s="391"/>
      <c r="F23" s="391"/>
      <c r="G23" s="391"/>
      <c r="H23" s="391"/>
      <c r="I23" s="391"/>
      <c r="J23" s="391"/>
      <c r="K23" s="391"/>
      <c r="L23" s="391"/>
      <c r="M23" s="391"/>
      <c r="N23" s="391"/>
      <c r="O23" s="391"/>
      <c r="P23" s="391"/>
      <c r="Q23" s="391"/>
      <c r="R23" s="391"/>
      <c r="S23" s="390"/>
    </row>
  </sheetData>
  <mergeCells count="22">
    <mergeCell ref="P19:S19"/>
    <mergeCell ref="R1:S8"/>
    <mergeCell ref="P12:S12"/>
    <mergeCell ref="P16:S16"/>
    <mergeCell ref="H9:H10"/>
    <mergeCell ref="J9:J10"/>
    <mergeCell ref="P13:S13"/>
    <mergeCell ref="P14:S14"/>
    <mergeCell ref="P15:S15"/>
    <mergeCell ref="P17:S17"/>
    <mergeCell ref="P18:S18"/>
    <mergeCell ref="B9:B11"/>
    <mergeCell ref="A9:A11"/>
    <mergeCell ref="P9:S11"/>
    <mergeCell ref="M9:O10"/>
    <mergeCell ref="K9:L10"/>
    <mergeCell ref="G9:G11"/>
    <mergeCell ref="F9:F10"/>
    <mergeCell ref="E9:E10"/>
    <mergeCell ref="I9:I10"/>
    <mergeCell ref="C9:C11"/>
    <mergeCell ref="D9:D11"/>
  </mergeCells>
  <pageMargins left="0.7" right="0.7" top="0.75" bottom="0.75" header="0.3" footer="0.3"/>
  <pageSetup paperSize="9" scale="77"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CF4B8-5C3E-48AD-97D4-CD53052518B1}">
  <sheetPr>
    <tabColor rgb="FF92D050"/>
    <pageSetUpPr fitToPage="1"/>
  </sheetPr>
  <dimension ref="A1:W25"/>
  <sheetViews>
    <sheetView topLeftCell="C1" zoomScaleNormal="100" workbookViewId="0">
      <selection activeCell="W1" sqref="W1:W8"/>
    </sheetView>
  </sheetViews>
  <sheetFormatPr defaultColWidth="9.140625" defaultRowHeight="12.75" x14ac:dyDescent="0.2"/>
  <cols>
    <col min="1" max="1" width="10.7109375" style="80" customWidth="1"/>
    <col min="2" max="2" width="24" style="80" customWidth="1"/>
    <col min="3" max="3" width="14" style="80" customWidth="1"/>
    <col min="4" max="4" width="9.140625" style="80" customWidth="1"/>
    <col min="5" max="5" width="11.85546875" style="80" customWidth="1"/>
    <col min="6" max="9" width="10.28515625" style="80" customWidth="1"/>
    <col min="10" max="10" width="11.42578125" style="80" customWidth="1"/>
    <col min="11" max="13" width="10.28515625" style="80" customWidth="1"/>
    <col min="14" max="14" width="11.85546875" style="80" customWidth="1"/>
    <col min="15" max="15" width="8.42578125" style="80" customWidth="1"/>
    <col min="16" max="16" width="8.7109375" style="80" customWidth="1"/>
    <col min="17" max="17" width="7.140625" style="80" customWidth="1"/>
    <col min="18" max="18" width="5.28515625" style="80" customWidth="1"/>
    <col min="19" max="19" width="5.140625" style="80" customWidth="1"/>
    <col min="20" max="20" width="5.28515625" style="80" customWidth="1"/>
    <col min="21" max="22" width="9.140625" style="80"/>
    <col min="23" max="23" width="32.28515625" style="80" customWidth="1"/>
    <col min="24" max="16384" width="9.140625" style="80"/>
  </cols>
  <sheetData>
    <row r="1" spans="1:23" ht="6.75" customHeight="1" x14ac:dyDescent="0.2">
      <c r="A1" s="138"/>
      <c r="B1" s="137"/>
      <c r="C1" s="385"/>
      <c r="D1" s="334"/>
      <c r="E1" s="335"/>
      <c r="F1" s="334"/>
      <c r="G1" s="334"/>
      <c r="H1" s="334"/>
      <c r="I1" s="334"/>
      <c r="J1" s="334"/>
      <c r="K1" s="334"/>
      <c r="L1" s="334"/>
      <c r="M1" s="334"/>
      <c r="N1" s="334"/>
      <c r="O1" s="334"/>
      <c r="P1" s="334"/>
      <c r="Q1" s="334"/>
      <c r="R1" s="334"/>
      <c r="S1" s="334"/>
      <c r="T1" s="334"/>
      <c r="U1" s="334"/>
      <c r="V1" s="333"/>
      <c r="W1" s="811"/>
    </row>
    <row r="2" spans="1:23" ht="12.75" customHeight="1" x14ac:dyDescent="0.2">
      <c r="A2" s="131"/>
      <c r="B2" s="130"/>
      <c r="C2" s="151"/>
      <c r="D2" s="124"/>
      <c r="E2" s="150" t="s">
        <v>71</v>
      </c>
      <c r="F2" s="473">
        <f>'PROJECT SUMMARY'!D3</f>
        <v>0</v>
      </c>
      <c r="G2" s="132"/>
      <c r="H2" s="132"/>
      <c r="I2" s="132"/>
      <c r="J2" s="132"/>
      <c r="K2" s="132"/>
      <c r="L2" s="132"/>
      <c r="M2" s="132"/>
      <c r="N2" s="132"/>
      <c r="O2" s="476"/>
      <c r="P2" s="476"/>
      <c r="Q2" s="476"/>
      <c r="R2" s="124"/>
      <c r="S2" s="124"/>
      <c r="T2" s="124"/>
      <c r="U2" s="124"/>
      <c r="V2" s="123"/>
      <c r="W2" s="812"/>
    </row>
    <row r="3" spans="1:23" ht="12.75" customHeight="1" x14ac:dyDescent="0.2">
      <c r="A3" s="131"/>
      <c r="B3" s="130"/>
      <c r="C3" s="151"/>
      <c r="D3" s="124"/>
      <c r="E3" s="128" t="s">
        <v>72</v>
      </c>
      <c r="F3" s="473">
        <f>'PROJECT SUMMARY'!D4</f>
        <v>0</v>
      </c>
      <c r="G3" s="126"/>
      <c r="H3" s="126"/>
      <c r="I3" s="126"/>
      <c r="J3" s="126"/>
      <c r="K3" s="126"/>
      <c r="L3" s="126"/>
      <c r="M3" s="126"/>
      <c r="N3" s="126"/>
      <c r="O3" s="475"/>
      <c r="P3" s="475"/>
      <c r="Q3" s="475"/>
      <c r="R3" s="124"/>
      <c r="S3" s="124"/>
      <c r="T3" s="124"/>
      <c r="U3" s="124"/>
      <c r="V3" s="123"/>
      <c r="W3" s="812"/>
    </row>
    <row r="4" spans="1:23" ht="12.75" customHeight="1" x14ac:dyDescent="0.2">
      <c r="A4" s="131"/>
      <c r="B4" s="130"/>
      <c r="C4" s="151"/>
      <c r="D4" s="124"/>
      <c r="E4" s="128" t="s">
        <v>73</v>
      </c>
      <c r="F4" s="126" t="s">
        <v>848</v>
      </c>
      <c r="G4" s="126"/>
      <c r="H4" s="126"/>
      <c r="I4" s="126"/>
      <c r="J4" s="126"/>
      <c r="K4" s="126"/>
      <c r="L4" s="126"/>
      <c r="M4" s="126"/>
      <c r="N4" s="126"/>
      <c r="O4" s="475"/>
      <c r="P4" s="475"/>
      <c r="Q4" s="475"/>
      <c r="R4" s="124"/>
      <c r="S4" s="124"/>
      <c r="T4" s="124"/>
      <c r="U4" s="124"/>
      <c r="V4" s="123"/>
      <c r="W4" s="812"/>
    </row>
    <row r="5" spans="1:23" ht="12.75" customHeight="1" x14ac:dyDescent="0.2">
      <c r="A5" s="131"/>
      <c r="B5" s="130"/>
      <c r="C5" s="151"/>
      <c r="D5" s="124"/>
      <c r="E5" s="128" t="s">
        <v>75</v>
      </c>
      <c r="F5" s="331" t="str">
        <f>'PROJECT SUMMARY'!B43</f>
        <v>KEY-SH-M-50-XXX</v>
      </c>
      <c r="G5" s="126"/>
      <c r="H5" s="126"/>
      <c r="I5" s="126"/>
      <c r="J5" s="126"/>
      <c r="K5" s="126"/>
      <c r="L5" s="126"/>
      <c r="M5" s="126"/>
      <c r="N5" s="126"/>
      <c r="O5" s="475"/>
      <c r="P5" s="475"/>
      <c r="Q5" s="475"/>
      <c r="R5" s="124"/>
      <c r="S5" s="124"/>
      <c r="T5" s="124"/>
      <c r="U5" s="124"/>
      <c r="V5" s="123"/>
      <c r="W5" s="812"/>
    </row>
    <row r="6" spans="1:23" ht="12.75" customHeight="1" x14ac:dyDescent="0.2">
      <c r="A6" s="131"/>
      <c r="B6" s="130"/>
      <c r="C6" s="151"/>
      <c r="D6" s="124"/>
      <c r="E6" s="128" t="s">
        <v>76</v>
      </c>
      <c r="F6" s="473">
        <f>'PROJECT SUMMARY'!C43</f>
        <v>0</v>
      </c>
      <c r="G6" s="126"/>
      <c r="H6" s="126"/>
      <c r="I6" s="126"/>
      <c r="J6" s="126"/>
      <c r="K6" s="126"/>
      <c r="L6" s="126"/>
      <c r="M6" s="126"/>
      <c r="N6" s="126"/>
      <c r="O6" s="475"/>
      <c r="P6" s="475"/>
      <c r="Q6" s="475"/>
      <c r="R6" s="124"/>
      <c r="S6" s="124"/>
      <c r="T6" s="124"/>
      <c r="U6" s="124"/>
      <c r="V6" s="123"/>
      <c r="W6" s="812"/>
    </row>
    <row r="7" spans="1:23" ht="12.75" customHeight="1" x14ac:dyDescent="0.2">
      <c r="A7" s="131"/>
      <c r="B7" s="130"/>
      <c r="C7" s="151"/>
      <c r="D7" s="124"/>
      <c r="E7" s="128" t="s">
        <v>77</v>
      </c>
      <c r="F7" s="473">
        <f>'PROJECT SUMMARY'!D5</f>
        <v>0</v>
      </c>
      <c r="G7" s="126"/>
      <c r="H7" s="126"/>
      <c r="I7" s="126"/>
      <c r="J7" s="126"/>
      <c r="K7" s="126"/>
      <c r="L7" s="126"/>
      <c r="M7" s="126"/>
      <c r="N7" s="126"/>
      <c r="O7" s="475"/>
      <c r="P7" s="475"/>
      <c r="Q7" s="475"/>
      <c r="R7" s="124"/>
      <c r="S7" s="124"/>
      <c r="T7" s="124"/>
      <c r="U7" s="124"/>
      <c r="V7" s="123"/>
      <c r="W7" s="812"/>
    </row>
    <row r="8" spans="1:23" ht="5.25" customHeight="1" thickBot="1" x14ac:dyDescent="0.25">
      <c r="A8" s="131"/>
      <c r="B8" s="130"/>
      <c r="C8" s="380"/>
      <c r="D8" s="329"/>
      <c r="E8" s="330"/>
      <c r="F8" s="329"/>
      <c r="G8" s="329"/>
      <c r="H8" s="329"/>
      <c r="I8" s="329"/>
      <c r="J8" s="329"/>
      <c r="K8" s="329"/>
      <c r="L8" s="329"/>
      <c r="M8" s="329"/>
      <c r="N8" s="329"/>
      <c r="O8" s="329"/>
      <c r="P8" s="329"/>
      <c r="Q8" s="329"/>
      <c r="R8" s="329"/>
      <c r="S8" s="329"/>
      <c r="T8" s="329"/>
      <c r="U8" s="329"/>
      <c r="V8" s="328"/>
      <c r="W8" s="813"/>
    </row>
    <row r="9" spans="1:23" ht="12.75" customHeight="1" x14ac:dyDescent="0.2">
      <c r="A9" s="867" t="s">
        <v>199</v>
      </c>
      <c r="B9" s="857" t="s">
        <v>823</v>
      </c>
      <c r="C9" s="857" t="s">
        <v>111</v>
      </c>
      <c r="D9" s="857" t="s">
        <v>824</v>
      </c>
      <c r="E9" s="873" t="s">
        <v>825</v>
      </c>
      <c r="F9" s="873" t="s">
        <v>849</v>
      </c>
      <c r="G9" s="857" t="s">
        <v>850</v>
      </c>
      <c r="H9" s="857" t="s">
        <v>826</v>
      </c>
      <c r="I9" s="857" t="s">
        <v>851</v>
      </c>
      <c r="J9" s="857" t="s">
        <v>852</v>
      </c>
      <c r="K9" s="857" t="s">
        <v>853</v>
      </c>
      <c r="L9" s="857" t="s">
        <v>854</v>
      </c>
      <c r="M9" s="857" t="s">
        <v>855</v>
      </c>
      <c r="N9" s="857" t="s">
        <v>856</v>
      </c>
      <c r="O9" s="873" t="s">
        <v>829</v>
      </c>
      <c r="P9" s="857" t="s">
        <v>830</v>
      </c>
      <c r="Q9" s="857"/>
      <c r="R9" s="857" t="s">
        <v>453</v>
      </c>
      <c r="S9" s="857"/>
      <c r="T9" s="857"/>
      <c r="U9" s="857" t="s">
        <v>258</v>
      </c>
      <c r="V9" s="857"/>
      <c r="W9" s="860"/>
    </row>
    <row r="10" spans="1:23" ht="12.75" customHeight="1" x14ac:dyDescent="0.2">
      <c r="A10" s="868"/>
      <c r="B10" s="858"/>
      <c r="C10" s="858"/>
      <c r="D10" s="858"/>
      <c r="E10" s="874"/>
      <c r="F10" s="874"/>
      <c r="G10" s="858"/>
      <c r="H10" s="858"/>
      <c r="I10" s="858"/>
      <c r="J10" s="858"/>
      <c r="K10" s="858"/>
      <c r="L10" s="858"/>
      <c r="M10" s="858"/>
      <c r="N10" s="858"/>
      <c r="O10" s="874"/>
      <c r="P10" s="858"/>
      <c r="Q10" s="858"/>
      <c r="R10" s="858"/>
      <c r="S10" s="858"/>
      <c r="T10" s="858"/>
      <c r="U10" s="858"/>
      <c r="V10" s="858"/>
      <c r="W10" s="861"/>
    </row>
    <row r="11" spans="1:23" ht="23.25" customHeight="1" thickBot="1" x14ac:dyDescent="0.25">
      <c r="A11" s="869"/>
      <c r="B11" s="859"/>
      <c r="C11" s="859"/>
      <c r="D11" s="859"/>
      <c r="E11" s="438" t="s">
        <v>832</v>
      </c>
      <c r="F11" s="438" t="s">
        <v>831</v>
      </c>
      <c r="G11" s="859"/>
      <c r="H11" s="859"/>
      <c r="I11" s="859"/>
      <c r="J11" s="859"/>
      <c r="K11" s="859"/>
      <c r="L11" s="859"/>
      <c r="M11" s="859"/>
      <c r="N11" s="859"/>
      <c r="O11" s="438" t="s">
        <v>835</v>
      </c>
      <c r="P11" s="341" t="s">
        <v>857</v>
      </c>
      <c r="Q11" s="341" t="s">
        <v>837</v>
      </c>
      <c r="R11" s="341" t="s">
        <v>838</v>
      </c>
      <c r="S11" s="341" t="s">
        <v>839</v>
      </c>
      <c r="T11" s="341" t="s">
        <v>840</v>
      </c>
      <c r="U11" s="859"/>
      <c r="V11" s="859"/>
      <c r="W11" s="862"/>
    </row>
    <row r="12" spans="1:23" ht="3.75" customHeight="1" thickBot="1" x14ac:dyDescent="0.25">
      <c r="A12" s="459"/>
      <c r="B12" s="458"/>
      <c r="C12" s="458"/>
      <c r="D12" s="458"/>
      <c r="E12" s="458"/>
      <c r="F12" s="458"/>
      <c r="G12" s="458"/>
      <c r="H12" s="458"/>
      <c r="I12" s="458"/>
      <c r="J12" s="458"/>
      <c r="K12" s="458"/>
      <c r="L12" s="458"/>
      <c r="M12" s="458"/>
      <c r="N12" s="458"/>
      <c r="O12" s="458"/>
      <c r="P12" s="458"/>
      <c r="Q12" s="458"/>
      <c r="R12" s="458"/>
      <c r="S12" s="458"/>
      <c r="T12" s="458"/>
      <c r="U12" s="1106"/>
      <c r="V12" s="1106"/>
      <c r="W12" s="1107"/>
    </row>
    <row r="13" spans="1:23" ht="45.75" customHeight="1" x14ac:dyDescent="0.2">
      <c r="A13" s="457" t="s">
        <v>858</v>
      </c>
      <c r="B13" s="456" t="s">
        <v>859</v>
      </c>
      <c r="C13" s="455" t="s">
        <v>860</v>
      </c>
      <c r="D13" s="454">
        <v>1</v>
      </c>
      <c r="E13" s="454">
        <v>800</v>
      </c>
      <c r="F13" s="454">
        <v>80</v>
      </c>
      <c r="G13" s="454" t="s">
        <v>861</v>
      </c>
      <c r="H13" s="454"/>
      <c r="I13" s="454" t="s">
        <v>862</v>
      </c>
      <c r="J13" s="454" t="s">
        <v>863</v>
      </c>
      <c r="K13" s="454"/>
      <c r="L13" s="454"/>
      <c r="M13" s="454"/>
      <c r="N13" s="474" t="s">
        <v>864</v>
      </c>
      <c r="O13" s="454"/>
      <c r="P13" s="454" t="s">
        <v>865</v>
      </c>
      <c r="Q13" s="454"/>
      <c r="R13" s="454"/>
      <c r="S13" s="454"/>
      <c r="T13" s="454"/>
      <c r="U13" s="1108" t="s">
        <v>866</v>
      </c>
      <c r="V13" s="1108"/>
      <c r="W13" s="1109"/>
    </row>
    <row r="14" spans="1:23" ht="24.95" customHeight="1" x14ac:dyDescent="0.2">
      <c r="A14" s="449"/>
      <c r="B14" s="448"/>
      <c r="C14" s="447"/>
      <c r="D14" s="446"/>
      <c r="E14" s="446"/>
      <c r="F14" s="446"/>
      <c r="G14" s="446"/>
      <c r="H14" s="446"/>
      <c r="I14" s="446"/>
      <c r="J14" s="446"/>
      <c r="K14" s="446"/>
      <c r="L14" s="446"/>
      <c r="M14" s="446"/>
      <c r="N14" s="446"/>
      <c r="O14" s="446"/>
      <c r="P14" s="446"/>
      <c r="Q14" s="446"/>
      <c r="R14" s="446"/>
      <c r="S14" s="446"/>
      <c r="T14" s="446"/>
      <c r="U14" s="865"/>
      <c r="V14" s="865"/>
      <c r="W14" s="866"/>
    </row>
    <row r="15" spans="1:23" ht="24.95" customHeight="1" x14ac:dyDescent="0.2">
      <c r="A15" s="449"/>
      <c r="B15" s="448"/>
      <c r="C15" s="447"/>
      <c r="D15" s="446"/>
      <c r="E15" s="446"/>
      <c r="F15" s="446"/>
      <c r="G15" s="446"/>
      <c r="H15" s="446"/>
      <c r="I15" s="446"/>
      <c r="J15" s="446"/>
      <c r="K15" s="446"/>
      <c r="L15" s="446"/>
      <c r="M15" s="446"/>
      <c r="N15" s="446"/>
      <c r="O15" s="446"/>
      <c r="P15" s="446"/>
      <c r="Q15" s="446"/>
      <c r="R15" s="446"/>
      <c r="S15" s="446"/>
      <c r="T15" s="446"/>
      <c r="U15" s="865"/>
      <c r="V15" s="865"/>
      <c r="W15" s="866"/>
    </row>
    <row r="16" spans="1:23" ht="24.95" customHeight="1" x14ac:dyDescent="0.2">
      <c r="A16" s="449"/>
      <c r="B16" s="448"/>
      <c r="C16" s="447"/>
      <c r="D16" s="446"/>
      <c r="E16" s="446"/>
      <c r="F16" s="446"/>
      <c r="G16" s="446"/>
      <c r="H16" s="446"/>
      <c r="I16" s="446"/>
      <c r="J16" s="446"/>
      <c r="K16" s="446"/>
      <c r="L16" s="446"/>
      <c r="M16" s="446"/>
      <c r="N16" s="446"/>
      <c r="O16" s="446"/>
      <c r="P16" s="446"/>
      <c r="Q16" s="446"/>
      <c r="R16" s="446"/>
      <c r="S16" s="446"/>
      <c r="T16" s="446"/>
      <c r="U16" s="865"/>
      <c r="V16" s="865"/>
      <c r="W16" s="866"/>
    </row>
    <row r="17" spans="1:23" ht="24.95" customHeight="1" x14ac:dyDescent="0.2">
      <c r="A17" s="449"/>
      <c r="B17" s="448"/>
      <c r="C17" s="447"/>
      <c r="D17" s="446"/>
      <c r="E17" s="446"/>
      <c r="F17" s="446"/>
      <c r="G17" s="446"/>
      <c r="H17" s="446"/>
      <c r="I17" s="446"/>
      <c r="J17" s="446"/>
      <c r="K17" s="446"/>
      <c r="L17" s="446"/>
      <c r="M17" s="446"/>
      <c r="N17" s="446"/>
      <c r="O17" s="446"/>
      <c r="P17" s="446"/>
      <c r="Q17" s="446"/>
      <c r="R17" s="446"/>
      <c r="S17" s="446"/>
      <c r="T17" s="446"/>
      <c r="U17" s="865"/>
      <c r="V17" s="865"/>
      <c r="W17" s="866"/>
    </row>
    <row r="18" spans="1:23" ht="24.95" customHeight="1" x14ac:dyDescent="0.2">
      <c r="A18" s="449"/>
      <c r="B18" s="448"/>
      <c r="C18" s="447"/>
      <c r="D18" s="446"/>
      <c r="E18" s="446"/>
      <c r="F18" s="446"/>
      <c r="G18" s="446"/>
      <c r="H18" s="446"/>
      <c r="I18" s="446"/>
      <c r="J18" s="446"/>
      <c r="K18" s="446"/>
      <c r="L18" s="446"/>
      <c r="M18" s="446"/>
      <c r="N18" s="446"/>
      <c r="O18" s="446"/>
      <c r="P18" s="446"/>
      <c r="Q18" s="446"/>
      <c r="R18" s="446"/>
      <c r="S18" s="446"/>
      <c r="T18" s="446"/>
      <c r="U18" s="865"/>
      <c r="V18" s="865"/>
      <c r="W18" s="866"/>
    </row>
    <row r="19" spans="1:23" ht="20.100000000000001" customHeight="1" x14ac:dyDescent="0.2">
      <c r="A19" s="449"/>
      <c r="B19" s="448"/>
      <c r="C19" s="447"/>
      <c r="D19" s="446"/>
      <c r="E19" s="446"/>
      <c r="F19" s="446"/>
      <c r="G19" s="446"/>
      <c r="H19" s="446"/>
      <c r="I19" s="446"/>
      <c r="J19" s="446"/>
      <c r="K19" s="446"/>
      <c r="L19" s="446"/>
      <c r="M19" s="446"/>
      <c r="N19" s="446"/>
      <c r="O19" s="446"/>
      <c r="P19" s="446"/>
      <c r="Q19" s="446"/>
      <c r="R19" s="446"/>
      <c r="S19" s="446"/>
      <c r="T19" s="446"/>
      <c r="U19" s="865"/>
      <c r="V19" s="865"/>
      <c r="W19" s="866"/>
    </row>
    <row r="20" spans="1:23" ht="20.100000000000001" customHeight="1" x14ac:dyDescent="0.2">
      <c r="A20" s="467"/>
      <c r="B20" s="445"/>
      <c r="C20" s="465"/>
      <c r="D20" s="465"/>
      <c r="E20" s="465"/>
      <c r="F20" s="465"/>
      <c r="G20" s="465"/>
      <c r="H20" s="465"/>
      <c r="I20" s="465"/>
      <c r="J20" s="465"/>
      <c r="K20" s="465"/>
      <c r="L20" s="465"/>
      <c r="M20" s="465"/>
      <c r="N20" s="465"/>
      <c r="O20" s="465"/>
      <c r="P20" s="465"/>
      <c r="Q20" s="465"/>
      <c r="R20" s="465"/>
      <c r="S20" s="465"/>
      <c r="T20" s="465"/>
      <c r="U20" s="865"/>
      <c r="V20" s="865"/>
      <c r="W20" s="866"/>
    </row>
    <row r="21" spans="1:23" ht="20.100000000000001" customHeight="1" thickBot="1" x14ac:dyDescent="0.25">
      <c r="A21" s="401"/>
      <c r="B21" s="464"/>
      <c r="C21" s="399"/>
      <c r="D21" s="399"/>
      <c r="E21" s="399"/>
      <c r="F21" s="399"/>
      <c r="G21" s="399"/>
      <c r="H21" s="399"/>
      <c r="I21" s="399"/>
      <c r="J21" s="399"/>
      <c r="K21" s="399"/>
      <c r="L21" s="399"/>
      <c r="M21" s="399"/>
      <c r="N21" s="399"/>
      <c r="O21" s="399"/>
      <c r="P21" s="399"/>
      <c r="Q21" s="399"/>
      <c r="R21" s="399"/>
      <c r="S21" s="399"/>
      <c r="T21" s="399"/>
      <c r="U21" s="855"/>
      <c r="V21" s="855"/>
      <c r="W21" s="856"/>
    </row>
    <row r="22" spans="1:23" x14ac:dyDescent="0.2">
      <c r="A22" s="397" t="s">
        <v>189</v>
      </c>
      <c r="B22" s="396"/>
      <c r="C22" s="396"/>
      <c r="D22" s="396"/>
      <c r="E22" s="396"/>
      <c r="F22" s="396"/>
      <c r="G22" s="396"/>
      <c r="H22" s="396"/>
      <c r="I22" s="396"/>
      <c r="J22" s="396"/>
      <c r="K22" s="396"/>
      <c r="L22" s="396"/>
      <c r="M22" s="396"/>
      <c r="N22" s="396"/>
      <c r="O22" s="396"/>
      <c r="P22" s="396"/>
      <c r="Q22" s="396"/>
      <c r="R22" s="396"/>
      <c r="S22" s="396"/>
      <c r="T22" s="396"/>
      <c r="U22" s="396"/>
      <c r="V22" s="396"/>
      <c r="W22" s="395"/>
    </row>
    <row r="23" spans="1:23" x14ac:dyDescent="0.2">
      <c r="A23" s="394" t="s">
        <v>867</v>
      </c>
      <c r="B23" s="139"/>
      <c r="C23" s="139"/>
      <c r="D23" s="139"/>
      <c r="E23" s="139"/>
      <c r="F23" s="139"/>
      <c r="G23" s="139"/>
      <c r="H23" s="139"/>
      <c r="I23" s="139"/>
      <c r="J23" s="139"/>
      <c r="K23" s="139"/>
      <c r="L23" s="139"/>
      <c r="M23" s="139"/>
      <c r="N23" s="139"/>
      <c r="O23" s="139"/>
      <c r="P23" s="139"/>
      <c r="Q23" s="139"/>
      <c r="R23" s="139"/>
      <c r="S23" s="139"/>
      <c r="T23" s="139"/>
      <c r="U23" s="139"/>
      <c r="V23" s="139"/>
      <c r="W23" s="393"/>
    </row>
    <row r="24" spans="1:23" x14ac:dyDescent="0.2">
      <c r="A24" s="394" t="s">
        <v>868</v>
      </c>
      <c r="B24" s="139"/>
      <c r="C24" s="139"/>
      <c r="D24" s="139"/>
      <c r="E24" s="139"/>
      <c r="F24" s="139"/>
      <c r="G24" s="139"/>
      <c r="H24" s="139"/>
      <c r="I24" s="139"/>
      <c r="J24" s="139"/>
      <c r="K24" s="139"/>
      <c r="L24" s="139"/>
      <c r="M24" s="139"/>
      <c r="N24" s="139"/>
      <c r="O24" s="139"/>
      <c r="P24" s="139"/>
      <c r="Q24" s="139"/>
      <c r="R24" s="139"/>
      <c r="S24" s="139"/>
      <c r="T24" s="139"/>
      <c r="U24" s="139"/>
      <c r="V24" s="139"/>
      <c r="W24" s="393"/>
    </row>
    <row r="25" spans="1:23" ht="13.5" thickBot="1" x14ac:dyDescent="0.25">
      <c r="A25" s="392"/>
      <c r="B25" s="391"/>
      <c r="C25" s="391"/>
      <c r="D25" s="391"/>
      <c r="E25" s="391"/>
      <c r="F25" s="391"/>
      <c r="G25" s="391"/>
      <c r="H25" s="391"/>
      <c r="I25" s="391"/>
      <c r="J25" s="391"/>
      <c r="K25" s="391"/>
      <c r="L25" s="391"/>
      <c r="M25" s="391"/>
      <c r="N25" s="391"/>
      <c r="O25" s="391"/>
      <c r="P25" s="391"/>
      <c r="Q25" s="391"/>
      <c r="R25" s="391"/>
      <c r="S25" s="391"/>
      <c r="T25" s="391"/>
      <c r="U25" s="391"/>
      <c r="V25" s="391"/>
      <c r="W25" s="390"/>
    </row>
  </sheetData>
  <mergeCells count="29">
    <mergeCell ref="F9:F10"/>
    <mergeCell ref="B9:B11"/>
    <mergeCell ref="A9:A11"/>
    <mergeCell ref="U9:W11"/>
    <mergeCell ref="R9:T10"/>
    <mergeCell ref="P9:Q10"/>
    <mergeCell ref="M9:M11"/>
    <mergeCell ref="E9:E10"/>
    <mergeCell ref="G9:G11"/>
    <mergeCell ref="C9:C11"/>
    <mergeCell ref="D9:D11"/>
    <mergeCell ref="I9:I11"/>
    <mergeCell ref="K9:K11"/>
    <mergeCell ref="L9:L11"/>
    <mergeCell ref="J9:J11"/>
    <mergeCell ref="H9:H11"/>
    <mergeCell ref="W1:W8"/>
    <mergeCell ref="O9:O10"/>
    <mergeCell ref="U13:W13"/>
    <mergeCell ref="U16:W16"/>
    <mergeCell ref="U14:W14"/>
    <mergeCell ref="U15:W15"/>
    <mergeCell ref="U21:W21"/>
    <mergeCell ref="U12:W12"/>
    <mergeCell ref="U20:W20"/>
    <mergeCell ref="N9:N11"/>
    <mergeCell ref="U19:W19"/>
    <mergeCell ref="U17:W17"/>
    <mergeCell ref="U18:W18"/>
  </mergeCells>
  <pageMargins left="0.7" right="0.7" top="0.75" bottom="0.75" header="0.3" footer="0.3"/>
  <pageSetup paperSize="9" scale="54"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A3609-DC0F-490A-8390-F3CC2624619F}">
  <sheetPr>
    <tabColor rgb="FF92D050"/>
    <pageSetUpPr fitToPage="1"/>
  </sheetPr>
  <dimension ref="A1:Q24"/>
  <sheetViews>
    <sheetView zoomScaleNormal="100" workbookViewId="0">
      <selection activeCell="P1" sqref="P1:Q8"/>
    </sheetView>
  </sheetViews>
  <sheetFormatPr defaultColWidth="9.140625" defaultRowHeight="12.75" x14ac:dyDescent="0.2"/>
  <cols>
    <col min="1" max="1" width="10.7109375" style="80" customWidth="1"/>
    <col min="2" max="2" width="24.140625" style="80" customWidth="1"/>
    <col min="3" max="3" width="10.7109375" style="80" customWidth="1"/>
    <col min="4" max="4" width="15.140625" style="80" customWidth="1"/>
    <col min="5" max="5" width="19.28515625" style="80" customWidth="1"/>
    <col min="6" max="7" width="14.28515625" style="80" customWidth="1"/>
    <col min="8" max="8" width="11" style="80" bestFit="1" customWidth="1"/>
    <col min="9" max="9" width="12.28515625" style="80" bestFit="1" customWidth="1"/>
    <col min="10" max="10" width="12.42578125" style="80" bestFit="1" customWidth="1"/>
    <col min="11" max="11" width="16.140625" style="80" customWidth="1"/>
    <col min="12" max="12" width="17.140625" style="80" customWidth="1"/>
    <col min="13" max="16" width="9.140625" style="80"/>
    <col min="17" max="17" width="21.28515625" style="80" customWidth="1"/>
    <col min="18" max="16384" width="9.140625" style="80"/>
  </cols>
  <sheetData>
    <row r="1" spans="1:17" ht="6.75" customHeight="1" x14ac:dyDescent="0.2">
      <c r="A1" s="138"/>
      <c r="B1" s="137"/>
      <c r="C1" s="385"/>
      <c r="D1" s="334"/>
      <c r="E1" s="334"/>
      <c r="F1" s="334"/>
      <c r="G1" s="334"/>
      <c r="H1" s="384"/>
      <c r="I1" s="334"/>
      <c r="J1" s="334"/>
      <c r="K1" s="334"/>
      <c r="L1" s="334"/>
      <c r="M1" s="334"/>
      <c r="N1" s="334"/>
      <c r="O1" s="333"/>
      <c r="P1" s="890"/>
      <c r="Q1" s="891"/>
    </row>
    <row r="2" spans="1:17" ht="12.75" customHeight="1" x14ac:dyDescent="0.2">
      <c r="A2" s="131"/>
      <c r="B2" s="130"/>
      <c r="C2" s="354" t="s">
        <v>71</v>
      </c>
      <c r="D2" s="352"/>
      <c r="E2" s="332">
        <f>'PROJECT SUMMARY'!D3</f>
        <v>0</v>
      </c>
      <c r="F2" s="125"/>
      <c r="G2" s="125"/>
      <c r="H2" s="125"/>
      <c r="I2" s="125"/>
      <c r="J2" s="125"/>
      <c r="K2" s="132"/>
      <c r="L2" s="124"/>
      <c r="M2" s="124"/>
      <c r="N2" s="124"/>
      <c r="O2" s="123"/>
      <c r="P2" s="892"/>
      <c r="Q2" s="893"/>
    </row>
    <row r="3" spans="1:17" ht="12.75" customHeight="1" x14ac:dyDescent="0.2">
      <c r="A3" s="131"/>
      <c r="B3" s="130"/>
      <c r="C3" s="129" t="s">
        <v>72</v>
      </c>
      <c r="D3" s="352"/>
      <c r="E3" s="331">
        <f>'PROJECT SUMMARY'!D4</f>
        <v>0</v>
      </c>
      <c r="F3" s="125"/>
      <c r="G3" s="125"/>
      <c r="H3" s="125"/>
      <c r="I3" s="125"/>
      <c r="J3" s="125"/>
      <c r="K3" s="126"/>
      <c r="L3" s="124"/>
      <c r="M3" s="124"/>
      <c r="N3" s="124"/>
      <c r="O3" s="123"/>
      <c r="P3" s="892"/>
      <c r="Q3" s="893"/>
    </row>
    <row r="4" spans="1:17" ht="12.75" customHeight="1" x14ac:dyDescent="0.2">
      <c r="A4" s="131"/>
      <c r="B4" s="130"/>
      <c r="C4" s="129" t="s">
        <v>73</v>
      </c>
      <c r="D4" s="124"/>
      <c r="E4" s="331" t="s">
        <v>869</v>
      </c>
      <c r="F4" s="125"/>
      <c r="G4" s="125"/>
      <c r="H4" s="125"/>
      <c r="I4" s="125"/>
      <c r="J4" s="125"/>
      <c r="K4" s="126"/>
      <c r="L4" s="124"/>
      <c r="M4" s="124"/>
      <c r="N4" s="124"/>
      <c r="O4" s="123"/>
      <c r="P4" s="892"/>
      <c r="Q4" s="893"/>
    </row>
    <row r="5" spans="1:17" ht="12.75" customHeight="1" x14ac:dyDescent="0.2">
      <c r="A5" s="131"/>
      <c r="B5" s="130"/>
      <c r="C5" s="129" t="s">
        <v>75</v>
      </c>
      <c r="D5" s="124"/>
      <c r="E5" s="331" t="str">
        <f>'PROJECT SUMMARY'!B44</f>
        <v>KEY-SH-M-50-XXX</v>
      </c>
      <c r="F5" s="125"/>
      <c r="G5" s="125"/>
      <c r="H5" s="125"/>
      <c r="I5" s="125"/>
      <c r="J5" s="125"/>
      <c r="K5" s="126"/>
      <c r="L5" s="124"/>
      <c r="M5" s="124"/>
      <c r="N5" s="124"/>
      <c r="O5" s="123"/>
      <c r="P5" s="892"/>
      <c r="Q5" s="893"/>
    </row>
    <row r="6" spans="1:17" ht="12.75" customHeight="1" x14ac:dyDescent="0.2">
      <c r="A6" s="131"/>
      <c r="B6" s="130"/>
      <c r="C6" s="129" t="s">
        <v>76</v>
      </c>
      <c r="D6" s="124"/>
      <c r="E6" s="331">
        <f>'PROJECT SUMMARY'!C44</f>
        <v>0</v>
      </c>
      <c r="F6" s="125"/>
      <c r="G6" s="125"/>
      <c r="H6" s="125"/>
      <c r="I6" s="125"/>
      <c r="J6" s="125"/>
      <c r="K6" s="126"/>
      <c r="L6" s="124"/>
      <c r="M6" s="124"/>
      <c r="N6" s="124"/>
      <c r="O6" s="123"/>
      <c r="P6" s="892"/>
      <c r="Q6" s="893"/>
    </row>
    <row r="7" spans="1:17" ht="12.75" customHeight="1" x14ac:dyDescent="0.2">
      <c r="A7" s="131"/>
      <c r="B7" s="130"/>
      <c r="C7" s="129" t="s">
        <v>77</v>
      </c>
      <c r="D7" s="124"/>
      <c r="E7" s="331">
        <f>'PROJECT SUMMARY'!D5</f>
        <v>0</v>
      </c>
      <c r="F7" s="125"/>
      <c r="G7" s="125"/>
      <c r="H7" s="125"/>
      <c r="I7" s="125"/>
      <c r="J7" s="125"/>
      <c r="K7" s="126"/>
      <c r="L7" s="124"/>
      <c r="M7" s="124"/>
      <c r="N7" s="124"/>
      <c r="O7" s="123"/>
      <c r="P7" s="892"/>
      <c r="Q7" s="893"/>
    </row>
    <row r="8" spans="1:17" ht="5.25" customHeight="1" thickBot="1" x14ac:dyDescent="0.25">
      <c r="A8" s="122"/>
      <c r="B8" s="121"/>
      <c r="C8" s="380"/>
      <c r="D8" s="329"/>
      <c r="E8" s="329"/>
      <c r="F8" s="329"/>
      <c r="G8" s="329"/>
      <c r="H8" s="379"/>
      <c r="I8" s="329"/>
      <c r="J8" s="329"/>
      <c r="K8" s="329"/>
      <c r="L8" s="329"/>
      <c r="M8" s="329"/>
      <c r="N8" s="329"/>
      <c r="O8" s="328"/>
      <c r="P8" s="892"/>
      <c r="Q8" s="893"/>
    </row>
    <row r="9" spans="1:17" ht="12.75" customHeight="1" x14ac:dyDescent="0.2">
      <c r="A9" s="935" t="s">
        <v>199</v>
      </c>
      <c r="B9" s="938" t="s">
        <v>200</v>
      </c>
      <c r="C9" s="947" t="s">
        <v>870</v>
      </c>
      <c r="D9" s="947" t="s">
        <v>871</v>
      </c>
      <c r="E9" s="947" t="s">
        <v>205</v>
      </c>
      <c r="F9" s="938" t="s">
        <v>872</v>
      </c>
      <c r="G9" s="938" t="s">
        <v>873</v>
      </c>
      <c r="H9" s="938" t="s">
        <v>739</v>
      </c>
      <c r="I9" s="938" t="s">
        <v>874</v>
      </c>
      <c r="J9" s="938" t="s">
        <v>875</v>
      </c>
      <c r="K9" s="938" t="s">
        <v>876</v>
      </c>
      <c r="L9" s="938" t="s">
        <v>877</v>
      </c>
      <c r="M9" s="938" t="s">
        <v>258</v>
      </c>
      <c r="N9" s="938"/>
      <c r="O9" s="938"/>
      <c r="P9" s="938"/>
      <c r="Q9" s="980"/>
    </row>
    <row r="10" spans="1:17" x14ac:dyDescent="0.2">
      <c r="A10" s="936"/>
      <c r="B10" s="939"/>
      <c r="C10" s="1110"/>
      <c r="D10" s="1110"/>
      <c r="E10" s="1111"/>
      <c r="F10" s="939"/>
      <c r="G10" s="939"/>
      <c r="H10" s="939"/>
      <c r="I10" s="939"/>
      <c r="J10" s="939"/>
      <c r="K10" s="939"/>
      <c r="L10" s="939"/>
      <c r="M10" s="943"/>
      <c r="N10" s="943"/>
      <c r="O10" s="943"/>
      <c r="P10" s="943"/>
      <c r="Q10" s="981"/>
    </row>
    <row r="11" spans="1:17" ht="22.5" customHeight="1" thickBot="1" x14ac:dyDescent="0.25">
      <c r="A11" s="937"/>
      <c r="B11" s="940"/>
      <c r="C11" s="326" t="s">
        <v>878</v>
      </c>
      <c r="D11" s="326" t="s">
        <v>879</v>
      </c>
      <c r="E11" s="1112"/>
      <c r="F11" s="940"/>
      <c r="G11" s="940"/>
      <c r="H11" s="940"/>
      <c r="I11" s="940"/>
      <c r="J11" s="940"/>
      <c r="K11" s="940"/>
      <c r="L11" s="940"/>
      <c r="M11" s="945"/>
      <c r="N11" s="945"/>
      <c r="O11" s="945"/>
      <c r="P11" s="945"/>
      <c r="Q11" s="1113"/>
    </row>
    <row r="12" spans="1:17" ht="3.75" customHeight="1" thickBot="1" x14ac:dyDescent="0.25">
      <c r="A12" s="377"/>
      <c r="B12" s="376"/>
      <c r="C12" s="376"/>
      <c r="D12" s="375"/>
      <c r="E12" s="375"/>
      <c r="F12" s="375"/>
      <c r="G12" s="375"/>
      <c r="H12" s="375"/>
      <c r="I12" s="375"/>
      <c r="J12" s="375"/>
      <c r="K12" s="375"/>
      <c r="L12" s="375"/>
      <c r="M12" s="375"/>
      <c r="N12" s="375"/>
      <c r="O12" s="375"/>
      <c r="P12" s="375"/>
      <c r="Q12" s="374"/>
    </row>
    <row r="13" spans="1:17" ht="42.75" customHeight="1" x14ac:dyDescent="0.2">
      <c r="A13" s="449" t="s">
        <v>880</v>
      </c>
      <c r="B13" s="448" t="s">
        <v>881</v>
      </c>
      <c r="C13" s="478">
        <v>11000</v>
      </c>
      <c r="D13" s="446" t="s">
        <v>882</v>
      </c>
      <c r="E13" s="446"/>
      <c r="F13" s="446">
        <v>650</v>
      </c>
      <c r="G13" s="629" t="s">
        <v>883</v>
      </c>
      <c r="H13" s="446"/>
      <c r="I13" s="446" t="s">
        <v>884</v>
      </c>
      <c r="J13" s="446" t="s">
        <v>885</v>
      </c>
      <c r="K13" s="446"/>
      <c r="L13" s="446"/>
      <c r="M13" s="870" t="s">
        <v>886</v>
      </c>
      <c r="N13" s="870"/>
      <c r="O13" s="870"/>
      <c r="P13" s="870"/>
      <c r="Q13" s="871"/>
    </row>
    <row r="14" spans="1:17" ht="36.75" customHeight="1" x14ac:dyDescent="0.2">
      <c r="A14" s="467"/>
      <c r="B14" s="468"/>
      <c r="C14" s="465"/>
      <c r="D14" s="466"/>
      <c r="E14" s="466"/>
      <c r="F14" s="465"/>
      <c r="G14" s="465"/>
      <c r="H14" s="465"/>
      <c r="I14" s="446"/>
      <c r="J14" s="446"/>
      <c r="K14" s="465"/>
      <c r="L14" s="465"/>
      <c r="M14" s="870"/>
      <c r="N14" s="870"/>
      <c r="O14" s="870"/>
      <c r="P14" s="870"/>
      <c r="Q14" s="871"/>
    </row>
    <row r="15" spans="1:17" ht="37.15" customHeight="1" x14ac:dyDescent="0.2">
      <c r="A15" s="632"/>
      <c r="B15" s="468"/>
      <c r="C15" s="465"/>
      <c r="D15" s="465"/>
      <c r="E15" s="446"/>
      <c r="F15" s="465"/>
      <c r="G15" s="446"/>
      <c r="H15" s="465"/>
      <c r="I15" s="446"/>
      <c r="J15" s="446"/>
      <c r="K15" s="465"/>
      <c r="L15" s="465"/>
      <c r="M15" s="984"/>
      <c r="N15" s="984"/>
      <c r="O15" s="984"/>
      <c r="P15" s="984"/>
      <c r="Q15" s="985"/>
    </row>
    <row r="16" spans="1:17" ht="20.100000000000001" customHeight="1" x14ac:dyDescent="0.2">
      <c r="A16" s="467"/>
      <c r="B16" s="445"/>
      <c r="C16" s="465"/>
      <c r="D16" s="466"/>
      <c r="E16" s="466"/>
      <c r="F16" s="465"/>
      <c r="G16" s="465"/>
      <c r="H16" s="465"/>
      <c r="I16" s="465"/>
      <c r="J16" s="465"/>
      <c r="K16" s="465"/>
      <c r="L16" s="465"/>
      <c r="M16" s="865"/>
      <c r="N16" s="865"/>
      <c r="O16" s="865"/>
      <c r="P16" s="865"/>
      <c r="Q16" s="866"/>
    </row>
    <row r="17" spans="1:17" ht="20.100000000000001" customHeight="1" x14ac:dyDescent="0.2">
      <c r="A17" s="467"/>
      <c r="B17" s="445"/>
      <c r="C17" s="465"/>
      <c r="D17" s="466"/>
      <c r="E17" s="466"/>
      <c r="F17" s="465"/>
      <c r="G17" s="465"/>
      <c r="H17" s="465"/>
      <c r="I17" s="465"/>
      <c r="J17" s="465"/>
      <c r="K17" s="465"/>
      <c r="L17" s="465"/>
      <c r="M17" s="865"/>
      <c r="N17" s="865"/>
      <c r="O17" s="865"/>
      <c r="P17" s="865"/>
      <c r="Q17" s="866"/>
    </row>
    <row r="18" spans="1:17" ht="20.100000000000001" customHeight="1" x14ac:dyDescent="0.2">
      <c r="A18" s="467"/>
      <c r="B18" s="445"/>
      <c r="C18" s="465"/>
      <c r="D18" s="466"/>
      <c r="E18" s="466"/>
      <c r="F18" s="465"/>
      <c r="G18" s="465"/>
      <c r="H18" s="465"/>
      <c r="I18" s="465"/>
      <c r="J18" s="465"/>
      <c r="K18" s="465"/>
      <c r="L18" s="465"/>
      <c r="M18" s="865"/>
      <c r="N18" s="865"/>
      <c r="O18" s="865"/>
      <c r="P18" s="865"/>
      <c r="Q18" s="866"/>
    </row>
    <row r="19" spans="1:17" ht="20.100000000000001" customHeight="1" x14ac:dyDescent="0.2">
      <c r="A19" s="467"/>
      <c r="B19" s="445"/>
      <c r="C19" s="465"/>
      <c r="D19" s="466"/>
      <c r="E19" s="466"/>
      <c r="F19" s="465"/>
      <c r="G19" s="465"/>
      <c r="H19" s="465"/>
      <c r="I19" s="465"/>
      <c r="J19" s="465"/>
      <c r="K19" s="465"/>
      <c r="L19" s="465"/>
      <c r="M19" s="865"/>
      <c r="N19" s="865"/>
      <c r="O19" s="865"/>
      <c r="P19" s="865"/>
      <c r="Q19" s="866"/>
    </row>
    <row r="20" spans="1:17" ht="20.100000000000001" customHeight="1" thickBot="1" x14ac:dyDescent="0.25">
      <c r="A20" s="401"/>
      <c r="B20" s="464"/>
      <c r="C20" s="399"/>
      <c r="D20" s="399"/>
      <c r="E20" s="399"/>
      <c r="F20" s="399"/>
      <c r="G20" s="399"/>
      <c r="H20" s="399"/>
      <c r="I20" s="399"/>
      <c r="J20" s="399"/>
      <c r="K20" s="399"/>
      <c r="L20" s="399"/>
      <c r="M20" s="855"/>
      <c r="N20" s="855"/>
      <c r="O20" s="855"/>
      <c r="P20" s="855"/>
      <c r="Q20" s="856"/>
    </row>
    <row r="21" spans="1:17" x14ac:dyDescent="0.2">
      <c r="A21" s="397" t="s">
        <v>189</v>
      </c>
      <c r="B21" s="396"/>
      <c r="C21" s="396"/>
      <c r="D21" s="396"/>
      <c r="E21" s="396"/>
      <c r="F21" s="396"/>
      <c r="G21" s="396"/>
      <c r="H21" s="396"/>
      <c r="I21" s="396"/>
      <c r="J21" s="396"/>
      <c r="K21" s="396"/>
      <c r="L21" s="396"/>
      <c r="M21" s="396"/>
      <c r="N21" s="396"/>
      <c r="O21" s="396"/>
      <c r="P21" s="396"/>
      <c r="Q21" s="395"/>
    </row>
    <row r="22" spans="1:17" x14ac:dyDescent="0.2">
      <c r="A22" s="394" t="s">
        <v>887</v>
      </c>
      <c r="B22" s="139"/>
      <c r="C22" s="139"/>
      <c r="D22" s="139"/>
      <c r="E22" s="139"/>
      <c r="F22" s="139"/>
      <c r="G22" s="139"/>
      <c r="H22" s="139"/>
      <c r="I22" s="139"/>
      <c r="J22" s="139"/>
      <c r="K22" s="139"/>
      <c r="L22" s="139"/>
      <c r="M22" s="139"/>
      <c r="N22" s="139"/>
      <c r="O22" s="139"/>
      <c r="P22" s="139"/>
      <c r="Q22" s="393"/>
    </row>
    <row r="23" spans="1:17" x14ac:dyDescent="0.2">
      <c r="A23" s="394" t="s">
        <v>888</v>
      </c>
      <c r="B23" s="139"/>
      <c r="C23" s="139"/>
      <c r="D23" s="139"/>
      <c r="E23" s="139"/>
      <c r="F23" s="139"/>
      <c r="G23" s="139"/>
      <c r="H23" s="139"/>
      <c r="I23" s="139"/>
      <c r="J23" s="139"/>
      <c r="K23" s="139"/>
      <c r="L23" s="139"/>
      <c r="M23" s="139"/>
      <c r="N23" s="139"/>
      <c r="O23" s="139"/>
      <c r="P23" s="139"/>
      <c r="Q23" s="393"/>
    </row>
    <row r="24" spans="1:17" ht="13.5" thickBot="1" x14ac:dyDescent="0.25">
      <c r="A24" s="309"/>
      <c r="B24" s="308"/>
      <c r="C24" s="308"/>
      <c r="D24" s="308"/>
      <c r="E24" s="308"/>
      <c r="F24" s="308"/>
      <c r="G24" s="308"/>
      <c r="H24" s="308"/>
      <c r="I24" s="308"/>
      <c r="J24" s="308"/>
      <c r="K24" s="308"/>
      <c r="L24" s="308"/>
      <c r="M24" s="308"/>
      <c r="N24" s="308"/>
      <c r="O24" s="308"/>
      <c r="P24" s="308"/>
      <c r="Q24" s="307"/>
    </row>
  </sheetData>
  <mergeCells count="22">
    <mergeCell ref="P1:Q8"/>
    <mergeCell ref="A9:A11"/>
    <mergeCell ref="B9:B11"/>
    <mergeCell ref="M9:Q11"/>
    <mergeCell ref="M13:Q13"/>
    <mergeCell ref="G9:G11"/>
    <mergeCell ref="L9:L11"/>
    <mergeCell ref="K9:K11"/>
    <mergeCell ref="D9:D10"/>
    <mergeCell ref="J9:J11"/>
    <mergeCell ref="M20:Q20"/>
    <mergeCell ref="M15:Q15"/>
    <mergeCell ref="M17:Q17"/>
    <mergeCell ref="M18:Q18"/>
    <mergeCell ref="M19:Q19"/>
    <mergeCell ref="M16:Q16"/>
    <mergeCell ref="M14:Q14"/>
    <mergeCell ref="C9:C10"/>
    <mergeCell ref="H9:H11"/>
    <mergeCell ref="F9:F11"/>
    <mergeCell ref="E9:E11"/>
    <mergeCell ref="I9:I11"/>
  </mergeCells>
  <pageMargins left="0.7" right="0.7" top="0.75" bottom="0.75" header="0.3" footer="0.3"/>
  <pageSetup paperSize="9" scale="59"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99F4-6B79-4562-B549-97349BAD27FA}">
  <sheetPr>
    <tabColor rgb="FF92D050"/>
    <pageSetUpPr fitToPage="1"/>
  </sheetPr>
  <dimension ref="A1:S23"/>
  <sheetViews>
    <sheetView zoomScaleNormal="100" workbookViewId="0">
      <selection activeCell="R1" sqref="R1:S8"/>
    </sheetView>
  </sheetViews>
  <sheetFormatPr defaultColWidth="9.140625" defaultRowHeight="12.75" x14ac:dyDescent="0.2"/>
  <cols>
    <col min="1" max="1" width="10.7109375" style="80" customWidth="1"/>
    <col min="2" max="2" width="23.140625" style="80" customWidth="1"/>
    <col min="3" max="3" width="16.5703125" style="80" customWidth="1"/>
    <col min="4" max="4" width="9.140625" style="80" customWidth="1"/>
    <col min="5" max="5" width="11.85546875" style="80" customWidth="1"/>
    <col min="6" max="9" width="10.28515625" style="80" customWidth="1"/>
    <col min="10" max="10" width="8.42578125" style="80" customWidth="1"/>
    <col min="11" max="11" width="8.7109375" style="80" customWidth="1"/>
    <col min="12" max="12" width="7.140625" style="80" customWidth="1"/>
    <col min="13" max="13" width="5.28515625" style="80" customWidth="1"/>
    <col min="14" max="14" width="5.140625" style="80" customWidth="1"/>
    <col min="15" max="15" width="5.28515625" style="80" customWidth="1"/>
    <col min="16" max="18" width="9.140625" style="80"/>
    <col min="19" max="19" width="21" style="80" customWidth="1"/>
    <col min="20" max="16384" width="9.140625" style="80"/>
  </cols>
  <sheetData>
    <row r="1" spans="1:19" ht="6.75" customHeight="1" x14ac:dyDescent="0.2">
      <c r="A1" s="138"/>
      <c r="B1" s="137"/>
      <c r="C1" s="156"/>
      <c r="D1" s="134"/>
      <c r="E1" s="134"/>
      <c r="F1" s="134"/>
      <c r="G1" s="134"/>
      <c r="H1" s="134"/>
      <c r="I1" s="134"/>
      <c r="J1" s="134"/>
      <c r="K1" s="134"/>
      <c r="L1" s="134"/>
      <c r="M1" s="134"/>
      <c r="N1" s="134"/>
      <c r="O1" s="134"/>
      <c r="P1" s="134"/>
      <c r="Q1" s="133"/>
      <c r="R1" s="890"/>
      <c r="S1" s="891"/>
    </row>
    <row r="2" spans="1:19" ht="12.75" customHeight="1" x14ac:dyDescent="0.2">
      <c r="A2" s="131"/>
      <c r="B2" s="130"/>
      <c r="C2" s="343"/>
      <c r="D2" s="118"/>
      <c r="E2" s="369" t="s">
        <v>71</v>
      </c>
      <c r="F2" s="368">
        <f>'PROJECT SUMMARY'!D3</f>
        <v>0</v>
      </c>
      <c r="G2" s="368"/>
      <c r="H2" s="368"/>
      <c r="I2" s="368"/>
      <c r="J2" s="463"/>
      <c r="K2" s="463"/>
      <c r="L2" s="463"/>
      <c r="M2" s="118"/>
      <c r="N2" s="118"/>
      <c r="O2" s="118"/>
      <c r="P2" s="118"/>
      <c r="Q2" s="117"/>
      <c r="R2" s="892"/>
      <c r="S2" s="893"/>
    </row>
    <row r="3" spans="1:19" ht="12.75" customHeight="1" x14ac:dyDescent="0.2">
      <c r="A3" s="131"/>
      <c r="B3" s="130"/>
      <c r="C3" s="343"/>
      <c r="D3" s="118"/>
      <c r="E3" s="365" t="s">
        <v>72</v>
      </c>
      <c r="F3" s="367">
        <f>'PROJECT SUMMARY'!D4</f>
        <v>0</v>
      </c>
      <c r="G3" s="367"/>
      <c r="H3" s="367"/>
      <c r="I3" s="367"/>
      <c r="J3" s="460"/>
      <c r="K3" s="460"/>
      <c r="L3" s="460"/>
      <c r="M3" s="118"/>
      <c r="N3" s="118"/>
      <c r="O3" s="118"/>
      <c r="P3" s="118"/>
      <c r="Q3" s="117"/>
      <c r="R3" s="892"/>
      <c r="S3" s="893"/>
    </row>
    <row r="4" spans="1:19" ht="12.75" customHeight="1" x14ac:dyDescent="0.2">
      <c r="A4" s="131"/>
      <c r="B4" s="130"/>
      <c r="C4" s="343"/>
      <c r="D4" s="118"/>
      <c r="E4" s="365" t="s">
        <v>73</v>
      </c>
      <c r="F4" s="367" t="s">
        <v>57</v>
      </c>
      <c r="G4" s="367"/>
      <c r="H4" s="367"/>
      <c r="I4" s="367"/>
      <c r="J4" s="460"/>
      <c r="K4" s="460"/>
      <c r="L4" s="460"/>
      <c r="M4" s="118"/>
      <c r="N4" s="118"/>
      <c r="O4" s="118"/>
      <c r="P4" s="118"/>
      <c r="Q4" s="117"/>
      <c r="R4" s="892"/>
      <c r="S4" s="893"/>
    </row>
    <row r="5" spans="1:19" ht="12.75" customHeight="1" x14ac:dyDescent="0.2">
      <c r="A5" s="131"/>
      <c r="B5" s="130"/>
      <c r="C5" s="343"/>
      <c r="D5" s="118"/>
      <c r="E5" s="365" t="s">
        <v>75</v>
      </c>
      <c r="F5" s="367" t="str">
        <f>'PROJECT SUMMARY'!B45</f>
        <v>KEY-SH-M-50-XXX</v>
      </c>
      <c r="G5" s="367"/>
      <c r="H5" s="367"/>
      <c r="I5" s="367"/>
      <c r="J5" s="460"/>
      <c r="K5" s="460"/>
      <c r="L5" s="460"/>
      <c r="M5" s="118"/>
      <c r="N5" s="118"/>
      <c r="O5" s="118"/>
      <c r="P5" s="118"/>
      <c r="Q5" s="117"/>
      <c r="R5" s="892"/>
      <c r="S5" s="893"/>
    </row>
    <row r="6" spans="1:19" ht="12.75" customHeight="1" x14ac:dyDescent="0.2">
      <c r="A6" s="131"/>
      <c r="B6" s="130"/>
      <c r="C6" s="343"/>
      <c r="D6" s="118"/>
      <c r="E6" s="365" t="s">
        <v>76</v>
      </c>
      <c r="F6" s="367">
        <f>'PROJECT SUMMARY'!C45</f>
        <v>0</v>
      </c>
      <c r="G6" s="367"/>
      <c r="H6" s="367"/>
      <c r="I6" s="367"/>
      <c r="J6" s="460"/>
      <c r="K6" s="460"/>
      <c r="L6" s="460"/>
      <c r="M6" s="118"/>
      <c r="N6" s="118"/>
      <c r="O6" s="118"/>
      <c r="P6" s="118"/>
      <c r="Q6" s="117"/>
      <c r="R6" s="892"/>
      <c r="S6" s="893"/>
    </row>
    <row r="7" spans="1:19" ht="12.75" customHeight="1" x14ac:dyDescent="0.2">
      <c r="A7" s="131"/>
      <c r="B7" s="130"/>
      <c r="C7" s="343"/>
      <c r="D7" s="118"/>
      <c r="E7" s="365" t="s">
        <v>77</v>
      </c>
      <c r="F7" s="363">
        <f>'PROJECT SUMMARY'!D5</f>
        <v>0</v>
      </c>
      <c r="G7" s="367"/>
      <c r="H7" s="367"/>
      <c r="I7" s="367"/>
      <c r="J7" s="460"/>
      <c r="K7" s="460"/>
      <c r="L7" s="460"/>
      <c r="M7" s="118"/>
      <c r="N7" s="118"/>
      <c r="O7" s="118"/>
      <c r="P7" s="118"/>
      <c r="Q7" s="117"/>
      <c r="R7" s="892"/>
      <c r="S7" s="893"/>
    </row>
    <row r="8" spans="1:19" ht="5.25" customHeight="1" thickBot="1" x14ac:dyDescent="0.25">
      <c r="A8" s="131"/>
      <c r="B8" s="130"/>
      <c r="C8" s="120"/>
      <c r="D8" s="153"/>
      <c r="E8" s="153"/>
      <c r="F8" s="153"/>
      <c r="G8" s="153"/>
      <c r="H8" s="153"/>
      <c r="I8" s="153"/>
      <c r="J8" s="153"/>
      <c r="K8" s="153"/>
      <c r="L8" s="153"/>
      <c r="M8" s="153"/>
      <c r="N8" s="153"/>
      <c r="O8" s="153"/>
      <c r="P8" s="153"/>
      <c r="Q8" s="362"/>
      <c r="R8" s="894"/>
      <c r="S8" s="895"/>
    </row>
    <row r="9" spans="1:19" ht="12.75" customHeight="1" x14ac:dyDescent="0.2">
      <c r="A9" s="867" t="s">
        <v>199</v>
      </c>
      <c r="B9" s="857" t="s">
        <v>823</v>
      </c>
      <c r="C9" s="857" t="s">
        <v>111</v>
      </c>
      <c r="D9" s="857" t="s">
        <v>824</v>
      </c>
      <c r="E9" s="873" t="s">
        <v>119</v>
      </c>
      <c r="F9" s="873" t="s">
        <v>825</v>
      </c>
      <c r="G9" s="857" t="s">
        <v>826</v>
      </c>
      <c r="H9" s="873" t="s">
        <v>827</v>
      </c>
      <c r="I9" s="873" t="s">
        <v>828</v>
      </c>
      <c r="J9" s="873" t="s">
        <v>829</v>
      </c>
      <c r="K9" s="857" t="s">
        <v>830</v>
      </c>
      <c r="L9" s="857"/>
      <c r="M9" s="857" t="s">
        <v>453</v>
      </c>
      <c r="N9" s="857"/>
      <c r="O9" s="857"/>
      <c r="P9" s="857" t="s">
        <v>258</v>
      </c>
      <c r="Q9" s="857"/>
      <c r="R9" s="857"/>
      <c r="S9" s="860"/>
    </row>
    <row r="10" spans="1:19" ht="12.75" customHeight="1" x14ac:dyDescent="0.2">
      <c r="A10" s="868"/>
      <c r="B10" s="858"/>
      <c r="C10" s="858"/>
      <c r="D10" s="858"/>
      <c r="E10" s="874"/>
      <c r="F10" s="874"/>
      <c r="G10" s="858"/>
      <c r="H10" s="874"/>
      <c r="I10" s="874"/>
      <c r="J10" s="874"/>
      <c r="K10" s="858"/>
      <c r="L10" s="858"/>
      <c r="M10" s="858"/>
      <c r="N10" s="858"/>
      <c r="O10" s="858"/>
      <c r="P10" s="858"/>
      <c r="Q10" s="858"/>
      <c r="R10" s="858"/>
      <c r="S10" s="861"/>
    </row>
    <row r="11" spans="1:19" ht="23.25" customHeight="1" thickBot="1" x14ac:dyDescent="0.25">
      <c r="A11" s="869"/>
      <c r="B11" s="859"/>
      <c r="C11" s="859"/>
      <c r="D11" s="859"/>
      <c r="E11" s="438" t="s">
        <v>831</v>
      </c>
      <c r="F11" s="438" t="s">
        <v>832</v>
      </c>
      <c r="G11" s="859"/>
      <c r="H11" s="438" t="s">
        <v>833</v>
      </c>
      <c r="I11" s="438"/>
      <c r="J11" s="438" t="s">
        <v>835</v>
      </c>
      <c r="K11" s="341" t="s">
        <v>836</v>
      </c>
      <c r="L11" s="341" t="s">
        <v>837</v>
      </c>
      <c r="M11" s="341" t="s">
        <v>838</v>
      </c>
      <c r="N11" s="341" t="s">
        <v>839</v>
      </c>
      <c r="O11" s="341" t="s">
        <v>840</v>
      </c>
      <c r="P11" s="859"/>
      <c r="Q11" s="859"/>
      <c r="R11" s="859"/>
      <c r="S11" s="862"/>
    </row>
    <row r="12" spans="1:19" ht="3.75" customHeight="1" thickBot="1" x14ac:dyDescent="0.25">
      <c r="A12" s="459"/>
      <c r="B12" s="458"/>
      <c r="C12" s="458"/>
      <c r="D12" s="458"/>
      <c r="E12" s="458"/>
      <c r="F12" s="458"/>
      <c r="G12" s="458"/>
      <c r="H12" s="458"/>
      <c r="I12" s="458"/>
      <c r="J12" s="458"/>
      <c r="K12" s="458"/>
      <c r="L12" s="458"/>
      <c r="M12" s="458"/>
      <c r="N12" s="458"/>
      <c r="O12" s="458"/>
      <c r="P12" s="1106"/>
      <c r="Q12" s="1106"/>
      <c r="R12" s="1106"/>
      <c r="S12" s="1107"/>
    </row>
    <row r="13" spans="1:19" ht="24.95" customHeight="1" x14ac:dyDescent="0.2">
      <c r="A13" s="643" t="s">
        <v>889</v>
      </c>
      <c r="B13" s="642" t="s">
        <v>890</v>
      </c>
      <c r="C13" s="641" t="s">
        <v>891</v>
      </c>
      <c r="D13" s="640">
        <v>1</v>
      </c>
      <c r="E13" s="640">
        <v>3</v>
      </c>
      <c r="F13" s="640">
        <v>10</v>
      </c>
      <c r="G13" s="640"/>
      <c r="H13" s="640">
        <v>43</v>
      </c>
      <c r="I13" s="640" t="s">
        <v>313</v>
      </c>
      <c r="J13" s="640"/>
      <c r="K13" s="640" t="s">
        <v>892</v>
      </c>
      <c r="L13" s="640">
        <v>3</v>
      </c>
      <c r="M13" s="640"/>
      <c r="N13" s="640"/>
      <c r="O13" s="640"/>
      <c r="P13" s="838" t="s">
        <v>893</v>
      </c>
      <c r="Q13" s="838"/>
      <c r="R13" s="838"/>
      <c r="S13" s="839"/>
    </row>
    <row r="14" spans="1:19" ht="24.95" customHeight="1" x14ac:dyDescent="0.2">
      <c r="A14" s="467"/>
      <c r="B14" s="468"/>
      <c r="C14" s="465"/>
      <c r="D14" s="466"/>
      <c r="E14" s="466"/>
      <c r="F14" s="466"/>
      <c r="G14" s="446"/>
      <c r="H14" s="446"/>
      <c r="I14" s="446"/>
      <c r="J14" s="446"/>
      <c r="K14" s="446"/>
      <c r="L14" s="446"/>
      <c r="M14" s="446"/>
      <c r="N14" s="446"/>
      <c r="O14" s="446"/>
      <c r="P14" s="865"/>
      <c r="Q14" s="865"/>
      <c r="R14" s="865"/>
      <c r="S14" s="866"/>
    </row>
    <row r="15" spans="1:19" ht="24.95" customHeight="1" x14ac:dyDescent="0.2">
      <c r="A15" s="449"/>
      <c r="B15" s="448"/>
      <c r="C15" s="447"/>
      <c r="D15" s="446"/>
      <c r="E15" s="446"/>
      <c r="F15" s="446"/>
      <c r="G15" s="446"/>
      <c r="H15" s="446"/>
      <c r="I15" s="446"/>
      <c r="J15" s="446"/>
      <c r="K15" s="446"/>
      <c r="L15" s="446"/>
      <c r="M15" s="446"/>
      <c r="N15" s="446"/>
      <c r="O15" s="446"/>
      <c r="P15" s="865"/>
      <c r="Q15" s="865"/>
      <c r="R15" s="865"/>
      <c r="S15" s="866"/>
    </row>
    <row r="16" spans="1:19" ht="24.95" customHeight="1" x14ac:dyDescent="0.2">
      <c r="A16" s="449"/>
      <c r="B16" s="448"/>
      <c r="C16" s="447"/>
      <c r="D16" s="446"/>
      <c r="E16" s="446"/>
      <c r="F16" s="446"/>
      <c r="G16" s="446"/>
      <c r="H16" s="446"/>
      <c r="I16" s="446"/>
      <c r="J16" s="446"/>
      <c r="K16" s="446"/>
      <c r="L16" s="446"/>
      <c r="M16" s="446"/>
      <c r="N16" s="446"/>
      <c r="O16" s="446"/>
      <c r="P16" s="865"/>
      <c r="Q16" s="865"/>
      <c r="R16" s="865"/>
      <c r="S16" s="866"/>
    </row>
    <row r="17" spans="1:19" ht="24.95" customHeight="1" x14ac:dyDescent="0.2">
      <c r="A17" s="449"/>
      <c r="B17" s="448"/>
      <c r="C17" s="447"/>
      <c r="D17" s="446"/>
      <c r="E17" s="446"/>
      <c r="F17" s="446"/>
      <c r="G17" s="446"/>
      <c r="H17" s="446"/>
      <c r="I17" s="446"/>
      <c r="J17" s="446"/>
      <c r="K17" s="446"/>
      <c r="L17" s="446"/>
      <c r="M17" s="446"/>
      <c r="N17" s="446"/>
      <c r="O17" s="446"/>
      <c r="P17" s="865"/>
      <c r="Q17" s="865"/>
      <c r="R17" s="865"/>
      <c r="S17" s="866"/>
    </row>
    <row r="18" spans="1:19" ht="24.95" customHeight="1" x14ac:dyDescent="0.2">
      <c r="A18" s="449"/>
      <c r="B18" s="448"/>
      <c r="C18" s="447"/>
      <c r="D18" s="446"/>
      <c r="E18" s="446"/>
      <c r="F18" s="446"/>
      <c r="G18" s="446"/>
      <c r="H18" s="446"/>
      <c r="I18" s="446"/>
      <c r="J18" s="446"/>
      <c r="K18" s="446"/>
      <c r="L18" s="446"/>
      <c r="M18" s="446"/>
      <c r="N18" s="446"/>
      <c r="O18" s="446"/>
      <c r="P18" s="865"/>
      <c r="Q18" s="865"/>
      <c r="R18" s="865"/>
      <c r="S18" s="866"/>
    </row>
    <row r="19" spans="1:19" ht="24.95" customHeight="1" thickBot="1" x14ac:dyDescent="0.25">
      <c r="A19" s="449"/>
      <c r="B19" s="448"/>
      <c r="C19" s="447"/>
      <c r="D19" s="446"/>
      <c r="E19" s="446"/>
      <c r="F19" s="446"/>
      <c r="G19" s="446"/>
      <c r="H19" s="446"/>
      <c r="I19" s="446"/>
      <c r="J19" s="446"/>
      <c r="K19" s="446"/>
      <c r="L19" s="446"/>
      <c r="M19" s="446"/>
      <c r="N19" s="446"/>
      <c r="O19" s="446"/>
      <c r="P19" s="865"/>
      <c r="Q19" s="865"/>
      <c r="R19" s="865"/>
      <c r="S19" s="866"/>
    </row>
    <row r="20" spans="1:19" x14ac:dyDescent="0.2">
      <c r="A20" s="397" t="s">
        <v>189</v>
      </c>
      <c r="B20" s="396"/>
      <c r="C20" s="396"/>
      <c r="D20" s="396"/>
      <c r="E20" s="396"/>
      <c r="F20" s="396"/>
      <c r="G20" s="396"/>
      <c r="H20" s="396"/>
      <c r="I20" s="396"/>
      <c r="J20" s="396"/>
      <c r="K20" s="396"/>
      <c r="L20" s="396"/>
      <c r="M20" s="396"/>
      <c r="N20" s="396"/>
      <c r="O20" s="396"/>
      <c r="P20" s="396"/>
      <c r="Q20" s="396"/>
      <c r="R20" s="396"/>
      <c r="S20" s="395"/>
    </row>
    <row r="21" spans="1:19" x14ac:dyDescent="0.2">
      <c r="A21" s="426" t="s">
        <v>894</v>
      </c>
      <c r="B21" s="139"/>
      <c r="C21" s="139"/>
      <c r="D21" s="139"/>
      <c r="E21" s="139"/>
      <c r="F21" s="139"/>
      <c r="G21" s="139"/>
      <c r="H21" s="139"/>
      <c r="I21" s="139"/>
      <c r="J21" s="139"/>
      <c r="K21" s="139"/>
      <c r="L21" s="139"/>
      <c r="M21" s="139"/>
      <c r="N21" s="139"/>
      <c r="O21" s="139"/>
      <c r="P21" s="139"/>
      <c r="Q21" s="139"/>
      <c r="R21" s="139"/>
      <c r="S21" s="393"/>
    </row>
    <row r="22" spans="1:19" x14ac:dyDescent="0.2">
      <c r="A22" s="426"/>
      <c r="B22" s="139"/>
      <c r="C22" s="139"/>
      <c r="D22" s="139"/>
      <c r="E22" s="139"/>
      <c r="F22" s="139"/>
      <c r="G22" s="139"/>
      <c r="H22" s="139"/>
      <c r="I22" s="139"/>
      <c r="J22" s="139"/>
      <c r="K22" s="139"/>
      <c r="L22" s="139"/>
      <c r="M22" s="139"/>
      <c r="N22" s="139"/>
      <c r="O22" s="139"/>
      <c r="P22" s="139"/>
      <c r="Q22" s="139"/>
      <c r="R22" s="139"/>
      <c r="S22" s="393"/>
    </row>
    <row r="23" spans="1:19" ht="13.5" thickBot="1" x14ac:dyDescent="0.25">
      <c r="A23" s="392"/>
      <c r="B23" s="391"/>
      <c r="C23" s="391"/>
      <c r="D23" s="391"/>
      <c r="E23" s="391"/>
      <c r="F23" s="391"/>
      <c r="G23" s="391"/>
      <c r="H23" s="391"/>
      <c r="I23" s="391"/>
      <c r="J23" s="391"/>
      <c r="K23" s="391"/>
      <c r="L23" s="391"/>
      <c r="M23" s="391"/>
      <c r="N23" s="391"/>
      <c r="O23" s="391"/>
      <c r="P23" s="391"/>
      <c r="Q23" s="391"/>
      <c r="R23" s="391"/>
      <c r="S23" s="390"/>
    </row>
  </sheetData>
  <mergeCells count="22">
    <mergeCell ref="C9:C11"/>
    <mergeCell ref="D9:D11"/>
    <mergeCell ref="B9:B11"/>
    <mergeCell ref="A9:A11"/>
    <mergeCell ref="P9:S11"/>
    <mergeCell ref="M9:O10"/>
    <mergeCell ref="K9:L10"/>
    <mergeCell ref="G9:G11"/>
    <mergeCell ref="F9:F10"/>
    <mergeCell ref="E9:E10"/>
    <mergeCell ref="H9:H10"/>
    <mergeCell ref="J9:J10"/>
    <mergeCell ref="I9:I10"/>
    <mergeCell ref="P19:S19"/>
    <mergeCell ref="R1:S8"/>
    <mergeCell ref="P12:S12"/>
    <mergeCell ref="P16:S16"/>
    <mergeCell ref="P13:S13"/>
    <mergeCell ref="P14:S14"/>
    <mergeCell ref="P15:S15"/>
    <mergeCell ref="P17:S17"/>
    <mergeCell ref="P18:S18"/>
  </mergeCells>
  <pageMargins left="0.7" right="0.7" top="0.75" bottom="0.75" header="0.3" footer="0.3"/>
  <pageSetup paperSize="9" scale="77"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42CF4-1EF3-46F4-AF5A-9B83E3FAC152}">
  <sheetPr>
    <tabColor rgb="FF92D050"/>
    <pageSetUpPr fitToPage="1"/>
  </sheetPr>
  <dimension ref="A1:R30"/>
  <sheetViews>
    <sheetView zoomScaleNormal="100" workbookViewId="0">
      <selection activeCell="Q1" sqref="Q1:R8"/>
    </sheetView>
  </sheetViews>
  <sheetFormatPr defaultColWidth="9.140625" defaultRowHeight="12.75" x14ac:dyDescent="0.2"/>
  <cols>
    <col min="1" max="1" width="10.7109375" style="80" customWidth="1"/>
    <col min="2" max="2" width="22" style="80" customWidth="1"/>
    <col min="3" max="3" width="19" style="80" customWidth="1"/>
    <col min="4" max="5" width="18.7109375" style="80" customWidth="1"/>
    <col min="6" max="6" width="13.42578125" style="80" customWidth="1"/>
    <col min="7" max="7" width="10.42578125" style="80" customWidth="1"/>
    <col min="8" max="8" width="11.7109375" style="80" customWidth="1"/>
    <col min="9" max="9" width="11.140625" style="80" customWidth="1"/>
    <col min="10" max="10" width="6.140625" style="80" customWidth="1"/>
    <col min="11" max="11" width="6.42578125" style="80" customWidth="1"/>
    <col min="12" max="12" width="5.28515625" style="80" customWidth="1"/>
    <col min="13" max="13" width="7" style="80" customWidth="1"/>
    <col min="14" max="17" width="9.140625" style="80"/>
    <col min="18" max="18" width="21.28515625" style="80" customWidth="1"/>
    <col min="19" max="16384" width="9.140625" style="80"/>
  </cols>
  <sheetData>
    <row r="1" spans="1:18" ht="6.75" customHeight="1" x14ac:dyDescent="0.2">
      <c r="A1" s="138"/>
      <c r="B1" s="137"/>
      <c r="C1" s="334"/>
      <c r="D1" s="384"/>
      <c r="E1" s="334"/>
      <c r="F1" s="334"/>
      <c r="G1" s="334"/>
      <c r="H1" s="334"/>
      <c r="I1" s="334"/>
      <c r="J1" s="334"/>
      <c r="K1" s="334"/>
      <c r="L1" s="334"/>
      <c r="M1" s="334"/>
      <c r="N1" s="334"/>
      <c r="O1" s="334"/>
      <c r="P1" s="333"/>
      <c r="Q1" s="890"/>
      <c r="R1" s="891"/>
    </row>
    <row r="2" spans="1:18" ht="12.75" customHeight="1" x14ac:dyDescent="0.2">
      <c r="A2" s="131"/>
      <c r="B2" s="130"/>
      <c r="C2" s="383" t="s">
        <v>71</v>
      </c>
      <c r="D2" s="353">
        <f>'PROJECT SUMMARY'!D3</f>
        <v>0</v>
      </c>
      <c r="E2" s="132"/>
      <c r="F2" s="132"/>
      <c r="G2" s="132"/>
      <c r="H2" s="132"/>
      <c r="I2" s="124"/>
      <c r="J2" s="124"/>
      <c r="K2" s="124"/>
      <c r="L2" s="124"/>
      <c r="M2" s="124"/>
      <c r="N2" s="124"/>
      <c r="O2" s="124"/>
      <c r="P2" s="123"/>
      <c r="Q2" s="892"/>
      <c r="R2" s="893"/>
    </row>
    <row r="3" spans="1:18" ht="12.75" customHeight="1" x14ac:dyDescent="0.2">
      <c r="A3" s="131"/>
      <c r="B3" s="130"/>
      <c r="C3" s="382" t="s">
        <v>72</v>
      </c>
      <c r="D3" s="381">
        <f>'PROJECT SUMMARY'!D4</f>
        <v>0</v>
      </c>
      <c r="E3" s="126"/>
      <c r="F3" s="126"/>
      <c r="G3" s="126"/>
      <c r="H3" s="126"/>
      <c r="I3" s="124"/>
      <c r="J3" s="124"/>
      <c r="K3" s="124"/>
      <c r="L3" s="124"/>
      <c r="M3" s="124"/>
      <c r="N3" s="124"/>
      <c r="O3" s="124"/>
      <c r="P3" s="123"/>
      <c r="Q3" s="892"/>
      <c r="R3" s="893"/>
    </row>
    <row r="4" spans="1:18" ht="12.75" customHeight="1" x14ac:dyDescent="0.2">
      <c r="A4" s="131"/>
      <c r="B4" s="130"/>
      <c r="C4" s="382" t="s">
        <v>73</v>
      </c>
      <c r="D4" s="331" t="s">
        <v>58</v>
      </c>
      <c r="E4" s="126"/>
      <c r="F4" s="126"/>
      <c r="G4" s="126"/>
      <c r="H4" s="126"/>
      <c r="I4" s="124"/>
      <c r="J4" s="124"/>
      <c r="K4" s="124"/>
      <c r="L4" s="124"/>
      <c r="M4" s="124"/>
      <c r="N4" s="124"/>
      <c r="O4" s="124"/>
      <c r="P4" s="123"/>
      <c r="Q4" s="892"/>
      <c r="R4" s="893"/>
    </row>
    <row r="5" spans="1:18" ht="12.75" customHeight="1" x14ac:dyDescent="0.2">
      <c r="A5" s="131"/>
      <c r="B5" s="130"/>
      <c r="C5" s="382" t="s">
        <v>75</v>
      </c>
      <c r="D5" s="331" t="str">
        <f>'PROJECT SUMMARY'!B46</f>
        <v>KEY-SH-M-50-XXX</v>
      </c>
      <c r="E5" s="126"/>
      <c r="F5" s="126"/>
      <c r="G5" s="126"/>
      <c r="H5" s="126"/>
      <c r="I5" s="124"/>
      <c r="J5" s="124"/>
      <c r="K5" s="124"/>
      <c r="L5" s="124"/>
      <c r="M5" s="124"/>
      <c r="N5" s="124"/>
      <c r="O5" s="124"/>
      <c r="P5" s="123"/>
      <c r="Q5" s="892"/>
      <c r="R5" s="893"/>
    </row>
    <row r="6" spans="1:18" ht="12.75" customHeight="1" x14ac:dyDescent="0.2">
      <c r="A6" s="131"/>
      <c r="B6" s="130"/>
      <c r="C6" s="382" t="s">
        <v>76</v>
      </c>
      <c r="D6" s="381">
        <f>'PROJECT SUMMARY'!C46</f>
        <v>0</v>
      </c>
      <c r="E6" s="126"/>
      <c r="F6" s="126"/>
      <c r="G6" s="126"/>
      <c r="H6" s="126"/>
      <c r="I6" s="124"/>
      <c r="J6" s="124"/>
      <c r="K6" s="124"/>
      <c r="L6" s="124"/>
      <c r="M6" s="124"/>
      <c r="N6" s="124"/>
      <c r="O6" s="124"/>
      <c r="P6" s="123"/>
      <c r="Q6" s="892"/>
      <c r="R6" s="893"/>
    </row>
    <row r="7" spans="1:18" ht="12.75" customHeight="1" x14ac:dyDescent="0.2">
      <c r="A7" s="131"/>
      <c r="B7" s="130"/>
      <c r="C7" s="382" t="s">
        <v>77</v>
      </c>
      <c r="D7" s="381">
        <f>'PROJECT SUMMARY'!D5</f>
        <v>0</v>
      </c>
      <c r="E7" s="126"/>
      <c r="F7" s="126"/>
      <c r="G7" s="126"/>
      <c r="H7" s="126"/>
      <c r="I7" s="124"/>
      <c r="J7" s="124"/>
      <c r="K7" s="124"/>
      <c r="L7" s="124"/>
      <c r="M7" s="124"/>
      <c r="N7" s="124"/>
      <c r="O7" s="124"/>
      <c r="P7" s="123"/>
      <c r="Q7" s="892"/>
      <c r="R7" s="893"/>
    </row>
    <row r="8" spans="1:18" ht="5.25" customHeight="1" thickBot="1" x14ac:dyDescent="0.25">
      <c r="A8" s="122"/>
      <c r="B8" s="121"/>
      <c r="C8" s="329"/>
      <c r="D8" s="379"/>
      <c r="E8" s="329"/>
      <c r="F8" s="329"/>
      <c r="G8" s="329"/>
      <c r="H8" s="329"/>
      <c r="I8" s="329"/>
      <c r="J8" s="329"/>
      <c r="K8" s="329"/>
      <c r="L8" s="329"/>
      <c r="M8" s="329"/>
      <c r="N8" s="329"/>
      <c r="O8" s="329"/>
      <c r="P8" s="328"/>
      <c r="Q8" s="892"/>
      <c r="R8" s="893"/>
    </row>
    <row r="9" spans="1:18" ht="12.75" customHeight="1" x14ac:dyDescent="0.2">
      <c r="A9" s="935" t="s">
        <v>199</v>
      </c>
      <c r="B9" s="938" t="s">
        <v>895</v>
      </c>
      <c r="C9" s="938" t="s">
        <v>300</v>
      </c>
      <c r="D9" s="938" t="s">
        <v>875</v>
      </c>
      <c r="E9" s="938" t="s">
        <v>896</v>
      </c>
      <c r="F9" s="938" t="s">
        <v>897</v>
      </c>
      <c r="G9" s="938" t="s">
        <v>898</v>
      </c>
      <c r="H9" s="947" t="s">
        <v>899</v>
      </c>
      <c r="I9" s="947" t="s">
        <v>900</v>
      </c>
      <c r="J9" s="938" t="s">
        <v>453</v>
      </c>
      <c r="K9" s="941"/>
      <c r="L9" s="941"/>
      <c r="M9" s="938" t="s">
        <v>739</v>
      </c>
      <c r="N9" s="938" t="s">
        <v>258</v>
      </c>
      <c r="O9" s="938"/>
      <c r="P9" s="938"/>
      <c r="Q9" s="938"/>
      <c r="R9" s="980"/>
    </row>
    <row r="10" spans="1:18" x14ac:dyDescent="0.2">
      <c r="A10" s="936"/>
      <c r="B10" s="939"/>
      <c r="C10" s="939"/>
      <c r="D10" s="939"/>
      <c r="E10" s="939"/>
      <c r="F10" s="939"/>
      <c r="G10" s="939"/>
      <c r="H10" s="948"/>
      <c r="I10" s="948"/>
      <c r="J10" s="939"/>
      <c r="K10" s="939"/>
      <c r="L10" s="939"/>
      <c r="M10" s="939"/>
      <c r="N10" s="943"/>
      <c r="O10" s="943"/>
      <c r="P10" s="943"/>
      <c r="Q10" s="943"/>
      <c r="R10" s="981"/>
    </row>
    <row r="11" spans="1:18" ht="23.25" thickBot="1" x14ac:dyDescent="0.25">
      <c r="A11" s="937"/>
      <c r="B11" s="940"/>
      <c r="C11" s="940"/>
      <c r="D11" s="940"/>
      <c r="E11" s="940"/>
      <c r="F11" s="940"/>
      <c r="G11" s="940"/>
      <c r="H11" s="326" t="s">
        <v>901</v>
      </c>
      <c r="I11" s="326" t="s">
        <v>433</v>
      </c>
      <c r="J11" s="387" t="s">
        <v>744</v>
      </c>
      <c r="K11" s="387" t="s">
        <v>745</v>
      </c>
      <c r="L11" s="387" t="s">
        <v>746</v>
      </c>
      <c r="M11" s="940"/>
      <c r="N11" s="945"/>
      <c r="O11" s="945"/>
      <c r="P11" s="945"/>
      <c r="Q11" s="945"/>
      <c r="R11" s="1113"/>
    </row>
    <row r="12" spans="1:18" ht="3.75" customHeight="1" thickBot="1" x14ac:dyDescent="0.25">
      <c r="A12" s="377"/>
      <c r="B12" s="376"/>
      <c r="C12" s="375"/>
      <c r="D12" s="375"/>
      <c r="E12" s="375"/>
      <c r="F12" s="375"/>
      <c r="G12" s="375"/>
      <c r="H12" s="375"/>
      <c r="I12" s="375"/>
      <c r="J12" s="375"/>
      <c r="K12" s="375"/>
      <c r="L12" s="375"/>
      <c r="M12" s="375"/>
      <c r="N12" s="375"/>
      <c r="O12" s="375"/>
      <c r="P12" s="375"/>
      <c r="Q12" s="375"/>
      <c r="R12" s="374"/>
    </row>
    <row r="13" spans="1:18" ht="20.100000000000001" customHeight="1" x14ac:dyDescent="0.2">
      <c r="A13" s="325"/>
      <c r="B13" s="373"/>
      <c r="C13" s="320"/>
      <c r="D13" s="320"/>
      <c r="E13" s="320"/>
      <c r="F13" s="320"/>
      <c r="G13" s="320"/>
      <c r="H13" s="320"/>
      <c r="I13" s="320"/>
      <c r="J13" s="320"/>
      <c r="K13" s="320"/>
      <c r="L13" s="320"/>
      <c r="M13" s="320"/>
      <c r="N13" s="933"/>
      <c r="O13" s="933"/>
      <c r="P13" s="933"/>
      <c r="Q13" s="933"/>
      <c r="R13" s="934"/>
    </row>
    <row r="14" spans="1:18" ht="20.100000000000001" customHeight="1" x14ac:dyDescent="0.2">
      <c r="A14" s="325"/>
      <c r="B14" s="373"/>
      <c r="C14" s="320"/>
      <c r="D14" s="320"/>
      <c r="E14" s="320"/>
      <c r="F14" s="320"/>
      <c r="G14" s="320"/>
      <c r="H14" s="320"/>
      <c r="I14" s="320"/>
      <c r="J14" s="320"/>
      <c r="K14" s="320"/>
      <c r="L14" s="320"/>
      <c r="M14" s="320"/>
      <c r="N14" s="1114"/>
      <c r="O14" s="1114"/>
      <c r="P14" s="1114"/>
      <c r="Q14" s="1114"/>
      <c r="R14" s="1115"/>
    </row>
    <row r="15" spans="1:18" ht="20.100000000000001" customHeight="1" x14ac:dyDescent="0.2">
      <c r="A15" s="325"/>
      <c r="B15" s="373"/>
      <c r="C15" s="320"/>
      <c r="D15" s="320"/>
      <c r="E15" s="320"/>
      <c r="F15" s="320"/>
      <c r="G15" s="320"/>
      <c r="H15" s="320"/>
      <c r="I15" s="320"/>
      <c r="J15" s="320"/>
      <c r="K15" s="320"/>
      <c r="L15" s="320"/>
      <c r="M15" s="320"/>
      <c r="N15" s="1114"/>
      <c r="O15" s="1114"/>
      <c r="P15" s="1114"/>
      <c r="Q15" s="1114"/>
      <c r="R15" s="1115"/>
    </row>
    <row r="16" spans="1:18" ht="20.100000000000001" customHeight="1" x14ac:dyDescent="0.2">
      <c r="A16" s="325"/>
      <c r="B16" s="373"/>
      <c r="C16" s="320"/>
      <c r="D16" s="320"/>
      <c r="E16" s="320"/>
      <c r="F16" s="320"/>
      <c r="G16" s="320"/>
      <c r="H16" s="320"/>
      <c r="I16" s="320"/>
      <c r="J16" s="320"/>
      <c r="K16" s="320"/>
      <c r="L16" s="320"/>
      <c r="M16" s="320"/>
      <c r="N16" s="1114"/>
      <c r="O16" s="1114"/>
      <c r="P16" s="1114"/>
      <c r="Q16" s="1114"/>
      <c r="R16" s="1115"/>
    </row>
    <row r="17" spans="1:18" ht="20.100000000000001" customHeight="1" x14ac:dyDescent="0.2">
      <c r="A17" s="325"/>
      <c r="B17" s="373"/>
      <c r="C17" s="320"/>
      <c r="D17" s="320"/>
      <c r="E17" s="320"/>
      <c r="F17" s="320"/>
      <c r="G17" s="320"/>
      <c r="H17" s="320"/>
      <c r="I17" s="320"/>
      <c r="J17" s="320"/>
      <c r="K17" s="320"/>
      <c r="L17" s="320"/>
      <c r="M17" s="320"/>
      <c r="N17" s="1114"/>
      <c r="O17" s="1114"/>
      <c r="P17" s="1114"/>
      <c r="Q17" s="1114"/>
      <c r="R17" s="1115"/>
    </row>
    <row r="18" spans="1:18" ht="20.100000000000001" customHeight="1" x14ac:dyDescent="0.2">
      <c r="A18" s="325"/>
      <c r="B18" s="373"/>
      <c r="C18" s="320"/>
      <c r="D18" s="320"/>
      <c r="E18" s="320"/>
      <c r="F18" s="320"/>
      <c r="G18" s="320"/>
      <c r="H18" s="320"/>
      <c r="I18" s="320"/>
      <c r="J18" s="320"/>
      <c r="K18" s="320"/>
      <c r="L18" s="320"/>
      <c r="M18" s="320"/>
      <c r="N18" s="1114"/>
      <c r="O18" s="1114"/>
      <c r="P18" s="1114"/>
      <c r="Q18" s="1114"/>
      <c r="R18" s="1115"/>
    </row>
    <row r="19" spans="1:18" ht="20.100000000000001" customHeight="1" x14ac:dyDescent="0.2">
      <c r="A19" s="325"/>
      <c r="B19" s="373"/>
      <c r="C19" s="320"/>
      <c r="D19" s="320"/>
      <c r="E19" s="320"/>
      <c r="F19" s="320"/>
      <c r="G19" s="320"/>
      <c r="H19" s="320"/>
      <c r="I19" s="320"/>
      <c r="J19" s="320"/>
      <c r="K19" s="320"/>
      <c r="L19" s="320"/>
      <c r="M19" s="320"/>
      <c r="N19" s="1114"/>
      <c r="O19" s="1114"/>
      <c r="P19" s="1114"/>
      <c r="Q19" s="1114"/>
      <c r="R19" s="1115"/>
    </row>
    <row r="20" spans="1:18" ht="20.100000000000001" customHeight="1" x14ac:dyDescent="0.2">
      <c r="A20" s="325"/>
      <c r="B20" s="373"/>
      <c r="C20" s="320"/>
      <c r="D20" s="320"/>
      <c r="E20" s="320"/>
      <c r="F20" s="320"/>
      <c r="G20" s="320"/>
      <c r="H20" s="320"/>
      <c r="I20" s="320"/>
      <c r="J20" s="320"/>
      <c r="K20" s="320"/>
      <c r="L20" s="320"/>
      <c r="M20" s="320"/>
      <c r="N20" s="1114"/>
      <c r="O20" s="1114"/>
      <c r="P20" s="1114"/>
      <c r="Q20" s="1114"/>
      <c r="R20" s="1115"/>
    </row>
    <row r="21" spans="1:18" ht="20.100000000000001" customHeight="1" x14ac:dyDescent="0.2">
      <c r="A21" s="325"/>
      <c r="B21" s="373"/>
      <c r="C21" s="320"/>
      <c r="D21" s="320"/>
      <c r="E21" s="320"/>
      <c r="F21" s="320"/>
      <c r="G21" s="320"/>
      <c r="H21" s="320"/>
      <c r="I21" s="320"/>
      <c r="J21" s="320"/>
      <c r="K21" s="320"/>
      <c r="L21" s="320"/>
      <c r="M21" s="320"/>
      <c r="N21" s="1114"/>
      <c r="O21" s="1114"/>
      <c r="P21" s="1114"/>
      <c r="Q21" s="1114"/>
      <c r="R21" s="1115"/>
    </row>
    <row r="22" spans="1:18" ht="20.100000000000001" customHeight="1" x14ac:dyDescent="0.2">
      <c r="A22" s="322"/>
      <c r="B22" s="318"/>
      <c r="C22" s="320"/>
      <c r="D22" s="319"/>
      <c r="E22" s="319"/>
      <c r="F22" s="319"/>
      <c r="G22" s="319"/>
      <c r="H22" s="319"/>
      <c r="I22" s="319"/>
      <c r="J22" s="319"/>
      <c r="K22" s="319"/>
      <c r="L22" s="319"/>
      <c r="M22" s="319"/>
      <c r="N22" s="1114"/>
      <c r="O22" s="1114"/>
      <c r="P22" s="1114"/>
      <c r="Q22" s="1114"/>
      <c r="R22" s="1115"/>
    </row>
    <row r="23" spans="1:18" ht="20.100000000000001" customHeight="1" x14ac:dyDescent="0.2">
      <c r="A23" s="322"/>
      <c r="B23" s="318"/>
      <c r="C23" s="319"/>
      <c r="D23" s="319"/>
      <c r="E23" s="319"/>
      <c r="F23" s="319"/>
      <c r="G23" s="319"/>
      <c r="H23" s="319"/>
      <c r="I23" s="319"/>
      <c r="J23" s="319"/>
      <c r="K23" s="319"/>
      <c r="L23" s="319"/>
      <c r="M23" s="319"/>
      <c r="N23" s="1114"/>
      <c r="O23" s="1114"/>
      <c r="P23" s="1114"/>
      <c r="Q23" s="1114"/>
      <c r="R23" s="1115"/>
    </row>
    <row r="24" spans="1:18" ht="20.100000000000001" customHeight="1" x14ac:dyDescent="0.2">
      <c r="A24" s="322"/>
      <c r="B24" s="324"/>
      <c r="C24" s="319"/>
      <c r="D24" s="319"/>
      <c r="E24" s="319"/>
      <c r="F24" s="319"/>
      <c r="G24" s="319"/>
      <c r="H24" s="319"/>
      <c r="I24" s="319"/>
      <c r="J24" s="319"/>
      <c r="K24" s="319"/>
      <c r="L24" s="319"/>
      <c r="M24" s="319"/>
      <c r="N24" s="1114"/>
      <c r="O24" s="1114"/>
      <c r="P24" s="1114"/>
      <c r="Q24" s="1114"/>
      <c r="R24" s="1115"/>
    </row>
    <row r="25" spans="1:18" ht="20.100000000000001" customHeight="1" x14ac:dyDescent="0.2">
      <c r="A25" s="322"/>
      <c r="B25" s="324"/>
      <c r="C25" s="319"/>
      <c r="D25" s="319"/>
      <c r="E25" s="319"/>
      <c r="F25" s="319"/>
      <c r="G25" s="319"/>
      <c r="H25" s="319"/>
      <c r="I25" s="319"/>
      <c r="J25" s="319"/>
      <c r="K25" s="319"/>
      <c r="L25" s="319"/>
      <c r="M25" s="319"/>
      <c r="N25" s="1114"/>
      <c r="O25" s="1114"/>
      <c r="P25" s="1114"/>
      <c r="Q25" s="1114"/>
      <c r="R25" s="1115"/>
    </row>
    <row r="26" spans="1:18" ht="20.100000000000001" customHeight="1" thickBot="1" x14ac:dyDescent="0.25">
      <c r="A26" s="317"/>
      <c r="B26" s="528"/>
      <c r="C26" s="315"/>
      <c r="D26" s="315"/>
      <c r="E26" s="315"/>
      <c r="F26" s="315"/>
      <c r="G26" s="315"/>
      <c r="H26" s="315"/>
      <c r="I26" s="315"/>
      <c r="J26" s="315"/>
      <c r="K26" s="315"/>
      <c r="L26" s="315"/>
      <c r="M26" s="315"/>
      <c r="N26" s="931"/>
      <c r="O26" s="931"/>
      <c r="P26" s="931"/>
      <c r="Q26" s="931"/>
      <c r="R26" s="932"/>
    </row>
    <row r="27" spans="1:18" x14ac:dyDescent="0.2">
      <c r="A27" s="314" t="s">
        <v>189</v>
      </c>
      <c r="B27" s="313"/>
      <c r="C27" s="313"/>
      <c r="D27" s="313"/>
      <c r="E27" s="313"/>
      <c r="F27" s="313"/>
      <c r="G27" s="313"/>
      <c r="H27" s="313"/>
      <c r="I27" s="313"/>
      <c r="J27" s="313"/>
      <c r="K27" s="313"/>
      <c r="L27" s="313"/>
      <c r="M27" s="313"/>
      <c r="N27" s="313"/>
      <c r="O27" s="313"/>
      <c r="P27" s="313"/>
      <c r="Q27" s="313"/>
      <c r="R27" s="312"/>
    </row>
    <row r="28" spans="1:18" x14ac:dyDescent="0.2">
      <c r="A28" s="388" t="s">
        <v>902</v>
      </c>
      <c r="R28" s="310"/>
    </row>
    <row r="29" spans="1:18" x14ac:dyDescent="0.2">
      <c r="A29" s="388" t="s">
        <v>903</v>
      </c>
      <c r="R29" s="310"/>
    </row>
    <row r="30" spans="1:18" ht="13.5" thickBot="1" x14ac:dyDescent="0.25">
      <c r="A30" s="309"/>
      <c r="B30" s="308"/>
      <c r="C30" s="308"/>
      <c r="D30" s="308"/>
      <c r="E30" s="308"/>
      <c r="F30" s="308"/>
      <c r="G30" s="308"/>
      <c r="H30" s="308"/>
      <c r="I30" s="308"/>
      <c r="J30" s="308"/>
      <c r="K30" s="308"/>
      <c r="L30" s="308"/>
      <c r="M30" s="308"/>
      <c r="N30" s="308"/>
      <c r="O30" s="308"/>
      <c r="P30" s="308"/>
      <c r="Q30" s="308"/>
      <c r="R30" s="307"/>
    </row>
  </sheetData>
  <mergeCells count="27">
    <mergeCell ref="Q1:R8"/>
    <mergeCell ref="D9:D11"/>
    <mergeCell ref="N26:R26"/>
    <mergeCell ref="N24:R24"/>
    <mergeCell ref="N25:R25"/>
    <mergeCell ref="H9:H10"/>
    <mergeCell ref="N15:R15"/>
    <mergeCell ref="N20:R20"/>
    <mergeCell ref="N21:R21"/>
    <mergeCell ref="N14:R14"/>
    <mergeCell ref="N23:R23"/>
    <mergeCell ref="N22:R22"/>
    <mergeCell ref="N16:R16"/>
    <mergeCell ref="N17:R17"/>
    <mergeCell ref="N18:R18"/>
    <mergeCell ref="N19:R19"/>
    <mergeCell ref="A9:A11"/>
    <mergeCell ref="B9:B11"/>
    <mergeCell ref="J9:L10"/>
    <mergeCell ref="N9:R11"/>
    <mergeCell ref="N13:R13"/>
    <mergeCell ref="G9:G11"/>
    <mergeCell ref="E9:E11"/>
    <mergeCell ref="F9:F11"/>
    <mergeCell ref="C9:C11"/>
    <mergeCell ref="I9:I10"/>
    <mergeCell ref="M9:M11"/>
  </mergeCells>
  <pageMargins left="0.7" right="0.7" top="0.75" bottom="0.75" header="0.3" footer="0.3"/>
  <pageSetup paperSize="9" scale="72"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3DDA-6442-4B20-9754-1B9EBA4D69E7}">
  <sheetPr>
    <tabColor rgb="FFFF0000"/>
    <pageSetUpPr fitToPage="1"/>
  </sheetPr>
  <dimension ref="A1:V20"/>
  <sheetViews>
    <sheetView zoomScaleNormal="100" workbookViewId="0">
      <selection activeCell="U1" sqref="U1:V8"/>
    </sheetView>
  </sheetViews>
  <sheetFormatPr defaultColWidth="9.140625" defaultRowHeight="12.75" x14ac:dyDescent="0.2"/>
  <cols>
    <col min="1" max="1" width="10.7109375" style="80" customWidth="1"/>
    <col min="2" max="2" width="23.5703125" style="80" customWidth="1"/>
    <col min="3" max="4" width="10.7109375" style="80" customWidth="1"/>
    <col min="5" max="5" width="14.28515625" style="80" customWidth="1"/>
    <col min="6" max="6" width="20" style="80" customWidth="1"/>
    <col min="7" max="7" width="9.5703125" style="80" customWidth="1"/>
    <col min="8" max="8" width="9.140625" style="80" bestFit="1" customWidth="1"/>
    <col min="9" max="9" width="9.140625" style="80" customWidth="1"/>
    <col min="10" max="12" width="9.85546875" style="80" customWidth="1"/>
    <col min="13" max="13" width="12.42578125" style="80" customWidth="1"/>
    <col min="14" max="14" width="8.28515625" style="80" customWidth="1"/>
    <col min="15" max="15" width="6.140625" style="80" customWidth="1"/>
    <col min="16" max="16" width="6.42578125" style="80" customWidth="1"/>
    <col min="17" max="17" width="5.28515625" style="80" customWidth="1"/>
    <col min="18" max="21" width="9.140625" style="80"/>
    <col min="22" max="22" width="21.140625" style="80" customWidth="1"/>
    <col min="23" max="16384" width="9.140625" style="80"/>
  </cols>
  <sheetData>
    <row r="1" spans="1:22" ht="6.75" customHeight="1" x14ac:dyDescent="0.2">
      <c r="A1" s="138"/>
      <c r="B1" s="137"/>
      <c r="C1" s="385"/>
      <c r="D1" s="334"/>
      <c r="E1" s="334"/>
      <c r="F1" s="384"/>
      <c r="G1" s="334"/>
      <c r="H1" s="334"/>
      <c r="I1" s="334"/>
      <c r="J1" s="334"/>
      <c r="K1" s="334"/>
      <c r="L1" s="334"/>
      <c r="M1" s="334"/>
      <c r="N1" s="334"/>
      <c r="O1" s="334"/>
      <c r="P1" s="334"/>
      <c r="Q1" s="334"/>
      <c r="R1" s="334"/>
      <c r="S1" s="334"/>
      <c r="T1" s="333"/>
      <c r="U1" s="890"/>
      <c r="V1" s="891"/>
    </row>
    <row r="2" spans="1:22" ht="12.75" customHeight="1" x14ac:dyDescent="0.2">
      <c r="A2" s="131"/>
      <c r="B2" s="130"/>
      <c r="C2" s="151"/>
      <c r="D2" s="124"/>
      <c r="E2" s="383" t="s">
        <v>71</v>
      </c>
      <c r="F2" s="353">
        <f>'PROJECT SUMMARY'!D3</f>
        <v>0</v>
      </c>
      <c r="G2" s="473"/>
      <c r="H2" s="132"/>
      <c r="I2" s="132"/>
      <c r="J2" s="132"/>
      <c r="K2" s="132"/>
      <c r="L2" s="132"/>
      <c r="M2" s="132"/>
      <c r="N2" s="124"/>
      <c r="O2" s="124"/>
      <c r="P2" s="124"/>
      <c r="Q2" s="124"/>
      <c r="R2" s="124"/>
      <c r="S2" s="124"/>
      <c r="T2" s="123"/>
      <c r="U2" s="892"/>
      <c r="V2" s="893"/>
    </row>
    <row r="3" spans="1:22" ht="12.75" customHeight="1" x14ac:dyDescent="0.2">
      <c r="A3" s="131"/>
      <c r="B3" s="130"/>
      <c r="C3" s="151"/>
      <c r="D3" s="124"/>
      <c r="E3" s="382" t="s">
        <v>72</v>
      </c>
      <c r="F3" s="331">
        <f>'PROJECT SUMMARY'!D4</f>
        <v>0</v>
      </c>
      <c r="G3" s="126"/>
      <c r="H3" s="126"/>
      <c r="I3" s="126"/>
      <c r="J3" s="126"/>
      <c r="K3" s="126"/>
      <c r="L3" s="126"/>
      <c r="M3" s="126"/>
      <c r="N3" s="124"/>
      <c r="O3" s="124"/>
      <c r="P3" s="124"/>
      <c r="Q3" s="124"/>
      <c r="R3" s="124"/>
      <c r="S3" s="124"/>
      <c r="T3" s="123"/>
      <c r="U3" s="892"/>
      <c r="V3" s="893"/>
    </row>
    <row r="4" spans="1:22" ht="12.75" customHeight="1" x14ac:dyDescent="0.2">
      <c r="A4" s="131"/>
      <c r="B4" s="130"/>
      <c r="C4" s="151"/>
      <c r="D4" s="124"/>
      <c r="E4" s="382" t="s">
        <v>73</v>
      </c>
      <c r="F4" s="331" t="s">
        <v>60</v>
      </c>
      <c r="G4" s="126"/>
      <c r="H4" s="126"/>
      <c r="I4" s="126"/>
      <c r="J4" s="126"/>
      <c r="K4" s="126"/>
      <c r="L4" s="126"/>
      <c r="M4" s="126"/>
      <c r="N4" s="124"/>
      <c r="O4" s="124"/>
      <c r="P4" s="124"/>
      <c r="Q4" s="124"/>
      <c r="R4" s="124"/>
      <c r="S4" s="124"/>
      <c r="T4" s="123"/>
      <c r="U4" s="892"/>
      <c r="V4" s="893"/>
    </row>
    <row r="5" spans="1:22" ht="12.75" customHeight="1" x14ac:dyDescent="0.2">
      <c r="A5" s="131"/>
      <c r="B5" s="130"/>
      <c r="C5" s="151"/>
      <c r="D5" s="124"/>
      <c r="E5" s="382" t="s">
        <v>75</v>
      </c>
      <c r="F5" s="331" t="str">
        <f>'PROJECT SUMMARY'!B48</f>
        <v>KEY-SH-M-50-XXX</v>
      </c>
      <c r="G5" s="126"/>
      <c r="H5" s="126"/>
      <c r="I5" s="126"/>
      <c r="J5" s="126"/>
      <c r="K5" s="126"/>
      <c r="L5" s="126"/>
      <c r="M5" s="126"/>
      <c r="N5" s="124"/>
      <c r="O5" s="124"/>
      <c r="P5" s="124"/>
      <c r="Q5" s="124"/>
      <c r="R5" s="124"/>
      <c r="S5" s="124"/>
      <c r="T5" s="123"/>
      <c r="U5" s="892"/>
      <c r="V5" s="893"/>
    </row>
    <row r="6" spans="1:22" ht="12.75" customHeight="1" x14ac:dyDescent="0.2">
      <c r="A6" s="131"/>
      <c r="B6" s="130"/>
      <c r="C6" s="151"/>
      <c r="D6" s="124"/>
      <c r="E6" s="382" t="s">
        <v>76</v>
      </c>
      <c r="F6" s="381">
        <f>'PROJECT SUMMARY'!C48</f>
        <v>0</v>
      </c>
      <c r="G6" s="351"/>
      <c r="H6" s="126"/>
      <c r="I6" s="126"/>
      <c r="J6" s="126"/>
      <c r="K6" s="126"/>
      <c r="L6" s="126"/>
      <c r="M6" s="126"/>
      <c r="N6" s="124"/>
      <c r="O6" s="124"/>
      <c r="P6" s="124"/>
      <c r="Q6" s="124"/>
      <c r="R6" s="124"/>
      <c r="S6" s="124"/>
      <c r="T6" s="123"/>
      <c r="U6" s="892"/>
      <c r="V6" s="893"/>
    </row>
    <row r="7" spans="1:22" ht="12.75" customHeight="1" x14ac:dyDescent="0.2">
      <c r="A7" s="131"/>
      <c r="B7" s="130"/>
      <c r="C7" s="151"/>
      <c r="D7" s="124"/>
      <c r="E7" s="382" t="s">
        <v>77</v>
      </c>
      <c r="F7" s="381">
        <f>'PROJECT SUMMARY'!D5</f>
        <v>0</v>
      </c>
      <c r="G7" s="351"/>
      <c r="H7" s="126"/>
      <c r="I7" s="126"/>
      <c r="J7" s="126"/>
      <c r="K7" s="126"/>
      <c r="L7" s="126"/>
      <c r="M7" s="126"/>
      <c r="N7" s="124"/>
      <c r="O7" s="124"/>
      <c r="P7" s="124"/>
      <c r="Q7" s="124"/>
      <c r="R7" s="124"/>
      <c r="S7" s="124"/>
      <c r="T7" s="123"/>
      <c r="U7" s="892"/>
      <c r="V7" s="893"/>
    </row>
    <row r="8" spans="1:22" ht="5.25" customHeight="1" thickBot="1" x14ac:dyDescent="0.25">
      <c r="A8" s="122"/>
      <c r="B8" s="121"/>
      <c r="C8" s="380"/>
      <c r="D8" s="329"/>
      <c r="E8" s="329"/>
      <c r="F8" s="379"/>
      <c r="G8" s="329"/>
      <c r="H8" s="329"/>
      <c r="I8" s="329"/>
      <c r="J8" s="329"/>
      <c r="K8" s="329"/>
      <c r="L8" s="329"/>
      <c r="M8" s="329"/>
      <c r="N8" s="329"/>
      <c r="O8" s="329"/>
      <c r="P8" s="329"/>
      <c r="Q8" s="329"/>
      <c r="R8" s="329"/>
      <c r="S8" s="329"/>
      <c r="T8" s="328"/>
      <c r="U8" s="892"/>
      <c r="V8" s="893"/>
    </row>
    <row r="9" spans="1:22" ht="12.75" customHeight="1" x14ac:dyDescent="0.2">
      <c r="A9" s="867" t="s">
        <v>199</v>
      </c>
      <c r="B9" s="857" t="s">
        <v>200</v>
      </c>
      <c r="C9" s="873" t="s">
        <v>254</v>
      </c>
      <c r="D9" s="873" t="s">
        <v>904</v>
      </c>
      <c r="E9" s="873" t="s">
        <v>905</v>
      </c>
      <c r="F9" s="857" t="s">
        <v>906</v>
      </c>
      <c r="G9" s="857" t="s">
        <v>875</v>
      </c>
      <c r="H9" s="857" t="s">
        <v>896</v>
      </c>
      <c r="I9" s="857" t="s">
        <v>907</v>
      </c>
      <c r="J9" s="857" t="s">
        <v>908</v>
      </c>
      <c r="K9" s="857" t="s">
        <v>737</v>
      </c>
      <c r="L9" s="857" t="s">
        <v>909</v>
      </c>
      <c r="M9" s="439" t="s">
        <v>910</v>
      </c>
      <c r="N9" s="873" t="s">
        <v>911</v>
      </c>
      <c r="O9" s="857" t="s">
        <v>209</v>
      </c>
      <c r="P9" s="857"/>
      <c r="Q9" s="857"/>
      <c r="R9" s="857" t="s">
        <v>258</v>
      </c>
      <c r="S9" s="857"/>
      <c r="T9" s="857"/>
      <c r="U9" s="857"/>
      <c r="V9" s="860"/>
    </row>
    <row r="10" spans="1:22" x14ac:dyDescent="0.2">
      <c r="A10" s="868"/>
      <c r="B10" s="858"/>
      <c r="C10" s="874"/>
      <c r="D10" s="874"/>
      <c r="E10" s="874"/>
      <c r="F10" s="858"/>
      <c r="G10" s="858"/>
      <c r="H10" s="858"/>
      <c r="I10" s="858"/>
      <c r="J10" s="858"/>
      <c r="K10" s="858"/>
      <c r="L10" s="858"/>
      <c r="M10" s="438"/>
      <c r="N10" s="874"/>
      <c r="O10" s="858"/>
      <c r="P10" s="858"/>
      <c r="Q10" s="858"/>
      <c r="R10" s="858"/>
      <c r="S10" s="858"/>
      <c r="T10" s="858"/>
      <c r="U10" s="858"/>
      <c r="V10" s="861"/>
    </row>
    <row r="11" spans="1:22" ht="24.75" thickBot="1" x14ac:dyDescent="0.25">
      <c r="A11" s="1117"/>
      <c r="B11" s="1116"/>
      <c r="C11" s="438" t="s">
        <v>463</v>
      </c>
      <c r="D11" s="438" t="s">
        <v>912</v>
      </c>
      <c r="E11" s="438" t="s">
        <v>913</v>
      </c>
      <c r="F11" s="1116"/>
      <c r="G11" s="1116"/>
      <c r="H11" s="1116"/>
      <c r="I11" s="1116"/>
      <c r="J11" s="1116"/>
      <c r="K11" s="1116"/>
      <c r="L11" s="1116"/>
      <c r="M11" s="438" t="s">
        <v>914</v>
      </c>
      <c r="N11" s="438" t="s">
        <v>915</v>
      </c>
      <c r="O11" s="472" t="s">
        <v>217</v>
      </c>
      <c r="P11" s="472" t="s">
        <v>218</v>
      </c>
      <c r="Q11" s="472" t="s">
        <v>219</v>
      </c>
      <c r="R11" s="1116"/>
      <c r="S11" s="1116"/>
      <c r="T11" s="1116"/>
      <c r="U11" s="1116"/>
      <c r="V11" s="1118"/>
    </row>
    <row r="12" spans="1:22" ht="3.75" customHeight="1" thickBot="1" x14ac:dyDescent="0.25">
      <c r="A12" s="471"/>
      <c r="B12" s="470"/>
      <c r="C12" s="470"/>
      <c r="D12" s="470"/>
      <c r="E12" s="470"/>
      <c r="F12" s="470"/>
      <c r="G12" s="470"/>
      <c r="H12" s="470"/>
      <c r="I12" s="470"/>
      <c r="J12" s="470"/>
      <c r="K12" s="470"/>
      <c r="L12" s="470"/>
      <c r="M12" s="470"/>
      <c r="N12" s="470"/>
      <c r="O12" s="470"/>
      <c r="P12" s="470"/>
      <c r="Q12" s="470"/>
      <c r="R12" s="470"/>
      <c r="S12" s="470"/>
      <c r="T12" s="470"/>
      <c r="U12" s="470"/>
      <c r="V12" s="469"/>
    </row>
    <row r="13" spans="1:22" ht="24" customHeight="1" x14ac:dyDescent="0.2">
      <c r="A13" s="449" t="s">
        <v>916</v>
      </c>
      <c r="B13" s="448" t="s">
        <v>917</v>
      </c>
      <c r="C13" s="447">
        <v>0.25</v>
      </c>
      <c r="D13" s="446">
        <v>80</v>
      </c>
      <c r="E13" s="446" t="s">
        <v>861</v>
      </c>
      <c r="F13" s="446" t="s">
        <v>918</v>
      </c>
      <c r="G13" s="446"/>
      <c r="H13" s="446" t="s">
        <v>919</v>
      </c>
      <c r="I13" s="446"/>
      <c r="J13" s="446"/>
      <c r="K13" s="446" t="s">
        <v>148</v>
      </c>
      <c r="L13" s="446" t="s">
        <v>920</v>
      </c>
      <c r="M13" s="446"/>
      <c r="N13" s="446"/>
      <c r="O13" s="446"/>
      <c r="P13" s="446"/>
      <c r="Q13" s="446"/>
      <c r="R13" s="870" t="s">
        <v>921</v>
      </c>
      <c r="S13" s="870"/>
      <c r="T13" s="870"/>
      <c r="U13" s="870"/>
      <c r="V13" s="871"/>
    </row>
    <row r="14" spans="1:22" ht="26.25" customHeight="1" x14ac:dyDescent="0.2">
      <c r="A14" s="467" t="s">
        <v>922</v>
      </c>
      <c r="B14" s="468" t="s">
        <v>923</v>
      </c>
      <c r="C14" s="465">
        <v>0.7</v>
      </c>
      <c r="D14" s="466">
        <v>100</v>
      </c>
      <c r="E14" s="465" t="s">
        <v>924</v>
      </c>
      <c r="F14" s="465" t="s">
        <v>925</v>
      </c>
      <c r="G14" s="465"/>
      <c r="H14" s="465" t="s">
        <v>926</v>
      </c>
      <c r="I14" s="465"/>
      <c r="J14" s="465"/>
      <c r="K14" s="465" t="s">
        <v>927</v>
      </c>
      <c r="L14" s="465" t="s">
        <v>920</v>
      </c>
      <c r="M14" s="465"/>
      <c r="N14" s="465"/>
      <c r="O14" s="465"/>
      <c r="P14" s="465"/>
      <c r="Q14" s="465"/>
      <c r="R14" s="865" t="s">
        <v>928</v>
      </c>
      <c r="S14" s="865"/>
      <c r="T14" s="865"/>
      <c r="U14" s="865"/>
      <c r="V14" s="866"/>
    </row>
    <row r="15" spans="1:22" ht="20.100000000000001" customHeight="1" x14ac:dyDescent="0.2">
      <c r="A15" s="467"/>
      <c r="B15" s="445"/>
      <c r="C15" s="465"/>
      <c r="D15" s="466"/>
      <c r="E15" s="465"/>
      <c r="F15" s="465"/>
      <c r="G15" s="465"/>
      <c r="H15" s="465"/>
      <c r="I15" s="465"/>
      <c r="J15" s="465"/>
      <c r="K15" s="465"/>
      <c r="L15" s="465"/>
      <c r="M15" s="465"/>
      <c r="N15" s="465"/>
      <c r="O15" s="465"/>
      <c r="P15" s="465"/>
      <c r="Q15" s="465"/>
      <c r="R15" s="865"/>
      <c r="S15" s="865"/>
      <c r="T15" s="865"/>
      <c r="U15" s="865"/>
      <c r="V15" s="866"/>
    </row>
    <row r="16" spans="1:22" ht="20.100000000000001" customHeight="1" thickBot="1" x14ac:dyDescent="0.25">
      <c r="A16" s="401"/>
      <c r="B16" s="464"/>
      <c r="C16" s="399"/>
      <c r="D16" s="399"/>
      <c r="E16" s="399"/>
      <c r="F16" s="399"/>
      <c r="G16" s="399"/>
      <c r="H16" s="399"/>
      <c r="I16" s="399"/>
      <c r="J16" s="399"/>
      <c r="K16" s="399"/>
      <c r="L16" s="399"/>
      <c r="M16" s="399"/>
      <c r="N16" s="399"/>
      <c r="O16" s="399"/>
      <c r="P16" s="399"/>
      <c r="Q16" s="399"/>
      <c r="R16" s="855"/>
      <c r="S16" s="855"/>
      <c r="T16" s="855"/>
      <c r="U16" s="855"/>
      <c r="V16" s="856"/>
    </row>
    <row r="17" spans="1:22" x14ac:dyDescent="0.2">
      <c r="A17" s="397" t="s">
        <v>189</v>
      </c>
      <c r="B17" s="396"/>
      <c r="C17" s="396"/>
      <c r="D17" s="396"/>
      <c r="E17" s="396"/>
      <c r="F17" s="396"/>
      <c r="G17" s="396"/>
      <c r="H17" s="396"/>
      <c r="I17" s="396"/>
      <c r="J17" s="396"/>
      <c r="K17" s="396"/>
      <c r="L17" s="396"/>
      <c r="M17" s="396"/>
      <c r="N17" s="396"/>
      <c r="O17" s="396"/>
      <c r="P17" s="396"/>
      <c r="Q17" s="396"/>
      <c r="R17" s="396"/>
      <c r="S17" s="396"/>
      <c r="T17" s="396"/>
      <c r="U17" s="396"/>
      <c r="V17" s="395"/>
    </row>
    <row r="18" spans="1:22" x14ac:dyDescent="0.2">
      <c r="A18" s="426" t="s">
        <v>929</v>
      </c>
      <c r="B18" s="139"/>
      <c r="C18" s="139"/>
      <c r="D18" s="139"/>
      <c r="E18" s="139"/>
      <c r="F18" s="139"/>
      <c r="G18" s="139"/>
      <c r="H18" s="139"/>
      <c r="I18" s="139"/>
      <c r="J18" s="139"/>
      <c r="K18" s="139"/>
      <c r="L18" s="139"/>
      <c r="M18" s="139"/>
      <c r="N18" s="139"/>
      <c r="O18" s="139"/>
      <c r="P18" s="139"/>
      <c r="Q18" s="139"/>
      <c r="R18" s="139"/>
      <c r="S18" s="139"/>
      <c r="T18" s="139"/>
      <c r="U18" s="139"/>
      <c r="V18" s="393"/>
    </row>
    <row r="19" spans="1:22" x14ac:dyDescent="0.2">
      <c r="A19" s="426" t="s">
        <v>930</v>
      </c>
      <c r="B19" s="139"/>
      <c r="C19" s="139"/>
      <c r="D19" s="139"/>
      <c r="E19" s="139"/>
      <c r="F19" s="139"/>
      <c r="G19" s="139"/>
      <c r="H19" s="139"/>
      <c r="I19" s="139"/>
      <c r="J19" s="139"/>
      <c r="K19" s="139"/>
      <c r="L19" s="139"/>
      <c r="M19" s="139"/>
      <c r="N19" s="139"/>
      <c r="O19" s="139"/>
      <c r="P19" s="139"/>
      <c r="Q19" s="139"/>
      <c r="R19" s="139"/>
      <c r="S19" s="139"/>
      <c r="T19" s="139"/>
      <c r="U19" s="139"/>
      <c r="V19" s="393"/>
    </row>
    <row r="20" spans="1:22" ht="13.5" thickBot="1" x14ac:dyDescent="0.25">
      <c r="A20" s="392"/>
      <c r="B20" s="391"/>
      <c r="C20" s="391"/>
      <c r="D20" s="391"/>
      <c r="E20" s="391"/>
      <c r="F20" s="391"/>
      <c r="G20" s="391"/>
      <c r="H20" s="391"/>
      <c r="I20" s="391"/>
      <c r="J20" s="391"/>
      <c r="K20" s="391"/>
      <c r="L20" s="391"/>
      <c r="M20" s="391"/>
      <c r="N20" s="391"/>
      <c r="O20" s="391"/>
      <c r="P20" s="391"/>
      <c r="Q20" s="391"/>
      <c r="R20" s="391"/>
      <c r="S20" s="391"/>
      <c r="T20" s="391"/>
      <c r="U20" s="391"/>
      <c r="V20" s="390"/>
    </row>
  </sheetData>
  <mergeCells count="20">
    <mergeCell ref="A9:A11"/>
    <mergeCell ref="B9:B11"/>
    <mergeCell ref="O9:Q10"/>
    <mergeCell ref="R9:V11"/>
    <mergeCell ref="R13:V13"/>
    <mergeCell ref="D9:D10"/>
    <mergeCell ref="C9:C10"/>
    <mergeCell ref="F9:F11"/>
    <mergeCell ref="E9:E10"/>
    <mergeCell ref="G9:G11"/>
    <mergeCell ref="L9:L11"/>
    <mergeCell ref="I9:I11"/>
    <mergeCell ref="R16:V16"/>
    <mergeCell ref="U1:V8"/>
    <mergeCell ref="H9:H11"/>
    <mergeCell ref="R15:V15"/>
    <mergeCell ref="N9:N10"/>
    <mergeCell ref="J9:J11"/>
    <mergeCell ref="K9:K11"/>
    <mergeCell ref="R14:V14"/>
  </mergeCells>
  <pageMargins left="0.7" right="0.7" top="0.75" bottom="0.75" header="0.3" footer="0.3"/>
  <pageSetup paperSize="9" scale="6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057FC-952D-45AA-8219-6D9F5A7FFEF5}">
  <sheetPr>
    <tabColor rgb="FFFF0000"/>
    <pageSetUpPr fitToPage="1"/>
  </sheetPr>
  <dimension ref="A1:S23"/>
  <sheetViews>
    <sheetView zoomScaleNormal="100" workbookViewId="0">
      <selection activeCell="R1" sqref="R1:S8"/>
    </sheetView>
  </sheetViews>
  <sheetFormatPr defaultColWidth="9.140625" defaultRowHeight="12.75" x14ac:dyDescent="0.2"/>
  <cols>
    <col min="1" max="1" width="10.7109375" style="80" customWidth="1"/>
    <col min="2" max="2" width="22.85546875" style="80" customWidth="1"/>
    <col min="3" max="3" width="10.7109375" style="80" customWidth="1"/>
    <col min="4" max="4" width="12.28515625" style="80" customWidth="1"/>
    <col min="5" max="5" width="14.28515625" style="80" customWidth="1"/>
    <col min="6" max="6" width="18.7109375" style="80" customWidth="1"/>
    <col min="7" max="9" width="12.42578125" style="80" customWidth="1"/>
    <col min="10" max="10" width="8" style="80" customWidth="1"/>
    <col min="11" max="11" width="7.7109375" style="80" customWidth="1"/>
    <col min="12" max="12" width="8.28515625" style="80" customWidth="1"/>
    <col min="13" max="13" width="6.42578125" style="80" customWidth="1"/>
    <col min="14" max="14" width="6.85546875" style="80" customWidth="1"/>
    <col min="15" max="18" width="9.140625" style="80"/>
    <col min="19" max="19" width="21.28515625" style="80" customWidth="1"/>
    <col min="20" max="16384" width="9.140625" style="80"/>
  </cols>
  <sheetData>
    <row r="1" spans="1:19" ht="6.75" customHeight="1" x14ac:dyDescent="0.2">
      <c r="A1" s="138"/>
      <c r="B1" s="137"/>
      <c r="C1" s="385"/>
      <c r="D1" s="334"/>
      <c r="E1" s="334"/>
      <c r="F1" s="384"/>
      <c r="G1" s="334"/>
      <c r="H1" s="334"/>
      <c r="I1" s="334"/>
      <c r="J1" s="334"/>
      <c r="K1" s="334"/>
      <c r="L1" s="334"/>
      <c r="M1" s="334"/>
      <c r="N1" s="334"/>
      <c r="O1" s="334"/>
      <c r="P1" s="334"/>
      <c r="Q1" s="333"/>
      <c r="R1" s="890"/>
      <c r="S1" s="891"/>
    </row>
    <row r="2" spans="1:19" ht="12.75" customHeight="1" x14ac:dyDescent="0.2">
      <c r="A2" s="131"/>
      <c r="B2" s="130"/>
      <c r="C2" s="151"/>
      <c r="D2" s="124"/>
      <c r="E2" s="383" t="s">
        <v>71</v>
      </c>
      <c r="F2" s="332">
        <f>'PROJECT SUMMARY'!D3</f>
        <v>0</v>
      </c>
      <c r="G2" s="132"/>
      <c r="H2" s="132"/>
      <c r="I2" s="132"/>
      <c r="J2" s="132"/>
      <c r="K2" s="124"/>
      <c r="L2" s="124"/>
      <c r="M2" s="124"/>
      <c r="N2" s="124"/>
      <c r="O2" s="124"/>
      <c r="P2" s="124"/>
      <c r="Q2" s="123"/>
      <c r="R2" s="892"/>
      <c r="S2" s="893"/>
    </row>
    <row r="3" spans="1:19" ht="12.75" customHeight="1" x14ac:dyDescent="0.2">
      <c r="A3" s="131"/>
      <c r="B3" s="130"/>
      <c r="C3" s="151"/>
      <c r="D3" s="124"/>
      <c r="E3" s="382" t="s">
        <v>72</v>
      </c>
      <c r="F3" s="331">
        <f>'PROJECT SUMMARY'!D4</f>
        <v>0</v>
      </c>
      <c r="G3" s="126"/>
      <c r="H3" s="126"/>
      <c r="I3" s="126"/>
      <c r="J3" s="126"/>
      <c r="K3" s="124"/>
      <c r="L3" s="124"/>
      <c r="M3" s="124"/>
      <c r="N3" s="124"/>
      <c r="O3" s="124"/>
      <c r="P3" s="124"/>
      <c r="Q3" s="123"/>
      <c r="R3" s="892"/>
      <c r="S3" s="893"/>
    </row>
    <row r="4" spans="1:19" ht="12.75" customHeight="1" x14ac:dyDescent="0.2">
      <c r="A4" s="131"/>
      <c r="B4" s="130"/>
      <c r="C4" s="151"/>
      <c r="D4" s="124"/>
      <c r="E4" s="382" t="s">
        <v>73</v>
      </c>
      <c r="F4" s="331" t="s">
        <v>61</v>
      </c>
      <c r="G4" s="126"/>
      <c r="H4" s="126"/>
      <c r="I4" s="126"/>
      <c r="J4" s="126"/>
      <c r="K4" s="124"/>
      <c r="L4" s="124"/>
      <c r="M4" s="124"/>
      <c r="N4" s="124"/>
      <c r="O4" s="124"/>
      <c r="P4" s="124"/>
      <c r="Q4" s="123"/>
      <c r="R4" s="892"/>
      <c r="S4" s="893"/>
    </row>
    <row r="5" spans="1:19" ht="12.75" customHeight="1" x14ac:dyDescent="0.2">
      <c r="A5" s="131"/>
      <c r="B5" s="130"/>
      <c r="C5" s="151"/>
      <c r="D5" s="124"/>
      <c r="E5" s="382" t="s">
        <v>75</v>
      </c>
      <c r="F5" s="331" t="str">
        <f>'PROJECT SUMMARY'!B49</f>
        <v>KEY-SH-M-50-XXX</v>
      </c>
      <c r="G5" s="126"/>
      <c r="H5" s="126"/>
      <c r="I5" s="126"/>
      <c r="J5" s="126"/>
      <c r="K5" s="124"/>
      <c r="L5" s="124"/>
      <c r="M5" s="124"/>
      <c r="N5" s="124"/>
      <c r="O5" s="124"/>
      <c r="P5" s="124"/>
      <c r="Q5" s="123"/>
      <c r="R5" s="892"/>
      <c r="S5" s="893"/>
    </row>
    <row r="6" spans="1:19" ht="12.75" customHeight="1" x14ac:dyDescent="0.2">
      <c r="A6" s="131"/>
      <c r="B6" s="130"/>
      <c r="C6" s="151"/>
      <c r="D6" s="124"/>
      <c r="E6" s="382" t="s">
        <v>76</v>
      </c>
      <c r="F6" s="331">
        <f>'PROJECT SUMMARY'!C49</f>
        <v>0</v>
      </c>
      <c r="G6" s="126"/>
      <c r="H6" s="126"/>
      <c r="I6" s="126"/>
      <c r="J6" s="126"/>
      <c r="K6" s="124"/>
      <c r="L6" s="124"/>
      <c r="M6" s="124"/>
      <c r="N6" s="124"/>
      <c r="O6" s="124"/>
      <c r="P6" s="124"/>
      <c r="Q6" s="123"/>
      <c r="R6" s="892"/>
      <c r="S6" s="893"/>
    </row>
    <row r="7" spans="1:19" ht="12.75" customHeight="1" x14ac:dyDescent="0.2">
      <c r="A7" s="131"/>
      <c r="B7" s="130"/>
      <c r="C7" s="151"/>
      <c r="D7" s="124"/>
      <c r="E7" s="382" t="s">
        <v>77</v>
      </c>
      <c r="F7" s="331">
        <f>'PROJECT SUMMARY'!D5</f>
        <v>0</v>
      </c>
      <c r="G7" s="126"/>
      <c r="H7" s="126"/>
      <c r="I7" s="126"/>
      <c r="J7" s="126"/>
      <c r="K7" s="124"/>
      <c r="L7" s="124"/>
      <c r="M7" s="124"/>
      <c r="N7" s="124"/>
      <c r="O7" s="124"/>
      <c r="P7" s="124"/>
      <c r="Q7" s="123"/>
      <c r="R7" s="892"/>
      <c r="S7" s="893"/>
    </row>
    <row r="8" spans="1:19" ht="5.25" customHeight="1" thickBot="1" x14ac:dyDescent="0.25">
      <c r="A8" s="122"/>
      <c r="B8" s="121"/>
      <c r="C8" s="380"/>
      <c r="D8" s="329"/>
      <c r="E8" s="329"/>
      <c r="F8" s="379"/>
      <c r="G8" s="329"/>
      <c r="H8" s="329"/>
      <c r="I8" s="329"/>
      <c r="J8" s="329"/>
      <c r="K8" s="329"/>
      <c r="L8" s="329"/>
      <c r="M8" s="329"/>
      <c r="N8" s="329"/>
      <c r="O8" s="329"/>
      <c r="P8" s="329"/>
      <c r="Q8" s="328"/>
      <c r="R8" s="892"/>
      <c r="S8" s="893"/>
    </row>
    <row r="9" spans="1:19" ht="12.75" customHeight="1" x14ac:dyDescent="0.2">
      <c r="A9" s="935" t="s">
        <v>199</v>
      </c>
      <c r="B9" s="938" t="s">
        <v>200</v>
      </c>
      <c r="C9" s="947" t="s">
        <v>931</v>
      </c>
      <c r="D9" s="947" t="s">
        <v>932</v>
      </c>
      <c r="E9" s="947" t="s">
        <v>933</v>
      </c>
      <c r="F9" s="938" t="s">
        <v>906</v>
      </c>
      <c r="G9" s="947" t="s">
        <v>934</v>
      </c>
      <c r="H9" s="947" t="s">
        <v>935</v>
      </c>
      <c r="I9" s="947" t="s">
        <v>936</v>
      </c>
      <c r="J9" s="947" t="s">
        <v>184</v>
      </c>
      <c r="K9" s="947" t="s">
        <v>937</v>
      </c>
      <c r="L9" s="938" t="s">
        <v>209</v>
      </c>
      <c r="M9" s="941"/>
      <c r="N9" s="941"/>
      <c r="O9" s="938" t="s">
        <v>258</v>
      </c>
      <c r="P9" s="938"/>
      <c r="Q9" s="938"/>
      <c r="R9" s="938"/>
      <c r="S9" s="980"/>
    </row>
    <row r="10" spans="1:19" x14ac:dyDescent="0.2">
      <c r="A10" s="936"/>
      <c r="B10" s="939"/>
      <c r="C10" s="1110"/>
      <c r="D10" s="1110"/>
      <c r="E10" s="1110"/>
      <c r="F10" s="939"/>
      <c r="G10" s="1110"/>
      <c r="H10" s="1110"/>
      <c r="I10" s="1110"/>
      <c r="J10" s="1110"/>
      <c r="K10" s="1110"/>
      <c r="L10" s="939"/>
      <c r="M10" s="939"/>
      <c r="N10" s="939"/>
      <c r="O10" s="943"/>
      <c r="P10" s="943"/>
      <c r="Q10" s="943"/>
      <c r="R10" s="943"/>
      <c r="S10" s="981"/>
    </row>
    <row r="11" spans="1:19" ht="23.25" thickBot="1" x14ac:dyDescent="0.25">
      <c r="A11" s="937"/>
      <c r="B11" s="940"/>
      <c r="C11" s="326" t="s">
        <v>938</v>
      </c>
      <c r="D11" s="326" t="s">
        <v>939</v>
      </c>
      <c r="E11" s="326" t="s">
        <v>939</v>
      </c>
      <c r="F11" s="940"/>
      <c r="G11" s="326" t="s">
        <v>939</v>
      </c>
      <c r="H11" s="326" t="s">
        <v>939</v>
      </c>
      <c r="I11" s="326" t="s">
        <v>939</v>
      </c>
      <c r="J11" s="326" t="s">
        <v>835</v>
      </c>
      <c r="K11" s="326" t="s">
        <v>940</v>
      </c>
      <c r="L11" s="387" t="s">
        <v>217</v>
      </c>
      <c r="M11" s="387" t="s">
        <v>941</v>
      </c>
      <c r="N11" s="387" t="s">
        <v>219</v>
      </c>
      <c r="O11" s="945"/>
      <c r="P11" s="945"/>
      <c r="Q11" s="945"/>
      <c r="R11" s="945"/>
      <c r="S11" s="1113"/>
    </row>
    <row r="12" spans="1:19" ht="3.75" customHeight="1" thickBot="1" x14ac:dyDescent="0.25">
      <c r="A12" s="377"/>
      <c r="B12" s="376"/>
      <c r="C12" s="376"/>
      <c r="D12" s="376"/>
      <c r="E12" s="375"/>
      <c r="F12" s="375"/>
      <c r="G12" s="375"/>
      <c r="H12" s="375"/>
      <c r="I12" s="375"/>
      <c r="J12" s="375"/>
      <c r="K12" s="375"/>
      <c r="L12" s="375"/>
      <c r="M12" s="375"/>
      <c r="N12" s="375"/>
      <c r="O12" s="375"/>
      <c r="P12" s="375"/>
      <c r="Q12" s="375"/>
      <c r="R12" s="375"/>
      <c r="S12" s="374"/>
    </row>
    <row r="13" spans="1:19" ht="30" customHeight="1" x14ac:dyDescent="0.2">
      <c r="A13" s="371" t="s">
        <v>942</v>
      </c>
      <c r="B13" s="373" t="s">
        <v>943</v>
      </c>
      <c r="C13" s="323">
        <v>365</v>
      </c>
      <c r="D13" s="323">
        <v>21</v>
      </c>
      <c r="E13" s="323">
        <v>65</v>
      </c>
      <c r="F13" s="531" t="s">
        <v>944</v>
      </c>
      <c r="G13" s="323"/>
      <c r="H13" s="323"/>
      <c r="I13" s="323"/>
      <c r="J13" s="323"/>
      <c r="K13" s="323"/>
      <c r="L13" s="323" t="s">
        <v>759</v>
      </c>
      <c r="M13" s="320">
        <v>3</v>
      </c>
      <c r="N13" s="320"/>
      <c r="O13" s="933" t="s">
        <v>945</v>
      </c>
      <c r="P13" s="933"/>
      <c r="Q13" s="933"/>
      <c r="R13" s="933"/>
      <c r="S13" s="934"/>
    </row>
    <row r="14" spans="1:19" ht="30" customHeight="1" x14ac:dyDescent="0.2">
      <c r="A14" s="371" t="s">
        <v>946</v>
      </c>
      <c r="B14" s="373" t="s">
        <v>943</v>
      </c>
      <c r="C14" s="323">
        <v>365</v>
      </c>
      <c r="D14" s="323">
        <v>21</v>
      </c>
      <c r="E14" s="323">
        <v>65</v>
      </c>
      <c r="F14" s="531" t="s">
        <v>944</v>
      </c>
      <c r="G14" s="323"/>
      <c r="H14" s="323"/>
      <c r="I14" s="323"/>
      <c r="J14" s="323"/>
      <c r="K14" s="323"/>
      <c r="L14" s="323" t="s">
        <v>759</v>
      </c>
      <c r="M14" s="320">
        <v>3</v>
      </c>
      <c r="N14" s="320"/>
      <c r="O14" s="933" t="s">
        <v>945</v>
      </c>
      <c r="P14" s="933"/>
      <c r="Q14" s="933"/>
      <c r="R14" s="933"/>
      <c r="S14" s="934"/>
    </row>
    <row r="15" spans="1:19" ht="30" customHeight="1" x14ac:dyDescent="0.2">
      <c r="A15" s="372"/>
      <c r="B15" s="318"/>
      <c r="C15" s="319"/>
      <c r="D15" s="319"/>
      <c r="E15" s="319"/>
      <c r="F15" s="319"/>
      <c r="G15" s="319"/>
      <c r="H15" s="319"/>
      <c r="I15" s="319"/>
      <c r="J15" s="319"/>
      <c r="K15" s="319"/>
      <c r="L15" s="319"/>
      <c r="M15" s="319"/>
      <c r="N15" s="319"/>
      <c r="O15" s="1114"/>
      <c r="P15" s="1114"/>
      <c r="Q15" s="1114"/>
      <c r="R15" s="1114"/>
      <c r="S15" s="1115"/>
    </row>
    <row r="16" spans="1:19" ht="30" customHeight="1" x14ac:dyDescent="0.2">
      <c r="A16" s="372"/>
      <c r="B16" s="318"/>
      <c r="C16" s="530"/>
      <c r="D16" s="530"/>
      <c r="E16" s="529"/>
      <c r="F16" s="319"/>
      <c r="G16" s="319"/>
      <c r="H16" s="319"/>
      <c r="I16" s="319"/>
      <c r="J16" s="319"/>
      <c r="K16" s="319"/>
      <c r="L16" s="319"/>
      <c r="M16" s="319"/>
      <c r="N16" s="319"/>
      <c r="O16" s="1114"/>
      <c r="P16" s="1114"/>
      <c r="Q16" s="1114"/>
      <c r="R16" s="1114"/>
      <c r="S16" s="1115"/>
    </row>
    <row r="17" spans="1:19" ht="30" customHeight="1" x14ac:dyDescent="0.2">
      <c r="A17" s="322"/>
      <c r="B17" s="324"/>
      <c r="C17" s="319"/>
      <c r="D17" s="319"/>
      <c r="E17" s="319"/>
      <c r="F17" s="319"/>
      <c r="G17" s="319"/>
      <c r="H17" s="319"/>
      <c r="I17" s="319"/>
      <c r="J17" s="319"/>
      <c r="K17" s="319"/>
      <c r="L17" s="319"/>
      <c r="M17" s="319"/>
      <c r="N17" s="319"/>
      <c r="O17" s="1114"/>
      <c r="P17" s="1114"/>
      <c r="Q17" s="1114"/>
      <c r="R17" s="1114"/>
      <c r="S17" s="1115"/>
    </row>
    <row r="18" spans="1:19" ht="30" customHeight="1" x14ac:dyDescent="0.2">
      <c r="A18" s="322"/>
      <c r="B18" s="324"/>
      <c r="C18" s="319"/>
      <c r="D18" s="319"/>
      <c r="E18" s="319"/>
      <c r="F18" s="319"/>
      <c r="G18" s="319"/>
      <c r="H18" s="319"/>
      <c r="I18" s="319"/>
      <c r="J18" s="319"/>
      <c r="K18" s="319"/>
      <c r="L18" s="319"/>
      <c r="M18" s="319"/>
      <c r="N18" s="319"/>
      <c r="O18" s="1114"/>
      <c r="P18" s="1114"/>
      <c r="Q18" s="1114"/>
      <c r="R18" s="1114"/>
      <c r="S18" s="1115"/>
    </row>
    <row r="19" spans="1:19" ht="30" customHeight="1" thickBot="1" x14ac:dyDescent="0.25">
      <c r="A19" s="317"/>
      <c r="B19" s="528"/>
      <c r="C19" s="315"/>
      <c r="D19" s="315"/>
      <c r="E19" s="315"/>
      <c r="F19" s="315"/>
      <c r="G19" s="315"/>
      <c r="H19" s="315"/>
      <c r="I19" s="315"/>
      <c r="J19" s="315"/>
      <c r="K19" s="315"/>
      <c r="L19" s="315"/>
      <c r="M19" s="315"/>
      <c r="N19" s="315"/>
      <c r="O19" s="931"/>
      <c r="P19" s="931"/>
      <c r="Q19" s="931"/>
      <c r="R19" s="931"/>
      <c r="S19" s="932"/>
    </row>
    <row r="20" spans="1:19" x14ac:dyDescent="0.2">
      <c r="A20" s="314" t="s">
        <v>189</v>
      </c>
      <c r="B20" s="313"/>
      <c r="C20" s="313"/>
      <c r="D20" s="313"/>
      <c r="E20" s="313"/>
      <c r="F20" s="313"/>
      <c r="G20" s="313"/>
      <c r="H20" s="313"/>
      <c r="I20" s="313"/>
      <c r="J20" s="313"/>
      <c r="K20" s="313"/>
      <c r="L20" s="313"/>
      <c r="M20" s="313"/>
      <c r="N20" s="313"/>
      <c r="O20" s="313"/>
      <c r="P20" s="313"/>
      <c r="Q20" s="313"/>
      <c r="R20" s="313"/>
      <c r="S20" s="312"/>
    </row>
    <row r="21" spans="1:19" x14ac:dyDescent="0.2">
      <c r="A21" s="336"/>
      <c r="S21" s="310"/>
    </row>
    <row r="22" spans="1:19" x14ac:dyDescent="0.2">
      <c r="A22" s="311"/>
      <c r="S22" s="310"/>
    </row>
    <row r="23" spans="1:19" ht="13.5" thickBot="1" x14ac:dyDescent="0.25">
      <c r="A23" s="309"/>
      <c r="B23" s="308"/>
      <c r="C23" s="308"/>
      <c r="D23" s="308"/>
      <c r="E23" s="308"/>
      <c r="F23" s="308"/>
      <c r="G23" s="308"/>
      <c r="H23" s="308"/>
      <c r="I23" s="308"/>
      <c r="J23" s="308"/>
      <c r="K23" s="308"/>
      <c r="L23" s="308"/>
      <c r="M23" s="308"/>
      <c r="N23" s="308"/>
      <c r="O23" s="308"/>
      <c r="P23" s="308"/>
      <c r="Q23" s="308"/>
      <c r="R23" s="308"/>
      <c r="S23" s="307"/>
    </row>
  </sheetData>
  <mergeCells count="21">
    <mergeCell ref="O19:S19"/>
    <mergeCell ref="O13:S13"/>
    <mergeCell ref="O14:S14"/>
    <mergeCell ref="O15:S15"/>
    <mergeCell ref="O16:S16"/>
    <mergeCell ref="O17:S17"/>
    <mergeCell ref="O18:S18"/>
    <mergeCell ref="H9:H10"/>
    <mergeCell ref="G9:G10"/>
    <mergeCell ref="A9:A11"/>
    <mergeCell ref="B9:B11"/>
    <mergeCell ref="C9:C10"/>
    <mergeCell ref="E9:E10"/>
    <mergeCell ref="F9:F11"/>
    <mergeCell ref="D9:D10"/>
    <mergeCell ref="R1:S8"/>
    <mergeCell ref="I9:I10"/>
    <mergeCell ref="J9:J10"/>
    <mergeCell ref="O9:S11"/>
    <mergeCell ref="K9:K10"/>
    <mergeCell ref="L9:N10"/>
  </mergeCells>
  <pageMargins left="0.7" right="0.7" top="0.75" bottom="0.75" header="0.3" footer="0.3"/>
  <pageSetup paperSize="9" scale="62"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008D8-5519-4C2E-9BF5-7A6BA9A3E532}">
  <sheetPr>
    <tabColor rgb="FFFF0000"/>
    <pageSetUpPr fitToPage="1"/>
  </sheetPr>
  <dimension ref="A1:T24"/>
  <sheetViews>
    <sheetView zoomScaleNormal="100" workbookViewId="0">
      <selection activeCell="B14" sqref="B14:I14"/>
    </sheetView>
  </sheetViews>
  <sheetFormatPr defaultColWidth="9.140625" defaultRowHeight="12.75" x14ac:dyDescent="0.2"/>
  <cols>
    <col min="1" max="1" width="10.7109375" style="80" customWidth="1"/>
    <col min="2" max="2" width="22.85546875" style="80" customWidth="1"/>
    <col min="3" max="3" width="10.7109375" style="80" customWidth="1"/>
    <col min="4" max="4" width="11.42578125" style="80" customWidth="1"/>
    <col min="5" max="5" width="19.28515625" style="80" customWidth="1"/>
    <col min="6" max="7" width="14.28515625" style="80" customWidth="1"/>
    <col min="8" max="8" width="16.85546875" style="80" customWidth="1"/>
    <col min="9" max="9" width="14.28515625" style="80" customWidth="1"/>
    <col min="10" max="10" width="16.140625" style="80" customWidth="1"/>
    <col min="11" max="11" width="12.42578125" style="80" customWidth="1"/>
    <col min="12" max="12" width="13.28515625" style="80" customWidth="1"/>
    <col min="13" max="13" width="6.140625" style="80" customWidth="1"/>
    <col min="14" max="14" width="6.42578125" style="80" customWidth="1"/>
    <col min="15" max="15" width="5.28515625" style="80" customWidth="1"/>
    <col min="16" max="19" width="9.140625" style="80"/>
    <col min="20" max="20" width="19.85546875" style="80" customWidth="1"/>
    <col min="21" max="16384" width="9.140625" style="80"/>
  </cols>
  <sheetData>
    <row r="1" spans="1:20" ht="6.75" customHeight="1" x14ac:dyDescent="0.2">
      <c r="A1" s="138"/>
      <c r="B1" s="137"/>
      <c r="C1" s="385"/>
      <c r="D1" s="334"/>
      <c r="E1" s="334"/>
      <c r="F1" s="334"/>
      <c r="G1" s="334"/>
      <c r="H1" s="384"/>
      <c r="I1" s="334"/>
      <c r="J1" s="334"/>
      <c r="K1" s="334"/>
      <c r="L1" s="334"/>
      <c r="M1" s="334"/>
      <c r="N1" s="334"/>
      <c r="O1" s="334"/>
      <c r="P1" s="334"/>
      <c r="Q1" s="334"/>
      <c r="R1" s="333"/>
      <c r="S1" s="890" t="s">
        <v>70</v>
      </c>
      <c r="T1" s="891"/>
    </row>
    <row r="2" spans="1:20" ht="12.75" customHeight="1" x14ac:dyDescent="0.2">
      <c r="A2" s="131"/>
      <c r="B2" s="130"/>
      <c r="C2" s="631" t="s">
        <v>71</v>
      </c>
      <c r="D2" s="125"/>
      <c r="E2" s="332">
        <f>'PROJECT SUMMARY'!D3</f>
        <v>0</v>
      </c>
      <c r="F2" s="125"/>
      <c r="G2" s="125"/>
      <c r="H2" s="125"/>
      <c r="I2" s="125"/>
      <c r="J2" s="132"/>
      <c r="K2" s="132"/>
      <c r="L2" s="124"/>
      <c r="M2" s="124"/>
      <c r="N2" s="124"/>
      <c r="O2" s="124"/>
      <c r="P2" s="124"/>
      <c r="Q2" s="124"/>
      <c r="R2" s="123"/>
      <c r="S2" s="892"/>
      <c r="T2" s="893"/>
    </row>
    <row r="3" spans="1:20" ht="12.75" customHeight="1" x14ac:dyDescent="0.2">
      <c r="A3" s="131"/>
      <c r="B3" s="130"/>
      <c r="C3" s="129" t="s">
        <v>72</v>
      </c>
      <c r="D3" s="630"/>
      <c r="E3" s="331">
        <f>'PROJECT SUMMARY'!D4</f>
        <v>0</v>
      </c>
      <c r="F3" s="125"/>
      <c r="G3" s="125"/>
      <c r="H3" s="125"/>
      <c r="I3" s="125"/>
      <c r="J3" s="126"/>
      <c r="K3" s="126"/>
      <c r="L3" s="124"/>
      <c r="M3" s="124"/>
      <c r="N3" s="124"/>
      <c r="O3" s="124"/>
      <c r="P3" s="124"/>
      <c r="Q3" s="124"/>
      <c r="R3" s="123"/>
      <c r="S3" s="892"/>
      <c r="T3" s="893"/>
    </row>
    <row r="4" spans="1:20" ht="12.75" customHeight="1" x14ac:dyDescent="0.2">
      <c r="A4" s="131"/>
      <c r="B4" s="130"/>
      <c r="C4" s="129" t="s">
        <v>73</v>
      </c>
      <c r="D4" s="125"/>
      <c r="E4" s="331" t="s">
        <v>947</v>
      </c>
      <c r="F4" s="125"/>
      <c r="G4" s="125"/>
      <c r="H4" s="125"/>
      <c r="I4" s="125"/>
      <c r="J4" s="126"/>
      <c r="K4" s="126"/>
      <c r="L4" s="124"/>
      <c r="M4" s="124"/>
      <c r="N4" s="124"/>
      <c r="O4" s="124"/>
      <c r="P4" s="124"/>
      <c r="Q4" s="124"/>
      <c r="R4" s="123"/>
      <c r="S4" s="892"/>
      <c r="T4" s="893"/>
    </row>
    <row r="5" spans="1:20" ht="12.75" customHeight="1" x14ac:dyDescent="0.2">
      <c r="A5" s="131"/>
      <c r="B5" s="130"/>
      <c r="C5" s="129" t="s">
        <v>75</v>
      </c>
      <c r="D5" s="125"/>
      <c r="E5" s="331" t="str">
        <f>'PROJECT SUMMARY'!B50</f>
        <v>KEY-SH-M-50-XXX</v>
      </c>
      <c r="F5" s="125"/>
      <c r="G5" s="125"/>
      <c r="H5" s="125"/>
      <c r="I5" s="125"/>
      <c r="J5" s="126"/>
      <c r="K5" s="126"/>
      <c r="L5" s="124"/>
      <c r="M5" s="124"/>
      <c r="N5" s="124"/>
      <c r="O5" s="124"/>
      <c r="P5" s="124"/>
      <c r="Q5" s="124"/>
      <c r="R5" s="123"/>
      <c r="S5" s="892"/>
      <c r="T5" s="893"/>
    </row>
    <row r="6" spans="1:20" ht="12.75" customHeight="1" x14ac:dyDescent="0.2">
      <c r="A6" s="131"/>
      <c r="B6" s="130"/>
      <c r="C6" s="129" t="s">
        <v>76</v>
      </c>
      <c r="D6" s="125"/>
      <c r="E6" s="331">
        <f>'PROJECT SUMMARY'!C50</f>
        <v>0</v>
      </c>
      <c r="F6" s="125"/>
      <c r="G6" s="125"/>
      <c r="H6" s="125"/>
      <c r="I6" s="125"/>
      <c r="J6" s="126"/>
      <c r="K6" s="126"/>
      <c r="L6" s="124"/>
      <c r="M6" s="124"/>
      <c r="N6" s="124"/>
      <c r="O6" s="124"/>
      <c r="P6" s="124"/>
      <c r="Q6" s="124"/>
      <c r="R6" s="123"/>
      <c r="S6" s="892"/>
      <c r="T6" s="893"/>
    </row>
    <row r="7" spans="1:20" ht="12.75" customHeight="1" x14ac:dyDescent="0.2">
      <c r="A7" s="131"/>
      <c r="B7" s="130"/>
      <c r="C7" s="129" t="s">
        <v>77</v>
      </c>
      <c r="D7" s="125"/>
      <c r="E7" s="331">
        <f>'PROJECT SUMMARY'!D5</f>
        <v>0</v>
      </c>
      <c r="F7" s="125"/>
      <c r="G7" s="125"/>
      <c r="H7" s="125"/>
      <c r="I7" s="125"/>
      <c r="J7" s="126"/>
      <c r="K7" s="126"/>
      <c r="L7" s="124"/>
      <c r="M7" s="124"/>
      <c r="N7" s="124"/>
      <c r="O7" s="124"/>
      <c r="P7" s="124"/>
      <c r="Q7" s="124"/>
      <c r="R7" s="123"/>
      <c r="S7" s="892"/>
      <c r="T7" s="893"/>
    </row>
    <row r="8" spans="1:20" ht="5.25" customHeight="1" thickBot="1" x14ac:dyDescent="0.25">
      <c r="A8" s="122"/>
      <c r="B8" s="121"/>
      <c r="C8" s="380"/>
      <c r="D8" s="329"/>
      <c r="E8" s="329"/>
      <c r="F8" s="329"/>
      <c r="G8" s="329"/>
      <c r="H8" s="379"/>
      <c r="I8" s="329"/>
      <c r="J8" s="329"/>
      <c r="K8" s="329"/>
      <c r="L8" s="329"/>
      <c r="M8" s="329"/>
      <c r="N8" s="329"/>
      <c r="O8" s="329"/>
      <c r="P8" s="329"/>
      <c r="Q8" s="329"/>
      <c r="R8" s="328"/>
      <c r="S8" s="892"/>
      <c r="T8" s="893"/>
    </row>
    <row r="9" spans="1:20" ht="12.75" customHeight="1" x14ac:dyDescent="0.2">
      <c r="A9" s="935" t="s">
        <v>199</v>
      </c>
      <c r="B9" s="938" t="s">
        <v>200</v>
      </c>
      <c r="C9" s="947" t="s">
        <v>870</v>
      </c>
      <c r="D9" s="947" t="s">
        <v>871</v>
      </c>
      <c r="E9" s="947" t="s">
        <v>948</v>
      </c>
      <c r="F9" s="938" t="s">
        <v>949</v>
      </c>
      <c r="G9" s="938" t="s">
        <v>873</v>
      </c>
      <c r="H9" s="938" t="s">
        <v>739</v>
      </c>
      <c r="I9" s="938" t="s">
        <v>874</v>
      </c>
      <c r="J9" s="938" t="s">
        <v>876</v>
      </c>
      <c r="K9" s="938" t="s">
        <v>950</v>
      </c>
      <c r="L9" s="938" t="s">
        <v>951</v>
      </c>
      <c r="M9" s="938" t="s">
        <v>209</v>
      </c>
      <c r="N9" s="941"/>
      <c r="O9" s="941"/>
      <c r="P9" s="938" t="s">
        <v>258</v>
      </c>
      <c r="Q9" s="938"/>
      <c r="R9" s="938"/>
      <c r="S9" s="938"/>
      <c r="T9" s="980"/>
    </row>
    <row r="10" spans="1:20" x14ac:dyDescent="0.2">
      <c r="A10" s="936"/>
      <c r="B10" s="939"/>
      <c r="C10" s="1110"/>
      <c r="D10" s="1110"/>
      <c r="E10" s="1111"/>
      <c r="F10" s="939"/>
      <c r="G10" s="939"/>
      <c r="H10" s="939"/>
      <c r="I10" s="939"/>
      <c r="J10" s="939"/>
      <c r="K10" s="939"/>
      <c r="L10" s="939"/>
      <c r="M10" s="939"/>
      <c r="N10" s="939"/>
      <c r="O10" s="939"/>
      <c r="P10" s="943"/>
      <c r="Q10" s="943"/>
      <c r="R10" s="943"/>
      <c r="S10" s="943"/>
      <c r="T10" s="981"/>
    </row>
    <row r="11" spans="1:20" ht="23.25" thickBot="1" x14ac:dyDescent="0.25">
      <c r="A11" s="937"/>
      <c r="B11" s="940"/>
      <c r="C11" s="326" t="s">
        <v>878</v>
      </c>
      <c r="D11" s="326" t="s">
        <v>879</v>
      </c>
      <c r="E11" s="1112"/>
      <c r="F11" s="940"/>
      <c r="G11" s="940"/>
      <c r="H11" s="940"/>
      <c r="I11" s="940"/>
      <c r="J11" s="940"/>
      <c r="K11" s="940"/>
      <c r="L11" s="940"/>
      <c r="M11" s="387" t="s">
        <v>217</v>
      </c>
      <c r="N11" s="387" t="s">
        <v>218</v>
      </c>
      <c r="O11" s="387" t="s">
        <v>219</v>
      </c>
      <c r="P11" s="945"/>
      <c r="Q11" s="945"/>
      <c r="R11" s="945"/>
      <c r="S11" s="945"/>
      <c r="T11" s="1113"/>
    </row>
    <row r="12" spans="1:20" ht="3.75" customHeight="1" thickBot="1" x14ac:dyDescent="0.25">
      <c r="A12" s="377"/>
      <c r="B12" s="376"/>
      <c r="C12" s="376"/>
      <c r="D12" s="375"/>
      <c r="E12" s="375"/>
      <c r="F12" s="375"/>
      <c r="G12" s="375"/>
      <c r="H12" s="375"/>
      <c r="I12" s="375"/>
      <c r="J12" s="375"/>
      <c r="K12" s="375"/>
      <c r="L12" s="375"/>
      <c r="M12" s="375"/>
      <c r="N12" s="375"/>
      <c r="O12" s="375"/>
      <c r="P12" s="375"/>
      <c r="Q12" s="375"/>
      <c r="R12" s="375"/>
      <c r="S12" s="375"/>
      <c r="T12" s="374"/>
    </row>
    <row r="13" spans="1:20" ht="42.75" customHeight="1" x14ac:dyDescent="0.2">
      <c r="A13" s="449" t="s">
        <v>952</v>
      </c>
      <c r="B13" s="448" t="s">
        <v>953</v>
      </c>
      <c r="C13" s="447">
        <v>1000</v>
      </c>
      <c r="D13" s="446" t="s">
        <v>954</v>
      </c>
      <c r="E13" s="446"/>
      <c r="F13" s="446">
        <v>150</v>
      </c>
      <c r="G13" s="629" t="s">
        <v>883</v>
      </c>
      <c r="H13" s="446"/>
      <c r="I13" s="446" t="s">
        <v>884</v>
      </c>
      <c r="J13" s="446" t="s">
        <v>955</v>
      </c>
      <c r="K13" s="446"/>
      <c r="L13" s="446"/>
      <c r="M13" s="446"/>
      <c r="N13" s="446"/>
      <c r="O13" s="446"/>
      <c r="P13" s="870" t="s">
        <v>956</v>
      </c>
      <c r="Q13" s="870"/>
      <c r="R13" s="870"/>
      <c r="S13" s="870"/>
      <c r="T13" s="871"/>
    </row>
    <row r="14" spans="1:20" ht="36.75" customHeight="1" x14ac:dyDescent="0.2">
      <c r="A14" s="467"/>
      <c r="B14" s="468"/>
      <c r="C14" s="465"/>
      <c r="D14" s="466"/>
      <c r="E14" s="466"/>
      <c r="F14" s="465"/>
      <c r="G14" s="465"/>
      <c r="H14" s="465"/>
      <c r="I14" s="446"/>
      <c r="J14" s="465"/>
      <c r="K14" s="465"/>
      <c r="L14" s="465"/>
      <c r="M14" s="465"/>
      <c r="N14" s="465"/>
      <c r="O14" s="465"/>
      <c r="P14" s="870"/>
      <c r="Q14" s="870"/>
      <c r="R14" s="870"/>
      <c r="S14" s="870"/>
      <c r="T14" s="871"/>
    </row>
    <row r="15" spans="1:20" ht="36" customHeight="1" x14ac:dyDescent="0.2">
      <c r="A15" s="467"/>
      <c r="B15" s="468"/>
      <c r="C15" s="465"/>
      <c r="D15" s="466"/>
      <c r="E15" s="446"/>
      <c r="F15" s="446"/>
      <c r="G15" s="446"/>
      <c r="H15" s="446"/>
      <c r="I15" s="446"/>
      <c r="J15" s="446"/>
      <c r="K15" s="446"/>
      <c r="L15" s="446"/>
      <c r="M15" s="465"/>
      <c r="N15" s="465"/>
      <c r="O15" s="465"/>
      <c r="P15" s="870"/>
      <c r="Q15" s="870"/>
      <c r="R15" s="870"/>
      <c r="S15" s="870"/>
      <c r="T15" s="871"/>
    </row>
    <row r="16" spans="1:20" ht="20.100000000000001" customHeight="1" x14ac:dyDescent="0.2">
      <c r="A16" s="467"/>
      <c r="B16" s="445"/>
      <c r="C16" s="465"/>
      <c r="D16" s="466"/>
      <c r="E16" s="466"/>
      <c r="F16" s="465"/>
      <c r="G16" s="465"/>
      <c r="H16" s="465"/>
      <c r="I16" s="465"/>
      <c r="J16" s="465"/>
      <c r="K16" s="465"/>
      <c r="L16" s="465"/>
      <c r="M16" s="465"/>
      <c r="N16" s="465"/>
      <c r="O16" s="465"/>
      <c r="P16" s="865"/>
      <c r="Q16" s="865"/>
      <c r="R16" s="865"/>
      <c r="S16" s="865"/>
      <c r="T16" s="866"/>
    </row>
    <row r="17" spans="1:20" ht="20.100000000000001" customHeight="1" x14ac:dyDescent="0.2">
      <c r="A17" s="467"/>
      <c r="B17" s="445"/>
      <c r="C17" s="465"/>
      <c r="D17" s="466"/>
      <c r="E17" s="466"/>
      <c r="F17" s="465"/>
      <c r="G17" s="465"/>
      <c r="H17" s="465"/>
      <c r="I17" s="465"/>
      <c r="J17" s="465"/>
      <c r="K17" s="465"/>
      <c r="L17" s="465"/>
      <c r="M17" s="465"/>
      <c r="N17" s="465"/>
      <c r="O17" s="465"/>
      <c r="P17" s="865"/>
      <c r="Q17" s="865"/>
      <c r="R17" s="865"/>
      <c r="S17" s="865"/>
      <c r="T17" s="866"/>
    </row>
    <row r="18" spans="1:20" ht="20.100000000000001" customHeight="1" x14ac:dyDescent="0.2">
      <c r="A18" s="467"/>
      <c r="B18" s="445"/>
      <c r="C18" s="465"/>
      <c r="D18" s="466"/>
      <c r="E18" s="466"/>
      <c r="F18" s="465"/>
      <c r="G18" s="465"/>
      <c r="H18" s="465"/>
      <c r="I18" s="465"/>
      <c r="J18" s="465"/>
      <c r="K18" s="465"/>
      <c r="L18" s="465"/>
      <c r="M18" s="465"/>
      <c r="N18" s="465"/>
      <c r="O18" s="465"/>
      <c r="P18" s="865"/>
      <c r="Q18" s="865"/>
      <c r="R18" s="865"/>
      <c r="S18" s="865"/>
      <c r="T18" s="866"/>
    </row>
    <row r="19" spans="1:20" ht="20.100000000000001" customHeight="1" x14ac:dyDescent="0.2">
      <c r="A19" s="467"/>
      <c r="B19" s="445"/>
      <c r="C19" s="465"/>
      <c r="D19" s="466"/>
      <c r="E19" s="466"/>
      <c r="F19" s="465"/>
      <c r="G19" s="465"/>
      <c r="H19" s="465"/>
      <c r="I19" s="465"/>
      <c r="J19" s="465"/>
      <c r="K19" s="465"/>
      <c r="L19" s="465"/>
      <c r="M19" s="465"/>
      <c r="N19" s="465"/>
      <c r="O19" s="465"/>
      <c r="P19" s="865"/>
      <c r="Q19" s="865"/>
      <c r="R19" s="865"/>
      <c r="S19" s="865"/>
      <c r="T19" s="866"/>
    </row>
    <row r="20" spans="1:20" ht="20.100000000000001" customHeight="1" thickBot="1" x14ac:dyDescent="0.25">
      <c r="A20" s="401"/>
      <c r="B20" s="464"/>
      <c r="C20" s="399"/>
      <c r="D20" s="399"/>
      <c r="E20" s="399"/>
      <c r="F20" s="399"/>
      <c r="G20" s="399"/>
      <c r="H20" s="399"/>
      <c r="I20" s="399"/>
      <c r="J20" s="399"/>
      <c r="K20" s="399"/>
      <c r="L20" s="399"/>
      <c r="M20" s="399"/>
      <c r="N20" s="399"/>
      <c r="O20" s="399"/>
      <c r="P20" s="855"/>
      <c r="Q20" s="855"/>
      <c r="R20" s="855"/>
      <c r="S20" s="855"/>
      <c r="T20" s="856"/>
    </row>
    <row r="21" spans="1:20" x14ac:dyDescent="0.2">
      <c r="A21" s="397" t="s">
        <v>189</v>
      </c>
      <c r="B21" s="396"/>
      <c r="C21" s="396"/>
      <c r="D21" s="396"/>
      <c r="E21" s="396"/>
      <c r="F21" s="396"/>
      <c r="G21" s="396"/>
      <c r="H21" s="396"/>
      <c r="I21" s="396"/>
      <c r="J21" s="396"/>
      <c r="K21" s="396"/>
      <c r="L21" s="396"/>
      <c r="M21" s="396"/>
      <c r="N21" s="396"/>
      <c r="O21" s="396"/>
      <c r="P21" s="396"/>
      <c r="Q21" s="396"/>
      <c r="R21" s="396"/>
      <c r="S21" s="396"/>
      <c r="T21" s="395"/>
    </row>
    <row r="22" spans="1:20" x14ac:dyDescent="0.2">
      <c r="A22" s="394" t="s">
        <v>957</v>
      </c>
      <c r="B22" s="139"/>
      <c r="C22" s="139"/>
      <c r="D22" s="139"/>
      <c r="E22" s="139"/>
      <c r="F22" s="139"/>
      <c r="G22" s="139"/>
      <c r="H22" s="139"/>
      <c r="I22" s="139"/>
      <c r="J22" s="139"/>
      <c r="K22" s="139"/>
      <c r="L22" s="139"/>
      <c r="M22" s="139"/>
      <c r="N22" s="139"/>
      <c r="O22" s="139"/>
      <c r="P22" s="139"/>
      <c r="Q22" s="139"/>
      <c r="R22" s="139"/>
      <c r="S22" s="139"/>
      <c r="T22" s="393"/>
    </row>
    <row r="23" spans="1:20" x14ac:dyDescent="0.2">
      <c r="A23" s="394" t="s">
        <v>958</v>
      </c>
      <c r="B23" s="139"/>
      <c r="C23" s="139"/>
      <c r="D23" s="139"/>
      <c r="E23" s="139"/>
      <c r="F23" s="139"/>
      <c r="G23" s="139"/>
      <c r="H23" s="139"/>
      <c r="I23" s="139"/>
      <c r="J23" s="139"/>
      <c r="K23" s="139"/>
      <c r="L23" s="139"/>
      <c r="M23" s="139"/>
      <c r="N23" s="139"/>
      <c r="O23" s="139"/>
      <c r="P23" s="139"/>
      <c r="Q23" s="139"/>
      <c r="R23" s="139"/>
      <c r="S23" s="139"/>
      <c r="T23" s="393"/>
    </row>
    <row r="24" spans="1:20" ht="13.5" thickBot="1" x14ac:dyDescent="0.25">
      <c r="A24" s="628" t="s">
        <v>959</v>
      </c>
      <c r="B24" s="391"/>
      <c r="C24" s="391"/>
      <c r="D24" s="391"/>
      <c r="E24" s="391"/>
      <c r="F24" s="391"/>
      <c r="G24" s="391"/>
      <c r="H24" s="391"/>
      <c r="I24" s="391"/>
      <c r="J24" s="391"/>
      <c r="K24" s="391"/>
      <c r="L24" s="391"/>
      <c r="M24" s="391"/>
      <c r="N24" s="391"/>
      <c r="O24" s="391"/>
      <c r="P24" s="391"/>
      <c r="Q24" s="391"/>
      <c r="R24" s="391"/>
      <c r="S24" s="391"/>
      <c r="T24" s="390"/>
    </row>
  </sheetData>
  <mergeCells count="23">
    <mergeCell ref="S1:T8"/>
    <mergeCell ref="A9:A11"/>
    <mergeCell ref="B9:B11"/>
    <mergeCell ref="M9:O10"/>
    <mergeCell ref="P9:T11"/>
    <mergeCell ref="K9:K11"/>
    <mergeCell ref="L9:L11"/>
    <mergeCell ref="J9:J11"/>
    <mergeCell ref="D9:D10"/>
    <mergeCell ref="C9:C10"/>
    <mergeCell ref="E9:E11"/>
    <mergeCell ref="G9:G11"/>
    <mergeCell ref="P20:T20"/>
    <mergeCell ref="P17:T17"/>
    <mergeCell ref="P18:T18"/>
    <mergeCell ref="P19:T19"/>
    <mergeCell ref="P16:T16"/>
    <mergeCell ref="P15:T15"/>
    <mergeCell ref="P13:T13"/>
    <mergeCell ref="P14:T14"/>
    <mergeCell ref="H9:H11"/>
    <mergeCell ref="F9:F11"/>
    <mergeCell ref="I9:I11"/>
  </mergeCells>
  <pageMargins left="0.7" right="0.7" top="0.75" bottom="0.75" header="0.3" footer="0.3"/>
  <pageSetup paperSize="9" scale="55"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D9D80-C50B-4A65-8EB2-F998FA678121}">
  <sheetPr>
    <tabColor rgb="FFFF0000"/>
    <pageSetUpPr fitToPage="1"/>
  </sheetPr>
  <dimension ref="A1:P24"/>
  <sheetViews>
    <sheetView zoomScaleNormal="100" workbookViewId="0">
      <selection activeCell="B14" sqref="B14:I14"/>
    </sheetView>
  </sheetViews>
  <sheetFormatPr defaultColWidth="9.140625" defaultRowHeight="12.75" x14ac:dyDescent="0.2"/>
  <cols>
    <col min="1" max="1" width="10.7109375" style="80" customWidth="1"/>
    <col min="2" max="2" width="25.28515625" style="80" customWidth="1"/>
    <col min="3" max="3" width="13" style="80" customWidth="1"/>
    <col min="4" max="4" width="10.7109375" style="80" customWidth="1"/>
    <col min="5" max="6" width="10.7109375" style="80" hidden="1" customWidth="1"/>
    <col min="7" max="7" width="12.5703125" style="80" customWidth="1"/>
    <col min="8" max="8" width="15.85546875" style="80" customWidth="1"/>
    <col min="9" max="9" width="6.140625" style="80" customWidth="1"/>
    <col min="10" max="10" width="6.42578125" style="80" customWidth="1"/>
    <col min="11" max="11" width="5.28515625" style="80" customWidth="1"/>
    <col min="12" max="15" width="9.140625" style="80"/>
    <col min="16" max="16" width="20.85546875" style="80" customWidth="1"/>
    <col min="17" max="16384" width="9.140625" style="80"/>
  </cols>
  <sheetData>
    <row r="1" spans="1:16" ht="6.75" customHeight="1" x14ac:dyDescent="0.2">
      <c r="A1" s="138"/>
      <c r="B1" s="137"/>
      <c r="C1" s="156"/>
      <c r="D1" s="134"/>
      <c r="E1" s="134"/>
      <c r="F1" s="134"/>
      <c r="G1" s="134"/>
      <c r="H1" s="134"/>
      <c r="I1" s="134"/>
      <c r="J1" s="134"/>
      <c r="K1" s="134"/>
      <c r="L1" s="134"/>
      <c r="M1" s="134"/>
      <c r="N1" s="133"/>
      <c r="O1" s="890" t="s">
        <v>70</v>
      </c>
      <c r="P1" s="891"/>
    </row>
    <row r="2" spans="1:16" ht="12.75" customHeight="1" x14ac:dyDescent="0.2">
      <c r="A2" s="131"/>
      <c r="B2" s="130"/>
      <c r="C2" s="370" t="s">
        <v>71</v>
      </c>
      <c r="D2" s="118"/>
      <c r="E2" s="118"/>
      <c r="F2" s="118"/>
      <c r="G2" s="368">
        <f>'PROJECT SUMMARY'!D3</f>
        <v>0</v>
      </c>
      <c r="H2" s="644"/>
      <c r="I2" s="118"/>
      <c r="J2" s="118"/>
      <c r="K2" s="118"/>
      <c r="L2" s="118"/>
      <c r="M2" s="118"/>
      <c r="N2" s="117"/>
      <c r="O2" s="892"/>
      <c r="P2" s="893"/>
    </row>
    <row r="3" spans="1:16" ht="12.75" customHeight="1" x14ac:dyDescent="0.2">
      <c r="A3" s="131"/>
      <c r="B3" s="130"/>
      <c r="C3" s="366" t="s">
        <v>72</v>
      </c>
      <c r="D3" s="118"/>
      <c r="E3" s="118"/>
      <c r="F3" s="118"/>
      <c r="G3" s="367">
        <f>'PROJECT SUMMARY'!D4</f>
        <v>0</v>
      </c>
      <c r="H3" s="644"/>
      <c r="I3" s="118"/>
      <c r="J3" s="118"/>
      <c r="K3" s="118"/>
      <c r="L3" s="118"/>
      <c r="M3" s="118"/>
      <c r="N3" s="117"/>
      <c r="O3" s="892"/>
      <c r="P3" s="893"/>
    </row>
    <row r="4" spans="1:16" ht="12.75" customHeight="1" x14ac:dyDescent="0.2">
      <c r="A4" s="131"/>
      <c r="B4" s="130"/>
      <c r="C4" s="366" t="s">
        <v>73</v>
      </c>
      <c r="D4" s="118"/>
      <c r="E4" s="118"/>
      <c r="F4" s="118"/>
      <c r="G4" s="367" t="s">
        <v>960</v>
      </c>
      <c r="H4" s="644"/>
      <c r="I4" s="118"/>
      <c r="J4" s="118"/>
      <c r="K4" s="118"/>
      <c r="L4" s="118"/>
      <c r="M4" s="118"/>
      <c r="N4" s="117"/>
      <c r="O4" s="892"/>
      <c r="P4" s="893"/>
    </row>
    <row r="5" spans="1:16" ht="12.75" customHeight="1" x14ac:dyDescent="0.2">
      <c r="A5" s="131"/>
      <c r="B5" s="130"/>
      <c r="C5" s="366" t="s">
        <v>75</v>
      </c>
      <c r="D5" s="118"/>
      <c r="E5" s="118"/>
      <c r="F5" s="118"/>
      <c r="G5" s="367" t="str">
        <f>'PROJECT SUMMARY'!B51</f>
        <v>KEY-SH-M-50-XXX</v>
      </c>
      <c r="H5" s="644"/>
      <c r="I5" s="118"/>
      <c r="J5" s="118"/>
      <c r="K5" s="118"/>
      <c r="L5" s="118"/>
      <c r="M5" s="118"/>
      <c r="N5" s="117"/>
      <c r="O5" s="892"/>
      <c r="P5" s="893"/>
    </row>
    <row r="6" spans="1:16" ht="12.75" customHeight="1" x14ac:dyDescent="0.2">
      <c r="A6" s="131"/>
      <c r="B6" s="130"/>
      <c r="C6" s="366" t="s">
        <v>76</v>
      </c>
      <c r="D6" s="118"/>
      <c r="E6" s="118"/>
      <c r="F6" s="118"/>
      <c r="G6" s="367">
        <f>'PROJECT SUMMARY'!C51</f>
        <v>0</v>
      </c>
      <c r="H6" s="644"/>
      <c r="I6" s="118"/>
      <c r="J6" s="118"/>
      <c r="K6" s="118"/>
      <c r="L6" s="118"/>
      <c r="M6" s="118"/>
      <c r="N6" s="117"/>
      <c r="O6" s="892"/>
      <c r="P6" s="893"/>
    </row>
    <row r="7" spans="1:16" ht="12.75" customHeight="1" x14ac:dyDescent="0.2">
      <c r="A7" s="131"/>
      <c r="B7" s="130"/>
      <c r="C7" s="366" t="s">
        <v>77</v>
      </c>
      <c r="D7" s="118"/>
      <c r="E7" s="118"/>
      <c r="F7" s="118"/>
      <c r="G7" s="367">
        <f>'PROJECT SUMMARY'!D5</f>
        <v>0</v>
      </c>
      <c r="H7" s="644"/>
      <c r="I7" s="118"/>
      <c r="J7" s="118"/>
      <c r="K7" s="118"/>
      <c r="L7" s="118"/>
      <c r="M7" s="118"/>
      <c r="N7" s="117"/>
      <c r="O7" s="892"/>
      <c r="P7" s="893"/>
    </row>
    <row r="8" spans="1:16" ht="5.25" customHeight="1" thickBot="1" x14ac:dyDescent="0.25">
      <c r="A8" s="122"/>
      <c r="B8" s="121"/>
      <c r="C8" s="120"/>
      <c r="D8" s="153"/>
      <c r="E8" s="153"/>
      <c r="F8" s="153"/>
      <c r="G8" s="153"/>
      <c r="H8" s="153"/>
      <c r="I8" s="153"/>
      <c r="J8" s="153"/>
      <c r="K8" s="153"/>
      <c r="L8" s="153"/>
      <c r="M8" s="153"/>
      <c r="N8" s="362"/>
      <c r="O8" s="892"/>
      <c r="P8" s="893"/>
    </row>
    <row r="9" spans="1:16" ht="12.75" customHeight="1" x14ac:dyDescent="0.2">
      <c r="A9" s="935" t="s">
        <v>199</v>
      </c>
      <c r="B9" s="938" t="s">
        <v>200</v>
      </c>
      <c r="C9" s="938" t="s">
        <v>111</v>
      </c>
      <c r="D9" s="938" t="s">
        <v>202</v>
      </c>
      <c r="E9" s="938" t="s">
        <v>961</v>
      </c>
      <c r="F9" s="938" t="s">
        <v>962</v>
      </c>
      <c r="G9" s="947" t="s">
        <v>119</v>
      </c>
      <c r="H9" s="938" t="s">
        <v>205</v>
      </c>
      <c r="I9" s="938" t="s">
        <v>209</v>
      </c>
      <c r="J9" s="941"/>
      <c r="K9" s="941"/>
      <c r="L9" s="938" t="s">
        <v>258</v>
      </c>
      <c r="M9" s="938"/>
      <c r="N9" s="938"/>
      <c r="O9" s="938"/>
      <c r="P9" s="980"/>
    </row>
    <row r="10" spans="1:16" x14ac:dyDescent="0.2">
      <c r="A10" s="936"/>
      <c r="B10" s="939"/>
      <c r="C10" s="939"/>
      <c r="D10" s="943"/>
      <c r="E10" s="943"/>
      <c r="F10" s="943"/>
      <c r="G10" s="1110"/>
      <c r="H10" s="939"/>
      <c r="I10" s="939"/>
      <c r="J10" s="939"/>
      <c r="K10" s="939"/>
      <c r="L10" s="943"/>
      <c r="M10" s="943"/>
      <c r="N10" s="943"/>
      <c r="O10" s="943"/>
      <c r="P10" s="981"/>
    </row>
    <row r="11" spans="1:16" ht="23.25" thickBot="1" x14ac:dyDescent="0.25">
      <c r="A11" s="937"/>
      <c r="B11" s="940"/>
      <c r="C11" s="940"/>
      <c r="D11" s="945"/>
      <c r="E11" s="945"/>
      <c r="F11" s="945"/>
      <c r="G11" s="326" t="s">
        <v>963</v>
      </c>
      <c r="H11" s="940"/>
      <c r="I11" s="387" t="s">
        <v>217</v>
      </c>
      <c r="J11" s="387" t="s">
        <v>218</v>
      </c>
      <c r="K11" s="387" t="s">
        <v>219</v>
      </c>
      <c r="L11" s="945"/>
      <c r="M11" s="945"/>
      <c r="N11" s="945"/>
      <c r="O11" s="945"/>
      <c r="P11" s="1113"/>
    </row>
    <row r="12" spans="1:16" ht="3.75" customHeight="1" thickBot="1" x14ac:dyDescent="0.25">
      <c r="A12" s="377"/>
      <c r="B12" s="376"/>
      <c r="C12" s="376"/>
      <c r="D12" s="375"/>
      <c r="E12" s="375"/>
      <c r="F12" s="375"/>
      <c r="G12" s="375"/>
      <c r="H12" s="376"/>
      <c r="I12" s="375"/>
      <c r="J12" s="375"/>
      <c r="K12" s="375"/>
      <c r="L12" s="375"/>
      <c r="M12" s="375"/>
      <c r="N12" s="375"/>
      <c r="O12" s="375"/>
      <c r="P12" s="374"/>
    </row>
    <row r="13" spans="1:16" ht="15.75" customHeight="1" thickBot="1" x14ac:dyDescent="0.25">
      <c r="A13" s="959" t="s">
        <v>964</v>
      </c>
      <c r="B13" s="960"/>
      <c r="C13" s="960"/>
      <c r="D13" s="960"/>
      <c r="E13" s="960"/>
      <c r="F13" s="960"/>
      <c r="G13" s="960"/>
      <c r="H13" s="960"/>
      <c r="I13" s="960"/>
      <c r="J13" s="960"/>
      <c r="K13" s="960"/>
      <c r="L13" s="960"/>
      <c r="M13" s="960"/>
      <c r="N13" s="960"/>
      <c r="O13" s="960"/>
      <c r="P13" s="961"/>
    </row>
    <row r="14" spans="1:16" ht="20.100000000000001" customHeight="1" x14ac:dyDescent="0.2">
      <c r="A14" s="371" t="s">
        <v>965</v>
      </c>
      <c r="B14" s="323" t="s">
        <v>966</v>
      </c>
      <c r="C14" s="323" t="s">
        <v>967</v>
      </c>
      <c r="D14" s="323">
        <v>1</v>
      </c>
      <c r="E14" s="323">
        <v>40</v>
      </c>
      <c r="F14" s="323">
        <f>SUM(E14*80)</f>
        <v>3200</v>
      </c>
      <c r="G14" s="338">
        <v>3000</v>
      </c>
      <c r="H14" s="320" t="s">
        <v>968</v>
      </c>
      <c r="I14" s="320"/>
      <c r="J14" s="320"/>
      <c r="K14" s="320"/>
      <c r="L14" s="933" t="s">
        <v>969</v>
      </c>
      <c r="M14" s="933"/>
      <c r="N14" s="933"/>
      <c r="O14" s="933"/>
      <c r="P14" s="934"/>
    </row>
    <row r="15" spans="1:16" ht="20.100000000000001" customHeight="1" thickBot="1" x14ac:dyDescent="0.25">
      <c r="A15" s="371"/>
      <c r="B15" s="323"/>
      <c r="C15" s="323"/>
      <c r="D15" s="323"/>
      <c r="E15" s="323"/>
      <c r="F15" s="323"/>
      <c r="G15" s="338"/>
      <c r="H15" s="320"/>
      <c r="I15" s="320"/>
      <c r="J15" s="320"/>
      <c r="K15" s="320"/>
      <c r="L15" s="933"/>
      <c r="M15" s="933"/>
      <c r="N15" s="933"/>
      <c r="O15" s="933"/>
      <c r="P15" s="934"/>
    </row>
    <row r="16" spans="1:16" ht="15.75" customHeight="1" thickBot="1" x14ac:dyDescent="0.25">
      <c r="A16" s="959" t="s">
        <v>970</v>
      </c>
      <c r="B16" s="960"/>
      <c r="C16" s="960"/>
      <c r="D16" s="960"/>
      <c r="E16" s="960"/>
      <c r="F16" s="960"/>
      <c r="G16" s="960"/>
      <c r="H16" s="960"/>
      <c r="I16" s="960"/>
      <c r="J16" s="960"/>
      <c r="K16" s="960"/>
      <c r="L16" s="960"/>
      <c r="M16" s="960"/>
      <c r="N16" s="960"/>
      <c r="O16" s="960"/>
      <c r="P16" s="961"/>
    </row>
    <row r="17" spans="1:16" ht="20.100000000000001" customHeight="1" x14ac:dyDescent="0.2">
      <c r="A17" s="371" t="s">
        <v>971</v>
      </c>
      <c r="B17" s="323" t="s">
        <v>972</v>
      </c>
      <c r="C17" s="323" t="s">
        <v>967</v>
      </c>
      <c r="D17" s="323">
        <v>1</v>
      </c>
      <c r="E17" s="323">
        <v>46</v>
      </c>
      <c r="F17" s="323">
        <f>SUM(E17*80)</f>
        <v>3680</v>
      </c>
      <c r="G17" s="338">
        <v>2000</v>
      </c>
      <c r="H17" s="320" t="s">
        <v>968</v>
      </c>
      <c r="I17" s="320"/>
      <c r="J17" s="320"/>
      <c r="K17" s="320"/>
      <c r="L17" s="933" t="s">
        <v>969</v>
      </c>
      <c r="M17" s="933"/>
      <c r="N17" s="933"/>
      <c r="O17" s="933"/>
      <c r="P17" s="934"/>
    </row>
    <row r="18" spans="1:16" ht="20.100000000000001" customHeight="1" x14ac:dyDescent="0.2">
      <c r="A18" s="371"/>
      <c r="B18" s="323"/>
      <c r="C18" s="323"/>
      <c r="D18" s="323"/>
      <c r="E18" s="323"/>
      <c r="F18" s="323"/>
      <c r="G18" s="338"/>
      <c r="H18" s="320"/>
      <c r="I18" s="320"/>
      <c r="J18" s="320"/>
      <c r="K18" s="320"/>
      <c r="L18" s="933"/>
      <c r="M18" s="933"/>
      <c r="N18" s="933"/>
      <c r="O18" s="933"/>
      <c r="P18" s="934"/>
    </row>
    <row r="19" spans="1:16" ht="20.100000000000001" customHeight="1" x14ac:dyDescent="0.2">
      <c r="A19" s="371"/>
      <c r="B19" s="323"/>
      <c r="C19" s="323"/>
      <c r="D19" s="323"/>
      <c r="E19" s="323"/>
      <c r="F19" s="323"/>
      <c r="G19" s="338"/>
      <c r="H19" s="320"/>
      <c r="I19" s="320"/>
      <c r="J19" s="320"/>
      <c r="K19" s="320"/>
      <c r="L19" s="933"/>
      <c r="M19" s="933"/>
      <c r="N19" s="933"/>
      <c r="O19" s="933"/>
      <c r="P19" s="934"/>
    </row>
    <row r="20" spans="1:16" ht="20.100000000000001" customHeight="1" thickBot="1" x14ac:dyDescent="0.25">
      <c r="A20" s="371"/>
      <c r="B20" s="323"/>
      <c r="C20" s="323"/>
      <c r="D20" s="323"/>
      <c r="E20" s="323"/>
      <c r="F20" s="323"/>
      <c r="G20" s="338"/>
      <c r="H20" s="320"/>
      <c r="I20" s="320"/>
      <c r="J20" s="320"/>
      <c r="K20" s="320"/>
      <c r="L20" s="933"/>
      <c r="M20" s="933"/>
      <c r="N20" s="933"/>
      <c r="O20" s="933"/>
      <c r="P20" s="934"/>
    </row>
    <row r="21" spans="1:16" x14ac:dyDescent="0.2">
      <c r="A21" s="314" t="s">
        <v>189</v>
      </c>
      <c r="B21" s="313"/>
      <c r="C21" s="313"/>
      <c r="D21" s="313"/>
      <c r="E21" s="313"/>
      <c r="F21" s="313"/>
      <c r="G21" s="313"/>
      <c r="H21" s="313"/>
      <c r="I21" s="313"/>
      <c r="J21" s="313"/>
      <c r="K21" s="313"/>
      <c r="L21" s="313"/>
      <c r="M21" s="313"/>
      <c r="N21" s="313"/>
      <c r="O21" s="313"/>
      <c r="P21" s="312"/>
    </row>
    <row r="22" spans="1:16" x14ac:dyDescent="0.2">
      <c r="A22" s="336"/>
      <c r="P22" s="310"/>
    </row>
    <row r="23" spans="1:16" x14ac:dyDescent="0.2">
      <c r="A23" s="311"/>
      <c r="P23" s="310"/>
    </row>
    <row r="24" spans="1:16" ht="13.5" thickBot="1" x14ac:dyDescent="0.25">
      <c r="A24" s="309"/>
      <c r="B24" s="308"/>
      <c r="C24" s="308"/>
      <c r="D24" s="308"/>
      <c r="E24" s="308"/>
      <c r="F24" s="308"/>
      <c r="G24" s="308"/>
      <c r="H24" s="308"/>
      <c r="I24" s="308"/>
      <c r="J24" s="308"/>
      <c r="K24" s="308"/>
      <c r="L24" s="308"/>
      <c r="M24" s="308"/>
      <c r="N24" s="308"/>
      <c r="O24" s="308"/>
      <c r="P24" s="307"/>
    </row>
  </sheetData>
  <mergeCells count="19">
    <mergeCell ref="L20:P20"/>
    <mergeCell ref="L14:P14"/>
    <mergeCell ref="L15:P15"/>
    <mergeCell ref="H9:H11"/>
    <mergeCell ref="E9:E11"/>
    <mergeCell ref="L18:P18"/>
    <mergeCell ref="L19:P19"/>
    <mergeCell ref="A13:P13"/>
    <mergeCell ref="A16:P16"/>
    <mergeCell ref="L17:P17"/>
    <mergeCell ref="O1:P8"/>
    <mergeCell ref="A9:A11"/>
    <mergeCell ref="B9:B11"/>
    <mergeCell ref="C9:C11"/>
    <mergeCell ref="D9:D11"/>
    <mergeCell ref="F9:F11"/>
    <mergeCell ref="I9:K10"/>
    <mergeCell ref="L9:P11"/>
    <mergeCell ref="G9:G10"/>
  </mergeCells>
  <pageMargins left="0.7" right="0.7" top="0.75" bottom="0.75" header="0.3" footer="0.3"/>
  <pageSetup paperSize="9" scale="86"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3EBB-3AE8-49FD-8807-F703BACF0BAE}">
  <sheetPr>
    <tabColor rgb="FFFF0000"/>
    <pageSetUpPr fitToPage="1"/>
  </sheetPr>
  <dimension ref="A1:R28"/>
  <sheetViews>
    <sheetView zoomScaleNormal="100" workbookViewId="0">
      <selection activeCell="B14" sqref="B14:I14"/>
    </sheetView>
  </sheetViews>
  <sheetFormatPr defaultColWidth="9.140625" defaultRowHeight="12.75" x14ac:dyDescent="0.2"/>
  <cols>
    <col min="1" max="1" width="10.7109375" style="80" customWidth="1"/>
    <col min="2" max="2" width="22" style="80" customWidth="1"/>
    <col min="3" max="3" width="20.140625" style="80" customWidth="1"/>
    <col min="4" max="5" width="13.140625" style="80" hidden="1" customWidth="1"/>
    <col min="6" max="6" width="16.42578125" style="80" customWidth="1"/>
    <col min="7" max="8" width="15.28515625" style="80" customWidth="1"/>
    <col min="9" max="9" width="11.7109375" style="80" customWidth="1"/>
    <col min="10" max="10" width="12.5703125" style="80" customWidth="1"/>
    <col min="11" max="11" width="6.140625" style="80" customWidth="1"/>
    <col min="12" max="12" width="6.42578125" style="80" customWidth="1"/>
    <col min="13" max="13" width="6" style="80" customWidth="1"/>
    <col min="14" max="17" width="9.140625" style="80"/>
    <col min="18" max="18" width="21.28515625" style="80" customWidth="1"/>
    <col min="19" max="16384" width="9.140625" style="80"/>
  </cols>
  <sheetData>
    <row r="1" spans="1:18" ht="6.75" customHeight="1" x14ac:dyDescent="0.2">
      <c r="A1" s="138"/>
      <c r="B1" s="137"/>
      <c r="C1" s="156"/>
      <c r="D1" s="134"/>
      <c r="E1" s="134"/>
      <c r="F1" s="134"/>
      <c r="G1" s="134"/>
      <c r="H1" s="134"/>
      <c r="I1" s="134"/>
      <c r="J1" s="134"/>
      <c r="K1" s="134"/>
      <c r="L1" s="134"/>
      <c r="M1" s="134"/>
      <c r="N1" s="134"/>
      <c r="O1" s="134"/>
      <c r="P1" s="133"/>
      <c r="Q1" s="890" t="s">
        <v>70</v>
      </c>
      <c r="R1" s="891"/>
    </row>
    <row r="2" spans="1:18" ht="12.75" customHeight="1" x14ac:dyDescent="0.2">
      <c r="A2" s="131"/>
      <c r="B2" s="130"/>
      <c r="C2" s="343"/>
      <c r="D2" s="369"/>
      <c r="E2" s="369"/>
      <c r="F2" s="369" t="s">
        <v>71</v>
      </c>
      <c r="G2" s="368">
        <f>'PROJECT SUMMARY'!D3</f>
        <v>0</v>
      </c>
      <c r="H2" s="368"/>
      <c r="I2" s="368"/>
      <c r="J2" s="118"/>
      <c r="K2" s="118"/>
      <c r="L2" s="118"/>
      <c r="M2" s="118"/>
      <c r="N2" s="118"/>
      <c r="O2" s="118"/>
      <c r="P2" s="117"/>
      <c r="Q2" s="892"/>
      <c r="R2" s="893"/>
    </row>
    <row r="3" spans="1:18" ht="12.75" customHeight="1" x14ac:dyDescent="0.2">
      <c r="A3" s="131"/>
      <c r="B3" s="130"/>
      <c r="C3" s="343"/>
      <c r="D3" s="365"/>
      <c r="E3" s="365"/>
      <c r="F3" s="365" t="s">
        <v>72</v>
      </c>
      <c r="G3" s="367">
        <f>'PROJECT SUMMARY'!D4</f>
        <v>0</v>
      </c>
      <c r="H3" s="367"/>
      <c r="I3" s="367"/>
      <c r="J3" s="118"/>
      <c r="K3" s="118"/>
      <c r="L3" s="118"/>
      <c r="M3" s="118"/>
      <c r="N3" s="118"/>
      <c r="O3" s="118"/>
      <c r="P3" s="117"/>
      <c r="Q3" s="892"/>
      <c r="R3" s="893"/>
    </row>
    <row r="4" spans="1:18" ht="12.75" customHeight="1" x14ac:dyDescent="0.2">
      <c r="A4" s="131"/>
      <c r="B4" s="130"/>
      <c r="C4" s="343"/>
      <c r="D4" s="365"/>
      <c r="E4" s="365"/>
      <c r="F4" s="365" t="s">
        <v>73</v>
      </c>
      <c r="G4" s="367" t="s">
        <v>973</v>
      </c>
      <c r="H4" s="367"/>
      <c r="I4" s="367"/>
      <c r="J4" s="118"/>
      <c r="K4" s="118"/>
      <c r="L4" s="118"/>
      <c r="M4" s="118"/>
      <c r="N4" s="118"/>
      <c r="O4" s="118"/>
      <c r="P4" s="117"/>
      <c r="Q4" s="892"/>
      <c r="R4" s="893"/>
    </row>
    <row r="5" spans="1:18" ht="12.75" customHeight="1" x14ac:dyDescent="0.2">
      <c r="A5" s="131"/>
      <c r="B5" s="130"/>
      <c r="C5" s="343"/>
      <c r="D5" s="365"/>
      <c r="E5" s="365"/>
      <c r="F5" s="365" t="s">
        <v>75</v>
      </c>
      <c r="G5" s="367" t="str">
        <f>'PROJECT SUMMARY'!B52</f>
        <v>KEY-SH-M-50-XXX</v>
      </c>
      <c r="H5" s="367"/>
      <c r="I5" s="367"/>
      <c r="J5" s="118"/>
      <c r="K5" s="118"/>
      <c r="L5" s="118"/>
      <c r="M5" s="118"/>
      <c r="N5" s="118"/>
      <c r="O5" s="118"/>
      <c r="P5" s="117"/>
      <c r="Q5" s="892"/>
      <c r="R5" s="893"/>
    </row>
    <row r="6" spans="1:18" ht="12.75" customHeight="1" x14ac:dyDescent="0.2">
      <c r="A6" s="131"/>
      <c r="B6" s="130"/>
      <c r="C6" s="343"/>
      <c r="D6" s="365"/>
      <c r="E6" s="365"/>
      <c r="F6" s="365" t="s">
        <v>76</v>
      </c>
      <c r="G6" s="367">
        <f>'PROJECT SUMMARY'!C52</f>
        <v>0</v>
      </c>
      <c r="H6" s="367"/>
      <c r="I6" s="367"/>
      <c r="J6" s="118"/>
      <c r="K6" s="118"/>
      <c r="L6" s="118"/>
      <c r="M6" s="118"/>
      <c r="N6" s="118"/>
      <c r="O6" s="118"/>
      <c r="P6" s="117"/>
      <c r="Q6" s="892"/>
      <c r="R6" s="893"/>
    </row>
    <row r="7" spans="1:18" ht="12.75" customHeight="1" x14ac:dyDescent="0.2">
      <c r="A7" s="131"/>
      <c r="B7" s="130"/>
      <c r="C7" s="343"/>
      <c r="D7" s="365"/>
      <c r="E7" s="365"/>
      <c r="F7" s="365" t="s">
        <v>77</v>
      </c>
      <c r="G7" s="367">
        <f>'PROJECT SUMMARY'!D5</f>
        <v>0</v>
      </c>
      <c r="H7" s="367"/>
      <c r="I7" s="367"/>
      <c r="J7" s="118"/>
      <c r="K7" s="118"/>
      <c r="L7" s="118"/>
      <c r="M7" s="118"/>
      <c r="N7" s="118"/>
      <c r="O7" s="118"/>
      <c r="P7" s="117"/>
      <c r="Q7" s="892"/>
      <c r="R7" s="893"/>
    </row>
    <row r="8" spans="1:18" ht="5.25" customHeight="1" thickBot="1" x14ac:dyDescent="0.25">
      <c r="A8" s="122"/>
      <c r="B8" s="121"/>
      <c r="C8" s="120"/>
      <c r="D8" s="153"/>
      <c r="E8" s="153"/>
      <c r="F8" s="153"/>
      <c r="G8" s="153"/>
      <c r="H8" s="153"/>
      <c r="I8" s="153"/>
      <c r="J8" s="153"/>
      <c r="K8" s="153"/>
      <c r="L8" s="153"/>
      <c r="M8" s="153"/>
      <c r="N8" s="153"/>
      <c r="O8" s="153"/>
      <c r="P8" s="362"/>
      <c r="Q8" s="892"/>
      <c r="R8" s="893"/>
    </row>
    <row r="9" spans="1:18" ht="12.75" customHeight="1" x14ac:dyDescent="0.2">
      <c r="A9" s="935" t="s">
        <v>199</v>
      </c>
      <c r="B9" s="938" t="s">
        <v>974</v>
      </c>
      <c r="C9" s="938" t="s">
        <v>906</v>
      </c>
      <c r="D9" s="947" t="s">
        <v>975</v>
      </c>
      <c r="E9" s="947" t="s">
        <v>976</v>
      </c>
      <c r="F9" s="947" t="s">
        <v>977</v>
      </c>
      <c r="G9" s="947" t="s">
        <v>978</v>
      </c>
      <c r="H9" s="947" t="s">
        <v>979</v>
      </c>
      <c r="I9" s="947" t="s">
        <v>980</v>
      </c>
      <c r="J9" s="947" t="s">
        <v>981</v>
      </c>
      <c r="K9" s="938" t="s">
        <v>453</v>
      </c>
      <c r="L9" s="941"/>
      <c r="M9" s="941"/>
      <c r="N9" s="938" t="s">
        <v>258</v>
      </c>
      <c r="O9" s="938"/>
      <c r="P9" s="938"/>
      <c r="Q9" s="938"/>
      <c r="R9" s="980"/>
    </row>
    <row r="10" spans="1:18" x14ac:dyDescent="0.2">
      <c r="A10" s="936"/>
      <c r="B10" s="939"/>
      <c r="C10" s="939"/>
      <c r="D10" s="948"/>
      <c r="E10" s="948"/>
      <c r="F10" s="948"/>
      <c r="G10" s="948"/>
      <c r="H10" s="948"/>
      <c r="I10" s="948"/>
      <c r="J10" s="948"/>
      <c r="K10" s="939"/>
      <c r="L10" s="939"/>
      <c r="M10" s="939"/>
      <c r="N10" s="943"/>
      <c r="O10" s="943"/>
      <c r="P10" s="943"/>
      <c r="Q10" s="943"/>
      <c r="R10" s="981"/>
    </row>
    <row r="11" spans="1:18" ht="23.25" thickBot="1" x14ac:dyDescent="0.25">
      <c r="A11" s="937"/>
      <c r="B11" s="940"/>
      <c r="C11" s="940"/>
      <c r="D11" s="949"/>
      <c r="E11" s="949"/>
      <c r="F11" s="326" t="s">
        <v>982</v>
      </c>
      <c r="G11" s="326" t="s">
        <v>982</v>
      </c>
      <c r="H11" s="326" t="s">
        <v>463</v>
      </c>
      <c r="I11" s="326" t="s">
        <v>463</v>
      </c>
      <c r="J11" s="326" t="s">
        <v>983</v>
      </c>
      <c r="K11" s="387" t="s">
        <v>744</v>
      </c>
      <c r="L11" s="387" t="s">
        <v>746</v>
      </c>
      <c r="M11" s="387" t="s">
        <v>984</v>
      </c>
      <c r="N11" s="945"/>
      <c r="O11" s="945"/>
      <c r="P11" s="945"/>
      <c r="Q11" s="945"/>
      <c r="R11" s="1113"/>
    </row>
    <row r="12" spans="1:18" ht="3.75" customHeight="1" thickBot="1" x14ac:dyDescent="0.25">
      <c r="A12" s="377"/>
      <c r="B12" s="376"/>
      <c r="C12" s="376"/>
      <c r="D12" s="375"/>
      <c r="E12" s="375"/>
      <c r="F12" s="375"/>
      <c r="G12" s="375"/>
      <c r="H12" s="375"/>
      <c r="I12" s="375"/>
      <c r="J12" s="375"/>
      <c r="K12" s="375"/>
      <c r="L12" s="375"/>
      <c r="M12" s="375"/>
      <c r="N12" s="375"/>
      <c r="O12" s="375"/>
      <c r="P12" s="375"/>
      <c r="Q12" s="375"/>
      <c r="R12" s="374"/>
    </row>
    <row r="13" spans="1:18" ht="16.5" customHeight="1" thickBot="1" x14ac:dyDescent="0.25">
      <c r="A13" s="959" t="s">
        <v>985</v>
      </c>
      <c r="B13" s="960"/>
      <c r="C13" s="960"/>
      <c r="D13" s="960"/>
      <c r="E13" s="960"/>
      <c r="F13" s="960"/>
      <c r="G13" s="960"/>
      <c r="H13" s="960"/>
      <c r="I13" s="960"/>
      <c r="J13" s="960"/>
      <c r="K13" s="960"/>
      <c r="L13" s="960"/>
      <c r="M13" s="960"/>
      <c r="N13" s="960"/>
      <c r="O13" s="960"/>
      <c r="P13" s="960"/>
      <c r="Q13" s="960"/>
      <c r="R13" s="961"/>
    </row>
    <row r="14" spans="1:18" ht="20.100000000000001" customHeight="1" x14ac:dyDescent="0.2">
      <c r="A14" s="371" t="s">
        <v>986</v>
      </c>
      <c r="B14" s="650" t="s">
        <v>987</v>
      </c>
      <c r="C14" s="647" t="s">
        <v>988</v>
      </c>
      <c r="D14" s="652">
        <v>21</v>
      </c>
      <c r="E14" s="652">
        <v>60</v>
      </c>
      <c r="F14" s="649">
        <f>SUM(D14*E14)</f>
        <v>1260</v>
      </c>
      <c r="G14" s="323">
        <v>630</v>
      </c>
      <c r="H14" s="323">
        <v>3.5000000000000003E-2</v>
      </c>
      <c r="I14" s="645">
        <f t="shared" ref="I14:I21" si="0">SUM((G14/1000)/(4.18*10))</f>
        <v>1.5071770334928231E-2</v>
      </c>
      <c r="J14" s="323" t="s">
        <v>989</v>
      </c>
      <c r="K14" s="323">
        <v>150</v>
      </c>
      <c r="L14" s="323">
        <v>150</v>
      </c>
      <c r="M14" s="323">
        <v>75</v>
      </c>
      <c r="N14" s="962" t="s">
        <v>990</v>
      </c>
      <c r="O14" s="962"/>
      <c r="P14" s="962"/>
      <c r="Q14" s="962"/>
      <c r="R14" s="963"/>
    </row>
    <row r="15" spans="1:18" ht="20.100000000000001" customHeight="1" x14ac:dyDescent="0.2">
      <c r="A15" s="371" t="s">
        <v>991</v>
      </c>
      <c r="B15" s="650" t="s">
        <v>987</v>
      </c>
      <c r="C15" s="647" t="s">
        <v>988</v>
      </c>
      <c r="D15" s="323"/>
      <c r="E15" s="323"/>
      <c r="F15" s="651"/>
      <c r="G15" s="323">
        <v>630</v>
      </c>
      <c r="H15" s="323">
        <v>3.5000000000000003E-2</v>
      </c>
      <c r="I15" s="645">
        <f t="shared" si="0"/>
        <v>1.5071770334928231E-2</v>
      </c>
      <c r="J15" s="323" t="s">
        <v>989</v>
      </c>
      <c r="K15" s="323">
        <v>150</v>
      </c>
      <c r="L15" s="323">
        <v>150</v>
      </c>
      <c r="M15" s="323">
        <v>75</v>
      </c>
      <c r="N15" s="962" t="s">
        <v>990</v>
      </c>
      <c r="O15" s="962"/>
      <c r="P15" s="962"/>
      <c r="Q15" s="962"/>
      <c r="R15" s="963"/>
    </row>
    <row r="16" spans="1:18" ht="20.100000000000001" customHeight="1" x14ac:dyDescent="0.2">
      <c r="A16" s="371" t="s">
        <v>992</v>
      </c>
      <c r="B16" s="650" t="s">
        <v>993</v>
      </c>
      <c r="C16" s="647" t="s">
        <v>988</v>
      </c>
      <c r="D16" s="649">
        <v>21</v>
      </c>
      <c r="E16" s="649">
        <v>60</v>
      </c>
      <c r="F16" s="649">
        <f>SUM(D16*E16)</f>
        <v>1260</v>
      </c>
      <c r="G16" s="323">
        <v>630</v>
      </c>
      <c r="H16" s="323">
        <v>3.5000000000000003E-2</v>
      </c>
      <c r="I16" s="645">
        <f t="shared" si="0"/>
        <v>1.5071770334928231E-2</v>
      </c>
      <c r="J16" s="323" t="s">
        <v>989</v>
      </c>
      <c r="K16" s="323">
        <v>150</v>
      </c>
      <c r="L16" s="323">
        <v>150</v>
      </c>
      <c r="M16" s="323">
        <v>75</v>
      </c>
      <c r="N16" s="962" t="s">
        <v>990</v>
      </c>
      <c r="O16" s="962"/>
      <c r="P16" s="962"/>
      <c r="Q16" s="962"/>
      <c r="R16" s="963"/>
    </row>
    <row r="17" spans="1:18" ht="20.100000000000001" customHeight="1" x14ac:dyDescent="0.2">
      <c r="A17" s="371" t="s">
        <v>994</v>
      </c>
      <c r="B17" s="650" t="s">
        <v>993</v>
      </c>
      <c r="C17" s="647" t="s">
        <v>988</v>
      </c>
      <c r="D17" s="323"/>
      <c r="E17" s="323"/>
      <c r="F17" s="651"/>
      <c r="G17" s="323">
        <v>630</v>
      </c>
      <c r="H17" s="323">
        <v>3.5000000000000003E-2</v>
      </c>
      <c r="I17" s="645">
        <f t="shared" si="0"/>
        <v>1.5071770334928231E-2</v>
      </c>
      <c r="J17" s="323" t="s">
        <v>989</v>
      </c>
      <c r="K17" s="323">
        <v>150</v>
      </c>
      <c r="L17" s="323">
        <v>150</v>
      </c>
      <c r="M17" s="323">
        <v>75</v>
      </c>
      <c r="N17" s="962" t="s">
        <v>990</v>
      </c>
      <c r="O17" s="962"/>
      <c r="P17" s="962"/>
      <c r="Q17" s="962"/>
      <c r="R17" s="963"/>
    </row>
    <row r="18" spans="1:18" ht="20.100000000000001" customHeight="1" x14ac:dyDescent="0.2">
      <c r="A18" s="371" t="s">
        <v>995</v>
      </c>
      <c r="B18" s="650" t="s">
        <v>996</v>
      </c>
      <c r="C18" s="647" t="s">
        <v>988</v>
      </c>
      <c r="D18" s="649">
        <v>41</v>
      </c>
      <c r="E18" s="649">
        <v>60</v>
      </c>
      <c r="F18" s="649">
        <f>SUM(D18*E18)</f>
        <v>2460</v>
      </c>
      <c r="G18" s="323">
        <v>3700</v>
      </c>
      <c r="H18" s="323">
        <v>0.3</v>
      </c>
      <c r="I18" s="645">
        <f t="shared" si="0"/>
        <v>8.8516746411483258E-2</v>
      </c>
      <c r="J18" s="323" t="s">
        <v>989</v>
      </c>
      <c r="K18" s="323">
        <v>315</v>
      </c>
      <c r="L18" s="323">
        <v>315</v>
      </c>
      <c r="M18" s="323">
        <v>75</v>
      </c>
      <c r="N18" s="962" t="s">
        <v>997</v>
      </c>
      <c r="O18" s="962"/>
      <c r="P18" s="962"/>
      <c r="Q18" s="962"/>
      <c r="R18" s="963"/>
    </row>
    <row r="19" spans="1:18" ht="20.100000000000001" customHeight="1" x14ac:dyDescent="0.2">
      <c r="A19" s="371" t="s">
        <v>998</v>
      </c>
      <c r="B19" s="650" t="s">
        <v>999</v>
      </c>
      <c r="C19" s="647" t="s">
        <v>988</v>
      </c>
      <c r="D19" s="649">
        <v>80</v>
      </c>
      <c r="E19" s="649">
        <v>60</v>
      </c>
      <c r="F19" s="649">
        <f>SUM(D19*E19)</f>
        <v>4800</v>
      </c>
      <c r="G19" s="323">
        <v>4930</v>
      </c>
      <c r="H19" s="323">
        <v>0.4</v>
      </c>
      <c r="I19" s="645">
        <f t="shared" si="0"/>
        <v>0.11794258373205742</v>
      </c>
      <c r="J19" s="323" t="s">
        <v>989</v>
      </c>
      <c r="K19" s="323">
        <v>350</v>
      </c>
      <c r="L19" s="323">
        <v>350</v>
      </c>
      <c r="M19" s="323">
        <v>75</v>
      </c>
      <c r="N19" s="962" t="s">
        <v>1000</v>
      </c>
      <c r="O19" s="962"/>
      <c r="P19" s="962"/>
      <c r="Q19" s="962"/>
      <c r="R19" s="963"/>
    </row>
    <row r="20" spans="1:18" ht="20.100000000000001" customHeight="1" x14ac:dyDescent="0.2">
      <c r="A20" s="371" t="s">
        <v>1001</v>
      </c>
      <c r="B20" s="648" t="s">
        <v>1002</v>
      </c>
      <c r="C20" s="647" t="s">
        <v>988</v>
      </c>
      <c r="D20" s="319">
        <v>22</v>
      </c>
      <c r="E20" s="319">
        <v>60</v>
      </c>
      <c r="F20" s="319">
        <f>SUM(D20*E20)</f>
        <v>1320</v>
      </c>
      <c r="G20" s="323">
        <v>1320</v>
      </c>
      <c r="H20" s="323">
        <v>7.5999999999999998E-2</v>
      </c>
      <c r="I20" s="645">
        <f t="shared" si="0"/>
        <v>3.1578947368421054E-2</v>
      </c>
      <c r="J20" s="323" t="s">
        <v>989</v>
      </c>
      <c r="K20" s="323">
        <v>200</v>
      </c>
      <c r="L20" s="323">
        <v>200</v>
      </c>
      <c r="M20" s="323">
        <v>75</v>
      </c>
      <c r="N20" s="962" t="s">
        <v>1003</v>
      </c>
      <c r="O20" s="962"/>
      <c r="P20" s="962"/>
      <c r="Q20" s="962"/>
      <c r="R20" s="963"/>
    </row>
    <row r="21" spans="1:18" ht="20.100000000000001" customHeight="1" x14ac:dyDescent="0.2">
      <c r="A21" s="371" t="s">
        <v>1004</v>
      </c>
      <c r="B21" s="648" t="s">
        <v>1005</v>
      </c>
      <c r="C21" s="647" t="s">
        <v>988</v>
      </c>
      <c r="D21" s="323">
        <v>22</v>
      </c>
      <c r="E21" s="323">
        <v>60</v>
      </c>
      <c r="F21" s="323">
        <f>SUM(D21*E21)</f>
        <v>1320</v>
      </c>
      <c r="G21" s="323">
        <v>1320</v>
      </c>
      <c r="H21" s="323">
        <v>7.5999999999999998E-2</v>
      </c>
      <c r="I21" s="645">
        <f t="shared" si="0"/>
        <v>3.1578947368421054E-2</v>
      </c>
      <c r="J21" s="323" t="s">
        <v>989</v>
      </c>
      <c r="K21" s="323">
        <v>200</v>
      </c>
      <c r="L21" s="323">
        <v>200</v>
      </c>
      <c r="M21" s="323">
        <v>75</v>
      </c>
      <c r="N21" s="962" t="s">
        <v>1003</v>
      </c>
      <c r="O21" s="962"/>
      <c r="P21" s="962"/>
      <c r="Q21" s="962"/>
      <c r="R21" s="963"/>
    </row>
    <row r="22" spans="1:18" ht="20.100000000000001" customHeight="1" x14ac:dyDescent="0.2">
      <c r="A22" s="371" t="s">
        <v>1006</v>
      </c>
      <c r="B22" s="648" t="s">
        <v>1007</v>
      </c>
      <c r="C22" s="647" t="s">
        <v>988</v>
      </c>
      <c r="D22" s="323"/>
      <c r="E22" s="323"/>
      <c r="F22" s="646">
        <v>12000</v>
      </c>
      <c r="G22" s="323">
        <v>12000</v>
      </c>
      <c r="H22" s="323">
        <v>0.45</v>
      </c>
      <c r="I22" s="645"/>
      <c r="J22" s="323" t="s">
        <v>1008</v>
      </c>
      <c r="K22" s="323"/>
      <c r="L22" s="323"/>
      <c r="M22" s="323"/>
      <c r="N22" s="962" t="s">
        <v>1009</v>
      </c>
      <c r="O22" s="962"/>
      <c r="P22" s="962"/>
      <c r="Q22" s="962"/>
      <c r="R22" s="963"/>
    </row>
    <row r="23" spans="1:18" ht="20.100000000000001" customHeight="1" x14ac:dyDescent="0.2">
      <c r="A23" s="371" t="s">
        <v>1010</v>
      </c>
      <c r="B23" s="648" t="s">
        <v>1011</v>
      </c>
      <c r="C23" s="647" t="s">
        <v>988</v>
      </c>
      <c r="D23" s="323"/>
      <c r="E23" s="323"/>
      <c r="F23" s="646">
        <v>7700</v>
      </c>
      <c r="G23" s="323">
        <v>8000</v>
      </c>
      <c r="H23" s="323">
        <v>0.3</v>
      </c>
      <c r="I23" s="645"/>
      <c r="J23" s="323" t="s">
        <v>1008</v>
      </c>
      <c r="K23" s="323"/>
      <c r="L23" s="323"/>
      <c r="M23" s="323"/>
      <c r="N23" s="962" t="s">
        <v>1009</v>
      </c>
      <c r="O23" s="962"/>
      <c r="P23" s="962"/>
      <c r="Q23" s="962"/>
      <c r="R23" s="963"/>
    </row>
    <row r="24" spans="1:18" ht="20.100000000000001" customHeight="1" thickBot="1" x14ac:dyDescent="0.25">
      <c r="A24" s="371" t="s">
        <v>1012</v>
      </c>
      <c r="B24" s="648" t="s">
        <v>1013</v>
      </c>
      <c r="C24" s="647" t="s">
        <v>988</v>
      </c>
      <c r="D24" s="323"/>
      <c r="E24" s="323"/>
      <c r="F24" s="646">
        <v>7700</v>
      </c>
      <c r="G24" s="323">
        <v>8000</v>
      </c>
      <c r="H24" s="323">
        <v>0.3</v>
      </c>
      <c r="I24" s="645"/>
      <c r="J24" s="323" t="s">
        <v>1008</v>
      </c>
      <c r="K24" s="323"/>
      <c r="L24" s="323"/>
      <c r="M24" s="323"/>
      <c r="N24" s="962" t="s">
        <v>1009</v>
      </c>
      <c r="O24" s="962"/>
      <c r="P24" s="962"/>
      <c r="Q24" s="962"/>
      <c r="R24" s="963"/>
    </row>
    <row r="25" spans="1:18" x14ac:dyDescent="0.2">
      <c r="A25" s="314" t="s">
        <v>189</v>
      </c>
      <c r="B25" s="313"/>
      <c r="C25" s="313"/>
      <c r="D25" s="313"/>
      <c r="E25" s="313"/>
      <c r="F25" s="313"/>
      <c r="G25" s="313"/>
      <c r="H25" s="313"/>
      <c r="I25" s="313"/>
      <c r="J25" s="313"/>
      <c r="K25" s="313"/>
      <c r="L25" s="313"/>
      <c r="M25" s="313"/>
      <c r="N25" s="313"/>
      <c r="O25" s="313"/>
      <c r="P25" s="313"/>
      <c r="Q25" s="313"/>
      <c r="R25" s="312"/>
    </row>
    <row r="26" spans="1:18" x14ac:dyDescent="0.2">
      <c r="A26" s="336"/>
      <c r="R26" s="310"/>
    </row>
    <row r="27" spans="1:18" x14ac:dyDescent="0.2">
      <c r="A27" s="311"/>
      <c r="R27" s="310"/>
    </row>
    <row r="28" spans="1:18" ht="13.5" thickBot="1" x14ac:dyDescent="0.25">
      <c r="A28" s="309"/>
      <c r="B28" s="308"/>
      <c r="C28" s="308"/>
      <c r="D28" s="308"/>
      <c r="E28" s="308"/>
      <c r="F28" s="308"/>
      <c r="G28" s="308"/>
      <c r="H28" s="308"/>
      <c r="I28" s="308"/>
      <c r="J28" s="308"/>
      <c r="K28" s="308"/>
      <c r="L28" s="308"/>
      <c r="M28" s="308"/>
      <c r="N28" s="308"/>
      <c r="O28" s="308"/>
      <c r="P28" s="308"/>
      <c r="Q28" s="308"/>
      <c r="R28" s="307"/>
    </row>
  </sheetData>
  <mergeCells count="25">
    <mergeCell ref="A9:A11"/>
    <mergeCell ref="B9:B11"/>
    <mergeCell ref="N9:R11"/>
    <mergeCell ref="A13:R13"/>
    <mergeCell ref="E9:E11"/>
    <mergeCell ref="J9:J10"/>
    <mergeCell ref="N17:R17"/>
    <mergeCell ref="G9:G10"/>
    <mergeCell ref="F9:F10"/>
    <mergeCell ref="H9:H10"/>
    <mergeCell ref="K9:M10"/>
    <mergeCell ref="N15:R15"/>
    <mergeCell ref="Q1:R8"/>
    <mergeCell ref="C9:C11"/>
    <mergeCell ref="N14:R14"/>
    <mergeCell ref="I9:I10"/>
    <mergeCell ref="N16:R16"/>
    <mergeCell ref="D9:D11"/>
    <mergeCell ref="N18:R18"/>
    <mergeCell ref="N19:R19"/>
    <mergeCell ref="N21:R21"/>
    <mergeCell ref="N24:R24"/>
    <mergeCell ref="N23:R23"/>
    <mergeCell ref="N22:R22"/>
    <mergeCell ref="N20:R20"/>
  </mergeCells>
  <pageMargins left="0.7" right="0.7" top="0.75" bottom="0.75" header="0.3" footer="0.3"/>
  <pageSetup paperSize="9" scale="63"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C8E8-A662-4EF1-9BF4-3B0C8913AA37}">
  <sheetPr>
    <tabColor rgb="FF7030A0"/>
    <pageSetUpPr fitToPage="1"/>
  </sheetPr>
  <dimension ref="A1:H60"/>
  <sheetViews>
    <sheetView topLeftCell="A6" zoomScaleNormal="100" workbookViewId="0">
      <selection activeCell="B14" sqref="B14:I14"/>
    </sheetView>
  </sheetViews>
  <sheetFormatPr defaultRowHeight="12.75" x14ac:dyDescent="0.2"/>
  <cols>
    <col min="1" max="1" width="16.7109375" customWidth="1"/>
    <col min="2" max="2" width="25.7109375" customWidth="1"/>
    <col min="3" max="3" width="10.7109375" customWidth="1"/>
    <col min="4" max="4" width="13.5703125" customWidth="1"/>
    <col min="5" max="5" width="51.5703125" customWidth="1"/>
    <col min="6" max="6" width="33.140625" customWidth="1"/>
    <col min="11" max="11" width="12.140625" customWidth="1"/>
  </cols>
  <sheetData>
    <row r="1" spans="1:6" ht="6.75" customHeight="1" x14ac:dyDescent="0.2">
      <c r="A1" s="1"/>
      <c r="B1" s="3"/>
      <c r="C1" s="31"/>
      <c r="D1" s="2"/>
      <c r="E1" s="2"/>
      <c r="F1" s="760" t="s">
        <v>70</v>
      </c>
    </row>
    <row r="2" spans="1:6" ht="12.75" customHeight="1" x14ac:dyDescent="0.2">
      <c r="A2" s="4"/>
      <c r="B2" s="5"/>
      <c r="C2" s="32"/>
      <c r="D2" s="33" t="s">
        <v>71</v>
      </c>
      <c r="E2" s="38">
        <f>'PROJECT SUMMARY'!D3</f>
        <v>0</v>
      </c>
      <c r="F2" s="761"/>
    </row>
    <row r="3" spans="1:6" ht="12.75" customHeight="1" x14ac:dyDescent="0.2">
      <c r="A3" s="4"/>
      <c r="B3" s="5"/>
      <c r="C3" s="32"/>
      <c r="D3" s="34" t="s">
        <v>72</v>
      </c>
      <c r="E3" s="35">
        <f>'PROJECT SUMMARY'!D4</f>
        <v>0</v>
      </c>
      <c r="F3" s="761"/>
    </row>
    <row r="4" spans="1:6" ht="12.75" customHeight="1" x14ac:dyDescent="0.2">
      <c r="A4" s="4"/>
      <c r="B4" s="5"/>
      <c r="C4" s="32"/>
      <c r="D4" s="34" t="s">
        <v>73</v>
      </c>
      <c r="E4" s="50" t="s">
        <v>66</v>
      </c>
      <c r="F4" s="761"/>
    </row>
    <row r="5" spans="1:6" ht="12.75" customHeight="1" x14ac:dyDescent="0.2">
      <c r="A5" s="4"/>
      <c r="B5" s="5"/>
      <c r="C5" s="32"/>
      <c r="D5" s="34" t="s">
        <v>75</v>
      </c>
      <c r="E5" s="35" t="str">
        <f>'PROJECT SUMMARY'!B54</f>
        <v>KEY-SH-M-50-XXX</v>
      </c>
      <c r="F5" s="761"/>
    </row>
    <row r="6" spans="1:6" ht="12.75" customHeight="1" x14ac:dyDescent="0.2">
      <c r="A6" s="4"/>
      <c r="B6" s="5"/>
      <c r="C6" s="32"/>
      <c r="D6" s="34" t="s">
        <v>76</v>
      </c>
      <c r="E6" s="35">
        <f>'PROJECT SUMMARY'!C54</f>
        <v>0</v>
      </c>
      <c r="F6" s="761"/>
    </row>
    <row r="7" spans="1:6" ht="12.75" customHeight="1" x14ac:dyDescent="0.2">
      <c r="A7" s="4"/>
      <c r="B7" s="5"/>
      <c r="C7" s="32"/>
      <c r="D7" s="34" t="s">
        <v>77</v>
      </c>
      <c r="E7" s="35">
        <f>'PROJECT SUMMARY'!D5</f>
        <v>0</v>
      </c>
      <c r="F7" s="761"/>
    </row>
    <row r="8" spans="1:6" ht="5.25" customHeight="1" thickBot="1" x14ac:dyDescent="0.25">
      <c r="A8" s="4"/>
      <c r="B8" s="5"/>
      <c r="C8" s="36"/>
      <c r="D8" s="37"/>
      <c r="E8" s="37"/>
      <c r="F8" s="761"/>
    </row>
    <row r="9" spans="1:6" ht="12.75" customHeight="1" x14ac:dyDescent="0.2">
      <c r="A9" s="771" t="s">
        <v>78</v>
      </c>
      <c r="B9" s="772"/>
      <c r="C9" s="772"/>
      <c r="D9" s="773"/>
      <c r="E9" s="796" t="s">
        <v>1014</v>
      </c>
      <c r="F9" s="780" t="s">
        <v>80</v>
      </c>
    </row>
    <row r="10" spans="1:6" x14ac:dyDescent="0.2">
      <c r="A10" s="774"/>
      <c r="B10" s="775"/>
      <c r="C10" s="775"/>
      <c r="D10" s="776"/>
      <c r="E10" s="798"/>
      <c r="F10" s="781"/>
    </row>
    <row r="11" spans="1:6" ht="13.5" thickBot="1" x14ac:dyDescent="0.25">
      <c r="A11" s="777"/>
      <c r="B11" s="778"/>
      <c r="C11" s="778"/>
      <c r="D11" s="779"/>
      <c r="E11" s="800"/>
      <c r="F11" s="782"/>
    </row>
    <row r="12" spans="1:6" ht="3.75" customHeight="1" thickBot="1" x14ac:dyDescent="0.25">
      <c r="A12" s="18"/>
      <c r="B12" s="6"/>
      <c r="C12" s="762"/>
      <c r="D12" s="762"/>
      <c r="E12" s="6"/>
      <c r="F12" s="7"/>
    </row>
    <row r="13" spans="1:6" ht="24.75" customHeight="1" x14ac:dyDescent="0.2">
      <c r="A13" s="19" t="s">
        <v>81</v>
      </c>
      <c r="B13" s="20"/>
      <c r="C13" s="763"/>
      <c r="D13" s="764"/>
      <c r="E13" s="78"/>
      <c r="F13" s="54"/>
    </row>
    <row r="14" spans="1:6" ht="24.75" customHeight="1" x14ac:dyDescent="0.2">
      <c r="A14" s="8" t="s">
        <v>84</v>
      </c>
      <c r="B14" s="9"/>
      <c r="C14" s="765" t="s">
        <v>1015</v>
      </c>
      <c r="D14" s="766"/>
      <c r="E14" s="77"/>
      <c r="F14" s="54"/>
    </row>
    <row r="15" spans="1:6" ht="24.75" customHeight="1" x14ac:dyDescent="0.2">
      <c r="A15" s="8" t="s">
        <v>1016</v>
      </c>
      <c r="B15" s="9"/>
      <c r="C15" s="765"/>
      <c r="D15" s="766"/>
      <c r="E15" s="77"/>
      <c r="F15" s="54"/>
    </row>
    <row r="16" spans="1:6" ht="24.75" customHeight="1" x14ac:dyDescent="0.2">
      <c r="A16" s="8" t="s">
        <v>1017</v>
      </c>
      <c r="B16" s="9"/>
      <c r="C16" s="765" t="s">
        <v>1018</v>
      </c>
      <c r="D16" s="1124"/>
      <c r="E16" s="77" t="s">
        <v>1019</v>
      </c>
      <c r="F16" s="54" t="s">
        <v>1020</v>
      </c>
    </row>
    <row r="17" spans="1:6" ht="24.75" customHeight="1" x14ac:dyDescent="0.2">
      <c r="A17" s="8" t="s">
        <v>1021</v>
      </c>
      <c r="B17" s="9"/>
      <c r="C17" s="765" t="s">
        <v>1022</v>
      </c>
      <c r="D17" s="766"/>
      <c r="E17" s="77"/>
      <c r="F17" s="54"/>
    </row>
    <row r="18" spans="1:6" ht="24.75" customHeight="1" x14ac:dyDescent="0.2">
      <c r="A18" s="8" t="s">
        <v>1023</v>
      </c>
      <c r="B18" s="9"/>
      <c r="C18" s="765" t="s">
        <v>1024</v>
      </c>
      <c r="D18" s="766"/>
      <c r="E18" s="77"/>
      <c r="F18" s="54"/>
    </row>
    <row r="19" spans="1:6" ht="24.75" customHeight="1" x14ac:dyDescent="0.2">
      <c r="A19" s="8" t="s">
        <v>88</v>
      </c>
      <c r="B19" s="9"/>
      <c r="C19" s="765"/>
      <c r="D19" s="766"/>
      <c r="E19" s="77"/>
      <c r="F19" s="54"/>
    </row>
    <row r="20" spans="1:6" ht="24.75" customHeight="1" thickBot="1" x14ac:dyDescent="0.25">
      <c r="A20" s="12" t="s">
        <v>89</v>
      </c>
      <c r="B20" s="13"/>
      <c r="C20" s="804"/>
      <c r="D20" s="805"/>
      <c r="E20" s="79"/>
      <c r="F20" s="665"/>
    </row>
    <row r="21" spans="1:6" ht="24.75" customHeight="1" x14ac:dyDescent="0.2">
      <c r="A21" s="26" t="s">
        <v>1025</v>
      </c>
      <c r="B21" s="41" t="s">
        <v>1026</v>
      </c>
      <c r="C21" s="763" t="s">
        <v>1022</v>
      </c>
      <c r="D21" s="764"/>
      <c r="E21" s="663"/>
      <c r="F21" s="62"/>
    </row>
    <row r="22" spans="1:6" ht="24.75" customHeight="1" x14ac:dyDescent="0.2">
      <c r="A22" s="10"/>
      <c r="B22" s="42" t="s">
        <v>1027</v>
      </c>
      <c r="C22" s="765" t="s">
        <v>1024</v>
      </c>
      <c r="D22" s="766"/>
      <c r="E22" s="664"/>
      <c r="F22" s="55"/>
    </row>
    <row r="23" spans="1:6" ht="24.75" customHeight="1" x14ac:dyDescent="0.2">
      <c r="A23" s="10"/>
      <c r="B23" s="42" t="s">
        <v>1028</v>
      </c>
      <c r="C23" s="765"/>
      <c r="D23" s="766"/>
      <c r="E23" s="664"/>
      <c r="F23" s="55"/>
    </row>
    <row r="24" spans="1:6" ht="24.75" customHeight="1" x14ac:dyDescent="0.2">
      <c r="A24" s="10"/>
      <c r="B24" s="11" t="s">
        <v>1029</v>
      </c>
      <c r="C24" s="765" t="s">
        <v>1029</v>
      </c>
      <c r="D24" s="766"/>
      <c r="E24" s="666"/>
      <c r="F24" s="665" t="s">
        <v>1030</v>
      </c>
    </row>
    <row r="25" spans="1:6" ht="24.75" customHeight="1" x14ac:dyDescent="0.2">
      <c r="A25" s="10"/>
      <c r="B25" s="42" t="s">
        <v>111</v>
      </c>
      <c r="C25" s="765"/>
      <c r="D25" s="766"/>
      <c r="E25" s="59" t="s">
        <v>1031</v>
      </c>
      <c r="F25" s="55"/>
    </row>
    <row r="26" spans="1:6" ht="24.75" customHeight="1" x14ac:dyDescent="0.2">
      <c r="A26" s="10"/>
      <c r="B26" s="42" t="s">
        <v>1032</v>
      </c>
      <c r="C26" s="765"/>
      <c r="D26" s="766"/>
      <c r="E26" s="59"/>
      <c r="F26" s="55" t="s">
        <v>1033</v>
      </c>
    </row>
    <row r="27" spans="1:6" ht="24.75" customHeight="1" x14ac:dyDescent="0.2">
      <c r="A27" s="10"/>
      <c r="B27" s="42" t="s">
        <v>1034</v>
      </c>
      <c r="C27" s="765" t="s">
        <v>1035</v>
      </c>
      <c r="D27" s="766"/>
      <c r="E27" s="59"/>
      <c r="F27" s="55" t="s">
        <v>116</v>
      </c>
    </row>
    <row r="28" spans="1:6" ht="24.75" customHeight="1" x14ac:dyDescent="0.2">
      <c r="A28" s="10"/>
      <c r="B28" s="42" t="s">
        <v>184</v>
      </c>
      <c r="C28" s="765" t="s">
        <v>185</v>
      </c>
      <c r="D28" s="766"/>
      <c r="E28" s="59"/>
      <c r="F28" s="55" t="s">
        <v>116</v>
      </c>
    </row>
    <row r="29" spans="1:6" ht="24.75" customHeight="1" x14ac:dyDescent="0.2">
      <c r="A29" s="10"/>
      <c r="B29" s="42" t="s">
        <v>1036</v>
      </c>
      <c r="C29" s="765" t="s">
        <v>1037</v>
      </c>
      <c r="D29" s="766"/>
      <c r="E29" s="59"/>
      <c r="F29" s="55" t="s">
        <v>116</v>
      </c>
    </row>
    <row r="30" spans="1:6" ht="24.75" customHeight="1" x14ac:dyDescent="0.2">
      <c r="A30" s="10"/>
      <c r="B30" s="42" t="s">
        <v>129</v>
      </c>
      <c r="C30" s="750" t="s">
        <v>142</v>
      </c>
      <c r="D30" s="751" t="s">
        <v>142</v>
      </c>
      <c r="E30" s="667"/>
      <c r="F30" s="665"/>
    </row>
    <row r="31" spans="1:6" ht="24.75" customHeight="1" x14ac:dyDescent="0.2">
      <c r="A31" s="10"/>
      <c r="B31" s="42" t="s">
        <v>132</v>
      </c>
      <c r="C31" s="750" t="s">
        <v>133</v>
      </c>
      <c r="D31" s="751" t="s">
        <v>133</v>
      </c>
      <c r="E31" s="667"/>
      <c r="F31" s="665"/>
    </row>
    <row r="32" spans="1:6" ht="24.75" customHeight="1" thickBot="1" x14ac:dyDescent="0.25">
      <c r="A32" s="27"/>
      <c r="B32" s="29" t="s">
        <v>1038</v>
      </c>
      <c r="C32" s="765" t="s">
        <v>1039</v>
      </c>
      <c r="D32" s="766"/>
      <c r="E32" s="63"/>
      <c r="F32" s="64" t="s">
        <v>1040</v>
      </c>
    </row>
    <row r="33" spans="1:8" ht="24.75" customHeight="1" x14ac:dyDescent="0.2">
      <c r="A33" s="26" t="s">
        <v>1041</v>
      </c>
      <c r="B33" s="41" t="s">
        <v>906</v>
      </c>
      <c r="C33" s="748" t="s">
        <v>111</v>
      </c>
      <c r="D33" s="749" t="s">
        <v>105</v>
      </c>
      <c r="E33" s="78"/>
      <c r="F33" s="62"/>
    </row>
    <row r="34" spans="1:8" ht="24.75" customHeight="1" x14ac:dyDescent="0.2">
      <c r="A34" s="10"/>
      <c r="B34" s="42" t="s">
        <v>1026</v>
      </c>
      <c r="C34" s="750" t="s">
        <v>1042</v>
      </c>
      <c r="D34" s="751" t="s">
        <v>105</v>
      </c>
      <c r="E34" s="77"/>
      <c r="F34" s="55"/>
    </row>
    <row r="35" spans="1:8" ht="27.75" customHeight="1" x14ac:dyDescent="0.2">
      <c r="A35" s="10"/>
      <c r="B35" s="42" t="s">
        <v>1043</v>
      </c>
      <c r="C35" s="802" t="s">
        <v>1044</v>
      </c>
      <c r="D35" s="803"/>
      <c r="E35" s="59"/>
      <c r="F35" s="55"/>
    </row>
    <row r="36" spans="1:8" ht="26.25" customHeight="1" x14ac:dyDescent="0.2">
      <c r="A36" s="10"/>
      <c r="B36" s="42" t="s">
        <v>1034</v>
      </c>
      <c r="C36" s="765" t="s">
        <v>1045</v>
      </c>
      <c r="D36" s="766"/>
      <c r="E36" s="59"/>
      <c r="F36" s="55" t="s">
        <v>116</v>
      </c>
    </row>
    <row r="37" spans="1:8" ht="26.25" customHeight="1" thickBot="1" x14ac:dyDescent="0.25">
      <c r="A37" s="10"/>
      <c r="B37" s="42" t="s">
        <v>1046</v>
      </c>
      <c r="C37" s="765" t="s">
        <v>1024</v>
      </c>
      <c r="D37" s="766"/>
      <c r="E37" s="59"/>
      <c r="F37" s="55" t="s">
        <v>116</v>
      </c>
    </row>
    <row r="38" spans="1:8" ht="24.75" customHeight="1" x14ac:dyDescent="0.2">
      <c r="A38" s="746" t="s">
        <v>1047</v>
      </c>
      <c r="B38" s="41" t="s">
        <v>111</v>
      </c>
      <c r="C38" s="748"/>
      <c r="D38" s="749" t="s">
        <v>118</v>
      </c>
      <c r="E38" s="78"/>
      <c r="F38" s="62"/>
    </row>
    <row r="39" spans="1:8" ht="24.75" customHeight="1" x14ac:dyDescent="0.2">
      <c r="A39" s="747"/>
      <c r="B39" s="42" t="s">
        <v>1027</v>
      </c>
      <c r="C39" s="765" t="s">
        <v>1024</v>
      </c>
      <c r="D39" s="766"/>
      <c r="E39" s="77"/>
      <c r="F39" s="55"/>
    </row>
    <row r="40" spans="1:8" ht="25.5" customHeight="1" x14ac:dyDescent="0.25">
      <c r="A40" s="10"/>
      <c r="B40" s="42" t="s">
        <v>1026</v>
      </c>
      <c r="C40" s="765" t="s">
        <v>1022</v>
      </c>
      <c r="D40" s="766"/>
      <c r="E40" s="77"/>
      <c r="F40" s="55"/>
      <c r="H40" s="65"/>
    </row>
    <row r="41" spans="1:8" ht="24.75" customHeight="1" x14ac:dyDescent="0.2">
      <c r="A41" s="10"/>
      <c r="B41" s="42" t="s">
        <v>1048</v>
      </c>
      <c r="C41" s="750" t="s">
        <v>122</v>
      </c>
      <c r="D41" s="751" t="s">
        <v>122</v>
      </c>
      <c r="E41" s="77"/>
      <c r="F41" s="55"/>
    </row>
    <row r="42" spans="1:8" ht="24.75" customHeight="1" x14ac:dyDescent="0.2">
      <c r="A42" s="10"/>
      <c r="B42" s="42" t="s">
        <v>129</v>
      </c>
      <c r="C42" s="750" t="s">
        <v>142</v>
      </c>
      <c r="D42" s="751" t="s">
        <v>142</v>
      </c>
      <c r="E42" s="77"/>
      <c r="F42" s="55"/>
    </row>
    <row r="43" spans="1:8" ht="24.75" customHeight="1" x14ac:dyDescent="0.2">
      <c r="A43" s="10"/>
      <c r="B43" s="42" t="s">
        <v>132</v>
      </c>
      <c r="C43" s="750" t="s">
        <v>133</v>
      </c>
      <c r="D43" s="751" t="s">
        <v>122</v>
      </c>
      <c r="E43" s="664"/>
      <c r="F43" s="55"/>
    </row>
    <row r="44" spans="1:8" ht="24.75" customHeight="1" thickBot="1" x14ac:dyDescent="0.25">
      <c r="A44" s="10"/>
      <c r="B44" s="42" t="s">
        <v>1049</v>
      </c>
      <c r="C44" s="1119" t="s">
        <v>1022</v>
      </c>
      <c r="D44" s="1120"/>
      <c r="E44" s="668"/>
      <c r="F44" s="665"/>
    </row>
    <row r="45" spans="1:8" ht="24.75" customHeight="1" x14ac:dyDescent="0.2">
      <c r="A45" s="26" t="s">
        <v>255</v>
      </c>
      <c r="B45" s="41" t="s">
        <v>1050</v>
      </c>
      <c r="C45" s="748" t="s">
        <v>1051</v>
      </c>
      <c r="D45" s="749"/>
      <c r="E45" s="56"/>
      <c r="F45" s="1121" t="s">
        <v>1052</v>
      </c>
    </row>
    <row r="46" spans="1:8" ht="24.75" customHeight="1" x14ac:dyDescent="0.2">
      <c r="A46" s="10"/>
      <c r="B46" s="42"/>
      <c r="C46" s="750" t="s">
        <v>1053</v>
      </c>
      <c r="D46" s="751"/>
      <c r="E46" s="59"/>
      <c r="F46" s="1122"/>
    </row>
    <row r="47" spans="1:8" ht="24.75" customHeight="1" x14ac:dyDescent="0.2">
      <c r="A47" s="10"/>
      <c r="B47" s="42" t="s">
        <v>1054</v>
      </c>
      <c r="C47" s="750" t="s">
        <v>1051</v>
      </c>
      <c r="D47" s="751"/>
      <c r="E47" s="59"/>
      <c r="F47" s="1122"/>
    </row>
    <row r="48" spans="1:8" ht="24.75" customHeight="1" x14ac:dyDescent="0.2">
      <c r="A48" s="10"/>
      <c r="B48" s="42"/>
      <c r="C48" s="750" t="s">
        <v>1053</v>
      </c>
      <c r="D48" s="751"/>
      <c r="E48" s="59"/>
      <c r="F48" s="1122"/>
    </row>
    <row r="49" spans="1:8" ht="24.75" customHeight="1" thickBot="1" x14ac:dyDescent="0.25">
      <c r="A49" s="27"/>
      <c r="B49" s="29" t="s">
        <v>1055</v>
      </c>
      <c r="C49" s="754"/>
      <c r="D49" s="755"/>
      <c r="E49" s="63"/>
      <c r="F49" s="1123"/>
    </row>
    <row r="50" spans="1:8" ht="24.75" customHeight="1" x14ac:dyDescent="0.2">
      <c r="A50" s="26" t="s">
        <v>1056</v>
      </c>
      <c r="B50" s="42"/>
      <c r="C50" s="1125" t="s">
        <v>111</v>
      </c>
      <c r="D50" s="1126"/>
      <c r="E50" s="663"/>
      <c r="F50" s="669"/>
    </row>
    <row r="51" spans="1:8" ht="24.75" customHeight="1" x14ac:dyDescent="0.2">
      <c r="A51" s="10"/>
      <c r="B51" s="42" t="s">
        <v>129</v>
      </c>
      <c r="C51" s="750" t="s">
        <v>142</v>
      </c>
      <c r="D51" s="751" t="s">
        <v>142</v>
      </c>
      <c r="E51" s="67"/>
      <c r="F51" s="670"/>
    </row>
    <row r="52" spans="1:8" ht="24.75" customHeight="1" thickBot="1" x14ac:dyDescent="0.25">
      <c r="A52" s="10"/>
      <c r="B52" s="42" t="s">
        <v>132</v>
      </c>
      <c r="C52" s="750" t="s">
        <v>133</v>
      </c>
      <c r="D52" s="751" t="s">
        <v>133</v>
      </c>
      <c r="E52" s="70"/>
      <c r="F52" s="671"/>
    </row>
    <row r="53" spans="1:8" ht="24.75" customHeight="1" x14ac:dyDescent="0.2">
      <c r="A53" s="26" t="s">
        <v>167</v>
      </c>
      <c r="B53" s="43"/>
      <c r="C53" s="748" t="s">
        <v>167</v>
      </c>
      <c r="D53" s="756"/>
      <c r="E53" s="78" t="s">
        <v>7</v>
      </c>
      <c r="F53" s="62"/>
    </row>
    <row r="54" spans="1:8" ht="24.75" customHeight="1" thickBot="1" x14ac:dyDescent="0.25">
      <c r="A54" s="27"/>
      <c r="B54" s="51"/>
      <c r="C54" s="750" t="s">
        <v>170</v>
      </c>
      <c r="D54" s="757"/>
      <c r="E54" s="77" t="s">
        <v>7</v>
      </c>
      <c r="F54" s="55"/>
    </row>
    <row r="55" spans="1:8" ht="42.75" customHeight="1" thickBot="1" x14ac:dyDescent="0.25">
      <c r="A55" s="24" t="s">
        <v>1057</v>
      </c>
      <c r="B55" s="25"/>
      <c r="C55" s="767"/>
      <c r="D55" s="768"/>
      <c r="E55" s="60"/>
      <c r="F55" s="61" t="s">
        <v>188</v>
      </c>
    </row>
    <row r="56" spans="1:8" x14ac:dyDescent="0.2">
      <c r="A56" s="21" t="s">
        <v>189</v>
      </c>
      <c r="B56" s="22"/>
      <c r="C56" s="22"/>
      <c r="D56" s="22"/>
      <c r="E56" s="22"/>
      <c r="F56" s="23"/>
    </row>
    <row r="57" spans="1:8" x14ac:dyDescent="0.2">
      <c r="A57" s="52" t="s">
        <v>1058</v>
      </c>
      <c r="B57" s="14"/>
      <c r="C57" s="14"/>
      <c r="D57" s="14"/>
      <c r="E57" s="14"/>
      <c r="F57" s="15"/>
    </row>
    <row r="58" spans="1:8" x14ac:dyDescent="0.2">
      <c r="A58" s="52" t="s">
        <v>1059</v>
      </c>
      <c r="B58" s="14"/>
      <c r="C58" s="14"/>
      <c r="D58" s="14"/>
      <c r="E58" s="14"/>
      <c r="F58" s="15"/>
    </row>
    <row r="59" spans="1:8" ht="15.75" x14ac:dyDescent="0.25">
      <c r="A59" s="52" t="s">
        <v>1060</v>
      </c>
      <c r="B59" s="14"/>
      <c r="C59" s="14"/>
      <c r="D59" s="14"/>
      <c r="E59" s="14"/>
      <c r="F59" s="15"/>
      <c r="H59" s="65"/>
    </row>
    <row r="60" spans="1:8" ht="13.5" thickBot="1" x14ac:dyDescent="0.25">
      <c r="A60" s="53"/>
      <c r="B60" s="16"/>
      <c r="C60" s="16"/>
      <c r="D60" s="16"/>
      <c r="E60" s="16"/>
      <c r="F60" s="17"/>
    </row>
  </sheetData>
  <mergeCells count="50">
    <mergeCell ref="F45:F49"/>
    <mergeCell ref="C55:D55"/>
    <mergeCell ref="C16:D16"/>
    <mergeCell ref="C25:D25"/>
    <mergeCell ref="C26:D26"/>
    <mergeCell ref="C29:D29"/>
    <mergeCell ref="C32:D32"/>
    <mergeCell ref="C27:D27"/>
    <mergeCell ref="C28:D28"/>
    <mergeCell ref="C53:D53"/>
    <mergeCell ref="C54:D54"/>
    <mergeCell ref="C52:D52"/>
    <mergeCell ref="C50:D50"/>
    <mergeCell ref="C51:D51"/>
    <mergeCell ref="C45:D45"/>
    <mergeCell ref="C46:D46"/>
    <mergeCell ref="C47:D47"/>
    <mergeCell ref="C48:D48"/>
    <mergeCell ref="C49:D49"/>
    <mergeCell ref="C42:D42"/>
    <mergeCell ref="C43:D43"/>
    <mergeCell ref="C44:D44"/>
    <mergeCell ref="C40:D40"/>
    <mergeCell ref="C41:D41"/>
    <mergeCell ref="C35:D35"/>
    <mergeCell ref="C36:D36"/>
    <mergeCell ref="C37:D37"/>
    <mergeCell ref="A38:A39"/>
    <mergeCell ref="C38:D38"/>
    <mergeCell ref="C30:D30"/>
    <mergeCell ref="C33:D33"/>
    <mergeCell ref="C34:D34"/>
    <mergeCell ref="C31:D31"/>
    <mergeCell ref="C39:D39"/>
    <mergeCell ref="C20:D20"/>
    <mergeCell ref="C21:D21"/>
    <mergeCell ref="C22:D22"/>
    <mergeCell ref="C23:D23"/>
    <mergeCell ref="C24:D24"/>
    <mergeCell ref="C14:D14"/>
    <mergeCell ref="C15:D15"/>
    <mergeCell ref="C19:D19"/>
    <mergeCell ref="C17:D17"/>
    <mergeCell ref="C18:D18"/>
    <mergeCell ref="C13:D13"/>
    <mergeCell ref="F1:F8"/>
    <mergeCell ref="A9:D11"/>
    <mergeCell ref="E9:E11"/>
    <mergeCell ref="F9:F11"/>
    <mergeCell ref="C12:D12"/>
  </mergeCells>
  <pageMargins left="0.7" right="0.7" top="0.75" bottom="0.75" header="0.3" footer="0.3"/>
  <pageSetup paperSize="9" scale="5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2075C-2A65-459F-A11C-AAB3D1B29155}">
  <sheetPr>
    <tabColor rgb="FFF04893"/>
    <pageSetUpPr fitToPage="1"/>
  </sheetPr>
  <dimension ref="A1:U1048537"/>
  <sheetViews>
    <sheetView zoomScaleNormal="100" workbookViewId="0">
      <pane ySplit="9" topLeftCell="A10" activePane="bottomLeft" state="frozen"/>
      <selection activeCell="B14" sqref="B14:I14"/>
      <selection pane="bottomLeft" activeCell="B14" sqref="B14:I14"/>
    </sheetView>
  </sheetViews>
  <sheetFormatPr defaultColWidth="9.140625" defaultRowHeight="12.75" x14ac:dyDescent="0.2"/>
  <cols>
    <col min="1" max="1" width="11.140625" style="532" customWidth="1"/>
    <col min="2" max="2" width="34.140625" style="533" customWidth="1"/>
    <col min="3" max="3" width="13" style="532" bestFit="1" customWidth="1"/>
    <col min="4" max="4" width="24.28515625" style="533" customWidth="1"/>
    <col min="5" max="5" width="26.85546875" style="532" customWidth="1"/>
    <col min="6" max="6" width="18.140625" style="532" bestFit="1" customWidth="1"/>
    <col min="7" max="7" width="21.140625" style="532" bestFit="1" customWidth="1"/>
    <col min="8" max="11" width="7.85546875" style="532" customWidth="1"/>
    <col min="12" max="12" width="7.85546875" style="534" customWidth="1"/>
    <col min="13" max="14" width="7.85546875" style="532" customWidth="1"/>
    <col min="15" max="15" width="14.7109375" style="532" customWidth="1"/>
    <col min="16" max="16" width="7.5703125" style="532" bestFit="1" customWidth="1"/>
    <col min="17" max="17" width="15.5703125" style="532" customWidth="1"/>
    <col min="18" max="18" width="38.140625" style="533" bestFit="1" customWidth="1"/>
    <col min="19" max="16384" width="9.140625" style="532"/>
  </cols>
  <sheetData>
    <row r="1" spans="1:21" s="608" customFormat="1" ht="15" customHeight="1" x14ac:dyDescent="0.2">
      <c r="A1" s="1130"/>
      <c r="B1" s="1131"/>
      <c r="C1" s="627" t="s">
        <v>71</v>
      </c>
      <c r="D1" s="626">
        <f>'PROJECT SUMMARY'!D3</f>
        <v>0</v>
      </c>
      <c r="E1" s="624"/>
      <c r="F1" s="625"/>
      <c r="G1" s="624"/>
      <c r="H1" s="624"/>
      <c r="I1" s="624"/>
      <c r="J1" s="624"/>
      <c r="K1" s="624"/>
      <c r="L1" s="624"/>
      <c r="M1" s="624"/>
      <c r="N1" s="624"/>
      <c r="O1" s="623"/>
      <c r="P1" s="623"/>
      <c r="Q1" s="622"/>
      <c r="R1" s="1127" t="s">
        <v>1061</v>
      </c>
    </row>
    <row r="2" spans="1:21" s="608" customFormat="1" ht="15" customHeight="1" x14ac:dyDescent="0.2">
      <c r="A2" s="1132"/>
      <c r="B2" s="1133"/>
      <c r="C2" s="620" t="s">
        <v>72</v>
      </c>
      <c r="D2" s="621">
        <f>'PROJECT SUMMARY'!D4</f>
        <v>0</v>
      </c>
      <c r="E2" s="614"/>
      <c r="F2" s="614"/>
      <c r="G2" s="614"/>
      <c r="H2" s="614"/>
      <c r="I2" s="615"/>
      <c r="J2" s="615"/>
      <c r="K2" s="614"/>
      <c r="L2" s="615"/>
      <c r="M2" s="614"/>
      <c r="N2" s="614"/>
      <c r="O2" s="613"/>
      <c r="P2" s="613"/>
      <c r="Q2" s="612"/>
      <c r="R2" s="1128"/>
    </row>
    <row r="3" spans="1:21" s="608" customFormat="1" ht="15" customHeight="1" x14ac:dyDescent="0.2">
      <c r="A3" s="1132"/>
      <c r="B3" s="1133"/>
      <c r="C3" s="620" t="s">
        <v>73</v>
      </c>
      <c r="D3" s="621" t="s">
        <v>1062</v>
      </c>
      <c r="E3" s="614"/>
      <c r="F3" s="614"/>
      <c r="G3" s="614"/>
      <c r="H3" s="614"/>
      <c r="I3" s="615"/>
      <c r="J3" s="615"/>
      <c r="K3" s="614"/>
      <c r="L3" s="615"/>
      <c r="M3" s="614"/>
      <c r="N3" s="614"/>
      <c r="O3" s="613"/>
      <c r="P3" s="613"/>
      <c r="Q3" s="612"/>
      <c r="R3" s="1128"/>
    </row>
    <row r="4" spans="1:21" s="608" customFormat="1" ht="15" customHeight="1" x14ac:dyDescent="0.2">
      <c r="A4" s="1132"/>
      <c r="B4" s="1133"/>
      <c r="C4" s="620" t="s">
        <v>75</v>
      </c>
      <c r="D4" s="621" t="str">
        <f>'PROJECT SUMMARY'!B56</f>
        <v>KEY-SH-M-50-XXX</v>
      </c>
      <c r="E4" s="614"/>
      <c r="F4" s="614"/>
      <c r="G4" s="614"/>
      <c r="H4" s="614"/>
      <c r="I4" s="615"/>
      <c r="J4" s="615"/>
      <c r="K4" s="614"/>
      <c r="L4" s="615"/>
      <c r="M4" s="614"/>
      <c r="N4" s="614"/>
      <c r="O4" s="613"/>
      <c r="P4" s="613"/>
      <c r="Q4" s="612"/>
      <c r="R4" s="1128"/>
      <c r="U4" s="539"/>
    </row>
    <row r="5" spans="1:21" s="608" customFormat="1" ht="15" customHeight="1" x14ac:dyDescent="0.2">
      <c r="A5" s="1132"/>
      <c r="B5" s="1133"/>
      <c r="C5" s="620" t="s">
        <v>76</v>
      </c>
      <c r="D5" s="619">
        <f>'PROJECT SUMMARY'!C56</f>
        <v>0</v>
      </c>
      <c r="E5" s="614"/>
      <c r="F5" s="614"/>
      <c r="G5" s="614"/>
      <c r="H5" s="614"/>
      <c r="I5" s="615"/>
      <c r="J5" s="615"/>
      <c r="K5" s="614"/>
      <c r="L5" s="615"/>
      <c r="M5" s="614"/>
      <c r="N5" s="614"/>
      <c r="O5" s="613"/>
      <c r="P5" s="613"/>
      <c r="Q5" s="612"/>
      <c r="R5" s="1128"/>
      <c r="U5" s="539"/>
    </row>
    <row r="6" spans="1:21" s="608" customFormat="1" ht="15" customHeight="1" x14ac:dyDescent="0.2">
      <c r="A6" s="1132"/>
      <c r="B6" s="1133"/>
      <c r="C6" s="618" t="s">
        <v>77</v>
      </c>
      <c r="D6" s="617">
        <f>'PROJECT SUMMARY'!D5</f>
        <v>0</v>
      </c>
      <c r="E6" s="614"/>
      <c r="F6" s="616"/>
      <c r="G6" s="614"/>
      <c r="H6" s="614"/>
      <c r="I6" s="615"/>
      <c r="J6" s="615"/>
      <c r="K6" s="614"/>
      <c r="L6" s="615"/>
      <c r="M6" s="614"/>
      <c r="N6" s="614"/>
      <c r="O6" s="613"/>
      <c r="P6" s="613"/>
      <c r="Q6" s="612"/>
      <c r="R6" s="1128"/>
      <c r="U6" s="539"/>
    </row>
    <row r="7" spans="1:21" s="608" customFormat="1" ht="12.75" customHeight="1" x14ac:dyDescent="0.2">
      <c r="A7" s="1134"/>
      <c r="B7" s="1135"/>
      <c r="C7" s="611"/>
      <c r="D7" s="611"/>
      <c r="E7" s="611"/>
      <c r="F7" s="611"/>
      <c r="G7" s="611"/>
      <c r="H7" s="611"/>
      <c r="I7" s="610"/>
      <c r="J7" s="610"/>
      <c r="K7" s="611"/>
      <c r="L7" s="610"/>
      <c r="M7" s="611"/>
      <c r="N7" s="611"/>
      <c r="O7" s="610"/>
      <c r="P7" s="610"/>
      <c r="Q7" s="609"/>
      <c r="R7" s="1129"/>
      <c r="U7" s="539"/>
    </row>
    <row r="8" spans="1:21" ht="30" customHeight="1" x14ac:dyDescent="0.2">
      <c r="A8" s="1138" t="s">
        <v>1063</v>
      </c>
      <c r="B8" s="1136" t="s">
        <v>1064</v>
      </c>
      <c r="C8" s="1138" t="s">
        <v>1065</v>
      </c>
      <c r="D8" s="1136" t="s">
        <v>201</v>
      </c>
      <c r="E8" s="1144" t="s">
        <v>1066</v>
      </c>
      <c r="F8" s="1136" t="s">
        <v>1067</v>
      </c>
      <c r="G8" s="1146" t="s">
        <v>205</v>
      </c>
      <c r="H8" s="1148" t="s">
        <v>1068</v>
      </c>
      <c r="I8" s="1149"/>
      <c r="J8" s="1149"/>
      <c r="K8" s="1149"/>
      <c r="L8" s="1149"/>
      <c r="M8" s="1150"/>
      <c r="N8" s="1136" t="s">
        <v>1069</v>
      </c>
      <c r="O8" s="1136" t="s">
        <v>1070</v>
      </c>
      <c r="P8" s="1136" t="s">
        <v>1071</v>
      </c>
      <c r="Q8" s="1140" t="s">
        <v>1072</v>
      </c>
      <c r="R8" s="1141" t="s">
        <v>1073</v>
      </c>
      <c r="U8" s="539"/>
    </row>
    <row r="9" spans="1:21" ht="30" customHeight="1" thickBot="1" x14ac:dyDescent="0.25">
      <c r="A9" s="1139"/>
      <c r="B9" s="1140"/>
      <c r="C9" s="1139"/>
      <c r="D9" s="1140"/>
      <c r="E9" s="1145"/>
      <c r="F9" s="1137"/>
      <c r="G9" s="1147"/>
      <c r="H9" s="607" t="s">
        <v>1074</v>
      </c>
      <c r="I9" s="606" t="s">
        <v>1075</v>
      </c>
      <c r="J9" s="605" t="s">
        <v>1076</v>
      </c>
      <c r="K9" s="604" t="s">
        <v>1077</v>
      </c>
      <c r="L9" s="604" t="s">
        <v>1078</v>
      </c>
      <c r="M9" s="603" t="s">
        <v>1079</v>
      </c>
      <c r="N9" s="1142"/>
      <c r="O9" s="1140"/>
      <c r="P9" s="1143"/>
      <c r="Q9" s="1140"/>
      <c r="R9" s="1141"/>
    </row>
    <row r="10" spans="1:21" s="539" customFormat="1" ht="15.75" customHeight="1" thickBot="1" x14ac:dyDescent="0.25">
      <c r="A10" s="1157" t="s">
        <v>1080</v>
      </c>
      <c r="B10" s="1158"/>
      <c r="C10" s="1158"/>
      <c r="D10" s="1158"/>
      <c r="E10" s="1158"/>
      <c r="F10" s="1158"/>
      <c r="G10" s="1158"/>
      <c r="H10" s="1158"/>
      <c r="I10" s="1158"/>
      <c r="J10" s="1158"/>
      <c r="K10" s="1158"/>
      <c r="L10" s="1158"/>
      <c r="M10" s="1158"/>
      <c r="N10" s="1158"/>
      <c r="O10" s="1158"/>
      <c r="P10" s="1158"/>
      <c r="Q10" s="1158"/>
      <c r="R10" s="1159"/>
      <c r="T10" s="532"/>
      <c r="U10" s="532"/>
    </row>
    <row r="11" spans="1:21" s="539" customFormat="1" ht="15.75" customHeight="1" x14ac:dyDescent="0.2">
      <c r="A11" s="602" t="s">
        <v>1081</v>
      </c>
      <c r="B11" s="601" t="s">
        <v>1082</v>
      </c>
      <c r="C11" s="598">
        <v>1</v>
      </c>
      <c r="D11" s="598" t="s">
        <v>545</v>
      </c>
      <c r="E11" s="599"/>
      <c r="F11" s="600"/>
      <c r="G11" s="599"/>
      <c r="H11" s="598">
        <v>3</v>
      </c>
      <c r="I11" s="597">
        <v>400</v>
      </c>
      <c r="J11" s="597"/>
      <c r="K11" s="597">
        <v>412</v>
      </c>
      <c r="L11" s="597"/>
      <c r="M11" s="596">
        <v>249.9</v>
      </c>
      <c r="N11" s="595"/>
      <c r="O11" s="595" t="s">
        <v>1083</v>
      </c>
      <c r="P11" s="595">
        <v>4</v>
      </c>
      <c r="Q11" s="595"/>
      <c r="R11" s="594" t="s">
        <v>1084</v>
      </c>
      <c r="T11" s="532"/>
      <c r="U11" s="532"/>
    </row>
    <row r="12" spans="1:21" s="539" customFormat="1" ht="15.75" customHeight="1" x14ac:dyDescent="0.2">
      <c r="A12" s="559" t="s">
        <v>1085</v>
      </c>
      <c r="B12" s="558" t="s">
        <v>1086</v>
      </c>
      <c r="C12" s="557">
        <v>1</v>
      </c>
      <c r="D12" s="554" t="s">
        <v>545</v>
      </c>
      <c r="E12" s="561"/>
      <c r="F12" s="592"/>
      <c r="G12" s="593"/>
      <c r="H12" s="554">
        <v>3</v>
      </c>
      <c r="I12" s="553">
        <v>400</v>
      </c>
      <c r="J12" s="553"/>
      <c r="K12" s="553">
        <v>5.5</v>
      </c>
      <c r="L12" s="553"/>
      <c r="M12" s="552">
        <v>3</v>
      </c>
      <c r="N12" s="551"/>
      <c r="O12" s="551" t="s">
        <v>1083</v>
      </c>
      <c r="P12" s="551">
        <v>3</v>
      </c>
      <c r="Q12" s="551"/>
      <c r="R12" s="550" t="s">
        <v>1087</v>
      </c>
      <c r="T12" s="532"/>
      <c r="U12" s="532"/>
    </row>
    <row r="13" spans="1:21" s="539" customFormat="1" ht="15.75" customHeight="1" x14ac:dyDescent="0.2">
      <c r="A13" s="559" t="s">
        <v>220</v>
      </c>
      <c r="B13" s="558" t="s">
        <v>1088</v>
      </c>
      <c r="C13" s="557">
        <v>1</v>
      </c>
      <c r="D13" s="554" t="s">
        <v>545</v>
      </c>
      <c r="E13" s="561"/>
      <c r="F13" s="592"/>
      <c r="G13" s="593"/>
      <c r="H13" s="554"/>
      <c r="I13" s="553"/>
      <c r="J13" s="553"/>
      <c r="K13" s="553"/>
      <c r="L13" s="553"/>
      <c r="M13" s="552"/>
      <c r="N13" s="551"/>
      <c r="O13" s="551"/>
      <c r="P13" s="551"/>
      <c r="Q13" s="551"/>
      <c r="R13" s="550" t="s">
        <v>1089</v>
      </c>
      <c r="T13" s="532"/>
      <c r="U13" s="532"/>
    </row>
    <row r="14" spans="1:21" s="539" customFormat="1" ht="15.75" customHeight="1" x14ac:dyDescent="0.2">
      <c r="A14" s="559" t="s">
        <v>1090</v>
      </c>
      <c r="B14" s="558" t="s">
        <v>1088</v>
      </c>
      <c r="C14" s="557">
        <v>2</v>
      </c>
      <c r="D14" s="554" t="s">
        <v>545</v>
      </c>
      <c r="E14" s="561"/>
      <c r="F14" s="592"/>
      <c r="G14" s="593"/>
      <c r="H14" s="554"/>
      <c r="I14" s="553"/>
      <c r="J14" s="553"/>
      <c r="K14" s="553"/>
      <c r="L14" s="553"/>
      <c r="M14" s="552"/>
      <c r="N14" s="551"/>
      <c r="O14" s="551"/>
      <c r="P14" s="551"/>
      <c r="Q14" s="551"/>
      <c r="R14" s="550" t="s">
        <v>1089</v>
      </c>
      <c r="T14" s="532"/>
      <c r="U14" s="532"/>
    </row>
    <row r="15" spans="1:21" s="539" customFormat="1" ht="21.95" customHeight="1" x14ac:dyDescent="0.2">
      <c r="A15" s="559" t="s">
        <v>1091</v>
      </c>
      <c r="B15" s="558" t="s">
        <v>1092</v>
      </c>
      <c r="C15" s="557">
        <v>2</v>
      </c>
      <c r="D15" s="561" t="s">
        <v>545</v>
      </c>
      <c r="E15" s="550"/>
      <c r="F15" s="561"/>
      <c r="G15" s="555"/>
      <c r="H15" s="554">
        <v>1</v>
      </c>
      <c r="I15" s="553">
        <v>230</v>
      </c>
      <c r="J15" s="553"/>
      <c r="K15" s="553">
        <v>16</v>
      </c>
      <c r="L15" s="553"/>
      <c r="M15" s="552"/>
      <c r="N15" s="551"/>
      <c r="O15" s="551" t="s">
        <v>1083</v>
      </c>
      <c r="P15" s="551"/>
      <c r="Q15" s="551"/>
      <c r="R15" s="550"/>
      <c r="T15" s="532"/>
      <c r="U15" s="532"/>
    </row>
    <row r="16" spans="1:21" s="539" customFormat="1" ht="36" customHeight="1" thickBot="1" x14ac:dyDescent="0.25">
      <c r="A16" s="559" t="s">
        <v>1093</v>
      </c>
      <c r="B16" s="558" t="s">
        <v>1094</v>
      </c>
      <c r="C16" s="557">
        <v>1</v>
      </c>
      <c r="D16" s="554" t="s">
        <v>545</v>
      </c>
      <c r="E16" s="556"/>
      <c r="F16" s="592"/>
      <c r="G16" s="591"/>
      <c r="H16" s="554">
        <v>3</v>
      </c>
      <c r="I16" s="553">
        <v>400</v>
      </c>
      <c r="J16" s="553"/>
      <c r="K16" s="553"/>
      <c r="L16" s="553">
        <v>32</v>
      </c>
      <c r="M16" s="552"/>
      <c r="N16" s="551"/>
      <c r="O16" s="551" t="s">
        <v>1083</v>
      </c>
      <c r="P16" s="551" t="s">
        <v>1095</v>
      </c>
      <c r="Q16" s="551"/>
      <c r="R16" s="542" t="s">
        <v>1096</v>
      </c>
      <c r="T16" s="532"/>
      <c r="U16" s="532"/>
    </row>
    <row r="17" spans="1:21" s="539" customFormat="1" ht="15.75" customHeight="1" thickBot="1" x14ac:dyDescent="0.25">
      <c r="A17" s="1154" t="s">
        <v>1097</v>
      </c>
      <c r="B17" s="1155"/>
      <c r="C17" s="1155"/>
      <c r="D17" s="1155"/>
      <c r="E17" s="1155"/>
      <c r="F17" s="1155"/>
      <c r="G17" s="1155"/>
      <c r="H17" s="1155"/>
      <c r="I17" s="1155"/>
      <c r="J17" s="1155"/>
      <c r="K17" s="1155"/>
      <c r="L17" s="1155"/>
      <c r="M17" s="1155"/>
      <c r="N17" s="1155"/>
      <c r="O17" s="1155"/>
      <c r="P17" s="1155"/>
      <c r="Q17" s="1155"/>
      <c r="R17" s="1156"/>
      <c r="T17" s="532"/>
      <c r="U17" s="532"/>
    </row>
    <row r="18" spans="1:21" s="562" customFormat="1" ht="15.75" customHeight="1" x14ac:dyDescent="0.2">
      <c r="A18" s="590" t="s">
        <v>1085</v>
      </c>
      <c r="B18" s="589" t="s">
        <v>1098</v>
      </c>
      <c r="C18" s="572">
        <v>6</v>
      </c>
      <c r="D18" s="564" t="s">
        <v>753</v>
      </c>
      <c r="E18" s="564"/>
      <c r="F18" s="564"/>
      <c r="G18" s="588"/>
      <c r="H18" s="572">
        <v>3</v>
      </c>
      <c r="I18" s="587">
        <v>400</v>
      </c>
      <c r="J18" s="587"/>
      <c r="K18" s="587">
        <v>8.9</v>
      </c>
      <c r="L18" s="587"/>
      <c r="M18" s="586">
        <v>5.8</v>
      </c>
      <c r="N18" s="565"/>
      <c r="O18" s="565" t="s">
        <v>1083</v>
      </c>
      <c r="P18" s="565">
        <v>5</v>
      </c>
      <c r="Q18" s="565" t="s">
        <v>148</v>
      </c>
      <c r="R18" s="585" t="s">
        <v>1099</v>
      </c>
      <c r="T18" s="563"/>
      <c r="U18" s="563"/>
    </row>
    <row r="19" spans="1:21" s="562" customFormat="1" ht="15.75" customHeight="1" x14ac:dyDescent="0.2">
      <c r="A19" s="590"/>
      <c r="B19" s="589" t="s">
        <v>1100</v>
      </c>
      <c r="C19" s="572">
        <v>2</v>
      </c>
      <c r="D19" s="564" t="s">
        <v>753</v>
      </c>
      <c r="E19" s="564"/>
      <c r="F19" s="564"/>
      <c r="G19" s="588"/>
      <c r="H19" s="572">
        <v>3</v>
      </c>
      <c r="I19" s="587">
        <v>400</v>
      </c>
      <c r="J19" s="587"/>
      <c r="K19" s="587">
        <v>6.3</v>
      </c>
      <c r="L19" s="587"/>
      <c r="M19" s="586">
        <v>4.0999999999999996</v>
      </c>
      <c r="N19" s="565"/>
      <c r="O19" s="565" t="s">
        <v>1083</v>
      </c>
      <c r="P19" s="565">
        <v>5</v>
      </c>
      <c r="Q19" s="565" t="s">
        <v>1101</v>
      </c>
      <c r="R19" s="585" t="s">
        <v>1102</v>
      </c>
      <c r="T19" s="563"/>
      <c r="U19" s="563"/>
    </row>
    <row r="20" spans="1:21" s="562" customFormat="1" ht="15.75" customHeight="1" x14ac:dyDescent="0.2">
      <c r="A20" s="590"/>
      <c r="B20" s="589" t="s">
        <v>1103</v>
      </c>
      <c r="C20" s="572">
        <v>1</v>
      </c>
      <c r="D20" s="564" t="s">
        <v>753</v>
      </c>
      <c r="E20" s="564"/>
      <c r="F20" s="564"/>
      <c r="G20" s="588"/>
      <c r="H20" s="572">
        <v>1</v>
      </c>
      <c r="I20" s="587">
        <v>230</v>
      </c>
      <c r="J20" s="587"/>
      <c r="K20" s="587">
        <v>2</v>
      </c>
      <c r="L20" s="587"/>
      <c r="M20" s="586">
        <v>0.55000000000000004</v>
      </c>
      <c r="N20" s="566"/>
      <c r="O20" s="571" t="s">
        <v>1104</v>
      </c>
      <c r="P20" s="565"/>
      <c r="Q20" s="565"/>
      <c r="R20" s="585" t="s">
        <v>1105</v>
      </c>
      <c r="T20" s="563"/>
      <c r="U20" s="563"/>
    </row>
    <row r="21" spans="1:21" s="562" customFormat="1" ht="15.75" customHeight="1" x14ac:dyDescent="0.2">
      <c r="A21" s="574" t="s">
        <v>1106</v>
      </c>
      <c r="B21" s="573" t="s">
        <v>1107</v>
      </c>
      <c r="C21" s="572">
        <v>2</v>
      </c>
      <c r="D21" s="571" t="s">
        <v>753</v>
      </c>
      <c r="E21" s="564"/>
      <c r="F21" s="571"/>
      <c r="G21" s="570"/>
      <c r="H21" s="569">
        <v>3</v>
      </c>
      <c r="I21" s="568">
        <v>400</v>
      </c>
      <c r="J21" s="568"/>
      <c r="K21" s="568">
        <v>8.8000000000000007</v>
      </c>
      <c r="L21" s="568"/>
      <c r="M21" s="567">
        <v>5.8</v>
      </c>
      <c r="N21" s="566"/>
      <c r="O21" s="564" t="s">
        <v>1083</v>
      </c>
      <c r="P21" s="565">
        <v>5</v>
      </c>
      <c r="Q21" s="565" t="s">
        <v>148</v>
      </c>
      <c r="R21" s="564" t="s">
        <v>1102</v>
      </c>
      <c r="T21" s="563"/>
      <c r="U21" s="563"/>
    </row>
    <row r="22" spans="1:21" s="562" customFormat="1" ht="15.75" customHeight="1" x14ac:dyDescent="0.2">
      <c r="A22" s="574"/>
      <c r="B22" s="573" t="s">
        <v>1108</v>
      </c>
      <c r="C22" s="572">
        <v>2</v>
      </c>
      <c r="D22" s="571" t="s">
        <v>753</v>
      </c>
      <c r="E22" s="564"/>
      <c r="F22" s="571"/>
      <c r="G22" s="570"/>
      <c r="H22" s="569">
        <v>3</v>
      </c>
      <c r="I22" s="568">
        <v>400</v>
      </c>
      <c r="J22" s="568"/>
      <c r="K22" s="568">
        <v>6.3</v>
      </c>
      <c r="L22" s="568"/>
      <c r="M22" s="567">
        <v>4.0999999999999996</v>
      </c>
      <c r="N22" s="566"/>
      <c r="O22" s="564" t="s">
        <v>1083</v>
      </c>
      <c r="P22" s="565">
        <v>5</v>
      </c>
      <c r="Q22" s="565" t="s">
        <v>1101</v>
      </c>
      <c r="R22" s="564" t="s">
        <v>1102</v>
      </c>
      <c r="T22" s="563"/>
      <c r="U22" s="563"/>
    </row>
    <row r="23" spans="1:21" s="562" customFormat="1" ht="15.75" customHeight="1" x14ac:dyDescent="0.2">
      <c r="A23" s="574"/>
      <c r="B23" s="573" t="s">
        <v>1109</v>
      </c>
      <c r="C23" s="572">
        <v>1</v>
      </c>
      <c r="D23" s="571" t="s">
        <v>753</v>
      </c>
      <c r="E23" s="564"/>
      <c r="F23" s="571"/>
      <c r="G23" s="570"/>
      <c r="H23" s="569">
        <v>1</v>
      </c>
      <c r="I23" s="568">
        <v>230</v>
      </c>
      <c r="J23" s="568"/>
      <c r="K23" s="568">
        <v>2</v>
      </c>
      <c r="L23" s="568"/>
      <c r="M23" s="567">
        <v>0.55000000000000004</v>
      </c>
      <c r="N23" s="566"/>
      <c r="O23" s="564" t="s">
        <v>1104</v>
      </c>
      <c r="P23" s="565">
        <v>5</v>
      </c>
      <c r="Q23" s="565"/>
      <c r="R23" s="564" t="s">
        <v>1105</v>
      </c>
      <c r="T23" s="563"/>
      <c r="U23" s="563"/>
    </row>
    <row r="24" spans="1:21" s="562" customFormat="1" ht="15.75" customHeight="1" x14ac:dyDescent="0.2">
      <c r="A24" s="574" t="s">
        <v>1091</v>
      </c>
      <c r="B24" s="573" t="s">
        <v>1110</v>
      </c>
      <c r="C24" s="572">
        <v>1</v>
      </c>
      <c r="D24" s="571" t="s">
        <v>753</v>
      </c>
      <c r="E24" s="564"/>
      <c r="F24" s="571"/>
      <c r="G24" s="584"/>
      <c r="H24" s="569">
        <v>3</v>
      </c>
      <c r="I24" s="568">
        <v>400</v>
      </c>
      <c r="J24" s="568"/>
      <c r="K24" s="568">
        <v>101</v>
      </c>
      <c r="L24" s="568"/>
      <c r="M24" s="567">
        <v>61.8</v>
      </c>
      <c r="N24" s="566"/>
      <c r="O24" s="571" t="s">
        <v>1083</v>
      </c>
      <c r="P24" s="571">
        <v>5</v>
      </c>
      <c r="Q24" s="565"/>
      <c r="R24" s="564" t="s">
        <v>1111</v>
      </c>
      <c r="T24" s="563"/>
      <c r="U24" s="563"/>
    </row>
    <row r="25" spans="1:21" s="539" customFormat="1" ht="15.75" customHeight="1" x14ac:dyDescent="0.2">
      <c r="A25" s="559" t="s">
        <v>1112</v>
      </c>
      <c r="B25" s="580" t="s">
        <v>1113</v>
      </c>
      <c r="C25" s="557">
        <v>1</v>
      </c>
      <c r="D25" s="561" t="s">
        <v>753</v>
      </c>
      <c r="E25" s="550"/>
      <c r="F25" s="576"/>
      <c r="G25" s="579"/>
      <c r="H25" s="554">
        <v>1</v>
      </c>
      <c r="I25" s="553">
        <v>230</v>
      </c>
      <c r="J25" s="553"/>
      <c r="K25" s="553">
        <v>2</v>
      </c>
      <c r="L25" s="553">
        <v>6</v>
      </c>
      <c r="M25" s="583"/>
      <c r="N25" s="577"/>
      <c r="O25" s="550" t="s">
        <v>1083</v>
      </c>
      <c r="P25" s="582">
        <v>6</v>
      </c>
      <c r="Q25" s="581"/>
      <c r="R25" s="575"/>
      <c r="T25" s="532"/>
      <c r="U25" s="532"/>
    </row>
    <row r="26" spans="1:21" s="539" customFormat="1" ht="15.75" customHeight="1" x14ac:dyDescent="0.2">
      <c r="A26" s="559" t="s">
        <v>1114</v>
      </c>
      <c r="B26" s="580" t="s">
        <v>1115</v>
      </c>
      <c r="C26" s="557">
        <v>1</v>
      </c>
      <c r="D26" s="561" t="s">
        <v>753</v>
      </c>
      <c r="E26" s="550"/>
      <c r="F26" s="576"/>
      <c r="G26" s="579"/>
      <c r="H26" s="554">
        <v>1</v>
      </c>
      <c r="I26" s="553">
        <v>230</v>
      </c>
      <c r="J26" s="553"/>
      <c r="K26" s="553">
        <v>2</v>
      </c>
      <c r="L26" s="553">
        <v>6</v>
      </c>
      <c r="M26" s="578"/>
      <c r="N26" s="577"/>
      <c r="O26" s="550" t="s">
        <v>1083</v>
      </c>
      <c r="P26" s="576">
        <v>6</v>
      </c>
      <c r="Q26" s="575"/>
      <c r="R26" s="575"/>
      <c r="T26" s="532"/>
      <c r="U26" s="532"/>
    </row>
    <row r="27" spans="1:21" s="539" customFormat="1" ht="15.75" customHeight="1" x14ac:dyDescent="0.2">
      <c r="A27" s="559"/>
      <c r="B27" s="573" t="s">
        <v>1116</v>
      </c>
      <c r="C27" s="572">
        <v>5</v>
      </c>
      <c r="D27" s="571" t="s">
        <v>753</v>
      </c>
      <c r="E27" s="564"/>
      <c r="F27" s="571"/>
      <c r="G27" s="570"/>
      <c r="H27" s="569">
        <v>3</v>
      </c>
      <c r="I27" s="568">
        <v>400</v>
      </c>
      <c r="J27" s="568"/>
      <c r="K27" s="568"/>
      <c r="L27" s="568"/>
      <c r="M27" s="567">
        <v>12</v>
      </c>
      <c r="N27" s="566"/>
      <c r="O27" s="564" t="s">
        <v>1083</v>
      </c>
      <c r="P27" s="564">
        <v>2</v>
      </c>
      <c r="Q27" s="565"/>
      <c r="R27" s="564" t="s">
        <v>1117</v>
      </c>
      <c r="T27" s="532"/>
      <c r="U27" s="532"/>
    </row>
    <row r="28" spans="1:21" s="562" customFormat="1" ht="15.75" customHeight="1" x14ac:dyDescent="0.2">
      <c r="A28" s="574" t="s">
        <v>1118</v>
      </c>
      <c r="B28" s="573" t="s">
        <v>1119</v>
      </c>
      <c r="C28" s="572">
        <v>5</v>
      </c>
      <c r="D28" s="571" t="s">
        <v>753</v>
      </c>
      <c r="E28" s="564"/>
      <c r="F28" s="571"/>
      <c r="G28" s="570"/>
      <c r="H28" s="569">
        <v>3</v>
      </c>
      <c r="I28" s="568">
        <v>400</v>
      </c>
      <c r="J28" s="568"/>
      <c r="K28" s="568"/>
      <c r="L28" s="568"/>
      <c r="M28" s="567">
        <v>12</v>
      </c>
      <c r="N28" s="566"/>
      <c r="O28" s="564" t="s">
        <v>1083</v>
      </c>
      <c r="P28" s="564">
        <v>2</v>
      </c>
      <c r="Q28" s="565"/>
      <c r="R28" s="564" t="s">
        <v>1117</v>
      </c>
      <c r="T28" s="563"/>
      <c r="U28" s="563"/>
    </row>
    <row r="29" spans="1:21" s="539" customFormat="1" ht="15.75" customHeight="1" x14ac:dyDescent="0.2">
      <c r="A29" s="559" t="s">
        <v>1120</v>
      </c>
      <c r="B29" s="558" t="s">
        <v>1121</v>
      </c>
      <c r="C29" s="557">
        <v>1</v>
      </c>
      <c r="D29" s="561" t="s">
        <v>753</v>
      </c>
      <c r="E29" s="550"/>
      <c r="F29" s="561"/>
      <c r="G29" s="560"/>
      <c r="H29" s="554">
        <v>1</v>
      </c>
      <c r="I29" s="553">
        <v>230</v>
      </c>
      <c r="J29" s="553"/>
      <c r="K29" s="553">
        <v>3</v>
      </c>
      <c r="L29" s="553">
        <v>6</v>
      </c>
      <c r="M29" s="552"/>
      <c r="N29" s="551"/>
      <c r="O29" s="551" t="s">
        <v>1083</v>
      </c>
      <c r="P29" s="551">
        <v>2</v>
      </c>
      <c r="Q29" s="551"/>
      <c r="R29" s="550" t="s">
        <v>1122</v>
      </c>
      <c r="T29" s="532"/>
      <c r="U29" s="532"/>
    </row>
    <row r="30" spans="1:21" s="539" customFormat="1" ht="21.95" customHeight="1" x14ac:dyDescent="0.2">
      <c r="A30" s="559" t="s">
        <v>1123</v>
      </c>
      <c r="B30" s="558" t="s">
        <v>1124</v>
      </c>
      <c r="C30" s="557">
        <v>1</v>
      </c>
      <c r="D30" s="561" t="s">
        <v>753</v>
      </c>
      <c r="E30" s="550"/>
      <c r="F30" s="561"/>
      <c r="G30" s="555"/>
      <c r="H30" s="554">
        <v>1</v>
      </c>
      <c r="I30" s="553">
        <v>230</v>
      </c>
      <c r="J30" s="553"/>
      <c r="K30" s="553">
        <v>2.4</v>
      </c>
      <c r="L30" s="553"/>
      <c r="M30" s="552"/>
      <c r="N30" s="551"/>
      <c r="O30" s="551" t="s">
        <v>1083</v>
      </c>
      <c r="P30" s="551">
        <v>7</v>
      </c>
      <c r="Q30" s="551"/>
      <c r="R30" s="550"/>
      <c r="T30" s="532"/>
      <c r="U30" s="532"/>
    </row>
    <row r="31" spans="1:21" s="539" customFormat="1" ht="21.95" customHeight="1" x14ac:dyDescent="0.2">
      <c r="A31" s="559" t="s">
        <v>1125</v>
      </c>
      <c r="B31" s="558" t="s">
        <v>1126</v>
      </c>
      <c r="C31" s="557">
        <v>1</v>
      </c>
      <c r="D31" s="561" t="s">
        <v>753</v>
      </c>
      <c r="E31" s="550"/>
      <c r="F31" s="561"/>
      <c r="G31" s="555"/>
      <c r="H31" s="554">
        <v>1</v>
      </c>
      <c r="I31" s="553">
        <v>230</v>
      </c>
      <c r="J31" s="553"/>
      <c r="K31" s="553">
        <v>2.4</v>
      </c>
      <c r="L31" s="553"/>
      <c r="M31" s="552"/>
      <c r="N31" s="551"/>
      <c r="O31" s="551" t="s">
        <v>1083</v>
      </c>
      <c r="P31" s="551">
        <v>7</v>
      </c>
      <c r="Q31" s="551"/>
      <c r="R31" s="550"/>
      <c r="T31" s="532"/>
      <c r="U31" s="532"/>
    </row>
    <row r="32" spans="1:21" s="539" customFormat="1" ht="21.95" customHeight="1" x14ac:dyDescent="0.2">
      <c r="A32" s="559" t="s">
        <v>1091</v>
      </c>
      <c r="B32" s="558" t="s">
        <v>1127</v>
      </c>
      <c r="C32" s="557">
        <v>1</v>
      </c>
      <c r="D32" s="561" t="s">
        <v>753</v>
      </c>
      <c r="E32" s="550"/>
      <c r="F32" s="561"/>
      <c r="G32" s="555"/>
      <c r="H32" s="554">
        <v>1</v>
      </c>
      <c r="I32" s="553">
        <v>230</v>
      </c>
      <c r="J32" s="553"/>
      <c r="K32" s="553">
        <v>16</v>
      </c>
      <c r="L32" s="553"/>
      <c r="M32" s="552"/>
      <c r="N32" s="551"/>
      <c r="O32" s="551" t="s">
        <v>1083</v>
      </c>
      <c r="P32" s="551">
        <v>7</v>
      </c>
      <c r="Q32" s="551"/>
      <c r="R32" s="550" t="s">
        <v>1128</v>
      </c>
      <c r="T32" s="532"/>
      <c r="U32" s="532"/>
    </row>
    <row r="33" spans="1:21" s="539" customFormat="1" ht="21.95" customHeight="1" x14ac:dyDescent="0.2">
      <c r="A33" s="559" t="s">
        <v>1129</v>
      </c>
      <c r="B33" s="558" t="s">
        <v>1130</v>
      </c>
      <c r="C33" s="557">
        <v>1</v>
      </c>
      <c r="D33" s="561" t="s">
        <v>753</v>
      </c>
      <c r="E33" s="550"/>
      <c r="F33" s="561"/>
      <c r="G33" s="555"/>
      <c r="H33" s="554">
        <v>1</v>
      </c>
      <c r="I33" s="553">
        <v>230</v>
      </c>
      <c r="J33" s="553"/>
      <c r="K33" s="553"/>
      <c r="L33" s="553">
        <v>6</v>
      </c>
      <c r="M33" s="552"/>
      <c r="N33" s="551"/>
      <c r="O33" s="551" t="s">
        <v>1083</v>
      </c>
      <c r="P33" s="551">
        <v>3</v>
      </c>
      <c r="Q33" s="551"/>
      <c r="R33" s="550"/>
      <c r="T33" s="532"/>
      <c r="U33" s="532"/>
    </row>
    <row r="34" spans="1:21" s="539" customFormat="1" ht="26.25" customHeight="1" x14ac:dyDescent="0.2">
      <c r="A34" s="559" t="s">
        <v>1131</v>
      </c>
      <c r="B34" s="558" t="s">
        <v>1132</v>
      </c>
      <c r="C34" s="557">
        <v>1</v>
      </c>
      <c r="D34" s="561" t="s">
        <v>753</v>
      </c>
      <c r="E34" s="550"/>
      <c r="F34" s="561"/>
      <c r="G34" s="560"/>
      <c r="H34" s="554">
        <v>1</v>
      </c>
      <c r="I34" s="553">
        <v>230</v>
      </c>
      <c r="J34" s="553">
        <v>28</v>
      </c>
      <c r="K34" s="553">
        <v>10</v>
      </c>
      <c r="L34" s="553"/>
      <c r="M34" s="552">
        <v>1.35</v>
      </c>
      <c r="N34" s="551"/>
      <c r="O34" s="551" t="s">
        <v>1083</v>
      </c>
      <c r="P34" s="551" t="s">
        <v>1095</v>
      </c>
      <c r="Q34" s="551"/>
      <c r="R34" s="550" t="s">
        <v>1133</v>
      </c>
      <c r="T34" s="532"/>
      <c r="U34" s="532"/>
    </row>
    <row r="35" spans="1:21" s="539" customFormat="1" ht="21.95" customHeight="1" x14ac:dyDescent="0.2">
      <c r="A35" s="559" t="s">
        <v>1091</v>
      </c>
      <c r="B35" s="558" t="s">
        <v>1092</v>
      </c>
      <c r="C35" s="557">
        <v>1</v>
      </c>
      <c r="D35" s="561" t="s">
        <v>753</v>
      </c>
      <c r="E35" s="550"/>
      <c r="F35" s="561"/>
      <c r="G35" s="555"/>
      <c r="H35" s="554">
        <v>1</v>
      </c>
      <c r="I35" s="553">
        <v>230</v>
      </c>
      <c r="J35" s="553"/>
      <c r="K35" s="553">
        <v>16</v>
      </c>
      <c r="L35" s="553"/>
      <c r="M35" s="552"/>
      <c r="N35" s="551"/>
      <c r="O35" s="551" t="s">
        <v>1083</v>
      </c>
      <c r="P35" s="551" t="s">
        <v>1095</v>
      </c>
      <c r="Q35" s="551"/>
      <c r="R35" s="550"/>
      <c r="T35" s="532"/>
      <c r="U35" s="532"/>
    </row>
    <row r="36" spans="1:21" s="539" customFormat="1" ht="21.95" customHeight="1" x14ac:dyDescent="0.2">
      <c r="A36" s="559" t="s">
        <v>1134</v>
      </c>
      <c r="B36" s="558" t="s">
        <v>1135</v>
      </c>
      <c r="C36" s="557">
        <v>2</v>
      </c>
      <c r="D36" s="561" t="s">
        <v>753</v>
      </c>
      <c r="E36" s="550"/>
      <c r="F36" s="561"/>
      <c r="G36" s="555"/>
      <c r="H36" s="554">
        <v>3</v>
      </c>
      <c r="I36" s="553">
        <v>400</v>
      </c>
      <c r="J36" s="553"/>
      <c r="K36" s="553">
        <v>63</v>
      </c>
      <c r="L36" s="553"/>
      <c r="M36" s="552">
        <v>22</v>
      </c>
      <c r="N36" s="551"/>
      <c r="O36" s="551" t="s">
        <v>1083</v>
      </c>
      <c r="P36" s="551">
        <v>8</v>
      </c>
      <c r="Q36" s="551"/>
      <c r="R36" s="550"/>
      <c r="T36" s="532"/>
      <c r="U36" s="532"/>
    </row>
    <row r="37" spans="1:21" s="539" customFormat="1" ht="21.95" customHeight="1" x14ac:dyDescent="0.2">
      <c r="A37" s="559" t="s">
        <v>1136</v>
      </c>
      <c r="B37" s="558" t="s">
        <v>1137</v>
      </c>
      <c r="C37" s="557">
        <v>1</v>
      </c>
      <c r="D37" s="561" t="s">
        <v>753</v>
      </c>
      <c r="E37" s="550"/>
      <c r="F37" s="561"/>
      <c r="G37" s="555"/>
      <c r="H37" s="554">
        <v>1</v>
      </c>
      <c r="I37" s="553">
        <v>230</v>
      </c>
      <c r="J37" s="553"/>
      <c r="K37" s="553"/>
      <c r="L37" s="553">
        <v>20</v>
      </c>
      <c r="M37" s="552"/>
      <c r="N37" s="551"/>
      <c r="O37" s="551" t="s">
        <v>1083</v>
      </c>
      <c r="P37" s="551">
        <v>8</v>
      </c>
      <c r="Q37" s="551"/>
      <c r="R37" s="550"/>
      <c r="T37" s="532"/>
      <c r="U37" s="532"/>
    </row>
    <row r="38" spans="1:21" s="539" customFormat="1" ht="21.95" customHeight="1" x14ac:dyDescent="0.2">
      <c r="A38" s="559" t="s">
        <v>1138</v>
      </c>
      <c r="B38" s="558" t="s">
        <v>1139</v>
      </c>
      <c r="C38" s="557">
        <v>1</v>
      </c>
      <c r="D38" s="561" t="s">
        <v>753</v>
      </c>
      <c r="E38" s="550"/>
      <c r="F38" s="561"/>
      <c r="G38" s="560"/>
      <c r="H38" s="554">
        <v>3</v>
      </c>
      <c r="I38" s="553">
        <v>400</v>
      </c>
      <c r="J38" s="553"/>
      <c r="K38" s="553"/>
      <c r="L38" s="553">
        <v>32</v>
      </c>
      <c r="M38" s="552"/>
      <c r="N38" s="551" t="s">
        <v>148</v>
      </c>
      <c r="O38" s="551" t="s">
        <v>1083</v>
      </c>
      <c r="P38" s="551">
        <v>1</v>
      </c>
      <c r="Q38" s="551"/>
      <c r="R38" s="550" t="s">
        <v>1140</v>
      </c>
      <c r="T38" s="532"/>
      <c r="U38" s="532"/>
    </row>
    <row r="39" spans="1:21" s="539" customFormat="1" ht="27" customHeight="1" thickBot="1" x14ac:dyDescent="0.25">
      <c r="A39" s="559"/>
      <c r="B39" s="558" t="s">
        <v>1141</v>
      </c>
      <c r="C39" s="557">
        <v>5</v>
      </c>
      <c r="D39" s="556" t="s">
        <v>1142</v>
      </c>
      <c r="E39" s="550"/>
      <c r="F39" s="556"/>
      <c r="G39" s="555"/>
      <c r="H39" s="554">
        <v>1</v>
      </c>
      <c r="I39" s="553">
        <v>230</v>
      </c>
      <c r="J39" s="553"/>
      <c r="K39" s="553">
        <v>5</v>
      </c>
      <c r="L39" s="553"/>
      <c r="M39" s="552"/>
      <c r="N39" s="551"/>
      <c r="O39" s="551" t="s">
        <v>1083</v>
      </c>
      <c r="P39" s="551">
        <v>3</v>
      </c>
      <c r="Q39" s="551" t="s">
        <v>148</v>
      </c>
      <c r="R39" s="550" t="s">
        <v>1143</v>
      </c>
      <c r="T39" s="532"/>
      <c r="U39" s="532"/>
    </row>
    <row r="40" spans="1:21" s="539" customFormat="1" ht="21.95" customHeight="1" thickBot="1" x14ac:dyDescent="0.25">
      <c r="A40" s="1154" t="s">
        <v>1144</v>
      </c>
      <c r="B40" s="1155"/>
      <c r="C40" s="1155"/>
      <c r="D40" s="1155"/>
      <c r="E40" s="1155"/>
      <c r="F40" s="1155"/>
      <c r="G40" s="1155"/>
      <c r="H40" s="1155"/>
      <c r="I40" s="1155"/>
      <c r="J40" s="1155"/>
      <c r="K40" s="1155"/>
      <c r="L40" s="1155"/>
      <c r="M40" s="1155"/>
      <c r="N40" s="1155"/>
      <c r="O40" s="1155"/>
      <c r="P40" s="1155"/>
      <c r="Q40" s="1155"/>
      <c r="R40" s="1156"/>
      <c r="T40" s="532"/>
      <c r="U40" s="532"/>
    </row>
    <row r="41" spans="1:21" s="539" customFormat="1" ht="21.95" customHeight="1" thickBot="1" x14ac:dyDescent="0.25">
      <c r="A41" s="549" t="s">
        <v>1145</v>
      </c>
      <c r="B41" s="548" t="s">
        <v>1146</v>
      </c>
      <c r="C41" s="546">
        <v>1</v>
      </c>
      <c r="D41" s="546" t="s">
        <v>1147</v>
      </c>
      <c r="E41" s="542" t="s">
        <v>1148</v>
      </c>
      <c r="F41" s="547" t="s">
        <v>1149</v>
      </c>
      <c r="G41" s="545" t="s">
        <v>1150</v>
      </c>
      <c r="H41" s="546">
        <v>3</v>
      </c>
      <c r="I41" s="545">
        <v>400</v>
      </c>
      <c r="J41" s="545"/>
      <c r="K41" s="545"/>
      <c r="L41" s="545">
        <v>20</v>
      </c>
      <c r="M41" s="544" t="s">
        <v>1151</v>
      </c>
      <c r="N41" s="543"/>
      <c r="O41" s="543" t="s">
        <v>1083</v>
      </c>
      <c r="P41" s="543">
        <v>3</v>
      </c>
      <c r="Q41" s="543"/>
      <c r="R41" s="542" t="s">
        <v>1152</v>
      </c>
      <c r="T41" s="532"/>
      <c r="U41" s="532"/>
    </row>
    <row r="42" spans="1:21" s="539" customFormat="1" ht="77.25" customHeight="1" thickBot="1" x14ac:dyDescent="0.25">
      <c r="A42" s="1151" t="s">
        <v>1153</v>
      </c>
      <c r="B42" s="1152"/>
      <c r="C42" s="1152"/>
      <c r="D42" s="1152"/>
      <c r="E42" s="1152"/>
      <c r="F42" s="1152"/>
      <c r="G42" s="1152"/>
      <c r="H42" s="1152"/>
      <c r="I42" s="1152"/>
      <c r="J42" s="1152"/>
      <c r="K42" s="1152"/>
      <c r="L42" s="1152"/>
      <c r="M42" s="1152"/>
      <c r="N42" s="1152"/>
      <c r="O42" s="1152"/>
      <c r="P42" s="1152"/>
      <c r="Q42" s="1152"/>
      <c r="R42" s="1153"/>
    </row>
    <row r="43" spans="1:21" s="539" customFormat="1" x14ac:dyDescent="0.2">
      <c r="B43" s="540"/>
      <c r="D43" s="540"/>
      <c r="L43" s="541"/>
      <c r="R43" s="540"/>
    </row>
    <row r="44" spans="1:21" s="539" customFormat="1" x14ac:dyDescent="0.2">
      <c r="B44" s="540"/>
      <c r="D44" s="540"/>
      <c r="L44" s="541"/>
      <c r="R44" s="540"/>
    </row>
    <row r="45" spans="1:21" s="539" customFormat="1" x14ac:dyDescent="0.2">
      <c r="B45" s="540"/>
      <c r="D45" s="540"/>
      <c r="L45" s="541"/>
      <c r="R45" s="540"/>
    </row>
    <row r="46" spans="1:21" s="539" customFormat="1" x14ac:dyDescent="0.2">
      <c r="B46" s="540"/>
      <c r="D46" s="540"/>
      <c r="L46" s="541"/>
      <c r="R46" s="540"/>
    </row>
    <row r="47" spans="1:21" s="539" customFormat="1" x14ac:dyDescent="0.2">
      <c r="B47" s="540"/>
      <c r="D47" s="540"/>
      <c r="L47" s="541"/>
      <c r="R47" s="540"/>
    </row>
    <row r="48" spans="1:21" s="539" customFormat="1" x14ac:dyDescent="0.2">
      <c r="B48" s="540"/>
      <c r="D48" s="540"/>
      <c r="L48" s="541"/>
      <c r="R48" s="540"/>
    </row>
    <row r="49" spans="2:18" s="539" customFormat="1" x14ac:dyDescent="0.2">
      <c r="B49" s="540"/>
      <c r="D49" s="540"/>
      <c r="L49" s="541"/>
      <c r="R49" s="540"/>
    </row>
    <row r="50" spans="2:18" s="539" customFormat="1" x14ac:dyDescent="0.2">
      <c r="B50" s="540"/>
      <c r="D50" s="540"/>
      <c r="L50" s="541"/>
      <c r="R50" s="540"/>
    </row>
    <row r="51" spans="2:18" s="539" customFormat="1" x14ac:dyDescent="0.2">
      <c r="B51" s="540"/>
      <c r="D51" s="540"/>
      <c r="L51" s="541"/>
      <c r="R51" s="540"/>
    </row>
    <row r="52" spans="2:18" s="539" customFormat="1" x14ac:dyDescent="0.2">
      <c r="B52" s="540"/>
      <c r="D52" s="540"/>
      <c r="L52" s="541"/>
      <c r="R52" s="540"/>
    </row>
    <row r="53" spans="2:18" s="539" customFormat="1" x14ac:dyDescent="0.2">
      <c r="B53" s="540"/>
      <c r="D53" s="540"/>
      <c r="L53" s="541"/>
      <c r="R53" s="540"/>
    </row>
    <row r="54" spans="2:18" s="539" customFormat="1" x14ac:dyDescent="0.2">
      <c r="B54" s="540"/>
      <c r="D54" s="540"/>
      <c r="L54" s="541"/>
      <c r="R54" s="540"/>
    </row>
    <row r="55" spans="2:18" s="539" customFormat="1" x14ac:dyDescent="0.2">
      <c r="B55" s="540"/>
      <c r="D55" s="540"/>
      <c r="L55" s="541"/>
      <c r="R55" s="540"/>
    </row>
    <row r="56" spans="2:18" s="539" customFormat="1" x14ac:dyDescent="0.2">
      <c r="B56" s="540"/>
      <c r="D56" s="540"/>
      <c r="L56" s="541"/>
      <c r="R56" s="540"/>
    </row>
    <row r="57" spans="2:18" s="539" customFormat="1" x14ac:dyDescent="0.2">
      <c r="B57" s="540"/>
      <c r="D57" s="540"/>
      <c r="L57" s="541"/>
      <c r="R57" s="540"/>
    </row>
    <row r="58" spans="2:18" s="539" customFormat="1" x14ac:dyDescent="0.2">
      <c r="B58" s="540"/>
      <c r="D58" s="540"/>
      <c r="L58" s="541"/>
      <c r="R58" s="540"/>
    </row>
    <row r="59" spans="2:18" s="539" customFormat="1" x14ac:dyDescent="0.2">
      <c r="B59" s="540"/>
      <c r="D59" s="540"/>
      <c r="L59" s="541"/>
      <c r="R59" s="540"/>
    </row>
    <row r="60" spans="2:18" s="539" customFormat="1" x14ac:dyDescent="0.2">
      <c r="B60" s="540"/>
      <c r="D60" s="540"/>
      <c r="L60" s="541"/>
      <c r="R60" s="540"/>
    </row>
    <row r="61" spans="2:18" s="539" customFormat="1" x14ac:dyDescent="0.2">
      <c r="B61" s="540"/>
      <c r="D61" s="540"/>
      <c r="L61" s="541"/>
      <c r="R61" s="540"/>
    </row>
    <row r="62" spans="2:18" s="539" customFormat="1" x14ac:dyDescent="0.2">
      <c r="B62" s="540"/>
      <c r="D62" s="540"/>
      <c r="L62" s="541"/>
      <c r="R62" s="540"/>
    </row>
    <row r="63" spans="2:18" s="539" customFormat="1" x14ac:dyDescent="0.2">
      <c r="B63" s="540"/>
      <c r="D63" s="540"/>
      <c r="L63" s="541"/>
      <c r="R63" s="540"/>
    </row>
    <row r="64" spans="2:18" s="539" customFormat="1" x14ac:dyDescent="0.2">
      <c r="B64" s="540"/>
      <c r="D64" s="540"/>
      <c r="L64" s="541"/>
      <c r="R64" s="540"/>
    </row>
    <row r="65" spans="2:18" s="539" customFormat="1" x14ac:dyDescent="0.2">
      <c r="B65" s="540"/>
      <c r="D65" s="540"/>
      <c r="L65" s="541"/>
      <c r="R65" s="540"/>
    </row>
    <row r="66" spans="2:18" s="539" customFormat="1" x14ac:dyDescent="0.2">
      <c r="B66" s="540"/>
      <c r="D66" s="540"/>
      <c r="L66" s="541"/>
      <c r="R66" s="540"/>
    </row>
    <row r="67" spans="2:18" s="539" customFormat="1" x14ac:dyDescent="0.2">
      <c r="B67" s="540"/>
      <c r="D67" s="540"/>
      <c r="L67" s="541"/>
      <c r="R67" s="540"/>
    </row>
    <row r="68" spans="2:18" s="539" customFormat="1" x14ac:dyDescent="0.2">
      <c r="B68" s="540"/>
      <c r="D68" s="540"/>
      <c r="L68" s="541"/>
      <c r="R68" s="540"/>
    </row>
    <row r="69" spans="2:18" s="539" customFormat="1" x14ac:dyDescent="0.2">
      <c r="B69" s="540"/>
      <c r="D69" s="540"/>
      <c r="L69" s="541"/>
      <c r="R69" s="540"/>
    </row>
    <row r="70" spans="2:18" s="539" customFormat="1" x14ac:dyDescent="0.2">
      <c r="B70" s="540"/>
      <c r="D70" s="540"/>
      <c r="L70" s="541"/>
      <c r="R70" s="540"/>
    </row>
    <row r="71" spans="2:18" s="539" customFormat="1" x14ac:dyDescent="0.2">
      <c r="B71" s="540"/>
      <c r="D71" s="540"/>
      <c r="L71" s="541"/>
      <c r="R71" s="540"/>
    </row>
    <row r="72" spans="2:18" s="539" customFormat="1" x14ac:dyDescent="0.2">
      <c r="B72" s="540"/>
      <c r="D72" s="540"/>
      <c r="L72" s="541"/>
      <c r="R72" s="540"/>
    </row>
    <row r="73" spans="2:18" s="539" customFormat="1" x14ac:dyDescent="0.2">
      <c r="B73" s="540"/>
      <c r="D73" s="540"/>
      <c r="L73" s="541"/>
      <c r="R73" s="540"/>
    </row>
    <row r="74" spans="2:18" s="539" customFormat="1" x14ac:dyDescent="0.2">
      <c r="B74" s="540"/>
      <c r="D74" s="540"/>
      <c r="L74" s="541"/>
      <c r="R74" s="540"/>
    </row>
    <row r="75" spans="2:18" s="539" customFormat="1" x14ac:dyDescent="0.2">
      <c r="B75" s="540"/>
      <c r="D75" s="540"/>
      <c r="L75" s="541"/>
      <c r="R75" s="540"/>
    </row>
    <row r="76" spans="2:18" s="539" customFormat="1" x14ac:dyDescent="0.2">
      <c r="B76" s="540"/>
      <c r="D76" s="540"/>
      <c r="L76" s="541"/>
      <c r="R76" s="540"/>
    </row>
    <row r="77" spans="2:18" s="539" customFormat="1" x14ac:dyDescent="0.2">
      <c r="B77" s="540"/>
      <c r="D77" s="540"/>
      <c r="L77" s="541"/>
      <c r="R77" s="540"/>
    </row>
    <row r="78" spans="2:18" s="539" customFormat="1" x14ac:dyDescent="0.2">
      <c r="B78" s="540"/>
      <c r="D78" s="540"/>
      <c r="L78" s="541"/>
      <c r="R78" s="540"/>
    </row>
    <row r="79" spans="2:18" s="539" customFormat="1" x14ac:dyDescent="0.2">
      <c r="B79" s="540"/>
      <c r="D79" s="540"/>
      <c r="L79" s="541"/>
      <c r="R79" s="540"/>
    </row>
    <row r="80" spans="2:18" s="539" customFormat="1" x14ac:dyDescent="0.2">
      <c r="B80" s="540"/>
      <c r="D80" s="540"/>
      <c r="L80" s="541"/>
      <c r="R80" s="540"/>
    </row>
    <row r="81" spans="2:18" s="539" customFormat="1" x14ac:dyDescent="0.2">
      <c r="B81" s="540"/>
      <c r="D81" s="540"/>
      <c r="L81" s="541"/>
      <c r="R81" s="540"/>
    </row>
    <row r="82" spans="2:18" s="539" customFormat="1" x14ac:dyDescent="0.2">
      <c r="B82" s="540"/>
      <c r="D82" s="540"/>
      <c r="L82" s="541"/>
      <c r="R82" s="540"/>
    </row>
    <row r="83" spans="2:18" s="539" customFormat="1" x14ac:dyDescent="0.2">
      <c r="B83" s="540"/>
      <c r="D83" s="540"/>
      <c r="L83" s="541"/>
      <c r="R83" s="540"/>
    </row>
    <row r="84" spans="2:18" s="539" customFormat="1" x14ac:dyDescent="0.2">
      <c r="B84" s="540"/>
      <c r="D84" s="540"/>
      <c r="L84" s="541"/>
      <c r="R84" s="540"/>
    </row>
    <row r="85" spans="2:18" s="539" customFormat="1" x14ac:dyDescent="0.2">
      <c r="B85" s="540"/>
      <c r="D85" s="540"/>
      <c r="L85" s="541"/>
      <c r="R85" s="540"/>
    </row>
    <row r="86" spans="2:18" s="539" customFormat="1" x14ac:dyDescent="0.2">
      <c r="B86" s="540"/>
      <c r="D86" s="540"/>
      <c r="L86" s="541"/>
      <c r="R86" s="540"/>
    </row>
    <row r="87" spans="2:18" s="539" customFormat="1" x14ac:dyDescent="0.2">
      <c r="B87" s="540"/>
      <c r="D87" s="540"/>
      <c r="L87" s="541"/>
      <c r="R87" s="540"/>
    </row>
    <row r="88" spans="2:18" s="536" customFormat="1" x14ac:dyDescent="0.2">
      <c r="B88" s="537"/>
      <c r="D88" s="537"/>
      <c r="L88" s="538"/>
      <c r="R88" s="537"/>
    </row>
    <row r="89" spans="2:18" s="536" customFormat="1" x14ac:dyDescent="0.2">
      <c r="B89" s="537"/>
      <c r="D89" s="537"/>
      <c r="L89" s="538"/>
      <c r="R89" s="537"/>
    </row>
    <row r="90" spans="2:18" s="536" customFormat="1" x14ac:dyDescent="0.2">
      <c r="B90" s="537"/>
      <c r="D90" s="537"/>
      <c r="L90" s="538"/>
      <c r="R90" s="537"/>
    </row>
    <row r="91" spans="2:18" s="536" customFormat="1" x14ac:dyDescent="0.2">
      <c r="B91" s="537"/>
      <c r="D91" s="537"/>
      <c r="L91" s="538"/>
      <c r="R91" s="537"/>
    </row>
    <row r="92" spans="2:18" s="536" customFormat="1" x14ac:dyDescent="0.2">
      <c r="B92" s="537"/>
      <c r="D92" s="537"/>
      <c r="L92" s="538"/>
      <c r="R92" s="537"/>
    </row>
    <row r="93" spans="2:18" s="536" customFormat="1" x14ac:dyDescent="0.2">
      <c r="B93" s="537"/>
      <c r="D93" s="537"/>
      <c r="L93" s="538"/>
      <c r="R93" s="537"/>
    </row>
    <row r="94" spans="2:18" s="536" customFormat="1" x14ac:dyDescent="0.2">
      <c r="B94" s="537"/>
      <c r="D94" s="537"/>
      <c r="L94" s="538"/>
      <c r="R94" s="537"/>
    </row>
    <row r="95" spans="2:18" s="536" customFormat="1" x14ac:dyDescent="0.2">
      <c r="B95" s="537"/>
      <c r="D95" s="537"/>
      <c r="L95" s="538"/>
      <c r="R95" s="537"/>
    </row>
    <row r="96" spans="2:18" s="536" customFormat="1" x14ac:dyDescent="0.2">
      <c r="B96" s="537"/>
      <c r="D96" s="537"/>
      <c r="L96" s="538"/>
      <c r="R96" s="537"/>
    </row>
    <row r="97" spans="2:18" s="536" customFormat="1" x14ac:dyDescent="0.2">
      <c r="B97" s="537"/>
      <c r="D97" s="537"/>
      <c r="L97" s="538"/>
      <c r="R97" s="537"/>
    </row>
    <row r="98" spans="2:18" s="536" customFormat="1" x14ac:dyDescent="0.2">
      <c r="B98" s="537"/>
      <c r="D98" s="537"/>
      <c r="L98" s="538"/>
      <c r="R98" s="537"/>
    </row>
    <row r="99" spans="2:18" s="536" customFormat="1" x14ac:dyDescent="0.2">
      <c r="B99" s="537"/>
      <c r="D99" s="537"/>
      <c r="L99" s="538"/>
      <c r="R99" s="537"/>
    </row>
    <row r="100" spans="2:18" s="536" customFormat="1" x14ac:dyDescent="0.2">
      <c r="B100" s="537"/>
      <c r="D100" s="537"/>
      <c r="L100" s="538"/>
      <c r="R100" s="537"/>
    </row>
    <row r="101" spans="2:18" s="536" customFormat="1" x14ac:dyDescent="0.2">
      <c r="B101" s="537"/>
      <c r="D101" s="537"/>
      <c r="L101" s="538"/>
      <c r="R101" s="537"/>
    </row>
    <row r="102" spans="2:18" s="536" customFormat="1" x14ac:dyDescent="0.2">
      <c r="B102" s="537"/>
      <c r="D102" s="537"/>
      <c r="L102" s="538"/>
      <c r="R102" s="537"/>
    </row>
    <row r="103" spans="2:18" s="536" customFormat="1" x14ac:dyDescent="0.2">
      <c r="B103" s="537"/>
      <c r="D103" s="537"/>
      <c r="L103" s="538"/>
      <c r="R103" s="537"/>
    </row>
    <row r="104" spans="2:18" s="536" customFormat="1" x14ac:dyDescent="0.2">
      <c r="B104" s="537"/>
      <c r="D104" s="537"/>
      <c r="L104" s="538"/>
      <c r="R104" s="537"/>
    </row>
    <row r="105" spans="2:18" s="536" customFormat="1" x14ac:dyDescent="0.2">
      <c r="B105" s="537"/>
      <c r="D105" s="537"/>
      <c r="L105" s="538"/>
      <c r="R105" s="537"/>
    </row>
    <row r="106" spans="2:18" s="536" customFormat="1" x14ac:dyDescent="0.2">
      <c r="B106" s="537"/>
      <c r="D106" s="537"/>
      <c r="L106" s="538"/>
      <c r="R106" s="537"/>
    </row>
    <row r="107" spans="2:18" s="536" customFormat="1" x14ac:dyDescent="0.2">
      <c r="B107" s="537"/>
      <c r="D107" s="537"/>
      <c r="L107" s="538"/>
      <c r="R107" s="537"/>
    </row>
    <row r="108" spans="2:18" s="536" customFormat="1" x14ac:dyDescent="0.2">
      <c r="B108" s="537"/>
      <c r="D108" s="537"/>
      <c r="L108" s="538"/>
      <c r="R108" s="537"/>
    </row>
    <row r="109" spans="2:18" s="536" customFormat="1" x14ac:dyDescent="0.2">
      <c r="B109" s="537"/>
      <c r="D109" s="537"/>
      <c r="L109" s="538"/>
      <c r="R109" s="537"/>
    </row>
    <row r="110" spans="2:18" s="536" customFormat="1" x14ac:dyDescent="0.2">
      <c r="B110" s="537"/>
      <c r="D110" s="537"/>
      <c r="L110" s="538"/>
      <c r="R110" s="537"/>
    </row>
    <row r="111" spans="2:18" s="536" customFormat="1" x14ac:dyDescent="0.2">
      <c r="B111" s="537"/>
      <c r="D111" s="537"/>
      <c r="L111" s="538"/>
      <c r="R111" s="537"/>
    </row>
    <row r="112" spans="2:18" s="536" customFormat="1" x14ac:dyDescent="0.2">
      <c r="B112" s="537"/>
      <c r="D112" s="537"/>
      <c r="L112" s="538"/>
      <c r="R112" s="537"/>
    </row>
    <row r="113" spans="2:18" s="536" customFormat="1" x14ac:dyDescent="0.2">
      <c r="B113" s="537"/>
      <c r="D113" s="537"/>
      <c r="L113" s="538"/>
      <c r="R113" s="537"/>
    </row>
    <row r="114" spans="2:18" s="536" customFormat="1" x14ac:dyDescent="0.2">
      <c r="B114" s="537"/>
      <c r="D114" s="537"/>
      <c r="L114" s="538"/>
      <c r="R114" s="537"/>
    </row>
    <row r="115" spans="2:18" s="536" customFormat="1" x14ac:dyDescent="0.2">
      <c r="B115" s="537"/>
      <c r="D115" s="537"/>
      <c r="L115" s="538"/>
      <c r="R115" s="537"/>
    </row>
    <row r="116" spans="2:18" s="536" customFormat="1" x14ac:dyDescent="0.2">
      <c r="B116" s="537"/>
      <c r="D116" s="537"/>
      <c r="L116" s="538"/>
      <c r="R116" s="537"/>
    </row>
    <row r="117" spans="2:18" s="536" customFormat="1" x14ac:dyDescent="0.2">
      <c r="B117" s="537"/>
      <c r="D117" s="537"/>
      <c r="L117" s="538"/>
      <c r="R117" s="537"/>
    </row>
    <row r="118" spans="2:18" s="536" customFormat="1" x14ac:dyDescent="0.2">
      <c r="B118" s="537"/>
      <c r="D118" s="537"/>
      <c r="L118" s="538"/>
      <c r="R118" s="537"/>
    </row>
    <row r="119" spans="2:18" s="536" customFormat="1" x14ac:dyDescent="0.2">
      <c r="B119" s="537"/>
      <c r="D119" s="537"/>
      <c r="L119" s="538"/>
      <c r="R119" s="537"/>
    </row>
    <row r="120" spans="2:18" s="536" customFormat="1" x14ac:dyDescent="0.2">
      <c r="B120" s="537"/>
      <c r="D120" s="537"/>
      <c r="L120" s="538"/>
      <c r="R120" s="537"/>
    </row>
    <row r="121" spans="2:18" s="536" customFormat="1" x14ac:dyDescent="0.2">
      <c r="B121" s="537"/>
      <c r="D121" s="537"/>
      <c r="L121" s="538"/>
      <c r="R121" s="537"/>
    </row>
    <row r="122" spans="2:18" s="536" customFormat="1" x14ac:dyDescent="0.2">
      <c r="B122" s="537"/>
      <c r="D122" s="537"/>
      <c r="L122" s="538"/>
      <c r="R122" s="537"/>
    </row>
    <row r="123" spans="2:18" s="536" customFormat="1" x14ac:dyDescent="0.2">
      <c r="B123" s="537"/>
      <c r="D123" s="537"/>
      <c r="L123" s="538"/>
      <c r="R123" s="537"/>
    </row>
    <row r="124" spans="2:18" s="536" customFormat="1" x14ac:dyDescent="0.2">
      <c r="B124" s="537"/>
      <c r="D124" s="537"/>
      <c r="L124" s="538"/>
      <c r="R124" s="537"/>
    </row>
    <row r="125" spans="2:18" s="536" customFormat="1" x14ac:dyDescent="0.2">
      <c r="B125" s="537"/>
      <c r="D125" s="537"/>
      <c r="L125" s="538"/>
      <c r="R125" s="537"/>
    </row>
    <row r="126" spans="2:18" s="536" customFormat="1" x14ac:dyDescent="0.2">
      <c r="B126" s="537"/>
      <c r="D126" s="537"/>
      <c r="L126" s="538"/>
      <c r="R126" s="537"/>
    </row>
    <row r="127" spans="2:18" s="536" customFormat="1" x14ac:dyDescent="0.2">
      <c r="B127" s="537"/>
      <c r="D127" s="537"/>
      <c r="L127" s="538"/>
      <c r="R127" s="537"/>
    </row>
    <row r="128" spans="2:18" s="536" customFormat="1" x14ac:dyDescent="0.2">
      <c r="B128" s="537"/>
      <c r="D128" s="537"/>
      <c r="L128" s="538"/>
      <c r="R128" s="537"/>
    </row>
    <row r="129" spans="2:18" s="536" customFormat="1" x14ac:dyDescent="0.2">
      <c r="B129" s="537"/>
      <c r="D129" s="537"/>
      <c r="L129" s="538"/>
      <c r="R129" s="537"/>
    </row>
    <row r="130" spans="2:18" s="536" customFormat="1" x14ac:dyDescent="0.2">
      <c r="B130" s="537"/>
      <c r="D130" s="537"/>
      <c r="L130" s="538"/>
      <c r="R130" s="537"/>
    </row>
    <row r="131" spans="2:18" s="536" customFormat="1" x14ac:dyDescent="0.2">
      <c r="B131" s="537"/>
      <c r="D131" s="537"/>
      <c r="L131" s="538"/>
      <c r="R131" s="537"/>
    </row>
    <row r="132" spans="2:18" s="536" customFormat="1" x14ac:dyDescent="0.2">
      <c r="B132" s="537"/>
      <c r="D132" s="537"/>
      <c r="L132" s="538"/>
      <c r="R132" s="537"/>
    </row>
    <row r="133" spans="2:18" s="536" customFormat="1" x14ac:dyDescent="0.2">
      <c r="B133" s="537"/>
      <c r="D133" s="537"/>
      <c r="L133" s="538"/>
      <c r="R133" s="537"/>
    </row>
    <row r="134" spans="2:18" s="536" customFormat="1" x14ac:dyDescent="0.2">
      <c r="B134" s="537"/>
      <c r="D134" s="537"/>
      <c r="L134" s="538"/>
      <c r="R134" s="537"/>
    </row>
    <row r="135" spans="2:18" s="536" customFormat="1" x14ac:dyDescent="0.2">
      <c r="B135" s="537"/>
      <c r="D135" s="537"/>
      <c r="L135" s="538"/>
      <c r="R135" s="537"/>
    </row>
    <row r="136" spans="2:18" s="536" customFormat="1" x14ac:dyDescent="0.2">
      <c r="B136" s="537"/>
      <c r="D136" s="537"/>
      <c r="L136" s="538"/>
      <c r="R136" s="537"/>
    </row>
    <row r="137" spans="2:18" s="536" customFormat="1" x14ac:dyDescent="0.2">
      <c r="B137" s="537"/>
      <c r="D137" s="537"/>
      <c r="L137" s="538"/>
      <c r="R137" s="537"/>
    </row>
    <row r="138" spans="2:18" s="536" customFormat="1" x14ac:dyDescent="0.2">
      <c r="B138" s="537"/>
      <c r="D138" s="537"/>
      <c r="L138" s="538"/>
      <c r="R138" s="537"/>
    </row>
    <row r="139" spans="2:18" s="536" customFormat="1" x14ac:dyDescent="0.2">
      <c r="B139" s="537"/>
      <c r="D139" s="537"/>
      <c r="L139" s="538"/>
      <c r="R139" s="537"/>
    </row>
    <row r="140" spans="2:18" s="536" customFormat="1" x14ac:dyDescent="0.2">
      <c r="B140" s="537"/>
      <c r="D140" s="537"/>
      <c r="L140" s="538"/>
      <c r="R140" s="537"/>
    </row>
    <row r="141" spans="2:18" s="536" customFormat="1" x14ac:dyDescent="0.2">
      <c r="B141" s="537"/>
      <c r="D141" s="537"/>
      <c r="L141" s="538"/>
      <c r="R141" s="537"/>
    </row>
    <row r="142" spans="2:18" s="536" customFormat="1" x14ac:dyDescent="0.2">
      <c r="B142" s="537"/>
      <c r="D142" s="537"/>
      <c r="L142" s="538"/>
      <c r="R142" s="537"/>
    </row>
    <row r="143" spans="2:18" s="536" customFormat="1" x14ac:dyDescent="0.2">
      <c r="B143" s="537"/>
      <c r="D143" s="537"/>
      <c r="L143" s="538"/>
      <c r="R143" s="537"/>
    </row>
    <row r="144" spans="2:18" s="536" customFormat="1" x14ac:dyDescent="0.2">
      <c r="B144" s="537"/>
      <c r="D144" s="537"/>
      <c r="L144" s="538"/>
      <c r="R144" s="537"/>
    </row>
    <row r="145" spans="2:18" s="536" customFormat="1" x14ac:dyDescent="0.2">
      <c r="B145" s="537"/>
      <c r="D145" s="537"/>
      <c r="L145" s="538"/>
      <c r="R145" s="537"/>
    </row>
    <row r="146" spans="2:18" s="536" customFormat="1" x14ac:dyDescent="0.2">
      <c r="B146" s="537"/>
      <c r="D146" s="537"/>
      <c r="L146" s="538"/>
      <c r="R146" s="537"/>
    </row>
    <row r="147" spans="2:18" s="536" customFormat="1" x14ac:dyDescent="0.2">
      <c r="B147" s="537"/>
      <c r="D147" s="537"/>
      <c r="L147" s="538"/>
      <c r="R147" s="537"/>
    </row>
    <row r="148" spans="2:18" s="536" customFormat="1" x14ac:dyDescent="0.2">
      <c r="B148" s="537"/>
      <c r="D148" s="537"/>
      <c r="L148" s="538"/>
      <c r="R148" s="537"/>
    </row>
    <row r="149" spans="2:18" s="536" customFormat="1" x14ac:dyDescent="0.2">
      <c r="B149" s="537"/>
      <c r="D149" s="537"/>
      <c r="L149" s="538"/>
      <c r="R149" s="537"/>
    </row>
    <row r="150" spans="2:18" s="536" customFormat="1" x14ac:dyDescent="0.2">
      <c r="B150" s="537"/>
      <c r="D150" s="537"/>
      <c r="L150" s="538"/>
      <c r="R150" s="537"/>
    </row>
    <row r="151" spans="2:18" s="536" customFormat="1" x14ac:dyDescent="0.2">
      <c r="B151" s="537"/>
      <c r="D151" s="537"/>
      <c r="L151" s="538"/>
      <c r="R151" s="537"/>
    </row>
    <row r="152" spans="2:18" s="536" customFormat="1" x14ac:dyDescent="0.2">
      <c r="B152" s="537"/>
      <c r="D152" s="537"/>
      <c r="L152" s="538"/>
      <c r="R152" s="537"/>
    </row>
    <row r="153" spans="2:18" s="536" customFormat="1" x14ac:dyDescent="0.2">
      <c r="B153" s="537"/>
      <c r="D153" s="537"/>
      <c r="L153" s="538"/>
      <c r="R153" s="537"/>
    </row>
    <row r="154" spans="2:18" s="536" customFormat="1" x14ac:dyDescent="0.2">
      <c r="B154" s="537"/>
      <c r="D154" s="537"/>
      <c r="L154" s="538"/>
      <c r="R154" s="537"/>
    </row>
    <row r="155" spans="2:18" s="536" customFormat="1" x14ac:dyDescent="0.2">
      <c r="B155" s="537"/>
      <c r="D155" s="537"/>
      <c r="L155" s="538"/>
      <c r="R155" s="537"/>
    </row>
    <row r="156" spans="2:18" s="536" customFormat="1" x14ac:dyDescent="0.2">
      <c r="B156" s="537"/>
      <c r="D156" s="537"/>
      <c r="L156" s="538"/>
      <c r="R156" s="537"/>
    </row>
    <row r="157" spans="2:18" s="536" customFormat="1" x14ac:dyDescent="0.2">
      <c r="B157" s="537"/>
      <c r="D157" s="537"/>
      <c r="L157" s="538"/>
      <c r="R157" s="537"/>
    </row>
    <row r="158" spans="2:18" s="536" customFormat="1" x14ac:dyDescent="0.2">
      <c r="B158" s="537"/>
      <c r="D158" s="537"/>
      <c r="L158" s="538"/>
      <c r="R158" s="537"/>
    </row>
    <row r="159" spans="2:18" s="536" customFormat="1" x14ac:dyDescent="0.2">
      <c r="B159" s="537"/>
      <c r="D159" s="537"/>
      <c r="L159" s="538"/>
      <c r="R159" s="537"/>
    </row>
    <row r="160" spans="2:18" s="536" customFormat="1" x14ac:dyDescent="0.2">
      <c r="B160" s="537"/>
      <c r="D160" s="537"/>
      <c r="L160" s="538"/>
      <c r="R160" s="537"/>
    </row>
    <row r="161" spans="2:18" s="536" customFormat="1" x14ac:dyDescent="0.2">
      <c r="B161" s="537"/>
      <c r="D161" s="537"/>
      <c r="L161" s="538"/>
      <c r="R161" s="537"/>
    </row>
    <row r="162" spans="2:18" s="536" customFormat="1" x14ac:dyDescent="0.2">
      <c r="B162" s="537"/>
      <c r="D162" s="537"/>
      <c r="L162" s="538"/>
      <c r="R162" s="537"/>
    </row>
    <row r="163" spans="2:18" s="536" customFormat="1" x14ac:dyDescent="0.2">
      <c r="B163" s="537"/>
      <c r="D163" s="537"/>
      <c r="L163" s="538"/>
      <c r="R163" s="537"/>
    </row>
    <row r="164" spans="2:18" s="536" customFormat="1" x14ac:dyDescent="0.2">
      <c r="B164" s="537"/>
      <c r="D164" s="537"/>
      <c r="L164" s="538"/>
      <c r="R164" s="537"/>
    </row>
    <row r="165" spans="2:18" s="536" customFormat="1" x14ac:dyDescent="0.2">
      <c r="B165" s="537"/>
      <c r="D165" s="537"/>
      <c r="L165" s="538"/>
      <c r="R165" s="537"/>
    </row>
    <row r="166" spans="2:18" s="536" customFormat="1" x14ac:dyDescent="0.2">
      <c r="B166" s="537"/>
      <c r="D166" s="537"/>
      <c r="L166" s="538"/>
      <c r="R166" s="537"/>
    </row>
    <row r="167" spans="2:18" s="536" customFormat="1" x14ac:dyDescent="0.2">
      <c r="B167" s="537"/>
      <c r="D167" s="537"/>
      <c r="L167" s="538"/>
      <c r="R167" s="537"/>
    </row>
    <row r="168" spans="2:18" s="536" customFormat="1" x14ac:dyDescent="0.2">
      <c r="B168" s="537"/>
      <c r="D168" s="537"/>
      <c r="L168" s="538"/>
      <c r="R168" s="537"/>
    </row>
    <row r="169" spans="2:18" s="536" customFormat="1" x14ac:dyDescent="0.2">
      <c r="B169" s="537"/>
      <c r="D169" s="537"/>
      <c r="L169" s="538"/>
      <c r="R169" s="537"/>
    </row>
    <row r="170" spans="2:18" s="536" customFormat="1" x14ac:dyDescent="0.2">
      <c r="B170" s="537"/>
      <c r="D170" s="537"/>
      <c r="L170" s="538"/>
      <c r="R170" s="537"/>
    </row>
    <row r="171" spans="2:18" s="536" customFormat="1" x14ac:dyDescent="0.2">
      <c r="B171" s="537"/>
      <c r="D171" s="537"/>
      <c r="L171" s="538"/>
      <c r="R171" s="537"/>
    </row>
    <row r="172" spans="2:18" s="536" customFormat="1" x14ac:dyDescent="0.2">
      <c r="B172" s="537"/>
      <c r="D172" s="537"/>
      <c r="L172" s="538"/>
      <c r="R172" s="537"/>
    </row>
    <row r="173" spans="2:18" s="536" customFormat="1" x14ac:dyDescent="0.2">
      <c r="B173" s="537"/>
      <c r="D173" s="537"/>
      <c r="L173" s="538"/>
      <c r="R173" s="537"/>
    </row>
    <row r="174" spans="2:18" s="536" customFormat="1" x14ac:dyDescent="0.2">
      <c r="B174" s="537"/>
      <c r="D174" s="537"/>
      <c r="L174" s="538"/>
      <c r="R174" s="537"/>
    </row>
    <row r="175" spans="2:18" s="536" customFormat="1" x14ac:dyDescent="0.2">
      <c r="B175" s="537"/>
      <c r="D175" s="537"/>
      <c r="L175" s="538"/>
      <c r="R175" s="537"/>
    </row>
    <row r="176" spans="2:18" s="536" customFormat="1" x14ac:dyDescent="0.2">
      <c r="B176" s="537"/>
      <c r="D176" s="537"/>
      <c r="L176" s="538"/>
      <c r="R176" s="537"/>
    </row>
    <row r="177" spans="2:18" s="536" customFormat="1" x14ac:dyDescent="0.2">
      <c r="B177" s="537"/>
      <c r="D177" s="537"/>
      <c r="L177" s="538"/>
      <c r="R177" s="537"/>
    </row>
    <row r="178" spans="2:18" s="536" customFormat="1" x14ac:dyDescent="0.2">
      <c r="B178" s="537"/>
      <c r="D178" s="537"/>
      <c r="L178" s="538"/>
      <c r="R178" s="537"/>
    </row>
    <row r="179" spans="2:18" s="536" customFormat="1" x14ac:dyDescent="0.2">
      <c r="B179" s="537"/>
      <c r="D179" s="537"/>
      <c r="L179" s="538"/>
      <c r="R179" s="537"/>
    </row>
    <row r="180" spans="2:18" s="536" customFormat="1" x14ac:dyDescent="0.2">
      <c r="B180" s="537"/>
      <c r="D180" s="537"/>
      <c r="L180" s="538"/>
      <c r="R180" s="537"/>
    </row>
    <row r="181" spans="2:18" s="536" customFormat="1" x14ac:dyDescent="0.2">
      <c r="B181" s="537"/>
      <c r="D181" s="537"/>
      <c r="L181" s="538"/>
      <c r="R181" s="537"/>
    </row>
    <row r="182" spans="2:18" s="536" customFormat="1" x14ac:dyDescent="0.2">
      <c r="B182" s="537"/>
      <c r="D182" s="537"/>
      <c r="L182" s="538"/>
      <c r="R182" s="537"/>
    </row>
    <row r="183" spans="2:18" s="536" customFormat="1" x14ac:dyDescent="0.2">
      <c r="B183" s="537"/>
      <c r="D183" s="537"/>
      <c r="L183" s="538"/>
      <c r="R183" s="537"/>
    </row>
    <row r="184" spans="2:18" s="536" customFormat="1" x14ac:dyDescent="0.2">
      <c r="B184" s="537"/>
      <c r="D184" s="537"/>
      <c r="L184" s="538"/>
      <c r="R184" s="537"/>
    </row>
    <row r="185" spans="2:18" s="536" customFormat="1" x14ac:dyDescent="0.2">
      <c r="B185" s="537"/>
      <c r="D185" s="537"/>
      <c r="L185" s="538"/>
      <c r="R185" s="537"/>
    </row>
    <row r="186" spans="2:18" s="536" customFormat="1" x14ac:dyDescent="0.2">
      <c r="B186" s="537"/>
      <c r="D186" s="537"/>
      <c r="L186" s="538"/>
      <c r="R186" s="537"/>
    </row>
    <row r="187" spans="2:18" s="536" customFormat="1" x14ac:dyDescent="0.2">
      <c r="B187" s="537"/>
      <c r="D187" s="537"/>
      <c r="L187" s="538"/>
      <c r="R187" s="537"/>
    </row>
    <row r="188" spans="2:18" s="536" customFormat="1" x14ac:dyDescent="0.2">
      <c r="B188" s="537"/>
      <c r="D188" s="537"/>
      <c r="L188" s="538"/>
      <c r="R188" s="537"/>
    </row>
    <row r="189" spans="2:18" s="536" customFormat="1" x14ac:dyDescent="0.2">
      <c r="B189" s="537"/>
      <c r="D189" s="537"/>
      <c r="L189" s="538"/>
      <c r="R189" s="537"/>
    </row>
    <row r="190" spans="2:18" s="536" customFormat="1" x14ac:dyDescent="0.2">
      <c r="B190" s="537"/>
      <c r="D190" s="537"/>
      <c r="L190" s="538"/>
      <c r="R190" s="537"/>
    </row>
    <row r="191" spans="2:18" s="536" customFormat="1" x14ac:dyDescent="0.2">
      <c r="B191" s="537"/>
      <c r="D191" s="537"/>
      <c r="L191" s="538"/>
      <c r="R191" s="537"/>
    </row>
    <row r="192" spans="2:18" s="536" customFormat="1" x14ac:dyDescent="0.2">
      <c r="B192" s="537"/>
      <c r="D192" s="537"/>
      <c r="L192" s="538"/>
      <c r="R192" s="537"/>
    </row>
    <row r="193" spans="2:18" s="536" customFormat="1" x14ac:dyDescent="0.2">
      <c r="B193" s="537"/>
      <c r="D193" s="537"/>
      <c r="L193" s="538"/>
      <c r="R193" s="537"/>
    </row>
    <row r="194" spans="2:18" s="536" customFormat="1" x14ac:dyDescent="0.2">
      <c r="B194" s="537"/>
      <c r="D194" s="537"/>
      <c r="L194" s="538"/>
      <c r="R194" s="537"/>
    </row>
    <row r="195" spans="2:18" s="536" customFormat="1" x14ac:dyDescent="0.2">
      <c r="B195" s="537"/>
      <c r="D195" s="537"/>
      <c r="L195" s="538"/>
      <c r="R195" s="537"/>
    </row>
    <row r="196" spans="2:18" s="536" customFormat="1" x14ac:dyDescent="0.2">
      <c r="B196" s="537"/>
      <c r="D196" s="537"/>
      <c r="L196" s="538"/>
      <c r="R196" s="537"/>
    </row>
    <row r="197" spans="2:18" s="536" customFormat="1" x14ac:dyDescent="0.2">
      <c r="B197" s="537"/>
      <c r="D197" s="537"/>
      <c r="L197" s="538"/>
      <c r="R197" s="537"/>
    </row>
    <row r="198" spans="2:18" s="536" customFormat="1" x14ac:dyDescent="0.2">
      <c r="B198" s="537"/>
      <c r="D198" s="537"/>
      <c r="L198" s="538"/>
      <c r="R198" s="537"/>
    </row>
    <row r="199" spans="2:18" s="536" customFormat="1" x14ac:dyDescent="0.2">
      <c r="B199" s="537"/>
      <c r="D199" s="537"/>
      <c r="L199" s="538"/>
      <c r="R199" s="537"/>
    </row>
    <row r="200" spans="2:18" s="536" customFormat="1" x14ac:dyDescent="0.2">
      <c r="B200" s="537"/>
      <c r="D200" s="537"/>
      <c r="L200" s="538"/>
      <c r="R200" s="537"/>
    </row>
    <row r="201" spans="2:18" s="536" customFormat="1" x14ac:dyDescent="0.2">
      <c r="B201" s="537"/>
      <c r="D201" s="537"/>
      <c r="L201" s="538"/>
      <c r="R201" s="537"/>
    </row>
    <row r="202" spans="2:18" s="536" customFormat="1" x14ac:dyDescent="0.2">
      <c r="B202" s="537"/>
      <c r="D202" s="537"/>
      <c r="L202" s="538"/>
      <c r="R202" s="537"/>
    </row>
    <row r="203" spans="2:18" s="536" customFormat="1" x14ac:dyDescent="0.2">
      <c r="B203" s="537"/>
      <c r="D203" s="537"/>
      <c r="L203" s="538"/>
      <c r="R203" s="537"/>
    </row>
    <row r="204" spans="2:18" s="536" customFormat="1" x14ac:dyDescent="0.2">
      <c r="B204" s="537"/>
      <c r="D204" s="537"/>
      <c r="L204" s="538"/>
      <c r="R204" s="537"/>
    </row>
    <row r="205" spans="2:18" s="536" customFormat="1" x14ac:dyDescent="0.2">
      <c r="B205" s="537"/>
      <c r="D205" s="537"/>
      <c r="L205" s="538"/>
      <c r="R205" s="537"/>
    </row>
    <row r="206" spans="2:18" s="536" customFormat="1" x14ac:dyDescent="0.2">
      <c r="B206" s="537"/>
      <c r="D206" s="537"/>
      <c r="L206" s="538"/>
      <c r="R206" s="537"/>
    </row>
    <row r="207" spans="2:18" s="536" customFormat="1" x14ac:dyDescent="0.2">
      <c r="B207" s="537"/>
      <c r="D207" s="537"/>
      <c r="L207" s="538"/>
      <c r="R207" s="537"/>
    </row>
    <row r="208" spans="2:18" s="536" customFormat="1" x14ac:dyDescent="0.2">
      <c r="B208" s="537"/>
      <c r="D208" s="537"/>
      <c r="L208" s="538"/>
      <c r="R208" s="537"/>
    </row>
    <row r="209" spans="2:18" s="536" customFormat="1" x14ac:dyDescent="0.2">
      <c r="B209" s="537"/>
      <c r="D209" s="537"/>
      <c r="L209" s="538"/>
      <c r="R209" s="537"/>
    </row>
    <row r="210" spans="2:18" s="536" customFormat="1" x14ac:dyDescent="0.2">
      <c r="B210" s="537"/>
      <c r="D210" s="537"/>
      <c r="L210" s="538"/>
      <c r="R210" s="537"/>
    </row>
    <row r="211" spans="2:18" s="536" customFormat="1" x14ac:dyDescent="0.2">
      <c r="B211" s="537"/>
      <c r="D211" s="537"/>
      <c r="L211" s="538"/>
      <c r="R211" s="537"/>
    </row>
    <row r="212" spans="2:18" s="536" customFormat="1" x14ac:dyDescent="0.2">
      <c r="B212" s="537"/>
      <c r="D212" s="537"/>
      <c r="L212" s="538"/>
      <c r="R212" s="537"/>
    </row>
    <row r="213" spans="2:18" s="536" customFormat="1" x14ac:dyDescent="0.2">
      <c r="B213" s="537"/>
      <c r="D213" s="537"/>
      <c r="L213" s="538"/>
      <c r="R213" s="537"/>
    </row>
    <row r="214" spans="2:18" s="536" customFormat="1" x14ac:dyDescent="0.2">
      <c r="B214" s="537"/>
      <c r="D214" s="537"/>
      <c r="L214" s="538"/>
      <c r="R214" s="537"/>
    </row>
    <row r="215" spans="2:18" s="536" customFormat="1" x14ac:dyDescent="0.2">
      <c r="B215" s="537"/>
      <c r="D215" s="537"/>
      <c r="L215" s="538"/>
      <c r="R215" s="537"/>
    </row>
    <row r="216" spans="2:18" s="536" customFormat="1" x14ac:dyDescent="0.2">
      <c r="B216" s="537"/>
      <c r="D216" s="537"/>
      <c r="L216" s="538"/>
      <c r="R216" s="537"/>
    </row>
    <row r="217" spans="2:18" s="536" customFormat="1" x14ac:dyDescent="0.2">
      <c r="B217" s="537"/>
      <c r="D217" s="537"/>
      <c r="L217" s="538"/>
      <c r="R217" s="537"/>
    </row>
    <row r="218" spans="2:18" s="536" customFormat="1" x14ac:dyDescent="0.2">
      <c r="B218" s="537"/>
      <c r="D218" s="537"/>
      <c r="L218" s="538"/>
      <c r="R218" s="537"/>
    </row>
    <row r="219" spans="2:18" s="536" customFormat="1" x14ac:dyDescent="0.2">
      <c r="B219" s="537"/>
      <c r="D219" s="537"/>
      <c r="L219" s="538"/>
      <c r="R219" s="537"/>
    </row>
    <row r="220" spans="2:18" s="536" customFormat="1" x14ac:dyDescent="0.2">
      <c r="B220" s="537"/>
      <c r="D220" s="537"/>
      <c r="L220" s="538"/>
      <c r="R220" s="537"/>
    </row>
    <row r="221" spans="2:18" s="536" customFormat="1" x14ac:dyDescent="0.2">
      <c r="B221" s="537"/>
      <c r="D221" s="537"/>
      <c r="L221" s="538"/>
      <c r="R221" s="537"/>
    </row>
    <row r="222" spans="2:18" s="536" customFormat="1" x14ac:dyDescent="0.2">
      <c r="B222" s="537"/>
      <c r="D222" s="537"/>
      <c r="L222" s="538"/>
      <c r="R222" s="537"/>
    </row>
    <row r="223" spans="2:18" s="536" customFormat="1" x14ac:dyDescent="0.2">
      <c r="B223" s="537"/>
      <c r="D223" s="537"/>
      <c r="L223" s="538"/>
      <c r="R223" s="537"/>
    </row>
    <row r="224" spans="2:18" s="536" customFormat="1" x14ac:dyDescent="0.2">
      <c r="B224" s="537"/>
      <c r="D224" s="537"/>
      <c r="L224" s="538"/>
      <c r="R224" s="537"/>
    </row>
    <row r="225" spans="2:18" s="536" customFormat="1" x14ac:dyDescent="0.2">
      <c r="B225" s="537"/>
      <c r="D225" s="537"/>
      <c r="L225" s="538"/>
      <c r="R225" s="537"/>
    </row>
    <row r="226" spans="2:18" s="536" customFormat="1" x14ac:dyDescent="0.2">
      <c r="B226" s="537"/>
      <c r="D226" s="537"/>
      <c r="L226" s="538"/>
      <c r="R226" s="537"/>
    </row>
    <row r="227" spans="2:18" s="536" customFormat="1" x14ac:dyDescent="0.2">
      <c r="B227" s="537"/>
      <c r="D227" s="537"/>
      <c r="L227" s="538"/>
      <c r="R227" s="537"/>
    </row>
    <row r="228" spans="2:18" s="536" customFormat="1" x14ac:dyDescent="0.2">
      <c r="B228" s="537"/>
      <c r="D228" s="537"/>
      <c r="L228" s="538"/>
      <c r="R228" s="537"/>
    </row>
    <row r="229" spans="2:18" s="536" customFormat="1" x14ac:dyDescent="0.2">
      <c r="B229" s="537"/>
      <c r="D229" s="537"/>
      <c r="L229" s="538"/>
      <c r="R229" s="537"/>
    </row>
    <row r="230" spans="2:18" s="536" customFormat="1" x14ac:dyDescent="0.2">
      <c r="B230" s="537"/>
      <c r="D230" s="537"/>
      <c r="L230" s="538"/>
      <c r="R230" s="537"/>
    </row>
    <row r="231" spans="2:18" s="536" customFormat="1" x14ac:dyDescent="0.2">
      <c r="B231" s="537"/>
      <c r="D231" s="537"/>
      <c r="L231" s="538"/>
      <c r="R231" s="537"/>
    </row>
    <row r="232" spans="2:18" s="536" customFormat="1" x14ac:dyDescent="0.2">
      <c r="B232" s="537"/>
      <c r="D232" s="537"/>
      <c r="L232" s="538"/>
      <c r="R232" s="537"/>
    </row>
    <row r="233" spans="2:18" s="536" customFormat="1" x14ac:dyDescent="0.2">
      <c r="B233" s="537"/>
      <c r="D233" s="537"/>
      <c r="L233" s="538"/>
      <c r="R233" s="537"/>
    </row>
    <row r="234" spans="2:18" s="536" customFormat="1" x14ac:dyDescent="0.2">
      <c r="B234" s="537"/>
      <c r="D234" s="537"/>
      <c r="L234" s="538"/>
      <c r="R234" s="537"/>
    </row>
    <row r="235" spans="2:18" s="536" customFormat="1" x14ac:dyDescent="0.2">
      <c r="B235" s="537"/>
      <c r="D235" s="537"/>
      <c r="L235" s="538"/>
      <c r="R235" s="537"/>
    </row>
    <row r="236" spans="2:18" s="536" customFormat="1" x14ac:dyDescent="0.2">
      <c r="B236" s="537"/>
      <c r="D236" s="537"/>
      <c r="L236" s="538"/>
      <c r="R236" s="537"/>
    </row>
    <row r="237" spans="2:18" s="536" customFormat="1" x14ac:dyDescent="0.2">
      <c r="B237" s="537"/>
      <c r="D237" s="537"/>
      <c r="L237" s="538"/>
      <c r="R237" s="537"/>
    </row>
    <row r="238" spans="2:18" s="536" customFormat="1" x14ac:dyDescent="0.2">
      <c r="B238" s="537"/>
      <c r="D238" s="537"/>
      <c r="L238" s="538"/>
      <c r="R238" s="537"/>
    </row>
    <row r="239" spans="2:18" s="536" customFormat="1" x14ac:dyDescent="0.2">
      <c r="B239" s="537"/>
      <c r="D239" s="537"/>
      <c r="L239" s="538"/>
      <c r="R239" s="537"/>
    </row>
    <row r="240" spans="2:18" s="536" customFormat="1" x14ac:dyDescent="0.2">
      <c r="B240" s="537"/>
      <c r="D240" s="537"/>
      <c r="L240" s="538"/>
      <c r="R240" s="537"/>
    </row>
    <row r="241" spans="2:18" s="536" customFormat="1" x14ac:dyDescent="0.2">
      <c r="B241" s="537"/>
      <c r="D241" s="537"/>
      <c r="L241" s="538"/>
      <c r="R241" s="537"/>
    </row>
    <row r="242" spans="2:18" s="536" customFormat="1" x14ac:dyDescent="0.2">
      <c r="B242" s="537"/>
      <c r="D242" s="537"/>
      <c r="L242" s="538"/>
      <c r="R242" s="537"/>
    </row>
    <row r="243" spans="2:18" s="536" customFormat="1" x14ac:dyDescent="0.2">
      <c r="B243" s="537"/>
      <c r="D243" s="537"/>
      <c r="L243" s="538"/>
      <c r="R243" s="537"/>
    </row>
    <row r="244" spans="2:18" s="536" customFormat="1" x14ac:dyDescent="0.2">
      <c r="B244" s="537"/>
      <c r="D244" s="537"/>
      <c r="L244" s="538"/>
      <c r="R244" s="537"/>
    </row>
    <row r="245" spans="2:18" s="536" customFormat="1" x14ac:dyDescent="0.2">
      <c r="B245" s="537"/>
      <c r="D245" s="537"/>
      <c r="L245" s="538"/>
      <c r="R245" s="537"/>
    </row>
    <row r="246" spans="2:18" s="536" customFormat="1" x14ac:dyDescent="0.2">
      <c r="B246" s="537"/>
      <c r="D246" s="537"/>
      <c r="L246" s="538"/>
      <c r="R246" s="537"/>
    </row>
    <row r="247" spans="2:18" s="536" customFormat="1" x14ac:dyDescent="0.2">
      <c r="B247" s="537"/>
      <c r="D247" s="537"/>
      <c r="L247" s="538"/>
      <c r="R247" s="537"/>
    </row>
    <row r="248" spans="2:18" s="536" customFormat="1" x14ac:dyDescent="0.2">
      <c r="B248" s="537"/>
      <c r="D248" s="537"/>
      <c r="L248" s="538"/>
      <c r="R248" s="537"/>
    </row>
    <row r="485" spans="20:20" x14ac:dyDescent="0.2">
      <c r="T485" s="532" t="e">
        <f>SUM(#REF!,#REF!,#REF!,#REF!,#REF!,G83,G93,G103,G123,G128,G138,G188,G193,G198,G208,G248,G273,G318,G348,G353,G378)</f>
        <v>#REF!</v>
      </c>
    </row>
    <row r="4246" spans="20:20" x14ac:dyDescent="0.2">
      <c r="T4246" s="532">
        <f>SUM(G3919,G3934,G3969,G4029,G4039,G4089,G4134,G4154,G4169,G4189)</f>
        <v>0</v>
      </c>
    </row>
    <row r="1048537" spans="9:9" x14ac:dyDescent="0.2">
      <c r="I1048537" s="535"/>
    </row>
  </sheetData>
  <mergeCells count="19">
    <mergeCell ref="A42:R42"/>
    <mergeCell ref="A17:R17"/>
    <mergeCell ref="A40:R40"/>
    <mergeCell ref="A10:R10"/>
    <mergeCell ref="R1:R7"/>
    <mergeCell ref="A1:B7"/>
    <mergeCell ref="F8:F9"/>
    <mergeCell ref="A8:A9"/>
    <mergeCell ref="B8:B9"/>
    <mergeCell ref="C8:C9"/>
    <mergeCell ref="R8:R9"/>
    <mergeCell ref="N8:N9"/>
    <mergeCell ref="P8:P9"/>
    <mergeCell ref="D8:D9"/>
    <mergeCell ref="E8:E9"/>
    <mergeCell ref="G8:G9"/>
    <mergeCell ref="H8:M8"/>
    <mergeCell ref="O8:O9"/>
    <mergeCell ref="Q8:Q9"/>
  </mergeCells>
  <printOptions horizontalCentered="1"/>
  <pageMargins left="0.25" right="0.25" top="0.75" bottom="0.75" header="0.3" footer="0.3"/>
  <pageSetup paperSize="8" scale="73" orientation="landscape" r:id="rId1"/>
  <headerFooter alignWithMargins="0">
    <oddFooter>Page &amp;P</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1602292AB956749AB9C07AF01C808F9" ma:contentTypeVersion="16" ma:contentTypeDescription="Create a new document." ma:contentTypeScope="" ma:versionID="4086f2386d1ad140127a4356c269a753">
  <xsd:schema xmlns:xsd="http://www.w3.org/2001/XMLSchema" xmlns:xs="http://www.w3.org/2001/XMLSchema" xmlns:p="http://schemas.microsoft.com/office/2006/metadata/properties" xmlns:ns2="5b4cc71f-4036-4581-85c7-a4481d742ec8" xmlns:ns3="95e576bc-9f64-4b26-b4d8-385686323516" targetNamespace="http://schemas.microsoft.com/office/2006/metadata/properties" ma:root="true" ma:fieldsID="d11583ff8fc4bfc515b54c1d527b21dd" ns2:_="" ns3:_="">
    <xsd:import namespace="5b4cc71f-4036-4581-85c7-a4481d742ec8"/>
    <xsd:import namespace="95e576bc-9f64-4b26-b4d8-38568632351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4cc71f-4036-4581-85c7-a4481d742e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2709e456-5b94-4878-aa1d-29a5f62fa0c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DateTaken" ma:index="22" nillable="true" ma:displayName="MediaServiceDateTaken" ma:hidden="true" ma:indexed="true" ma:internalName="MediaServiceDateTake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5e576bc-9f64-4b26-b4d8-38568632351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d2579d81-cf07-481f-90d4-97df996dfe5e}" ma:internalName="TaxCatchAll" ma:showField="CatchAllData" ma:web="95e576bc-9f64-4b26-b4d8-38568632351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b4cc71f-4036-4581-85c7-a4481d742ec8">
      <Terms xmlns="http://schemas.microsoft.com/office/infopath/2007/PartnerControls"/>
    </lcf76f155ced4ddcb4097134ff3c332f>
    <TaxCatchAll xmlns="95e576bc-9f64-4b26-b4d8-385686323516" xsi:nil="true"/>
    <SharedWithUsers xmlns="95e576bc-9f64-4b26-b4d8-385686323516">
      <UserInfo>
        <DisplayName/>
        <AccountId xsi:nil="true"/>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B240D3-517E-4E17-9FCD-E27D10B397B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4cc71f-4036-4581-85c7-a4481d742ec8"/>
    <ds:schemaRef ds:uri="95e576bc-9f64-4b26-b4d8-3856863235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190F70E-6B9D-4B92-9D15-1015D47DF3AF}">
  <ds:schemaRefs>
    <ds:schemaRef ds:uri="http://schemas.microsoft.com/office/2006/metadata/properties"/>
    <ds:schemaRef ds:uri="http://schemas.microsoft.com/office/infopath/2007/PartnerControls"/>
    <ds:schemaRef ds:uri="5b4cc71f-4036-4581-85c7-a4481d742ec8"/>
    <ds:schemaRef ds:uri="95e576bc-9f64-4b26-b4d8-385686323516"/>
  </ds:schemaRefs>
</ds:datastoreItem>
</file>

<file path=customXml/itemProps3.xml><?xml version="1.0" encoding="utf-8"?>
<ds:datastoreItem xmlns:ds="http://schemas.openxmlformats.org/officeDocument/2006/customXml" ds:itemID="{F6C6C8D4-08A8-4CE6-8DAF-19E700D1237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8</vt:i4>
      </vt:variant>
    </vt:vector>
  </HeadingPairs>
  <TitlesOfParts>
    <vt:vector size="38" baseType="lpstr">
      <vt:lpstr>PROJECT SUMMARY</vt:lpstr>
      <vt:lpstr>AHU</vt:lpstr>
      <vt:lpstr>Fans</vt:lpstr>
      <vt:lpstr>HRU</vt:lpstr>
      <vt:lpstr>Attenuator</vt:lpstr>
      <vt:lpstr>Louvres</vt:lpstr>
      <vt:lpstr>Fire Damper</vt:lpstr>
      <vt:lpstr>Motorised Damper</vt:lpstr>
      <vt:lpstr>Roof Terminal</vt:lpstr>
      <vt:lpstr>Grilles</vt:lpstr>
      <vt:lpstr>Air Filter</vt:lpstr>
      <vt:lpstr>Chiller</vt:lpstr>
      <vt:lpstr>Process Chiller</vt:lpstr>
      <vt:lpstr>DX</vt:lpstr>
      <vt:lpstr>VRF</vt:lpstr>
      <vt:lpstr>Booster Set</vt:lpstr>
      <vt:lpstr>Tank</vt:lpstr>
      <vt:lpstr>CAT 5</vt:lpstr>
      <vt:lpstr>Shower</vt:lpstr>
      <vt:lpstr>Water Heater</vt:lpstr>
      <vt:lpstr>Expansion Vessel</vt:lpstr>
      <vt:lpstr>Electric Water Heater</vt:lpstr>
      <vt:lpstr>Meters</vt:lpstr>
      <vt:lpstr>Pumps</vt:lpstr>
      <vt:lpstr>Gas Booster</vt:lpstr>
      <vt:lpstr>Press Unit</vt:lpstr>
      <vt:lpstr>Electric Panel Heater</vt:lpstr>
      <vt:lpstr>Heater Battery</vt:lpstr>
      <vt:lpstr>Compressed Air</vt:lpstr>
      <vt:lpstr>Electrical Requirements</vt:lpstr>
      <vt:lpstr>AHU!Print_Area</vt:lpstr>
      <vt:lpstr>Chiller!Print_Area</vt:lpstr>
      <vt:lpstr>'Compressed Air'!Print_Area</vt:lpstr>
      <vt:lpstr>DX!Print_Area</vt:lpstr>
      <vt:lpstr>'Electrical Requirements'!Print_Area</vt:lpstr>
      <vt:lpstr>'Process Chiller'!Print_Area</vt:lpstr>
      <vt:lpstr>VRF!Print_Area</vt:lpstr>
      <vt:lpstr>'Electrical Requirements'!Print_Titles</vt:lpstr>
    </vt:vector>
  </TitlesOfParts>
  <Manager/>
  <Company>WSP Group plc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GTC</dc:creator>
  <cp:keywords/>
  <dc:description/>
  <cp:lastModifiedBy>kat neale</cp:lastModifiedBy>
  <cp:revision/>
  <dcterms:created xsi:type="dcterms:W3CDTF">2005-05-08T16:39:33Z</dcterms:created>
  <dcterms:modified xsi:type="dcterms:W3CDTF">2026-06-23T13:42:40Z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0x01010001602292AB956749AB9C07AF01C808F9</vt:lpwstr>
  </property>
  <property fmtid="{D5CDD505-2E9C-101B-9397-08002B2CF9AE}" pid="3" name="MediaServiceImageTags">
    <vt:lpwstr/>
  </property>
  <property fmtid="{D5CDD505-2E9C-101B-9397-08002B2CF9AE}" pid="4" name="Order">
    <vt:r8>184600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
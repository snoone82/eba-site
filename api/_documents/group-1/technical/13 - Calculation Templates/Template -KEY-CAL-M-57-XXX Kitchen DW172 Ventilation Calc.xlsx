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94" documentId="13_ncr:1_{C957FD24-9E77-4363-8688-04A2A84590ED}" xr6:coauthVersionLast="47" xr6:coauthVersionMax="47" xr10:uidLastSave="{8A857A1B-D44F-426F-AEB4-6C6DBD8EDC41}"/>
  <bookViews>
    <workbookView xWindow="12045" yWindow="4065" windowWidth="24360" windowHeight="15345" xr2:uid="{00000000-000D-0000-FFFF-FFFF00000000}"/>
  </bookViews>
  <sheets>
    <sheet name="Sheet1" sheetId="1" r:id="rId1"/>
  </sheets>
  <definedNames>
    <definedName name="_xlnm.Print_Area" localSheetId="0">Sheet1!$A$1:$L$32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2" i="1"/>
  <c r="J10" i="1" l="1"/>
  <c r="J14" i="1" l="1"/>
  <c r="J16" i="1" s="1"/>
  <c r="J18" i="1" s="1"/>
</calcChain>
</file>

<file path=xl/sharedStrings.xml><?xml version="1.0" encoding="utf-8"?>
<sst xmlns="http://schemas.openxmlformats.org/spreadsheetml/2006/main" count="47" uniqueCount="40">
  <si>
    <t>Project No.</t>
  </si>
  <si>
    <t>Project</t>
  </si>
  <si>
    <t>Title</t>
  </si>
  <si>
    <t>Schedule No.</t>
  </si>
  <si>
    <t>Revision</t>
  </si>
  <si>
    <t>Date</t>
  </si>
  <si>
    <t>Thermal Convection Method Calculation from DW172</t>
  </si>
  <si>
    <t>Item</t>
  </si>
  <si>
    <t>Description</t>
  </si>
  <si>
    <t>Gas/Electric</t>
  </si>
  <si>
    <t>Power (kW)</t>
  </si>
  <si>
    <t>Plan Size (LxD mm)</t>
  </si>
  <si>
    <t>Area (m2)</t>
  </si>
  <si>
    <t>Coefficient (*1)</t>
  </si>
  <si>
    <t>Flow Rate (m3/s)</t>
  </si>
  <si>
    <t>Total</t>
  </si>
  <si>
    <t>m3/s</t>
  </si>
  <si>
    <t>Canopy/Ceiling Factor (*2)</t>
  </si>
  <si>
    <t>Extract Final Total</t>
  </si>
  <si>
    <t>Supply Final Total (85% Extract)</t>
  </si>
  <si>
    <t>Room Area Check</t>
  </si>
  <si>
    <t>Room Dims (m)</t>
  </si>
  <si>
    <t>Ac/hr</t>
  </si>
  <si>
    <t>Flow rate</t>
  </si>
  <si>
    <t>L</t>
  </si>
  <si>
    <t>W</t>
  </si>
  <si>
    <t>H</t>
  </si>
  <si>
    <t>m3/hr</t>
  </si>
  <si>
    <t>Face Velocity Method</t>
  </si>
  <si>
    <t>Canopy Plan Size (LxD mm)</t>
  </si>
  <si>
    <t>Face Velocity (m/s)</t>
  </si>
  <si>
    <t>*medium usage</t>
  </si>
  <si>
    <t>Low usage</t>
  </si>
  <si>
    <t>Medium Usage</t>
  </si>
  <si>
    <t>High Usage</t>
  </si>
  <si>
    <t>(*1) Table 2 DW172</t>
  </si>
  <si>
    <t>(*2) Table 6 DW172</t>
  </si>
  <si>
    <t>BB101</t>
  </si>
  <si>
    <t>Room Area Check (CHECK ONLY)</t>
  </si>
  <si>
    <t>IP 02-05-13-5702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</si>
</sst>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color rgb="FF0070C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2" fillId="3" borderId="7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0" fillId="3" borderId="29" xfId="0" applyFill="1" applyBorder="1"/>
    <xf numFmtId="0" fontId="0" fillId="3" borderId="6" xfId="0" applyFill="1" applyBorder="1"/>
    <xf numFmtId="0" fontId="2" fillId="3" borderId="6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/>
    </xf>
    <xf numFmtId="0" fontId="3" fillId="3" borderId="32" xfId="0" applyFont="1" applyFill="1" applyBorder="1"/>
    <xf numFmtId="0" fontId="3" fillId="3" borderId="32" xfId="0" applyFont="1" applyFill="1" applyBorder="1" applyAlignment="1">
      <alignment horizontal="left"/>
    </xf>
    <xf numFmtId="0" fontId="3" fillId="3" borderId="28" xfId="0" applyFont="1" applyFill="1" applyBorder="1" applyAlignment="1">
      <alignment horizontal="left"/>
    </xf>
    <xf numFmtId="0" fontId="3" fillId="3" borderId="12" xfId="0" applyFont="1" applyFill="1" applyBorder="1"/>
    <xf numFmtId="0" fontId="3" fillId="3" borderId="12" xfId="0" applyFont="1" applyFill="1" applyBorder="1" applyAlignment="1">
      <alignment horizontal="left"/>
    </xf>
    <xf numFmtId="0" fontId="3" fillId="3" borderId="33" xfId="0" applyFont="1" applyFill="1" applyBorder="1" applyAlignment="1">
      <alignment horizontal="left"/>
    </xf>
    <xf numFmtId="0" fontId="8" fillId="0" borderId="0" xfId="0" applyFont="1"/>
    <xf numFmtId="0" fontId="7" fillId="2" borderId="12" xfId="0" applyFont="1" applyFill="1" applyBorder="1" applyAlignment="1">
      <alignment wrapText="1"/>
    </xf>
    <xf numFmtId="0" fontId="7" fillId="2" borderId="10" xfId="0" applyFont="1" applyFill="1" applyBorder="1" applyAlignment="1">
      <alignment horizontal="center" wrapText="1"/>
    </xf>
    <xf numFmtId="0" fontId="8" fillId="0" borderId="0" xfId="0" applyFont="1" applyAlignment="1">
      <alignment wrapText="1"/>
    </xf>
    <xf numFmtId="0" fontId="8" fillId="0" borderId="10" xfId="0" applyFont="1" applyBorder="1"/>
    <xf numFmtId="0" fontId="8" fillId="0" borderId="1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2" borderId="13" xfId="0" applyFont="1" applyFill="1" applyBorder="1"/>
    <xf numFmtId="0" fontId="8" fillId="2" borderId="14" xfId="0" applyFont="1" applyFill="1" applyBorder="1"/>
    <xf numFmtId="0" fontId="7" fillId="2" borderId="14" xfId="0" applyFont="1" applyFill="1" applyBorder="1"/>
    <xf numFmtId="0" fontId="8" fillId="2" borderId="15" xfId="0" applyFont="1" applyFill="1" applyBorder="1"/>
    <xf numFmtId="0" fontId="7" fillId="2" borderId="16" xfId="0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7" fillId="0" borderId="0" xfId="0" applyFont="1"/>
    <xf numFmtId="0" fontId="7" fillId="0" borderId="11" xfId="0" applyFont="1" applyBorder="1"/>
    <xf numFmtId="0" fontId="7" fillId="0" borderId="12" xfId="0" applyFont="1" applyBorder="1"/>
    <xf numFmtId="0" fontId="9" fillId="0" borderId="0" xfId="0" applyFont="1"/>
    <xf numFmtId="0" fontId="7" fillId="0" borderId="0" xfId="0" applyFont="1" applyAlignment="1">
      <alignment vertical="center"/>
    </xf>
    <xf numFmtId="0" fontId="7" fillId="2" borderId="34" xfId="0" applyFont="1" applyFill="1" applyBorder="1" applyAlignment="1">
      <alignment wrapText="1"/>
    </xf>
    <xf numFmtId="0" fontId="7" fillId="2" borderId="35" xfId="0" applyFont="1" applyFill="1" applyBorder="1" applyAlignment="1">
      <alignment wrapText="1"/>
    </xf>
    <xf numFmtId="0" fontId="7" fillId="2" borderId="19" xfId="0" applyFont="1" applyFill="1" applyBorder="1" applyAlignment="1">
      <alignment horizontal="center" wrapText="1"/>
    </xf>
    <xf numFmtId="0" fontId="8" fillId="0" borderId="37" xfId="0" applyFont="1" applyBorder="1" applyAlignment="1">
      <alignment horizontal="left"/>
    </xf>
    <xf numFmtId="2" fontId="8" fillId="0" borderId="38" xfId="0" applyNumberFormat="1" applyFont="1" applyBorder="1" applyAlignment="1">
      <alignment horizontal="center"/>
    </xf>
    <xf numFmtId="0" fontId="8" fillId="0" borderId="20" xfId="0" applyFont="1" applyBorder="1" applyAlignment="1">
      <alignment horizontal="left"/>
    </xf>
    <xf numFmtId="0" fontId="8" fillId="0" borderId="21" xfId="0" applyFont="1" applyBorder="1"/>
    <xf numFmtId="0" fontId="8" fillId="0" borderId="21" xfId="0" applyFont="1" applyBorder="1" applyAlignment="1">
      <alignment horizontal="center"/>
    </xf>
    <xf numFmtId="2" fontId="8" fillId="0" borderId="23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8" fillId="0" borderId="27" xfId="0" applyFont="1" applyBorder="1"/>
    <xf numFmtId="0" fontId="8" fillId="0" borderId="2" xfId="0" applyFont="1" applyBorder="1"/>
    <xf numFmtId="0" fontId="8" fillId="0" borderId="4" xfId="0" applyFont="1" applyBorder="1"/>
    <xf numFmtId="2" fontId="8" fillId="0" borderId="5" xfId="0" applyNumberFormat="1" applyFont="1" applyBorder="1"/>
    <xf numFmtId="2" fontId="7" fillId="4" borderId="31" xfId="0" applyNumberFormat="1" applyFont="1" applyFill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0" fontId="0" fillId="0" borderId="4" xfId="0" applyBorder="1"/>
    <xf numFmtId="2" fontId="7" fillId="4" borderId="38" xfId="0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8" xfId="0" applyFont="1" applyBorder="1"/>
    <xf numFmtId="0" fontId="0" fillId="0" borderId="40" xfId="0" applyBorder="1"/>
    <xf numFmtId="0" fontId="8" fillId="0" borderId="9" xfId="0" applyFont="1" applyBorder="1"/>
    <xf numFmtId="0" fontId="8" fillId="0" borderId="1" xfId="0" applyFont="1" applyBorder="1"/>
    <xf numFmtId="0" fontId="9" fillId="0" borderId="4" xfId="0" applyFont="1" applyBorder="1"/>
    <xf numFmtId="0" fontId="8" fillId="0" borderId="38" xfId="0" applyFont="1" applyBorder="1" applyAlignment="1">
      <alignment vertical="center"/>
    </xf>
    <xf numFmtId="0" fontId="7" fillId="2" borderId="32" xfId="0" applyFont="1" applyFill="1" applyBorder="1" applyAlignment="1">
      <alignment wrapText="1"/>
    </xf>
    <xf numFmtId="0" fontId="8" fillId="0" borderId="40" xfId="0" applyFont="1" applyBorder="1"/>
    <xf numFmtId="0" fontId="10" fillId="3" borderId="6" xfId="0" applyFont="1" applyFill="1" applyBorder="1"/>
    <xf numFmtId="0" fontId="10" fillId="3" borderId="6" xfId="0" applyFont="1" applyFill="1" applyBorder="1" applyAlignment="1">
      <alignment horizontal="left"/>
    </xf>
    <xf numFmtId="0" fontId="10" fillId="3" borderId="29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 wrapText="1"/>
    </xf>
    <xf numFmtId="0" fontId="7" fillId="2" borderId="36" xfId="0" applyFont="1" applyFill="1" applyBorder="1" applyAlignment="1">
      <alignment horizontal="center" wrapText="1"/>
    </xf>
    <xf numFmtId="0" fontId="7" fillId="2" borderId="35" xfId="0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79375</xdr:colOff>
      <xdr:row>74</xdr:row>
      <xdr:rowOff>25400</xdr:rowOff>
    </xdr:from>
    <xdr:to>
      <xdr:col>30</xdr:col>
      <xdr:colOff>593058</xdr:colOff>
      <xdr:row>95</xdr:row>
      <xdr:rowOff>148709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56250" y="14471650"/>
          <a:ext cx="5339683" cy="4123809"/>
        </a:xfrm>
        <a:prstGeom prst="rect">
          <a:avLst/>
        </a:prstGeom>
      </xdr:spPr>
    </xdr:pic>
    <xdr:clientData/>
  </xdr:twoCellAnchor>
  <xdr:twoCellAnchor editAs="oneCell">
    <xdr:from>
      <xdr:col>22</xdr:col>
      <xdr:colOff>176893</xdr:colOff>
      <xdr:row>32</xdr:row>
      <xdr:rowOff>122464</xdr:rowOff>
    </xdr:from>
    <xdr:to>
      <xdr:col>31</xdr:col>
      <xdr:colOff>218383</xdr:colOff>
      <xdr:row>51</xdr:row>
      <xdr:rowOff>131535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43072" y="7184571"/>
          <a:ext cx="5552382" cy="3628571"/>
        </a:xfrm>
        <a:prstGeom prst="rect">
          <a:avLst/>
        </a:prstGeom>
      </xdr:spPr>
    </xdr:pic>
    <xdr:clientData/>
  </xdr:twoCellAnchor>
  <xdr:twoCellAnchor editAs="oneCell">
    <xdr:from>
      <xdr:col>31</xdr:col>
      <xdr:colOff>442233</xdr:colOff>
      <xdr:row>53</xdr:row>
      <xdr:rowOff>129268</xdr:rowOff>
    </xdr:from>
    <xdr:to>
      <xdr:col>41</xdr:col>
      <xdr:colOff>316924</xdr:colOff>
      <xdr:row>94</xdr:row>
      <xdr:rowOff>175911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48358" y="10575018"/>
          <a:ext cx="5907191" cy="7857143"/>
        </a:xfrm>
        <a:prstGeom prst="rect">
          <a:avLst/>
        </a:prstGeom>
      </xdr:spPr>
    </xdr:pic>
    <xdr:clientData/>
  </xdr:twoCellAnchor>
  <xdr:twoCellAnchor editAs="oneCell">
    <xdr:from>
      <xdr:col>31</xdr:col>
      <xdr:colOff>278946</xdr:colOff>
      <xdr:row>10</xdr:row>
      <xdr:rowOff>174626</xdr:rowOff>
    </xdr:from>
    <xdr:to>
      <xdr:col>41</xdr:col>
      <xdr:colOff>400453</xdr:colOff>
      <xdr:row>52</xdr:row>
      <xdr:rowOff>58289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636A5BE-12E0-49FF-8DE7-5986DBD1D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85071" y="2159001"/>
          <a:ext cx="6154007" cy="8154538"/>
        </a:xfrm>
        <a:prstGeom prst="rect">
          <a:avLst/>
        </a:prstGeom>
      </xdr:spPr>
    </xdr:pic>
    <xdr:clientData/>
  </xdr:twoCellAnchor>
  <xdr:twoCellAnchor editAs="oneCell">
    <xdr:from>
      <xdr:col>12</xdr:col>
      <xdr:colOff>161018</xdr:colOff>
      <xdr:row>9</xdr:row>
      <xdr:rowOff>6804</xdr:rowOff>
    </xdr:from>
    <xdr:to>
      <xdr:col>22</xdr:col>
      <xdr:colOff>444636</xdr:colOff>
      <xdr:row>50</xdr:row>
      <xdr:rowOff>80967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A0914E-3134-4FCB-93F1-3F97BAFE1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05393" y="1800679"/>
          <a:ext cx="6316118" cy="8154538"/>
        </a:xfrm>
        <a:prstGeom prst="rect">
          <a:avLst/>
        </a:prstGeom>
      </xdr:spPr>
    </xdr:pic>
    <xdr:clientData/>
  </xdr:twoCellAnchor>
  <xdr:twoCellAnchor editAs="oneCell">
    <xdr:from>
      <xdr:col>12</xdr:col>
      <xdr:colOff>278947</xdr:colOff>
      <xdr:row>51</xdr:row>
      <xdr:rowOff>72571</xdr:rowOff>
    </xdr:from>
    <xdr:to>
      <xdr:col>21</xdr:col>
      <xdr:colOff>159954</xdr:colOff>
      <xdr:row>95</xdr:row>
      <xdr:rowOff>188057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076ED8C-7D5C-49AC-82CA-A9D16A0FE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23322" y="10137321"/>
          <a:ext cx="5310257" cy="8497486"/>
        </a:xfrm>
        <a:prstGeom prst="rect">
          <a:avLst/>
        </a:prstGeom>
      </xdr:spPr>
    </xdr:pic>
    <xdr:clientData/>
  </xdr:twoCellAnchor>
  <xdr:twoCellAnchor editAs="oneCell">
    <xdr:from>
      <xdr:col>12</xdr:col>
      <xdr:colOff>201706</xdr:colOff>
      <xdr:row>1</xdr:row>
      <xdr:rowOff>163419</xdr:rowOff>
    </xdr:from>
    <xdr:to>
      <xdr:col>19</xdr:col>
      <xdr:colOff>28507</xdr:colOff>
      <xdr:row>8</xdr:row>
      <xdr:rowOff>81214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0E0D93-DB94-43D9-8AB3-EBE3A1186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46081" y="353919"/>
          <a:ext cx="4049551" cy="1140170"/>
        </a:xfrm>
        <a:prstGeom prst="rect">
          <a:avLst/>
        </a:prstGeom>
      </xdr:spPr>
    </xdr:pic>
    <xdr:clientData/>
  </xdr:twoCellAnchor>
  <xdr:twoCellAnchor editAs="oneCell">
    <xdr:from>
      <xdr:col>0</xdr:col>
      <xdr:colOff>135990</xdr:colOff>
      <xdr:row>1</xdr:row>
      <xdr:rowOff>122464</xdr:rowOff>
    </xdr:from>
    <xdr:to>
      <xdr:col>1</xdr:col>
      <xdr:colOff>1438675</xdr:colOff>
      <xdr:row>3</xdr:row>
      <xdr:rowOff>169529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F2FA79-1406-4B16-8C41-EF5630A2A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35990" y="312964"/>
          <a:ext cx="1712260" cy="428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30</xdr:col>
      <xdr:colOff>517815</xdr:colOff>
      <xdr:row>71</xdr:row>
      <xdr:rowOff>152900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27ABC9-D4D3-45C2-A397-0264F5AE5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590559" y="11060206"/>
          <a:ext cx="4753638" cy="3581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2"/>
  <sheetViews>
    <sheetView tabSelected="1" view="pageBreakPreview" zoomScaleNormal="85" zoomScaleSheetLayoutView="100" workbookViewId="0">
      <selection activeCell="H29" sqref="H29"/>
    </sheetView>
  </sheetViews>
  <sheetFormatPr defaultRowHeight="15" x14ac:dyDescent="0.25"/>
  <cols>
    <col min="1" max="1" width="6.140625" customWidth="1"/>
    <col min="2" max="2" width="25.42578125" customWidth="1"/>
    <col min="3" max="3" width="18.28515625" customWidth="1"/>
    <col min="4" max="4" width="15.85546875" customWidth="1"/>
    <col min="5" max="5" width="16.140625" customWidth="1"/>
    <col min="6" max="6" width="18" customWidth="1"/>
    <col min="7" max="7" width="13.5703125" customWidth="1"/>
    <col min="8" max="8" width="12.85546875" customWidth="1"/>
    <col min="9" max="9" width="15" customWidth="1"/>
    <col min="10" max="10" width="22.28515625" customWidth="1"/>
  </cols>
  <sheetData>
    <row r="1" spans="1:14" x14ac:dyDescent="0.25">
      <c r="A1" s="2"/>
      <c r="B1" s="3"/>
      <c r="C1" s="14"/>
      <c r="D1" s="17" t="s">
        <v>0</v>
      </c>
      <c r="E1" s="77"/>
      <c r="F1" s="10"/>
      <c r="G1" s="11"/>
      <c r="H1" s="11"/>
      <c r="I1" s="12"/>
      <c r="J1" s="80"/>
    </row>
    <row r="2" spans="1:14" x14ac:dyDescent="0.25">
      <c r="A2" s="2"/>
      <c r="B2" s="3"/>
      <c r="C2" s="15"/>
      <c r="D2" s="18" t="s">
        <v>1</v>
      </c>
      <c r="E2" s="78"/>
      <c r="F2" s="10"/>
      <c r="G2" s="11"/>
      <c r="H2" s="11"/>
      <c r="I2" s="12"/>
      <c r="J2" s="81"/>
    </row>
    <row r="3" spans="1:14" x14ac:dyDescent="0.25">
      <c r="A3" s="2"/>
      <c r="B3" s="3"/>
      <c r="C3" s="15"/>
      <c r="D3" s="18" t="s">
        <v>2</v>
      </c>
      <c r="E3" s="13"/>
      <c r="F3" s="10"/>
      <c r="G3" s="11"/>
      <c r="H3" s="11"/>
      <c r="I3" s="12"/>
      <c r="J3" s="81"/>
    </row>
    <row r="4" spans="1:14" x14ac:dyDescent="0.25">
      <c r="A4" s="2"/>
      <c r="B4" s="3"/>
      <c r="C4" s="15"/>
      <c r="D4" s="18" t="s">
        <v>3</v>
      </c>
      <c r="E4" s="13"/>
      <c r="F4" s="10"/>
      <c r="G4" s="11"/>
      <c r="H4" s="11"/>
      <c r="I4" s="12"/>
      <c r="J4" s="81"/>
    </row>
    <row r="5" spans="1:14" x14ac:dyDescent="0.25">
      <c r="A5" s="2"/>
      <c r="B5" s="3"/>
      <c r="C5" s="16"/>
      <c r="D5" s="19" t="s">
        <v>4</v>
      </c>
      <c r="E5" s="79"/>
      <c r="F5" s="9"/>
      <c r="G5" s="7"/>
      <c r="H5" s="7"/>
      <c r="I5" s="8"/>
      <c r="J5" s="81"/>
    </row>
    <row r="6" spans="1:14" x14ac:dyDescent="0.25">
      <c r="A6" s="2"/>
      <c r="B6" s="3"/>
      <c r="C6" s="16"/>
      <c r="D6" s="19" t="s">
        <v>5</v>
      </c>
      <c r="E6" s="79"/>
      <c r="F6" s="9"/>
      <c r="G6" s="7"/>
      <c r="H6" s="7"/>
      <c r="I6" s="8"/>
      <c r="J6" s="81"/>
    </row>
    <row r="7" spans="1:14" ht="5.25" customHeight="1" thickBot="1" x14ac:dyDescent="0.3">
      <c r="A7" s="2"/>
      <c r="B7" s="3"/>
      <c r="C7" s="55"/>
      <c r="D7" s="56"/>
      <c r="E7" s="57"/>
      <c r="F7" s="57"/>
      <c r="G7" s="57"/>
      <c r="H7" s="57"/>
      <c r="I7" s="58"/>
      <c r="J7" s="6"/>
    </row>
    <row r="8" spans="1:14" ht="16.5" thickBot="1" x14ac:dyDescent="0.3">
      <c r="A8" s="59" t="s">
        <v>6</v>
      </c>
      <c r="B8" s="60"/>
      <c r="C8" s="60"/>
      <c r="D8" s="60"/>
      <c r="E8" s="60"/>
      <c r="F8" s="60"/>
      <c r="G8" s="60"/>
      <c r="H8" s="60"/>
      <c r="I8" s="60"/>
      <c r="J8" s="61"/>
      <c r="K8" s="20"/>
      <c r="L8" s="20"/>
      <c r="M8" s="20"/>
    </row>
    <row r="9" spans="1:14" ht="30" customHeight="1" x14ac:dyDescent="0.25">
      <c r="A9" s="46" t="s">
        <v>7</v>
      </c>
      <c r="B9" s="47" t="s">
        <v>8</v>
      </c>
      <c r="C9" s="32" t="s">
        <v>9</v>
      </c>
      <c r="D9" s="32" t="s">
        <v>10</v>
      </c>
      <c r="E9" s="84" t="s">
        <v>11</v>
      </c>
      <c r="F9" s="85"/>
      <c r="G9" s="32" t="s">
        <v>12</v>
      </c>
      <c r="H9" s="32" t="s">
        <v>13</v>
      </c>
      <c r="I9" s="32"/>
      <c r="J9" s="48" t="s">
        <v>14</v>
      </c>
      <c r="K9" s="23"/>
      <c r="L9" s="20"/>
      <c r="M9" s="20"/>
    </row>
    <row r="10" spans="1:14" x14ac:dyDescent="0.25">
      <c r="A10" s="49"/>
      <c r="B10" s="24"/>
      <c r="C10" s="25"/>
      <c r="D10" s="25"/>
      <c r="E10" s="25"/>
      <c r="F10" s="25"/>
      <c r="G10" s="25"/>
      <c r="H10" s="25"/>
      <c r="I10" s="25"/>
      <c r="J10" s="50">
        <f>SUM(G10*H10)</f>
        <v>0</v>
      </c>
      <c r="K10" s="26"/>
      <c r="L10" s="20"/>
      <c r="M10" s="20"/>
    </row>
    <row r="11" spans="1:14" x14ac:dyDescent="0.25">
      <c r="A11" s="49"/>
      <c r="B11" s="24"/>
      <c r="C11" s="25"/>
      <c r="D11" s="25"/>
      <c r="E11" s="25"/>
      <c r="F11" s="25"/>
      <c r="G11" s="25"/>
      <c r="H11" s="25"/>
      <c r="I11" s="25"/>
      <c r="J11" s="50">
        <f t="shared" ref="J11:J12" si="0">SUM(G11*H11)</f>
        <v>0</v>
      </c>
      <c r="K11" s="26"/>
      <c r="L11" s="20"/>
      <c r="M11" s="20"/>
      <c r="N11" s="1"/>
    </row>
    <row r="12" spans="1:14" ht="15.75" thickBot="1" x14ac:dyDescent="0.3">
      <c r="A12" s="51"/>
      <c r="B12" s="52"/>
      <c r="C12" s="53"/>
      <c r="D12" s="53"/>
      <c r="E12" s="53"/>
      <c r="F12" s="53"/>
      <c r="G12" s="53"/>
      <c r="H12" s="53"/>
      <c r="I12" s="53"/>
      <c r="J12" s="54">
        <f t="shared" si="0"/>
        <v>0</v>
      </c>
      <c r="K12" s="26"/>
      <c r="L12" s="20"/>
      <c r="M12" s="20"/>
      <c r="N12" s="1"/>
    </row>
    <row r="13" spans="1:14" x14ac:dyDescent="0.25">
      <c r="A13" s="62"/>
      <c r="B13" s="20"/>
      <c r="C13" s="20"/>
      <c r="D13" s="20"/>
      <c r="E13" s="20"/>
      <c r="F13" s="20"/>
      <c r="G13" s="20"/>
      <c r="H13" s="20"/>
      <c r="I13" s="20"/>
      <c r="J13" s="63"/>
      <c r="K13" s="20"/>
      <c r="L13" s="20"/>
      <c r="M13" s="20"/>
    </row>
    <row r="14" spans="1:14" x14ac:dyDescent="0.25">
      <c r="A14" s="62"/>
      <c r="B14" s="20"/>
      <c r="C14" s="20"/>
      <c r="D14" s="20"/>
      <c r="E14" s="20"/>
      <c r="F14" s="20"/>
      <c r="G14" s="20"/>
      <c r="H14" s="24" t="s">
        <v>15</v>
      </c>
      <c r="I14" s="24"/>
      <c r="J14" s="50">
        <f>SUM(J10:J13)</f>
        <v>0</v>
      </c>
      <c r="K14" s="20" t="s">
        <v>16</v>
      </c>
      <c r="L14" s="20"/>
      <c r="M14" s="20"/>
    </row>
    <row r="15" spans="1:14" x14ac:dyDescent="0.25">
      <c r="A15" s="62"/>
      <c r="B15" s="20"/>
      <c r="C15" s="20"/>
      <c r="D15" s="20"/>
      <c r="E15" s="20"/>
      <c r="F15" s="20"/>
      <c r="G15" s="20"/>
      <c r="H15" s="24" t="s">
        <v>17</v>
      </c>
      <c r="I15" s="24"/>
      <c r="J15" s="50">
        <v>1.25</v>
      </c>
      <c r="K15" s="20"/>
      <c r="L15" s="20"/>
      <c r="M15" s="20"/>
    </row>
    <row r="16" spans="1:14" x14ac:dyDescent="0.25">
      <c r="A16" s="62"/>
      <c r="B16" s="20"/>
      <c r="C16" s="20"/>
      <c r="D16" s="20"/>
      <c r="E16" s="20"/>
      <c r="F16" s="20"/>
      <c r="G16" s="20"/>
      <c r="H16" s="42" t="s">
        <v>18</v>
      </c>
      <c r="I16" s="43"/>
      <c r="J16" s="64">
        <f>SUM(J14*J15)</f>
        <v>0</v>
      </c>
      <c r="K16" s="41" t="s">
        <v>16</v>
      </c>
      <c r="L16" s="20"/>
      <c r="M16" s="20"/>
      <c r="N16" s="1"/>
    </row>
    <row r="17" spans="1:24" x14ac:dyDescent="0.25">
      <c r="A17" s="62"/>
      <c r="B17" s="20"/>
      <c r="C17" s="20"/>
      <c r="D17" s="20"/>
      <c r="E17" s="20"/>
      <c r="F17" s="20"/>
      <c r="G17" s="20"/>
      <c r="H17" s="41"/>
      <c r="I17" s="41"/>
      <c r="J17" s="65"/>
      <c r="K17" s="41"/>
      <c r="L17" s="20"/>
      <c r="M17" s="20"/>
      <c r="N17" s="1"/>
    </row>
    <row r="18" spans="1:24" x14ac:dyDescent="0.25">
      <c r="A18" s="66"/>
      <c r="B18" s="4" t="s">
        <v>35</v>
      </c>
      <c r="C18" s="20"/>
      <c r="D18" s="20"/>
      <c r="E18" s="20"/>
      <c r="F18" s="20"/>
      <c r="G18" s="20"/>
      <c r="H18" s="42" t="s">
        <v>19</v>
      </c>
      <c r="I18" s="43"/>
      <c r="J18" s="67">
        <f>SUM(J16)*0.85</f>
        <v>0</v>
      </c>
      <c r="K18" s="41" t="s">
        <v>16</v>
      </c>
      <c r="L18" s="20"/>
      <c r="M18" s="20"/>
      <c r="N18" s="1"/>
    </row>
    <row r="19" spans="1:24" x14ac:dyDescent="0.25">
      <c r="A19" s="66"/>
      <c r="B19" s="4" t="s">
        <v>36</v>
      </c>
      <c r="C19" s="20"/>
      <c r="D19" s="20"/>
      <c r="E19" s="20"/>
      <c r="F19" s="20"/>
      <c r="G19" s="20"/>
      <c r="H19" s="41"/>
      <c r="I19" s="41"/>
      <c r="J19" s="68"/>
      <c r="K19" s="41"/>
      <c r="L19" s="20"/>
      <c r="M19" s="20"/>
    </row>
    <row r="20" spans="1:24" ht="15.75" thickBot="1" x14ac:dyDescent="0.3">
      <c r="A20" s="69"/>
      <c r="B20" s="70"/>
      <c r="C20" s="70"/>
      <c r="D20" s="70"/>
      <c r="E20" s="70"/>
      <c r="F20" s="70"/>
      <c r="G20" s="70"/>
      <c r="H20" s="70"/>
      <c r="I20" s="70"/>
      <c r="J20" s="71"/>
      <c r="K20" s="20"/>
      <c r="L20" s="20"/>
      <c r="M20" s="20"/>
    </row>
    <row r="21" spans="1:24" x14ac:dyDescent="0.25">
      <c r="A21" s="72"/>
      <c r="B21" s="60"/>
      <c r="C21" s="60"/>
      <c r="D21" s="60"/>
      <c r="E21" s="60"/>
      <c r="F21" s="60"/>
      <c r="G21" s="60"/>
      <c r="H21" s="60"/>
      <c r="I21" s="60"/>
      <c r="J21" s="61"/>
      <c r="K21" s="20"/>
      <c r="L21" s="20"/>
      <c r="M21" s="20"/>
    </row>
    <row r="22" spans="1:24" ht="15.75" x14ac:dyDescent="0.25">
      <c r="A22" s="73" t="s">
        <v>28</v>
      </c>
      <c r="B22" s="41"/>
      <c r="C22" s="20"/>
      <c r="D22" s="20"/>
      <c r="E22" s="20"/>
      <c r="F22" s="20"/>
      <c r="G22" s="20"/>
      <c r="H22" s="20"/>
      <c r="I22" s="20"/>
      <c r="J22" s="74">
        <v>0.25</v>
      </c>
      <c r="K22" s="45" t="s">
        <v>32</v>
      </c>
      <c r="L22" s="20"/>
      <c r="M22" s="20"/>
    </row>
    <row r="23" spans="1:24" ht="26.25" x14ac:dyDescent="0.25">
      <c r="A23" s="75" t="s">
        <v>7</v>
      </c>
      <c r="B23" s="21" t="s">
        <v>8</v>
      </c>
      <c r="C23" s="82" t="s">
        <v>29</v>
      </c>
      <c r="D23" s="83"/>
      <c r="E23" s="22" t="s">
        <v>12</v>
      </c>
      <c r="F23" s="22" t="s">
        <v>30</v>
      </c>
      <c r="G23" s="22"/>
      <c r="H23" s="22" t="s">
        <v>14</v>
      </c>
      <c r="I23" s="20"/>
      <c r="J23" s="74">
        <v>0.35</v>
      </c>
      <c r="K23" s="45" t="s">
        <v>33</v>
      </c>
      <c r="L23" s="20"/>
      <c r="M23" s="20"/>
    </row>
    <row r="24" spans="1:24" x14ac:dyDescent="0.25">
      <c r="A24" s="49"/>
      <c r="B24" s="24"/>
      <c r="C24" s="25"/>
      <c r="D24" s="25"/>
      <c r="E24" s="25"/>
      <c r="F24" s="25"/>
      <c r="G24" s="25"/>
      <c r="H24" s="25"/>
      <c r="I24" s="20" t="s">
        <v>31</v>
      </c>
      <c r="J24" s="74">
        <v>0.5</v>
      </c>
      <c r="K24" s="45" t="s">
        <v>34</v>
      </c>
      <c r="M24" s="20"/>
    </row>
    <row r="25" spans="1:24" ht="15.75" thickBot="1" x14ac:dyDescent="0.3">
      <c r="A25" s="69"/>
      <c r="B25" s="76"/>
      <c r="C25" s="76"/>
      <c r="D25" s="76"/>
      <c r="E25" s="76"/>
      <c r="F25" s="76"/>
      <c r="G25" s="76"/>
      <c r="H25" s="76"/>
      <c r="I25" s="76"/>
      <c r="J25" s="71"/>
      <c r="M25" s="20"/>
    </row>
    <row r="26" spans="1:24" ht="16.5" thickBot="1" x14ac:dyDescent="0.3">
      <c r="A26" s="44" t="s">
        <v>38</v>
      </c>
      <c r="B26" s="20"/>
      <c r="C26" s="20"/>
      <c r="D26" s="20"/>
      <c r="E26" s="20"/>
      <c r="F26" s="20"/>
      <c r="G26" s="20"/>
      <c r="H26" s="20"/>
      <c r="I26" s="20"/>
      <c r="J26" s="20"/>
      <c r="M26" s="20"/>
    </row>
    <row r="27" spans="1:24" ht="15.75" thickBot="1" x14ac:dyDescent="0.3">
      <c r="A27" s="4"/>
      <c r="B27" s="27"/>
      <c r="C27" s="28"/>
      <c r="D27" s="29" t="s">
        <v>20</v>
      </c>
      <c r="E27" s="28"/>
      <c r="F27" s="28"/>
      <c r="G27" s="30"/>
      <c r="H27" s="4"/>
      <c r="I27" s="4"/>
      <c r="J27" s="4"/>
      <c r="K27" s="4"/>
      <c r="L27" s="4"/>
      <c r="M27" s="5"/>
    </row>
    <row r="28" spans="1:24" x14ac:dyDescent="0.25">
      <c r="A28" s="4"/>
      <c r="B28" s="31" t="s">
        <v>21</v>
      </c>
      <c r="C28" s="32"/>
      <c r="D28" s="32"/>
      <c r="E28" s="33" t="s">
        <v>22</v>
      </c>
      <c r="F28" s="86" t="s">
        <v>23</v>
      </c>
      <c r="G28" s="87"/>
      <c r="H28" s="4"/>
      <c r="I28" s="4"/>
      <c r="J28" s="4"/>
      <c r="K28" s="4"/>
      <c r="L28" s="4"/>
      <c r="M28" s="5"/>
    </row>
    <row r="29" spans="1:24" ht="15.75" thickBot="1" x14ac:dyDescent="0.3">
      <c r="A29" s="4"/>
      <c r="B29" s="34" t="s">
        <v>24</v>
      </c>
      <c r="C29" s="35" t="s">
        <v>25</v>
      </c>
      <c r="D29" s="35" t="s">
        <v>26</v>
      </c>
      <c r="E29" s="36"/>
      <c r="F29" s="35" t="s">
        <v>27</v>
      </c>
      <c r="G29" s="37" t="s">
        <v>16</v>
      </c>
      <c r="H29" s="4"/>
      <c r="I29" s="4"/>
      <c r="J29" s="4"/>
      <c r="K29" s="4"/>
      <c r="L29" s="4"/>
      <c r="M29" s="5"/>
    </row>
    <row r="30" spans="1:24" ht="15.75" thickBot="1" x14ac:dyDescent="0.3">
      <c r="B30" s="38"/>
      <c r="C30" s="39"/>
      <c r="D30" s="39"/>
      <c r="E30" s="39"/>
      <c r="F30" s="39"/>
      <c r="G30" s="40"/>
      <c r="H30" s="4"/>
      <c r="I30" s="4"/>
      <c r="J30" s="4"/>
      <c r="K30" s="4"/>
      <c r="L30" s="4"/>
      <c r="M30" s="5"/>
    </row>
    <row r="31" spans="1:24" x14ac:dyDescent="0.25">
      <c r="C31" s="4"/>
      <c r="D31" s="4"/>
      <c r="E31" s="4"/>
      <c r="F31" s="4"/>
      <c r="G31" s="4"/>
      <c r="H31" s="4"/>
      <c r="I31" s="4"/>
      <c r="J31" s="4"/>
      <c r="K31" s="4"/>
      <c r="L31" s="4"/>
      <c r="M31" s="5"/>
    </row>
    <row r="32" spans="1:24" x14ac:dyDescent="0.25">
      <c r="A32" t="s">
        <v>39</v>
      </c>
      <c r="X32" s="1" t="s">
        <v>37</v>
      </c>
    </row>
  </sheetData>
  <mergeCells count="4">
    <mergeCell ref="J1:J6"/>
    <mergeCell ref="C23:D23"/>
    <mergeCell ref="E9:F9"/>
    <mergeCell ref="F28:G28"/>
  </mergeCells>
  <pageMargins left="0.7" right="0.7" top="0.75" bottom="0.75" header="0.3" footer="0.3"/>
  <pageSetup scale="49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C94AC5-8834-4F20-8737-EF74EB62AC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E893A6-1324-4040-88A3-D106F551996A}">
  <ds:schemaRefs>
    <ds:schemaRef ds:uri="http://schemas.microsoft.com/office/2006/metadata/properties"/>
    <ds:schemaRef ds:uri="http://schemas.microsoft.com/office/infopath/2007/PartnerControls"/>
    <ds:schemaRef ds:uri="e7f41548-b147-4677-b5c1-649140998ffd"/>
    <ds:schemaRef ds:uri="f958eb6a-8018-439d-a122-07974d7873c0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A0470671-0AFB-4834-8E76-87956C0289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2019-07-31T09:33:08Z</dcterms:created>
  <dcterms:modified xsi:type="dcterms:W3CDTF">2026-06-23T13:34:58Z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  <property fmtid="{D5CDD505-2E9C-101B-9397-08002B2CF9AE}" pid="4" name="Order">
    <vt:r8>194900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
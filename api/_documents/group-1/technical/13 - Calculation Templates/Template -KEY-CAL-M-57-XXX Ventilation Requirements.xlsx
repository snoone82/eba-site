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144" documentId="8_{B674D8F8-DDF6-4888-A6FB-FE91F05C919F}" xr6:coauthVersionLast="47" xr6:coauthVersionMax="47" xr10:uidLastSave="{45249400-CAB0-4A89-BF27-06344B8896E6}"/>
  <bookViews>
    <workbookView xWindow="12045" yWindow="4065" windowWidth="24360" windowHeight="15345" activeTab="1" xr2:uid="{018966E7-6BC3-4FF2-9C0D-9E17FD79B5A3}"/>
  </bookViews>
  <sheets>
    <sheet name="AC_FA" sheetId="14" r:id="rId1"/>
    <sheet name="Ventilation Rates H&amp;C" sheetId="1" r:id="rId2"/>
  </sheets>
  <definedNames>
    <definedName name="_xlnm.Print_Area" localSheetId="0">AC_FA!$A$1:$Q$31</definedName>
    <definedName name="_xlnm.Print_Area" localSheetId="1">'Ventilation Rates H&amp;C'!$A$1:$U$42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4" l="1"/>
  <c r="N18" i="14"/>
  <c r="O13" i="14"/>
  <c r="N22" i="14" l="1"/>
  <c r="O23" i="14"/>
  <c r="N17" i="14"/>
  <c r="O16" i="14"/>
  <c r="O19" i="14"/>
  <c r="O17" i="14"/>
  <c r="N20" i="14"/>
  <c r="N12" i="14"/>
  <c r="O22" i="14"/>
  <c r="O14" i="14"/>
  <c r="N23" i="14"/>
  <c r="N14" i="14"/>
  <c r="N16" i="14"/>
  <c r="N15" i="14"/>
  <c r="N19" i="14"/>
  <c r="O12" i="14"/>
  <c r="O20" i="14"/>
  <c r="O15" i="14"/>
  <c r="O18" i="14"/>
  <c r="N13" i="14"/>
  <c r="O21" i="14"/>
  <c r="N26" i="14" l="1"/>
  <c r="N28" i="14" s="1"/>
  <c r="O26" i="14"/>
  <c r="O28" i="14" s="1"/>
  <c r="U14" i="1"/>
  <c r="U26" i="1" l="1"/>
  <c r="U31" i="1"/>
  <c r="U24" i="1" l="1"/>
  <c r="U27" i="1"/>
  <c r="U13" i="1" l="1"/>
  <c r="U22" i="1"/>
  <c r="U25" i="1"/>
  <c r="U9" i="1" l="1"/>
  <c r="U28" i="1" l="1"/>
  <c r="U30" i="1"/>
  <c r="U29" i="1"/>
  <c r="U16" i="1" l="1"/>
  <c r="U12" i="1"/>
  <c r="U18" i="1"/>
  <c r="U20" i="1"/>
  <c r="U19" i="1"/>
  <c r="U10" i="1"/>
</calcChain>
</file>

<file path=xl/sharedStrings.xml><?xml version="1.0" encoding="utf-8"?>
<sst xmlns="http://schemas.openxmlformats.org/spreadsheetml/2006/main" count="55" uniqueCount="44">
  <si>
    <t>Project No.</t>
  </si>
  <si>
    <t>Project</t>
  </si>
  <si>
    <t>Title</t>
  </si>
  <si>
    <t>Schedule No.</t>
  </si>
  <si>
    <t>Revision</t>
  </si>
  <si>
    <t>Date</t>
  </si>
  <si>
    <t>Sheet</t>
  </si>
  <si>
    <t>ACH</t>
  </si>
  <si>
    <t>Fresh air/person</t>
  </si>
  <si>
    <t>REF</t>
  </si>
  <si>
    <t>Building Ref</t>
  </si>
  <si>
    <t>Name</t>
  </si>
  <si>
    <t>Area</t>
  </si>
  <si>
    <t>Height</t>
  </si>
  <si>
    <t>Occupancy</t>
  </si>
  <si>
    <t>Fresh Air Rate/Occupant l/s/p</t>
  </si>
  <si>
    <t>Supply Air (m3/s)</t>
  </si>
  <si>
    <t>Extract Air</t>
  </si>
  <si>
    <t>Total Supply (Largest No.)</t>
  </si>
  <si>
    <t>Total Extract (Largest No.)</t>
  </si>
  <si>
    <t>Notes</t>
  </si>
  <si>
    <t>(+10%)</t>
  </si>
  <si>
    <t>Roof Ref</t>
  </si>
  <si>
    <t xml:space="preserve">Classification </t>
  </si>
  <si>
    <t>Room Name</t>
  </si>
  <si>
    <t>Room Area m²</t>
  </si>
  <si>
    <t xml:space="preserve">Height m </t>
  </si>
  <si>
    <t>Room Vol m³</t>
  </si>
  <si>
    <t>Filtration</t>
  </si>
  <si>
    <t>Room Temperature °C</t>
  </si>
  <si>
    <t>Supply air Volume m³/s</t>
  </si>
  <si>
    <t>Extract Air Volume m³/s</t>
  </si>
  <si>
    <t>Occupancy Level</t>
  </si>
  <si>
    <t>Occupancy Total Heat Gain KW</t>
  </si>
  <si>
    <t>Lighting Heat Gain Kw</t>
  </si>
  <si>
    <t>Fabric Heat Gain KW</t>
  </si>
  <si>
    <t>Equipment Heat Gains KW</t>
  </si>
  <si>
    <t>Total Heat Gains KW</t>
  </si>
  <si>
    <t xml:space="preserve">Heat Gain Kw Based on 65w/m2 </t>
  </si>
  <si>
    <t>Supply Air Temperature °C</t>
  </si>
  <si>
    <t>total w/m2</t>
  </si>
  <si>
    <t>THIS SHOULD BE USED FOR INITIAL CALCULATIONS ONLY - TO BE SUBSTANTUATED BY HEVACOMP CALCS FROM STAGE 4 ONWARD.</t>
  </si>
  <si>
    <t>IP 02-05-13-5705 Version 1</t>
  </si>
  <si>
    <t>IP 02-05-13-5704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</si>
</sst>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70C0"/>
      <name val="Arial"/>
      <family val="2"/>
    </font>
    <font>
      <b/>
      <sz val="9"/>
      <color rgb="FFC00000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sz val="9"/>
      <color rgb="FFC00000"/>
      <name val="Arial"/>
      <family val="2"/>
    </font>
    <font>
      <b/>
      <sz val="9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0" fontId="3" fillId="3" borderId="7" xfId="0" applyFont="1" applyFill="1" applyBorder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3" fillId="3" borderId="7" xfId="0" applyFont="1" applyFill="1" applyBorder="1"/>
    <xf numFmtId="0" fontId="0" fillId="3" borderId="4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4" fillId="3" borderId="4" xfId="0" applyFont="1" applyFill="1" applyBorder="1" applyAlignment="1">
      <alignment horizontal="left"/>
    </xf>
    <xf numFmtId="0" fontId="5" fillId="3" borderId="4" xfId="0" applyFont="1" applyFill="1" applyBorder="1"/>
    <xf numFmtId="0" fontId="5" fillId="3" borderId="16" xfId="0" applyFont="1" applyFill="1" applyBorder="1"/>
    <xf numFmtId="0" fontId="5" fillId="0" borderId="0" xfId="0" applyFont="1"/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center" vertical="center" wrapText="1"/>
    </xf>
    <xf numFmtId="0" fontId="0" fillId="3" borderId="20" xfId="0" applyFill="1" applyBorder="1"/>
    <xf numFmtId="2" fontId="5" fillId="3" borderId="20" xfId="0" applyNumberFormat="1" applyFont="1" applyFill="1" applyBorder="1"/>
    <xf numFmtId="0" fontId="5" fillId="3" borderId="20" xfId="0" applyFont="1" applyFill="1" applyBorder="1"/>
    <xf numFmtId="2" fontId="5" fillId="3" borderId="17" xfId="0" applyNumberFormat="1" applyFont="1" applyFill="1" applyBorder="1"/>
    <xf numFmtId="0" fontId="1" fillId="0" borderId="0" xfId="0" applyFont="1" applyAlignment="1">
      <alignment horizontal="center" vertical="center" wrapText="1"/>
    </xf>
    <xf numFmtId="2" fontId="5" fillId="0" borderId="0" xfId="0" applyNumberFormat="1" applyFont="1"/>
    <xf numFmtId="0" fontId="6" fillId="2" borderId="6" xfId="0" applyFont="1" applyFill="1" applyBorder="1" applyAlignment="1">
      <alignment horizontal="center"/>
    </xf>
    <xf numFmtId="0" fontId="8" fillId="0" borderId="0" xfId="0" applyFont="1"/>
    <xf numFmtId="0" fontId="12" fillId="0" borderId="0" xfId="0" applyFont="1"/>
    <xf numFmtId="0" fontId="13" fillId="0" borderId="0" xfId="0" applyFont="1"/>
    <xf numFmtId="0" fontId="7" fillId="4" borderId="31" xfId="0" applyFont="1" applyFill="1" applyBorder="1"/>
    <xf numFmtId="0" fontId="9" fillId="4" borderId="31" xfId="0" applyFont="1" applyFill="1" applyBorder="1"/>
    <xf numFmtId="0" fontId="10" fillId="4" borderId="31" xfId="0" applyFont="1" applyFill="1" applyBorder="1"/>
    <xf numFmtId="0" fontId="7" fillId="2" borderId="41" xfId="0" applyFont="1" applyFill="1" applyBorder="1" applyAlignment="1">
      <alignment horizontal="center" wrapText="1"/>
    </xf>
    <xf numFmtId="0" fontId="7" fillId="2" borderId="41" xfId="0" applyFont="1" applyFill="1" applyBorder="1"/>
    <xf numFmtId="2" fontId="8" fillId="0" borderId="0" xfId="0" applyNumberFormat="1" applyFont="1"/>
    <xf numFmtId="2" fontId="9" fillId="4" borderId="0" xfId="0" applyNumberFormat="1" applyFont="1" applyFill="1"/>
    <xf numFmtId="2" fontId="10" fillId="4" borderId="0" xfId="0" applyNumberFormat="1" applyFont="1" applyFill="1"/>
    <xf numFmtId="0" fontId="8" fillId="0" borderId="6" xfId="0" applyFont="1" applyBorder="1"/>
    <xf numFmtId="2" fontId="8" fillId="0" borderId="6" xfId="0" applyNumberFormat="1" applyFont="1" applyBorder="1"/>
    <xf numFmtId="164" fontId="8" fillId="0" borderId="6" xfId="0" applyNumberFormat="1" applyFont="1" applyBorder="1"/>
    <xf numFmtId="164" fontId="9" fillId="4" borderId="6" xfId="0" applyNumberFormat="1" applyFont="1" applyFill="1" applyBorder="1"/>
    <xf numFmtId="164" fontId="10" fillId="4" borderId="6" xfId="0" applyNumberFormat="1" applyFont="1" applyFill="1" applyBorder="1"/>
    <xf numFmtId="0" fontId="11" fillId="0" borderId="6" xfId="0" applyFont="1" applyBorder="1"/>
    <xf numFmtId="164" fontId="11" fillId="0" borderId="6" xfId="0" applyNumberFormat="1" applyFont="1" applyBorder="1"/>
    <xf numFmtId="2" fontId="12" fillId="0" borderId="6" xfId="0" applyNumberFormat="1" applyFont="1" applyBorder="1"/>
    <xf numFmtId="2" fontId="13" fillId="0" borderId="6" xfId="0" applyNumberFormat="1" applyFont="1" applyBorder="1"/>
    <xf numFmtId="0" fontId="7" fillId="0" borderId="32" xfId="0" applyFont="1" applyBorder="1"/>
    <xf numFmtId="0" fontId="8" fillId="0" borderId="33" xfId="0" applyFont="1" applyBorder="1"/>
    <xf numFmtId="2" fontId="8" fillId="0" borderId="33" xfId="0" applyNumberFormat="1" applyFont="1" applyBorder="1"/>
    <xf numFmtId="164" fontId="8" fillId="0" borderId="33" xfId="0" applyNumberFormat="1" applyFont="1" applyBorder="1"/>
    <xf numFmtId="0" fontId="8" fillId="0" borderId="42" xfId="0" applyFont="1" applyBorder="1"/>
    <xf numFmtId="0" fontId="7" fillId="0" borderId="7" xfId="0" applyFont="1" applyBorder="1"/>
    <xf numFmtId="0" fontId="8" fillId="0" borderId="43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2" fontId="12" fillId="0" borderId="9" xfId="0" applyNumberFormat="1" applyFont="1" applyBorder="1"/>
    <xf numFmtId="2" fontId="13" fillId="0" borderId="9" xfId="0" applyNumberFormat="1" applyFont="1" applyBorder="1"/>
    <xf numFmtId="0" fontId="8" fillId="0" borderId="44" xfId="0" applyFont="1" applyBorder="1"/>
    <xf numFmtId="0" fontId="8" fillId="3" borderId="6" xfId="0" applyFont="1" applyFill="1" applyBorder="1"/>
    <xf numFmtId="2" fontId="5" fillId="0" borderId="22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5" fillId="0" borderId="3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5" fillId="0" borderId="22" xfId="0" applyFont="1" applyBorder="1"/>
    <xf numFmtId="0" fontId="17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32" xfId="0" applyFont="1" applyBorder="1" applyAlignment="1">
      <alignment horizontal="center"/>
    </xf>
    <xf numFmtId="2" fontId="5" fillId="0" borderId="3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65" fontId="5" fillId="0" borderId="33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5" fillId="0" borderId="39" xfId="0" applyFont="1" applyBorder="1"/>
    <xf numFmtId="2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40" xfId="0" applyFont="1" applyBorder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3" borderId="3" xfId="0" applyFont="1" applyFill="1" applyBorder="1"/>
    <xf numFmtId="0" fontId="5" fillId="3" borderId="1" xfId="0" applyFont="1" applyFill="1" applyBorder="1"/>
    <xf numFmtId="0" fontId="18" fillId="3" borderId="13" xfId="0" applyFont="1" applyFill="1" applyBorder="1"/>
    <xf numFmtId="0" fontId="19" fillId="3" borderId="2" xfId="0" applyFont="1" applyFill="1" applyBorder="1"/>
    <xf numFmtId="0" fontId="18" fillId="3" borderId="7" xfId="0" applyFont="1" applyFill="1" applyBorder="1" applyAlignment="1">
      <alignment horizontal="left"/>
    </xf>
    <xf numFmtId="0" fontId="19" fillId="3" borderId="5" xfId="0" applyFont="1" applyFill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0" fontId="18" fillId="3" borderId="35" xfId="0" applyFont="1" applyFill="1" applyBorder="1" applyAlignment="1">
      <alignment horizontal="left"/>
    </xf>
    <xf numFmtId="0" fontId="19" fillId="3" borderId="36" xfId="0" applyFont="1" applyFill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14" fillId="3" borderId="4" xfId="0" applyFont="1" applyFill="1" applyBorder="1"/>
    <xf numFmtId="0" fontId="14" fillId="3" borderId="4" xfId="0" applyFont="1" applyFill="1" applyBorder="1" applyAlignment="1">
      <alignment horizontal="left"/>
    </xf>
    <xf numFmtId="0" fontId="14" fillId="3" borderId="20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148384</xdr:colOff>
      <xdr:row>1</xdr:row>
      <xdr:rowOff>117662</xdr:rowOff>
    </xdr:from>
    <xdr:to>
      <xdr:col>1</xdr:col>
      <xdr:colOff>1297734</xdr:colOff>
      <xdr:row>4</xdr:row>
      <xdr:rowOff>79562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5C381F-1205-4EA5-B8FF-48079E9A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8384" y="276412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348595</xdr:colOff>
      <xdr:row>1</xdr:row>
      <xdr:rowOff>0</xdr:rowOff>
    </xdr:from>
    <xdr:to>
      <xdr:col>2</xdr:col>
      <xdr:colOff>733705</xdr:colOff>
      <xdr:row>3</xdr:row>
      <xdr:rowOff>56590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FA7E0-5579-4DF1-9A1B-B4A492C53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8595" y="190500"/>
          <a:ext cx="1750360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57DD-6916-4356-AFEA-A061635BC61E}">
  <dimension ref="A1:Y29"/>
  <sheetViews>
    <sheetView view="pageBreakPreview" zoomScale="60" zoomScaleNormal="100" workbookViewId="0">
      <selection activeCell="A12" sqref="A12:L23"/>
    </sheetView>
  </sheetViews>
  <sheetFormatPr defaultRowHeight="15" x14ac:dyDescent="0.25"/>
  <cols>
    <col min="2" max="2" width="22.140625" customWidth="1"/>
    <col min="3" max="3" width="22" customWidth="1"/>
    <col min="4" max="4" width="8.7109375" customWidth="1"/>
    <col min="6" max="6" width="10.42578125" customWidth="1"/>
    <col min="7" max="7" width="13.85546875" customWidth="1"/>
    <col min="13" max="13" width="1.85546875" customWidth="1"/>
    <col min="16" max="16" width="2.7109375" customWidth="1"/>
    <col min="17" max="17" width="27.5703125" customWidth="1"/>
  </cols>
  <sheetData>
    <row r="1" spans="1:25" ht="12.75" customHeight="1" x14ac:dyDescent="0.25">
      <c r="A1" s="6"/>
      <c r="B1" s="7"/>
      <c r="C1" s="8" t="s">
        <v>0</v>
      </c>
      <c r="D1" s="116"/>
      <c r="E1" s="9"/>
      <c r="F1" s="9"/>
      <c r="G1" s="10"/>
      <c r="H1" s="10"/>
      <c r="I1" s="10"/>
      <c r="J1" s="9"/>
      <c r="K1" s="9"/>
      <c r="L1" s="9"/>
      <c r="M1" s="9"/>
      <c r="N1" s="9"/>
      <c r="O1" s="11"/>
      <c r="Q1" s="120"/>
    </row>
    <row r="2" spans="1:25" ht="12.75" customHeight="1" x14ac:dyDescent="0.25">
      <c r="A2" s="6"/>
      <c r="B2" s="7"/>
      <c r="C2" s="5" t="s">
        <v>1</v>
      </c>
      <c r="D2" s="117"/>
      <c r="E2" s="9"/>
      <c r="F2" s="9"/>
      <c r="G2" s="10"/>
      <c r="H2" s="10"/>
      <c r="I2" s="10"/>
      <c r="J2" s="9"/>
      <c r="K2" s="9"/>
      <c r="L2" s="9"/>
      <c r="M2" s="9"/>
      <c r="N2" s="9"/>
      <c r="O2" s="11"/>
      <c r="Q2" s="121"/>
    </row>
    <row r="3" spans="1:25" ht="12.75" customHeight="1" x14ac:dyDescent="0.25">
      <c r="A3" s="6"/>
      <c r="B3" s="7"/>
      <c r="C3" s="5" t="s">
        <v>2</v>
      </c>
      <c r="D3" s="12"/>
      <c r="E3" s="9"/>
      <c r="F3" s="9"/>
      <c r="G3" s="10"/>
      <c r="H3" s="10"/>
      <c r="I3" s="10"/>
      <c r="J3" s="9"/>
      <c r="K3" s="9"/>
      <c r="L3" s="9"/>
      <c r="M3" s="9"/>
      <c r="N3" s="9"/>
      <c r="O3" s="11"/>
      <c r="Q3" s="121"/>
    </row>
    <row r="4" spans="1:25" ht="12.75" customHeight="1" x14ac:dyDescent="0.25">
      <c r="A4" s="6"/>
      <c r="B4" s="7"/>
      <c r="C4" s="5" t="s">
        <v>3</v>
      </c>
      <c r="D4" s="12"/>
      <c r="E4" s="9"/>
      <c r="F4" s="9"/>
      <c r="G4" s="10"/>
      <c r="H4" s="10"/>
      <c r="I4" s="10"/>
      <c r="J4" s="9"/>
      <c r="K4" s="13"/>
      <c r="L4" s="13"/>
      <c r="M4" s="13"/>
      <c r="N4" s="13"/>
      <c r="O4" s="14"/>
      <c r="P4" s="15"/>
      <c r="Q4" s="121"/>
      <c r="R4" s="15"/>
      <c r="S4" s="15"/>
      <c r="T4" s="15"/>
      <c r="U4" s="15"/>
      <c r="V4" s="15"/>
      <c r="W4" s="15"/>
      <c r="X4" s="15"/>
      <c r="Y4" s="15"/>
    </row>
    <row r="5" spans="1:25" ht="12.75" customHeight="1" x14ac:dyDescent="0.25">
      <c r="A5" s="6"/>
      <c r="B5" s="7"/>
      <c r="C5" s="5" t="s">
        <v>4</v>
      </c>
      <c r="D5" s="117"/>
      <c r="E5" s="9"/>
      <c r="F5" s="9"/>
      <c r="G5" s="10"/>
      <c r="H5" s="10"/>
      <c r="I5" s="10"/>
      <c r="J5" s="9"/>
      <c r="K5" s="13"/>
      <c r="L5" s="13"/>
      <c r="M5" s="13"/>
      <c r="N5" s="13"/>
      <c r="O5" s="14"/>
      <c r="P5" s="15"/>
      <c r="Q5" s="121"/>
      <c r="R5" s="15"/>
      <c r="S5" s="15"/>
      <c r="T5" s="15"/>
      <c r="U5" s="15"/>
      <c r="V5" s="15"/>
      <c r="W5" s="15"/>
      <c r="X5" s="15"/>
      <c r="Y5" s="15"/>
    </row>
    <row r="6" spans="1:25" ht="12.75" customHeight="1" x14ac:dyDescent="0.25">
      <c r="A6" s="6"/>
      <c r="B6" s="7"/>
      <c r="C6" s="5" t="s">
        <v>5</v>
      </c>
      <c r="D6" s="117"/>
      <c r="E6" s="9"/>
      <c r="F6" s="9"/>
      <c r="G6" s="10"/>
      <c r="H6" s="10"/>
      <c r="I6" s="10"/>
      <c r="J6" s="9"/>
      <c r="K6" s="13"/>
      <c r="L6" s="13"/>
      <c r="M6" s="13"/>
      <c r="N6" s="13"/>
      <c r="O6" s="14"/>
      <c r="P6" s="15"/>
      <c r="Q6" s="121"/>
      <c r="R6" s="15"/>
      <c r="S6" s="15"/>
      <c r="T6" s="15"/>
      <c r="U6" s="15"/>
      <c r="V6" s="15"/>
      <c r="W6" s="15"/>
      <c r="X6" s="15"/>
      <c r="Y6" s="15"/>
    </row>
    <row r="7" spans="1:25" ht="12.75" customHeight="1" thickBot="1" x14ac:dyDescent="0.3">
      <c r="A7" s="16"/>
      <c r="B7" s="17"/>
      <c r="C7" s="18" t="s">
        <v>6</v>
      </c>
      <c r="D7" s="118"/>
      <c r="E7" s="19"/>
      <c r="F7" s="19"/>
      <c r="G7" s="19"/>
      <c r="H7" s="19"/>
      <c r="I7" s="19"/>
      <c r="J7" s="20"/>
      <c r="K7" s="21"/>
      <c r="L7" s="22"/>
      <c r="M7" s="22"/>
      <c r="N7" s="21"/>
      <c r="O7" s="23"/>
      <c r="P7" s="15"/>
      <c r="Q7" s="122"/>
      <c r="R7" s="15"/>
      <c r="S7" s="15"/>
      <c r="T7" s="15"/>
      <c r="U7" s="15"/>
      <c r="V7" s="15"/>
      <c r="W7" s="15"/>
      <c r="X7" s="15"/>
      <c r="Y7" s="15"/>
    </row>
    <row r="8" spans="1:25" ht="12.7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5"/>
      <c r="L8" s="15"/>
      <c r="M8" s="15"/>
      <c r="N8" s="25"/>
      <c r="O8" s="2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5">
      <c r="A9" s="15"/>
      <c r="B9" s="15"/>
      <c r="C9" s="15"/>
      <c r="D9" s="15"/>
      <c r="E9" s="15"/>
      <c r="F9" s="15"/>
      <c r="G9" s="15"/>
      <c r="H9" s="15"/>
      <c r="I9" s="119" t="s">
        <v>7</v>
      </c>
      <c r="J9" s="119"/>
      <c r="K9" s="119" t="s">
        <v>8</v>
      </c>
      <c r="L9" s="119"/>
      <c r="M9" s="15"/>
      <c r="N9" s="26"/>
      <c r="O9" s="26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49.5" thickBot="1" x14ac:dyDescent="0.3">
      <c r="A10" s="33" t="s">
        <v>9</v>
      </c>
      <c r="B10" s="33" t="s">
        <v>10</v>
      </c>
      <c r="C10" s="33" t="s">
        <v>11</v>
      </c>
      <c r="D10" s="33" t="s">
        <v>12</v>
      </c>
      <c r="E10" s="33" t="s">
        <v>13</v>
      </c>
      <c r="F10" s="33" t="s">
        <v>14</v>
      </c>
      <c r="G10" s="33" t="s">
        <v>15</v>
      </c>
      <c r="H10" s="33" t="s">
        <v>7</v>
      </c>
      <c r="I10" s="33" t="s">
        <v>16</v>
      </c>
      <c r="J10" s="33" t="s">
        <v>17</v>
      </c>
      <c r="K10" s="33" t="s">
        <v>16</v>
      </c>
      <c r="L10" s="33" t="s">
        <v>17</v>
      </c>
      <c r="M10" s="27"/>
      <c r="N10" s="33" t="s">
        <v>18</v>
      </c>
      <c r="O10" s="33" t="s">
        <v>19</v>
      </c>
      <c r="P10" s="27"/>
      <c r="Q10" s="34" t="s">
        <v>20</v>
      </c>
      <c r="R10" s="15"/>
      <c r="S10" s="15"/>
      <c r="T10" s="15"/>
      <c r="U10" s="15"/>
      <c r="V10" s="15"/>
      <c r="W10" s="15"/>
      <c r="X10" s="15"/>
      <c r="Y10" s="15"/>
    </row>
    <row r="11" spans="1:25" x14ac:dyDescent="0.25">
      <c r="A11" s="47"/>
      <c r="B11" s="48"/>
      <c r="C11" s="48"/>
      <c r="D11" s="48"/>
      <c r="E11" s="48"/>
      <c r="F11" s="48"/>
      <c r="G11" s="48"/>
      <c r="H11" s="48"/>
      <c r="I11" s="49"/>
      <c r="J11" s="49"/>
      <c r="K11" s="50"/>
      <c r="L11" s="49"/>
      <c r="M11" s="48"/>
      <c r="N11" s="48"/>
      <c r="O11" s="48"/>
      <c r="P11" s="48"/>
      <c r="Q11" s="51"/>
      <c r="R11" s="15"/>
      <c r="S11" s="15"/>
      <c r="T11" s="15"/>
      <c r="U11" s="15"/>
      <c r="V11" s="15"/>
      <c r="W11" s="15"/>
      <c r="X11" s="15"/>
      <c r="Y11" s="15"/>
    </row>
    <row r="12" spans="1:25" x14ac:dyDescent="0.25">
      <c r="A12" s="52"/>
      <c r="B12" s="38"/>
      <c r="C12" s="38"/>
      <c r="D12" s="38"/>
      <c r="E12" s="38"/>
      <c r="F12" s="38"/>
      <c r="G12" s="38"/>
      <c r="H12" s="38"/>
      <c r="I12" s="40"/>
      <c r="J12" s="40"/>
      <c r="K12" s="40"/>
      <c r="L12" s="40"/>
      <c r="M12" s="38"/>
      <c r="N12" s="41" t="e">
        <f>LARGE((I12,K12),1)</f>
        <v>#NUM!</v>
      </c>
      <c r="O12" s="42" t="e">
        <f>LARGE((J12,L12),1)</f>
        <v>#NUM!</v>
      </c>
      <c r="P12" s="38"/>
      <c r="Q12" s="53"/>
      <c r="R12" s="15"/>
      <c r="S12" s="15"/>
      <c r="T12" s="15"/>
      <c r="U12" s="15"/>
      <c r="V12" s="15"/>
      <c r="W12" s="15"/>
      <c r="X12" s="15"/>
      <c r="Y12" s="15"/>
    </row>
    <row r="13" spans="1:25" x14ac:dyDescent="0.25">
      <c r="A13" s="52"/>
      <c r="B13" s="38"/>
      <c r="C13" s="38"/>
      <c r="D13" s="38"/>
      <c r="E13" s="38"/>
      <c r="F13" s="38"/>
      <c r="G13" s="38"/>
      <c r="H13" s="38"/>
      <c r="I13" s="40"/>
      <c r="J13" s="40"/>
      <c r="K13" s="40"/>
      <c r="L13" s="40"/>
      <c r="M13" s="38"/>
      <c r="N13" s="41" t="e">
        <f>LARGE((I13,K13),1)</f>
        <v>#NUM!</v>
      </c>
      <c r="O13" s="42" t="e">
        <f>LARGE((J13,L13),1)</f>
        <v>#NUM!</v>
      </c>
      <c r="P13" s="38"/>
      <c r="Q13" s="53"/>
      <c r="R13" s="15"/>
      <c r="S13" s="15"/>
      <c r="T13" s="15"/>
      <c r="U13" s="15"/>
      <c r="V13" s="15"/>
      <c r="W13" s="15"/>
      <c r="X13" s="15"/>
      <c r="Y13" s="15"/>
    </row>
    <row r="14" spans="1:25" x14ac:dyDescent="0.25">
      <c r="A14" s="52"/>
      <c r="B14" s="60"/>
      <c r="C14" s="60"/>
      <c r="D14" s="38"/>
      <c r="E14" s="38"/>
      <c r="F14" s="38"/>
      <c r="G14" s="38"/>
      <c r="H14" s="38"/>
      <c r="I14" s="40"/>
      <c r="J14" s="40"/>
      <c r="K14" s="40"/>
      <c r="L14" s="40"/>
      <c r="M14" s="38"/>
      <c r="N14" s="41" t="e">
        <f>LARGE((I14,K14),1)</f>
        <v>#NUM!</v>
      </c>
      <c r="O14" s="42" t="e">
        <f>LARGE((J14,L14),1)</f>
        <v>#NUM!</v>
      </c>
      <c r="P14" s="38"/>
      <c r="Q14" s="53"/>
      <c r="R14" s="15"/>
      <c r="S14" s="15"/>
      <c r="T14" s="15"/>
      <c r="U14" s="15"/>
      <c r="V14" s="15"/>
      <c r="W14" s="15"/>
      <c r="X14" s="15"/>
      <c r="Y14" s="15"/>
    </row>
    <row r="15" spans="1:25" x14ac:dyDescent="0.25">
      <c r="A15" s="52"/>
      <c r="B15" s="38"/>
      <c r="C15" s="38"/>
      <c r="D15" s="38"/>
      <c r="E15" s="38"/>
      <c r="F15" s="38"/>
      <c r="G15" s="38"/>
      <c r="H15" s="38"/>
      <c r="I15" s="40"/>
      <c r="J15" s="40"/>
      <c r="K15" s="40"/>
      <c r="L15" s="40"/>
      <c r="M15" s="38"/>
      <c r="N15" s="41" t="e">
        <f>LARGE((I15,K15),1)</f>
        <v>#NUM!</v>
      </c>
      <c r="O15" s="42" t="e">
        <f>LARGE((J15,L15),1)</f>
        <v>#NUM!</v>
      </c>
      <c r="P15" s="38"/>
      <c r="Q15" s="53"/>
      <c r="R15" s="15"/>
      <c r="S15" s="15"/>
      <c r="T15" s="15"/>
      <c r="U15" s="15"/>
      <c r="V15" s="15"/>
      <c r="W15" s="15"/>
      <c r="X15" s="15"/>
      <c r="Y15" s="15"/>
    </row>
    <row r="16" spans="1:25" x14ac:dyDescent="0.25">
      <c r="A16" s="52"/>
      <c r="B16" s="38"/>
      <c r="C16" s="38"/>
      <c r="D16" s="38"/>
      <c r="E16" s="38"/>
      <c r="F16" s="38"/>
      <c r="G16" s="38"/>
      <c r="H16" s="38"/>
      <c r="I16" s="40"/>
      <c r="J16" s="40"/>
      <c r="K16" s="40"/>
      <c r="L16" s="40"/>
      <c r="M16" s="38"/>
      <c r="N16" s="41" t="e">
        <f>LARGE((I16,K16),1)</f>
        <v>#NUM!</v>
      </c>
      <c r="O16" s="42" t="e">
        <f>LARGE((J16,L16),1)</f>
        <v>#NUM!</v>
      </c>
      <c r="P16" s="38"/>
      <c r="Q16" s="53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52"/>
      <c r="B17" s="38"/>
      <c r="C17" s="38"/>
      <c r="D17" s="38"/>
      <c r="E17" s="38"/>
      <c r="F17" s="38"/>
      <c r="G17" s="38"/>
      <c r="H17" s="38"/>
      <c r="I17" s="40"/>
      <c r="J17" s="40"/>
      <c r="K17" s="40"/>
      <c r="L17" s="40"/>
      <c r="M17" s="38"/>
      <c r="N17" s="41" t="e">
        <f>LARGE((I17,K17),1)</f>
        <v>#NUM!</v>
      </c>
      <c r="O17" s="42" t="e">
        <f>LARGE((J17,L17),1)</f>
        <v>#NUM!</v>
      </c>
      <c r="P17" s="38"/>
      <c r="Q17" s="53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52"/>
      <c r="B18" s="38"/>
      <c r="C18" s="38"/>
      <c r="D18" s="38"/>
      <c r="E18" s="38"/>
      <c r="F18" s="38"/>
      <c r="G18" s="38"/>
      <c r="H18" s="38"/>
      <c r="I18" s="40"/>
      <c r="J18" s="40"/>
      <c r="K18" s="40"/>
      <c r="L18" s="40"/>
      <c r="M18" s="38"/>
      <c r="N18" s="41" t="e">
        <f>LARGE((I18,K18),1)</f>
        <v>#NUM!</v>
      </c>
      <c r="O18" s="42" t="e">
        <f>LARGE((J18,L18),1)</f>
        <v>#NUM!</v>
      </c>
      <c r="P18" s="38"/>
      <c r="Q18" s="53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52"/>
      <c r="B19" s="38"/>
      <c r="C19" s="38"/>
      <c r="D19" s="38"/>
      <c r="E19" s="38"/>
      <c r="F19" s="38"/>
      <c r="G19" s="38"/>
      <c r="H19" s="38"/>
      <c r="I19" s="40"/>
      <c r="J19" s="40"/>
      <c r="K19" s="40"/>
      <c r="L19" s="40"/>
      <c r="M19" s="38"/>
      <c r="N19" s="41" t="e">
        <f>LARGE((I19,K19),1)</f>
        <v>#NUM!</v>
      </c>
      <c r="O19" s="42" t="e">
        <f>LARGE((J19,L19),1)</f>
        <v>#NUM!</v>
      </c>
      <c r="P19" s="38"/>
      <c r="Q19" s="53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52"/>
      <c r="B20" s="38"/>
      <c r="C20" s="38"/>
      <c r="D20" s="38"/>
      <c r="E20" s="38"/>
      <c r="F20" s="38"/>
      <c r="G20" s="38"/>
      <c r="H20" s="43"/>
      <c r="I20" s="44"/>
      <c r="J20" s="44"/>
      <c r="K20" s="40"/>
      <c r="L20" s="40"/>
      <c r="M20" s="38"/>
      <c r="N20" s="41" t="e">
        <f>LARGE((I20,K20),1)</f>
        <v>#NUM!</v>
      </c>
      <c r="O20" s="42" t="e">
        <f>LARGE((J20,L20),1)</f>
        <v>#NUM!</v>
      </c>
      <c r="P20" s="38"/>
      <c r="Q20" s="53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52"/>
      <c r="B21" s="38"/>
      <c r="C21" s="38"/>
      <c r="D21" s="38"/>
      <c r="E21" s="38"/>
      <c r="F21" s="38"/>
      <c r="G21" s="38"/>
      <c r="H21" s="38"/>
      <c r="I21" s="44"/>
      <c r="J21" s="44"/>
      <c r="K21" s="40"/>
      <c r="L21" s="40"/>
      <c r="M21" s="38"/>
      <c r="N21" s="41" t="e">
        <f>LARGE((I21,K21),1)</f>
        <v>#NUM!</v>
      </c>
      <c r="O21" s="42" t="e">
        <f>LARGE((J21,L21),1)</f>
        <v>#NUM!</v>
      </c>
      <c r="P21" s="38"/>
      <c r="Q21" s="53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52"/>
      <c r="B22" s="38"/>
      <c r="C22" s="38"/>
      <c r="D22" s="38"/>
      <c r="E22" s="38"/>
      <c r="F22" s="38"/>
      <c r="G22" s="38"/>
      <c r="H22" s="38"/>
      <c r="I22" s="44"/>
      <c r="J22" s="44"/>
      <c r="K22" s="40"/>
      <c r="L22" s="40"/>
      <c r="M22" s="38"/>
      <c r="N22" s="41" t="e">
        <f>LARGE((I22,K22),1)</f>
        <v>#NUM!</v>
      </c>
      <c r="O22" s="42" t="e">
        <f>LARGE((J22,L22),1)</f>
        <v>#NUM!</v>
      </c>
      <c r="P22" s="38"/>
      <c r="Q22" s="53"/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 s="52"/>
      <c r="B23" s="38"/>
      <c r="C23" s="38"/>
      <c r="D23" s="38"/>
      <c r="E23" s="38"/>
      <c r="F23" s="38"/>
      <c r="G23" s="38"/>
      <c r="H23" s="38"/>
      <c r="I23" s="44"/>
      <c r="J23" s="44"/>
      <c r="K23" s="40"/>
      <c r="L23" s="40"/>
      <c r="M23" s="38"/>
      <c r="N23" s="41" t="e">
        <f>LARGE((I23,K23),1)</f>
        <v>#NUM!</v>
      </c>
      <c r="O23" s="42" t="e">
        <f>LARGE((J23,L23),1)</f>
        <v>#NUM!</v>
      </c>
      <c r="P23" s="38"/>
      <c r="Q23" s="53"/>
      <c r="R23" s="15"/>
      <c r="S23" s="15"/>
      <c r="T23" s="15"/>
      <c r="U23" s="15"/>
      <c r="V23" s="15"/>
      <c r="W23" s="15"/>
      <c r="X23" s="15"/>
      <c r="Y23" s="15"/>
    </row>
    <row r="24" spans="1:25" x14ac:dyDescent="0.25">
      <c r="A24" s="54"/>
      <c r="B24" s="38"/>
      <c r="C24" s="38"/>
      <c r="D24" s="38"/>
      <c r="E24" s="38"/>
      <c r="F24" s="38"/>
      <c r="G24" s="38"/>
      <c r="H24" s="38"/>
      <c r="I24" s="39"/>
      <c r="J24" s="39"/>
      <c r="K24" s="39"/>
      <c r="L24" s="39"/>
      <c r="M24" s="38"/>
      <c r="N24" s="45"/>
      <c r="O24" s="46"/>
      <c r="P24" s="38"/>
      <c r="Q24" s="53"/>
      <c r="R24" s="15"/>
      <c r="S24" s="15"/>
      <c r="T24" s="15"/>
      <c r="U24" s="15"/>
      <c r="V24" s="15"/>
      <c r="W24" s="15"/>
      <c r="X24" s="15"/>
      <c r="Y24" s="15"/>
    </row>
    <row r="25" spans="1:25" ht="15.75" thickBot="1" x14ac:dyDescent="0.3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7"/>
      <c r="O25" s="58"/>
      <c r="P25" s="56"/>
      <c r="Q25" s="59"/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 s="27"/>
      <c r="B26" s="27"/>
      <c r="C26" s="27"/>
      <c r="D26" s="27"/>
      <c r="E26" s="27"/>
      <c r="F26" s="27"/>
      <c r="G26" s="27"/>
      <c r="H26" s="27"/>
      <c r="I26" s="35"/>
      <c r="J26" s="35"/>
      <c r="K26" s="35"/>
      <c r="L26" s="35"/>
      <c r="M26" s="27"/>
      <c r="N26" s="36" t="e">
        <f>SUM(N12:N25)</f>
        <v>#NUM!</v>
      </c>
      <c r="O26" s="37" t="e">
        <f>SUM(O12:O25)</f>
        <v>#NUM!</v>
      </c>
      <c r="P26" s="27"/>
      <c r="Q26" s="27"/>
      <c r="R26" s="15"/>
      <c r="S26" s="15"/>
      <c r="T26" s="15"/>
      <c r="U26" s="15"/>
      <c r="V26" s="15"/>
      <c r="W26" s="15"/>
      <c r="X26" s="15"/>
      <c r="Y26" s="15"/>
    </row>
    <row r="27" spans="1:25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8"/>
      <c r="O27" s="29"/>
      <c r="P27" s="27"/>
      <c r="Q27" s="27"/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0" t="s">
        <v>21</v>
      </c>
      <c r="M28" s="30"/>
      <c r="N28" s="31" t="e">
        <f>SUM(N26)*1.1</f>
        <v>#NUM!</v>
      </c>
      <c r="O28" s="32" t="e">
        <f>SUM(O26)*1.1</f>
        <v>#NUM!</v>
      </c>
      <c r="P28" s="27"/>
      <c r="Q28" s="27"/>
    </row>
    <row r="29" spans="1:25" ht="15.75" thickTop="1" x14ac:dyDescent="0.25">
      <c r="A29" t="s">
        <v>43</v>
      </c>
    </row>
  </sheetData>
  <mergeCells count="3">
    <mergeCell ref="I9:J9"/>
    <mergeCell ref="K9:L9"/>
    <mergeCell ref="Q1:Q7"/>
  </mergeCells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45D-9329-4F1D-A9AA-5142C0D21FC4}">
  <sheetPr>
    <pageSetUpPr fitToPage="1"/>
  </sheetPr>
  <dimension ref="A1:U41"/>
  <sheetViews>
    <sheetView tabSelected="1" view="pageBreakPreview" zoomScale="60" zoomScaleNormal="75" workbookViewId="0">
      <selection activeCell="R1" sqref="R1:S6"/>
    </sheetView>
  </sheetViews>
  <sheetFormatPr defaultRowHeight="15" x14ac:dyDescent="0.25"/>
  <cols>
    <col min="1" max="1" width="8.5703125" style="1" bestFit="1" customWidth="1"/>
    <col min="2" max="2" width="11.85546875" style="3" bestFit="1" customWidth="1"/>
    <col min="3" max="3" width="19.7109375" style="1" bestFit="1" customWidth="1"/>
    <col min="4" max="4" width="14.42578125" style="3" bestFit="1" customWidth="1"/>
    <col min="5" max="5" width="9" style="2" bestFit="1" customWidth="1"/>
    <col min="6" max="6" width="8.28515625" style="2" customWidth="1"/>
    <col min="7" max="7" width="10.85546875" style="1" customWidth="1"/>
    <col min="8" max="8" width="17.7109375" style="2" customWidth="1"/>
    <col min="9" max="9" width="9.5703125" style="2" bestFit="1" customWidth="1"/>
    <col min="10" max="10" width="11.85546875" style="3" customWidth="1"/>
    <col min="11" max="11" width="12.140625" style="3" customWidth="1"/>
    <col min="12" max="12" width="12" style="2" customWidth="1"/>
    <col min="13" max="13" width="13.140625" style="3" customWidth="1"/>
    <col min="14" max="14" width="13" style="3" customWidth="1"/>
    <col min="15" max="15" width="12.28515625" style="3" customWidth="1"/>
    <col min="16" max="16" width="13.28515625" style="3" customWidth="1"/>
    <col min="17" max="17" width="11.5703125" style="3" customWidth="1"/>
    <col min="18" max="18" width="14.42578125" style="3" customWidth="1"/>
    <col min="19" max="19" width="16" style="4" customWidth="1"/>
    <col min="20" max="20" width="39.85546875" customWidth="1"/>
    <col min="21" max="21" width="12" bestFit="1" customWidth="1"/>
  </cols>
  <sheetData>
    <row r="1" spans="1:21" x14ac:dyDescent="0.25">
      <c r="D1" s="108" t="s">
        <v>0</v>
      </c>
      <c r="E1" s="109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23"/>
      <c r="S1" s="124"/>
    </row>
    <row r="2" spans="1:21" x14ac:dyDescent="0.25">
      <c r="D2" s="110" t="s">
        <v>1</v>
      </c>
      <c r="E2" s="111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25"/>
      <c r="S2" s="126"/>
    </row>
    <row r="3" spans="1:21" x14ac:dyDescent="0.25">
      <c r="D3" s="110" t="s">
        <v>2</v>
      </c>
      <c r="E3" s="11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25"/>
      <c r="S3" s="126"/>
    </row>
    <row r="4" spans="1:21" x14ac:dyDescent="0.25">
      <c r="D4" s="110" t="s">
        <v>3</v>
      </c>
      <c r="E4" s="1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25"/>
      <c r="S4" s="126"/>
    </row>
    <row r="5" spans="1:21" x14ac:dyDescent="0.25">
      <c r="D5" s="110" t="s">
        <v>4</v>
      </c>
      <c r="E5" s="111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25"/>
      <c r="S5" s="126"/>
    </row>
    <row r="6" spans="1:21" ht="15.75" thickBot="1" x14ac:dyDescent="0.3">
      <c r="D6" s="113" t="s">
        <v>5</v>
      </c>
      <c r="E6" s="114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27"/>
      <c r="S6" s="128"/>
    </row>
    <row r="7" spans="1:21" ht="15.75" thickBot="1" x14ac:dyDescent="0.3">
      <c r="A7" s="115" t="s">
        <v>41</v>
      </c>
      <c r="B7" s="61"/>
      <c r="C7" s="62"/>
      <c r="D7" s="63"/>
      <c r="E7" s="64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6"/>
      <c r="T7" s="15"/>
      <c r="U7" s="15"/>
    </row>
    <row r="8" spans="1:21" ht="49.5" customHeight="1" thickBot="1" x14ac:dyDescent="0.3">
      <c r="A8" s="67" t="s">
        <v>22</v>
      </c>
      <c r="B8" s="68" t="s">
        <v>23</v>
      </c>
      <c r="C8" s="69" t="s">
        <v>24</v>
      </c>
      <c r="D8" s="68" t="s">
        <v>25</v>
      </c>
      <c r="E8" s="70" t="s">
        <v>26</v>
      </c>
      <c r="F8" s="70" t="s">
        <v>27</v>
      </c>
      <c r="G8" s="70" t="s">
        <v>28</v>
      </c>
      <c r="H8" s="70" t="s">
        <v>29</v>
      </c>
      <c r="I8" s="70" t="s">
        <v>7</v>
      </c>
      <c r="J8" s="68" t="s">
        <v>30</v>
      </c>
      <c r="K8" s="71" t="s">
        <v>31</v>
      </c>
      <c r="L8" s="72" t="s">
        <v>32</v>
      </c>
      <c r="M8" s="71" t="s">
        <v>33</v>
      </c>
      <c r="N8" s="71" t="s">
        <v>34</v>
      </c>
      <c r="O8" s="71" t="s">
        <v>35</v>
      </c>
      <c r="P8" s="71" t="s">
        <v>36</v>
      </c>
      <c r="Q8" s="71" t="s">
        <v>37</v>
      </c>
      <c r="R8" s="68" t="s">
        <v>38</v>
      </c>
      <c r="S8" s="73" t="s">
        <v>39</v>
      </c>
      <c r="T8" s="74" t="s">
        <v>20</v>
      </c>
      <c r="U8" s="75" t="s">
        <v>40</v>
      </c>
    </row>
    <row r="9" spans="1:21" s="1" customFormat="1" x14ac:dyDescent="0.25">
      <c r="A9" s="76"/>
      <c r="B9" s="77"/>
      <c r="C9" s="78"/>
      <c r="D9" s="77"/>
      <c r="E9" s="79"/>
      <c r="F9" s="80"/>
      <c r="G9" s="78"/>
      <c r="H9" s="80"/>
      <c r="I9" s="80"/>
      <c r="J9" s="77"/>
      <c r="K9" s="77"/>
      <c r="L9" s="80"/>
      <c r="M9" s="77"/>
      <c r="N9" s="77"/>
      <c r="O9" s="77"/>
      <c r="P9" s="77"/>
      <c r="Q9" s="77"/>
      <c r="R9" s="77"/>
      <c r="S9" s="81"/>
      <c r="T9" s="82"/>
      <c r="U9" s="83" t="e">
        <f>(Q9/D9)*1000</f>
        <v>#DIV/0!</v>
      </c>
    </row>
    <row r="10" spans="1:21" x14ac:dyDescent="0.25">
      <c r="A10" s="84"/>
      <c r="B10" s="85"/>
      <c r="C10" s="86"/>
      <c r="D10" s="87"/>
      <c r="E10" s="88"/>
      <c r="F10" s="89"/>
      <c r="G10" s="86"/>
      <c r="H10" s="90"/>
      <c r="I10" s="90"/>
      <c r="J10" s="85"/>
      <c r="K10" s="87"/>
      <c r="L10" s="90"/>
      <c r="M10" s="87"/>
      <c r="N10" s="85"/>
      <c r="O10" s="87"/>
      <c r="P10" s="87"/>
      <c r="Q10" s="87"/>
      <c r="R10" s="85"/>
      <c r="S10" s="91"/>
      <c r="T10" s="92"/>
      <c r="U10" s="83" t="e">
        <f t="shared" ref="U10:U31" si="0">(Q10/D10)*1000</f>
        <v>#DIV/0!</v>
      </c>
    </row>
    <row r="11" spans="1:21" x14ac:dyDescent="0.25">
      <c r="A11" s="84"/>
      <c r="B11" s="85"/>
      <c r="C11" s="86"/>
      <c r="D11" s="87"/>
      <c r="E11" s="88"/>
      <c r="F11" s="89"/>
      <c r="G11" s="86"/>
      <c r="H11" s="90"/>
      <c r="I11" s="90"/>
      <c r="J11" s="93"/>
      <c r="K11" s="87"/>
      <c r="L11" s="90"/>
      <c r="M11" s="87"/>
      <c r="N11" s="85"/>
      <c r="O11" s="87"/>
      <c r="P11" s="87"/>
      <c r="Q11" s="87"/>
      <c r="R11" s="85"/>
      <c r="S11" s="91"/>
      <c r="T11" s="94"/>
      <c r="U11" s="83"/>
    </row>
    <row r="12" spans="1:21" x14ac:dyDescent="0.25">
      <c r="A12" s="84"/>
      <c r="B12" s="87"/>
      <c r="C12" s="86"/>
      <c r="D12" s="87"/>
      <c r="E12" s="88"/>
      <c r="F12" s="89"/>
      <c r="G12" s="86"/>
      <c r="H12" s="90"/>
      <c r="I12" s="90"/>
      <c r="J12" s="85"/>
      <c r="K12" s="87"/>
      <c r="L12" s="90"/>
      <c r="M12" s="87"/>
      <c r="N12" s="85"/>
      <c r="O12" s="87"/>
      <c r="P12" s="87"/>
      <c r="Q12" s="87"/>
      <c r="R12" s="85"/>
      <c r="S12" s="91"/>
      <c r="T12" s="94"/>
      <c r="U12" s="83" t="e">
        <f t="shared" si="0"/>
        <v>#DIV/0!</v>
      </c>
    </row>
    <row r="13" spans="1:21" x14ac:dyDescent="0.25">
      <c r="A13" s="84"/>
      <c r="B13" s="87"/>
      <c r="C13" s="86"/>
      <c r="D13" s="87"/>
      <c r="E13" s="88"/>
      <c r="F13" s="89"/>
      <c r="G13" s="86"/>
      <c r="H13" s="90"/>
      <c r="I13" s="90"/>
      <c r="J13" s="85"/>
      <c r="K13" s="87"/>
      <c r="L13" s="90"/>
      <c r="M13" s="87"/>
      <c r="N13" s="85"/>
      <c r="O13" s="87"/>
      <c r="P13" s="87"/>
      <c r="Q13" s="87"/>
      <c r="R13" s="85"/>
      <c r="S13" s="91"/>
      <c r="T13" s="94"/>
      <c r="U13" s="83" t="e">
        <f t="shared" si="0"/>
        <v>#DIV/0!</v>
      </c>
    </row>
    <row r="14" spans="1:21" x14ac:dyDescent="0.25">
      <c r="A14" s="84"/>
      <c r="B14" s="87"/>
      <c r="C14" s="86"/>
      <c r="D14" s="87"/>
      <c r="E14" s="88"/>
      <c r="F14" s="89"/>
      <c r="G14" s="86"/>
      <c r="H14" s="90"/>
      <c r="I14" s="90"/>
      <c r="J14" s="87"/>
      <c r="K14" s="87"/>
      <c r="L14" s="90"/>
      <c r="M14" s="87"/>
      <c r="N14" s="85"/>
      <c r="O14" s="87"/>
      <c r="P14" s="87"/>
      <c r="Q14" s="87"/>
      <c r="R14" s="85"/>
      <c r="S14" s="91"/>
      <c r="T14" s="94"/>
      <c r="U14" s="83" t="e">
        <f t="shared" si="0"/>
        <v>#DIV/0!</v>
      </c>
    </row>
    <row r="15" spans="1:21" x14ac:dyDescent="0.25">
      <c r="A15" s="84"/>
      <c r="B15" s="87"/>
      <c r="C15" s="86"/>
      <c r="D15" s="87"/>
      <c r="E15" s="88"/>
      <c r="F15" s="89"/>
      <c r="G15" s="86"/>
      <c r="H15" s="90"/>
      <c r="I15" s="90"/>
      <c r="J15" s="95"/>
      <c r="K15" s="87"/>
      <c r="L15" s="90"/>
      <c r="M15" s="87"/>
      <c r="N15" s="85"/>
      <c r="O15" s="87"/>
      <c r="P15" s="87"/>
      <c r="Q15" s="87"/>
      <c r="R15" s="85"/>
      <c r="S15" s="91"/>
      <c r="T15" s="94"/>
      <c r="U15" s="83"/>
    </row>
    <row r="16" spans="1:21" x14ac:dyDescent="0.25">
      <c r="A16" s="84"/>
      <c r="B16" s="87"/>
      <c r="C16" s="86"/>
      <c r="D16" s="87"/>
      <c r="E16" s="88"/>
      <c r="F16" s="89"/>
      <c r="G16" s="86"/>
      <c r="H16" s="90"/>
      <c r="I16" s="90"/>
      <c r="J16" s="87"/>
      <c r="K16" s="85"/>
      <c r="L16" s="90"/>
      <c r="M16" s="87"/>
      <c r="N16" s="85"/>
      <c r="O16" s="87"/>
      <c r="P16" s="87"/>
      <c r="Q16" s="87"/>
      <c r="R16" s="85"/>
      <c r="S16" s="91"/>
      <c r="T16" s="94"/>
      <c r="U16" s="83" t="e">
        <f t="shared" si="0"/>
        <v>#DIV/0!</v>
      </c>
    </row>
    <row r="17" spans="1:21" x14ac:dyDescent="0.25">
      <c r="A17" s="84"/>
      <c r="B17" s="87"/>
      <c r="C17" s="86"/>
      <c r="D17" s="87"/>
      <c r="E17" s="88"/>
      <c r="F17" s="89"/>
      <c r="G17" s="86"/>
      <c r="H17" s="90"/>
      <c r="I17" s="90"/>
      <c r="J17" s="87"/>
      <c r="K17" s="95"/>
      <c r="L17" s="90"/>
      <c r="M17" s="87"/>
      <c r="N17" s="85"/>
      <c r="O17" s="87"/>
      <c r="P17" s="87"/>
      <c r="Q17" s="87"/>
      <c r="R17" s="85"/>
      <c r="S17" s="91"/>
      <c r="T17" s="94"/>
      <c r="U17" s="83"/>
    </row>
    <row r="18" spans="1:21" x14ac:dyDescent="0.25">
      <c r="A18" s="84"/>
      <c r="B18" s="87"/>
      <c r="C18" s="86"/>
      <c r="D18" s="87"/>
      <c r="E18" s="88"/>
      <c r="F18" s="89"/>
      <c r="G18" s="86"/>
      <c r="H18" s="90"/>
      <c r="I18" s="90"/>
      <c r="J18" s="87"/>
      <c r="K18" s="87"/>
      <c r="L18" s="90"/>
      <c r="M18" s="87"/>
      <c r="N18" s="85"/>
      <c r="O18" s="87"/>
      <c r="P18" s="87"/>
      <c r="Q18" s="87"/>
      <c r="R18" s="85"/>
      <c r="S18" s="91"/>
      <c r="T18" s="94"/>
      <c r="U18" s="83" t="e">
        <f t="shared" si="0"/>
        <v>#DIV/0!</v>
      </c>
    </row>
    <row r="19" spans="1:21" x14ac:dyDescent="0.25">
      <c r="A19" s="84"/>
      <c r="B19" s="87"/>
      <c r="C19" s="86"/>
      <c r="D19" s="87"/>
      <c r="E19" s="88"/>
      <c r="F19" s="89"/>
      <c r="G19" s="86"/>
      <c r="H19" s="90"/>
      <c r="I19" s="90"/>
      <c r="J19" s="87"/>
      <c r="K19" s="87"/>
      <c r="L19" s="90"/>
      <c r="M19" s="87"/>
      <c r="N19" s="85"/>
      <c r="O19" s="87"/>
      <c r="P19" s="87"/>
      <c r="Q19" s="87"/>
      <c r="R19" s="85"/>
      <c r="S19" s="91"/>
      <c r="T19" s="94"/>
      <c r="U19" s="83" t="e">
        <f t="shared" si="0"/>
        <v>#DIV/0!</v>
      </c>
    </row>
    <row r="20" spans="1:21" x14ac:dyDescent="0.25">
      <c r="A20" s="84"/>
      <c r="B20" s="87"/>
      <c r="C20" s="86"/>
      <c r="D20" s="87"/>
      <c r="E20" s="88"/>
      <c r="F20" s="89"/>
      <c r="G20" s="86"/>
      <c r="H20" s="90"/>
      <c r="I20" s="90"/>
      <c r="J20" s="85"/>
      <c r="K20" s="87"/>
      <c r="L20" s="90"/>
      <c r="M20" s="87"/>
      <c r="N20" s="85"/>
      <c r="O20" s="87"/>
      <c r="P20" s="87"/>
      <c r="Q20" s="87"/>
      <c r="R20" s="85"/>
      <c r="S20" s="91"/>
      <c r="T20" s="94"/>
      <c r="U20" s="83" t="e">
        <f t="shared" si="0"/>
        <v>#DIV/0!</v>
      </c>
    </row>
    <row r="21" spans="1:21" x14ac:dyDescent="0.25">
      <c r="A21" s="84"/>
      <c r="B21" s="87"/>
      <c r="C21" s="86"/>
      <c r="D21" s="87"/>
      <c r="E21" s="88"/>
      <c r="F21" s="89"/>
      <c r="G21" s="86"/>
      <c r="H21" s="90"/>
      <c r="I21" s="90"/>
      <c r="J21" s="93"/>
      <c r="K21" s="95"/>
      <c r="L21" s="90"/>
      <c r="M21" s="87"/>
      <c r="N21" s="85"/>
      <c r="O21" s="87"/>
      <c r="P21" s="87"/>
      <c r="Q21" s="87"/>
      <c r="R21" s="87"/>
      <c r="S21" s="91"/>
      <c r="T21" s="94"/>
      <c r="U21" s="83"/>
    </row>
    <row r="22" spans="1:21" x14ac:dyDescent="0.25">
      <c r="A22" s="84"/>
      <c r="B22" s="87"/>
      <c r="C22" s="86"/>
      <c r="D22" s="87"/>
      <c r="E22" s="88"/>
      <c r="F22" s="89"/>
      <c r="G22" s="86"/>
      <c r="H22" s="90"/>
      <c r="I22" s="90"/>
      <c r="J22" s="85"/>
      <c r="K22" s="87"/>
      <c r="L22" s="90"/>
      <c r="M22" s="87"/>
      <c r="N22" s="85"/>
      <c r="O22" s="87"/>
      <c r="P22" s="87"/>
      <c r="Q22" s="87"/>
      <c r="R22" s="87"/>
      <c r="S22" s="91"/>
      <c r="T22" s="94"/>
      <c r="U22" s="83" t="e">
        <f t="shared" si="0"/>
        <v>#DIV/0!</v>
      </c>
    </row>
    <row r="23" spans="1:21" x14ac:dyDescent="0.25">
      <c r="A23" s="84"/>
      <c r="B23" s="87"/>
      <c r="C23" s="86"/>
      <c r="D23" s="87"/>
      <c r="E23" s="88"/>
      <c r="F23" s="89"/>
      <c r="G23" s="86"/>
      <c r="H23" s="90"/>
      <c r="I23" s="90"/>
      <c r="J23" s="93"/>
      <c r="K23" s="95"/>
      <c r="L23" s="90"/>
      <c r="M23" s="87"/>
      <c r="N23" s="85"/>
      <c r="O23" s="87"/>
      <c r="P23" s="87"/>
      <c r="Q23" s="87"/>
      <c r="R23" s="87"/>
      <c r="S23" s="91"/>
      <c r="T23" s="94"/>
      <c r="U23" s="83"/>
    </row>
    <row r="24" spans="1:21" x14ac:dyDescent="0.25">
      <c r="A24" s="84"/>
      <c r="B24" s="87"/>
      <c r="C24" s="86"/>
      <c r="D24" s="87"/>
      <c r="E24" s="88"/>
      <c r="F24" s="89"/>
      <c r="G24" s="86"/>
      <c r="H24" s="90"/>
      <c r="I24" s="90"/>
      <c r="J24" s="85"/>
      <c r="K24" s="87"/>
      <c r="L24" s="90"/>
      <c r="M24" s="87"/>
      <c r="N24" s="85"/>
      <c r="O24" s="87"/>
      <c r="P24" s="87"/>
      <c r="Q24" s="87"/>
      <c r="R24" s="87"/>
      <c r="S24" s="91"/>
      <c r="T24" s="94"/>
      <c r="U24" s="83" t="e">
        <f t="shared" si="0"/>
        <v>#DIV/0!</v>
      </c>
    </row>
    <row r="25" spans="1:21" x14ac:dyDescent="0.25">
      <c r="A25" s="84"/>
      <c r="B25" s="87"/>
      <c r="C25" s="86"/>
      <c r="D25" s="87"/>
      <c r="E25" s="88"/>
      <c r="F25" s="89"/>
      <c r="G25" s="86"/>
      <c r="H25" s="90"/>
      <c r="I25" s="90"/>
      <c r="J25" s="85"/>
      <c r="K25" s="87"/>
      <c r="L25" s="90"/>
      <c r="M25" s="87"/>
      <c r="N25" s="85"/>
      <c r="O25" s="87"/>
      <c r="P25" s="87"/>
      <c r="Q25" s="87"/>
      <c r="R25" s="87"/>
      <c r="S25" s="91"/>
      <c r="T25" s="94"/>
      <c r="U25" s="83" t="e">
        <f t="shared" si="0"/>
        <v>#DIV/0!</v>
      </c>
    </row>
    <row r="26" spans="1:21" x14ac:dyDescent="0.25">
      <c r="A26" s="84"/>
      <c r="B26" s="87"/>
      <c r="C26" s="86"/>
      <c r="D26" s="87"/>
      <c r="E26" s="88"/>
      <c r="F26" s="89"/>
      <c r="G26" s="86"/>
      <c r="H26" s="90"/>
      <c r="I26" s="90"/>
      <c r="J26" s="85"/>
      <c r="K26" s="87"/>
      <c r="L26" s="90"/>
      <c r="M26" s="87"/>
      <c r="N26" s="85"/>
      <c r="O26" s="87"/>
      <c r="P26" s="87"/>
      <c r="Q26" s="87"/>
      <c r="R26" s="87"/>
      <c r="S26" s="91"/>
      <c r="T26" s="94"/>
      <c r="U26" s="83" t="e">
        <f t="shared" si="0"/>
        <v>#DIV/0!</v>
      </c>
    </row>
    <row r="27" spans="1:21" x14ac:dyDescent="0.25">
      <c r="A27" s="84"/>
      <c r="B27" s="87"/>
      <c r="C27" s="86"/>
      <c r="D27" s="87"/>
      <c r="E27" s="88"/>
      <c r="F27" s="89"/>
      <c r="G27" s="86"/>
      <c r="H27" s="90"/>
      <c r="I27" s="90"/>
      <c r="J27" s="85"/>
      <c r="K27" s="87"/>
      <c r="L27" s="90"/>
      <c r="M27" s="87"/>
      <c r="N27" s="85"/>
      <c r="O27" s="87"/>
      <c r="P27" s="87"/>
      <c r="Q27" s="87"/>
      <c r="R27" s="87"/>
      <c r="S27" s="91"/>
      <c r="T27" s="94"/>
      <c r="U27" s="83" t="e">
        <f t="shared" si="0"/>
        <v>#DIV/0!</v>
      </c>
    </row>
    <row r="28" spans="1:21" x14ac:dyDescent="0.25">
      <c r="A28" s="84"/>
      <c r="B28" s="87"/>
      <c r="C28" s="86"/>
      <c r="D28" s="87"/>
      <c r="E28" s="88"/>
      <c r="F28" s="89"/>
      <c r="G28" s="86"/>
      <c r="H28" s="90"/>
      <c r="I28" s="90"/>
      <c r="J28" s="85"/>
      <c r="K28" s="87"/>
      <c r="L28" s="90"/>
      <c r="M28" s="87"/>
      <c r="N28" s="85"/>
      <c r="O28" s="87"/>
      <c r="P28" s="87"/>
      <c r="Q28" s="87"/>
      <c r="R28" s="87"/>
      <c r="S28" s="91"/>
      <c r="T28" s="94"/>
      <c r="U28" s="83" t="e">
        <f t="shared" si="0"/>
        <v>#DIV/0!</v>
      </c>
    </row>
    <row r="29" spans="1:21" x14ac:dyDescent="0.25">
      <c r="A29" s="84"/>
      <c r="B29" s="87"/>
      <c r="C29" s="86"/>
      <c r="D29" s="87"/>
      <c r="E29" s="88"/>
      <c r="F29" s="89"/>
      <c r="G29" s="86"/>
      <c r="H29" s="90"/>
      <c r="I29" s="90"/>
      <c r="J29" s="85"/>
      <c r="K29" s="87"/>
      <c r="L29" s="90"/>
      <c r="M29" s="87"/>
      <c r="N29" s="85"/>
      <c r="O29" s="87"/>
      <c r="P29" s="87"/>
      <c r="Q29" s="87"/>
      <c r="R29" s="87"/>
      <c r="S29" s="91"/>
      <c r="T29" s="94"/>
      <c r="U29" s="83" t="e">
        <f t="shared" si="0"/>
        <v>#DIV/0!</v>
      </c>
    </row>
    <row r="30" spans="1:21" x14ac:dyDescent="0.25">
      <c r="A30" s="84"/>
      <c r="B30" s="87"/>
      <c r="C30" s="86"/>
      <c r="D30" s="87"/>
      <c r="E30" s="88"/>
      <c r="F30" s="89"/>
      <c r="G30" s="86"/>
      <c r="H30" s="90"/>
      <c r="I30" s="90"/>
      <c r="J30" s="85"/>
      <c r="K30" s="87"/>
      <c r="L30" s="90"/>
      <c r="M30" s="87"/>
      <c r="N30" s="85"/>
      <c r="O30" s="87"/>
      <c r="P30" s="87"/>
      <c r="Q30" s="87"/>
      <c r="R30" s="87"/>
      <c r="S30" s="91"/>
      <c r="T30" s="94"/>
      <c r="U30" s="83" t="e">
        <f t="shared" si="0"/>
        <v>#DIV/0!</v>
      </c>
    </row>
    <row r="31" spans="1:21" x14ac:dyDescent="0.25">
      <c r="A31" s="84"/>
      <c r="B31" s="87"/>
      <c r="C31" s="86"/>
      <c r="D31" s="87"/>
      <c r="E31" s="88"/>
      <c r="F31" s="89"/>
      <c r="G31" s="86"/>
      <c r="H31" s="90"/>
      <c r="I31" s="90"/>
      <c r="J31" s="85"/>
      <c r="K31" s="87"/>
      <c r="L31" s="90"/>
      <c r="M31" s="87"/>
      <c r="N31" s="85"/>
      <c r="O31" s="87"/>
      <c r="P31" s="87"/>
      <c r="Q31" s="87"/>
      <c r="R31" s="87"/>
      <c r="S31" s="91"/>
      <c r="T31" s="94"/>
      <c r="U31" s="83" t="e">
        <f t="shared" si="0"/>
        <v>#DIV/0!</v>
      </c>
    </row>
    <row r="32" spans="1:21" x14ac:dyDescent="0.25">
      <c r="A32" s="84"/>
      <c r="B32" s="87"/>
      <c r="C32" s="86"/>
      <c r="D32" s="87"/>
      <c r="E32" s="88"/>
      <c r="F32" s="89"/>
      <c r="G32" s="86"/>
      <c r="H32" s="90"/>
      <c r="I32" s="90"/>
      <c r="J32" s="87"/>
      <c r="K32" s="87"/>
      <c r="L32" s="90"/>
      <c r="M32" s="87"/>
      <c r="N32" s="85"/>
      <c r="O32" s="87"/>
      <c r="P32" s="87"/>
      <c r="Q32" s="87"/>
      <c r="R32" s="87"/>
      <c r="S32" s="91"/>
      <c r="T32" s="94"/>
      <c r="U32" s="15"/>
    </row>
    <row r="33" spans="1:21" x14ac:dyDescent="0.25">
      <c r="A33" s="84"/>
      <c r="B33" s="87"/>
      <c r="C33" s="86"/>
      <c r="D33" s="87"/>
      <c r="E33" s="90"/>
      <c r="F33" s="89"/>
      <c r="G33" s="86"/>
      <c r="H33" s="90"/>
      <c r="I33" s="90"/>
      <c r="J33" s="87"/>
      <c r="K33" s="87"/>
      <c r="L33" s="90"/>
      <c r="M33" s="87"/>
      <c r="N33" s="85"/>
      <c r="O33" s="87"/>
      <c r="P33" s="87"/>
      <c r="Q33" s="87"/>
      <c r="R33" s="87"/>
      <c r="S33" s="91"/>
      <c r="T33" s="94"/>
      <c r="U33" s="15"/>
    </row>
    <row r="34" spans="1:21" x14ac:dyDescent="0.25">
      <c r="A34" s="84"/>
      <c r="B34" s="87"/>
      <c r="C34" s="86"/>
      <c r="D34" s="87"/>
      <c r="E34" s="90"/>
      <c r="F34" s="89"/>
      <c r="G34" s="86"/>
      <c r="H34" s="90"/>
      <c r="I34" s="90"/>
      <c r="J34" s="87"/>
      <c r="K34" s="87"/>
      <c r="L34" s="90"/>
      <c r="M34" s="87"/>
      <c r="N34" s="85"/>
      <c r="O34" s="87"/>
      <c r="P34" s="87"/>
      <c r="Q34" s="87"/>
      <c r="R34" s="87"/>
      <c r="S34" s="91"/>
      <c r="T34" s="94"/>
      <c r="U34" s="15"/>
    </row>
    <row r="35" spans="1:21" x14ac:dyDescent="0.25">
      <c r="A35" s="84"/>
      <c r="B35" s="87"/>
      <c r="C35" s="86"/>
      <c r="D35" s="87"/>
      <c r="E35" s="90"/>
      <c r="F35" s="89"/>
      <c r="G35" s="86"/>
      <c r="H35" s="90"/>
      <c r="I35" s="90"/>
      <c r="J35" s="87"/>
      <c r="K35" s="87"/>
      <c r="L35" s="90"/>
      <c r="M35" s="87"/>
      <c r="N35" s="87"/>
      <c r="O35" s="87"/>
      <c r="P35" s="87"/>
      <c r="Q35" s="87"/>
      <c r="R35" s="87"/>
      <c r="S35" s="91"/>
      <c r="T35" s="94"/>
      <c r="U35" s="15"/>
    </row>
    <row r="36" spans="1:21" x14ac:dyDescent="0.25">
      <c r="A36" s="84"/>
      <c r="B36" s="87"/>
      <c r="C36" s="86"/>
      <c r="D36" s="87"/>
      <c r="E36" s="90"/>
      <c r="F36" s="89"/>
      <c r="G36" s="86"/>
      <c r="H36" s="90"/>
      <c r="I36" s="90"/>
      <c r="J36" s="87"/>
      <c r="K36" s="87"/>
      <c r="L36" s="90"/>
      <c r="M36" s="87"/>
      <c r="N36" s="87"/>
      <c r="O36" s="87"/>
      <c r="P36" s="87"/>
      <c r="Q36" s="87"/>
      <c r="R36" s="87"/>
      <c r="S36" s="91"/>
      <c r="T36" s="94"/>
      <c r="U36" s="15"/>
    </row>
    <row r="37" spans="1:21" x14ac:dyDescent="0.25">
      <c r="A37" s="84"/>
      <c r="B37" s="87"/>
      <c r="C37" s="86"/>
      <c r="D37" s="87"/>
      <c r="E37" s="90"/>
      <c r="F37" s="89"/>
      <c r="G37" s="86"/>
      <c r="H37" s="90"/>
      <c r="I37" s="90"/>
      <c r="J37" s="87"/>
      <c r="K37" s="87"/>
      <c r="L37" s="90"/>
      <c r="M37" s="87"/>
      <c r="N37" s="87"/>
      <c r="O37" s="87"/>
      <c r="P37" s="87"/>
      <c r="Q37" s="87"/>
      <c r="R37" s="87"/>
      <c r="S37" s="91"/>
      <c r="T37" s="94"/>
      <c r="U37" s="15"/>
    </row>
    <row r="38" spans="1:21" x14ac:dyDescent="0.25">
      <c r="A38" s="84"/>
      <c r="B38" s="87"/>
      <c r="C38" s="86"/>
      <c r="D38" s="87"/>
      <c r="E38" s="90"/>
      <c r="F38" s="89"/>
      <c r="G38" s="86"/>
      <c r="H38" s="90"/>
      <c r="I38" s="90"/>
      <c r="J38" s="87"/>
      <c r="K38" s="87"/>
      <c r="L38" s="90"/>
      <c r="M38" s="87"/>
      <c r="N38" s="87"/>
      <c r="O38" s="87"/>
      <c r="P38" s="87"/>
      <c r="Q38" s="87"/>
      <c r="R38" s="87"/>
      <c r="S38" s="91"/>
      <c r="T38" s="94"/>
      <c r="U38" s="15"/>
    </row>
    <row r="39" spans="1:21" ht="15.75" thickBot="1" x14ac:dyDescent="0.3">
      <c r="A39" s="96"/>
      <c r="B39" s="97"/>
      <c r="C39" s="98"/>
      <c r="D39" s="97"/>
      <c r="E39" s="99"/>
      <c r="F39" s="100"/>
      <c r="G39" s="98"/>
      <c r="H39" s="99"/>
      <c r="I39" s="99"/>
      <c r="J39" s="97"/>
      <c r="K39" s="97"/>
      <c r="L39" s="99"/>
      <c r="M39" s="97"/>
      <c r="N39" s="97"/>
      <c r="O39" s="97"/>
      <c r="P39" s="97"/>
      <c r="Q39" s="97"/>
      <c r="R39" s="97"/>
      <c r="S39" s="101"/>
      <c r="T39" s="102"/>
      <c r="U39" s="15"/>
    </row>
    <row r="40" spans="1:21" x14ac:dyDescent="0.25">
      <c r="A40" s="103"/>
      <c r="B40" s="83"/>
      <c r="C40" s="103"/>
      <c r="D40" s="83"/>
      <c r="E40" s="104"/>
      <c r="F40" s="104"/>
      <c r="G40" s="103"/>
      <c r="H40" s="104"/>
      <c r="I40" s="104"/>
      <c r="J40" s="83"/>
      <c r="K40" s="83"/>
      <c r="L40" s="104"/>
      <c r="M40" s="83"/>
      <c r="N40" s="83"/>
      <c r="O40" s="83"/>
      <c r="P40" s="83"/>
      <c r="Q40" s="83"/>
      <c r="R40" s="83"/>
      <c r="S40" s="105"/>
      <c r="T40" s="15"/>
      <c r="U40" s="15"/>
    </row>
    <row r="41" spans="1:21" x14ac:dyDescent="0.25">
      <c r="A41" t="s">
        <v>42</v>
      </c>
    </row>
  </sheetData>
  <mergeCells count="1">
    <mergeCell ref="R1:S6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4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AA73CE-0575-4238-8621-4F0CADD12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133C4D-2432-4F04-9521-78053483E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D3E5A8-6142-4199-B847-33F2D31F11C1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AC_FA</vt:lpstr>
      <vt:lpstr>Ventilation Rates H&amp;C</vt:lpstr>
      <vt:lpstr>AC_FA!Print_Area</vt:lpstr>
      <vt:lpstr>'Ventilation Rates H&amp;C'!Print_Area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2019-01-31T13:01:11Z</dcterms:created>
  <dcterms:modified xsi:type="dcterms:W3CDTF">2026-06-23T13:36:52Z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
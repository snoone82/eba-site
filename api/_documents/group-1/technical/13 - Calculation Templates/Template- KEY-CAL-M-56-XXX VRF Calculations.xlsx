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28" documentId="13_ncr:1_{5122AFFF-71CD-4E04-BB5E-4E49FA4BCF55}" xr6:coauthVersionLast="47" xr6:coauthVersionMax="47" xr10:uidLastSave="{0DE70265-82A4-4760-AFD1-4C3D5302CBD6}"/>
  <bookViews>
    <workbookView xWindow="12045" yWindow="4065" windowWidth="24360" windowHeight="15345" xr2:uid="{018966E7-6BC3-4FF2-9C0D-9E17FD79B5A3}"/>
  </bookViews>
  <sheets>
    <sheet name="New VRF" sheetId="18" r:id="rId1"/>
  </sheets>
  <definedNames>
    <definedName name="_xlnm.Print_Area" localSheetId="0">'New VRF'!$A$1:$R$31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" i="18" l="1"/>
  <c r="R26" i="18"/>
  <c r="R23" i="18"/>
  <c r="R22" i="18"/>
  <c r="R21" i="18"/>
  <c r="R20" i="18"/>
  <c r="R19" i="18"/>
  <c r="R18" i="18"/>
  <c r="R17" i="18"/>
  <c r="R16" i="18"/>
  <c r="R15" i="18"/>
  <c r="R14" i="18"/>
  <c r="R13" i="18"/>
  <c r="R12" i="18"/>
  <c r="R11" i="18"/>
  <c r="R10" i="18"/>
  <c r="P23" i="18" l="1"/>
  <c r="Q23" i="18" s="1"/>
  <c r="P21" i="18"/>
  <c r="Q21" i="18" s="1"/>
  <c r="P17" i="18"/>
  <c r="Q17" i="18" s="1"/>
  <c r="P24" i="18"/>
  <c r="Q24" i="18" s="1"/>
  <c r="P15" i="18"/>
  <c r="Q15" i="18" s="1"/>
  <c r="R28" i="18"/>
  <c r="P22" i="18"/>
  <c r="Q22" i="18" s="1"/>
  <c r="P20" i="18"/>
  <c r="Q20" i="18" s="1"/>
  <c r="P10" i="18"/>
  <c r="Q10" i="18" s="1"/>
  <c r="P18" i="18"/>
  <c r="Q18" i="18" s="1"/>
  <c r="P11" i="18"/>
  <c r="Q11" i="18" s="1"/>
  <c r="P13" i="18"/>
  <c r="Q13" i="18" s="1"/>
  <c r="P16" i="18"/>
  <c r="Q16" i="18" s="1"/>
  <c r="P19" i="18"/>
  <c r="Q19" i="18" s="1"/>
  <c r="P14" i="18"/>
  <c r="Q14" i="18" s="1"/>
  <c r="P26" i="18"/>
  <c r="P12" i="18"/>
  <c r="Q12" i="18" s="1"/>
  <c r="Q26" i="18" l="1"/>
  <c r="P28" i="18"/>
</calcChain>
</file>

<file path=xl/sharedStrings.xml><?xml version="1.0" encoding="utf-8"?>
<sst xmlns="http://schemas.openxmlformats.org/spreadsheetml/2006/main" count="32" uniqueCount="31">
  <si>
    <t>Key Integrated Services Ltd
Unit 2 Bollin Court, Mill Lane
Lymm, Cheshire, WA13 9SX
TEL: 01925 759948  FAX: 01925 758400</t>
  </si>
  <si>
    <t>Project No.</t>
  </si>
  <si>
    <t>Project</t>
  </si>
  <si>
    <t>Title</t>
  </si>
  <si>
    <t>Schedule No.</t>
  </si>
  <si>
    <t>Revision</t>
  </si>
  <si>
    <t>Date</t>
  </si>
  <si>
    <t>140 Watt (total)</t>
  </si>
  <si>
    <r>
      <t>20w/m</t>
    </r>
    <r>
      <rPr>
        <vertAlign val="superscript"/>
        <sz val="9"/>
        <color theme="1"/>
        <rFont val="Arial"/>
      </rPr>
      <t>2</t>
    </r>
  </si>
  <si>
    <r>
      <t>23w/m</t>
    </r>
    <r>
      <rPr>
        <vertAlign val="superscript"/>
        <sz val="9"/>
        <color theme="1"/>
        <rFont val="Arial"/>
      </rPr>
      <t>2</t>
    </r>
  </si>
  <si>
    <r>
      <t>25w/m</t>
    </r>
    <r>
      <rPr>
        <vertAlign val="superscript"/>
        <sz val="9"/>
        <color theme="1"/>
        <rFont val="Arial"/>
      </rPr>
      <t>2</t>
    </r>
  </si>
  <si>
    <t>Roof Ref</t>
  </si>
  <si>
    <t xml:space="preserve">Classification </t>
  </si>
  <si>
    <t>Room Name</t>
  </si>
  <si>
    <r>
      <t>Room Area m</t>
    </r>
    <r>
      <rPr>
        <sz val="11"/>
        <color theme="1"/>
        <rFont val="Calibri"/>
        <family val="2"/>
      </rPr>
      <t>²</t>
    </r>
  </si>
  <si>
    <t xml:space="preserve">Height m </t>
  </si>
  <si>
    <r>
      <t>Room Vol m</t>
    </r>
    <r>
      <rPr>
        <sz val="11"/>
        <color theme="1"/>
        <rFont val="Calibri"/>
        <family val="2"/>
      </rPr>
      <t>³</t>
    </r>
  </si>
  <si>
    <t>Filtration</t>
  </si>
  <si>
    <r>
      <t xml:space="preserve">Room Temperature Cooling  </t>
    </r>
    <r>
      <rPr>
        <sz val="11"/>
        <color theme="1"/>
        <rFont val="Calibri"/>
        <family val="2"/>
      </rPr>
      <t>°C</t>
    </r>
  </si>
  <si>
    <r>
      <t xml:space="preserve">Room Temperature Heating   </t>
    </r>
    <r>
      <rPr>
        <sz val="11"/>
        <color theme="1"/>
        <rFont val="Calibri"/>
        <family val="2"/>
      </rPr>
      <t>°C</t>
    </r>
  </si>
  <si>
    <t>Occupancy Level</t>
  </si>
  <si>
    <t>Occupancy Total Heat Gain KW</t>
  </si>
  <si>
    <t>Lighting Heat Gain Kw</t>
  </si>
  <si>
    <t>Fabric Heat Gain KW</t>
  </si>
  <si>
    <t>Solar Gain (kW)</t>
  </si>
  <si>
    <t>Equipment Heat Gains KW</t>
  </si>
  <si>
    <t>Total Heat Gains KW</t>
  </si>
  <si>
    <t>Check (w/m2)</t>
  </si>
  <si>
    <t xml:space="preserve">Heat Loss Kw Based on 80w/m2 </t>
  </si>
  <si>
    <r>
      <t>200w/m</t>
    </r>
    <r>
      <rPr>
        <vertAlign val="superscript"/>
        <sz val="9"/>
        <color theme="1"/>
        <rFont val="Arial"/>
      </rPr>
      <t>2</t>
    </r>
  </si>
  <si>
    <t>IP 02-05-13-5602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</si>
</sst>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sz val="9"/>
      <color theme="1"/>
      <name val="Arial"/>
    </font>
    <font>
      <vertAlign val="superscript"/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0" fontId="0" fillId="0" borderId="2" xfId="0" applyBorder="1"/>
    <xf numFmtId="0" fontId="0" fillId="0" borderId="7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2" fillId="0" borderId="2" xfId="0" applyFont="1" applyBorder="1"/>
    <xf numFmtId="2" fontId="0" fillId="2" borderId="2" xfId="0" applyNumberFormat="1" applyFill="1" applyBorder="1" applyAlignment="1">
      <alignment horizontal="center"/>
    </xf>
    <xf numFmtId="0" fontId="0" fillId="3" borderId="2" xfId="0" applyFill="1" applyBorder="1"/>
    <xf numFmtId="2" fontId="0" fillId="3" borderId="2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center"/>
    </xf>
    <xf numFmtId="1" fontId="6" fillId="0" borderId="5" xfId="0" applyNumberFormat="1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2" fontId="6" fillId="2" borderId="2" xfId="0" applyNumberFormat="1" applyFont="1" applyFill="1" applyBorder="1" applyAlignment="1">
      <alignment horizontal="center"/>
    </xf>
    <xf numFmtId="2" fontId="6" fillId="2" borderId="8" xfId="0" applyNumberFormat="1" applyFont="1" applyFill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1" fontId="6" fillId="3" borderId="2" xfId="0" applyNumberFormat="1" applyFont="1" applyFill="1" applyBorder="1" applyAlignment="1">
      <alignment horizontal="center"/>
    </xf>
    <xf numFmtId="2" fontId="6" fillId="3" borderId="2" xfId="0" applyNumberFormat="1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2" fontId="6" fillId="3" borderId="9" xfId="0" applyNumberFormat="1" applyFont="1" applyFill="1" applyBorder="1" applyAlignment="1">
      <alignment horizontal="center"/>
    </xf>
    <xf numFmtId="2" fontId="6" fillId="3" borderId="8" xfId="0" applyNumberFormat="1" applyFont="1" applyFill="1" applyBorder="1" applyAlignment="1">
      <alignment horizontal="center"/>
    </xf>
    <xf numFmtId="0" fontId="5" fillId="4" borderId="16" xfId="0" applyFont="1" applyFill="1" applyBorder="1"/>
    <xf numFmtId="0" fontId="0" fillId="4" borderId="16" xfId="0" applyFill="1" applyBorder="1"/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left"/>
    </xf>
    <xf numFmtId="0" fontId="3" fillId="4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4" fillId="4" borderId="20" xfId="0" applyFont="1" applyFill="1" applyBorder="1"/>
    <xf numFmtId="0" fontId="4" fillId="4" borderId="20" xfId="0" applyFont="1" applyFill="1" applyBorder="1" applyAlignment="1">
      <alignment horizontal="left"/>
    </xf>
    <xf numFmtId="0" fontId="3" fillId="4" borderId="21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/>
    </xf>
    <xf numFmtId="2" fontId="0" fillId="4" borderId="16" xfId="0" applyNumberFormat="1" applyFill="1" applyBorder="1" applyAlignment="1">
      <alignment horizontal="center"/>
    </xf>
    <xf numFmtId="0" fontId="3" fillId="4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222716</xdr:colOff>
      <xdr:row>1</xdr:row>
      <xdr:rowOff>85725</xdr:rowOff>
    </xdr:from>
    <xdr:to>
      <xdr:col>0</xdr:col>
      <xdr:colOff>1934976</xdr:colOff>
      <xdr:row>3</xdr:row>
      <xdr:rowOff>132790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A76C7F-9680-40B8-9F63-4064BBEAB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22716" y="276225"/>
          <a:ext cx="1712260" cy="428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78B4-9C7D-4C91-B277-041FDBE7F4F8}">
  <sheetPr>
    <pageSetUpPr fitToPage="1"/>
  </sheetPr>
  <dimension ref="A1:S40"/>
  <sheetViews>
    <sheetView tabSelected="1" view="pageBreakPreview" zoomScaleNormal="85" zoomScaleSheetLayoutView="100" workbookViewId="0">
      <pane ySplit="9" topLeftCell="A10" activePane="bottomLeft" state="frozen"/>
      <selection activeCell="I31" sqref="I31:I32"/>
      <selection pane="bottomLeft" activeCell="O26" sqref="O26"/>
    </sheetView>
  </sheetViews>
  <sheetFormatPr defaultRowHeight="15" x14ac:dyDescent="0.25"/>
  <cols>
    <col min="1" max="1" width="31.85546875" style="1" customWidth="1"/>
    <col min="2" max="2" width="15.140625" style="3" customWidth="1"/>
    <col min="3" max="3" width="28.85546875" style="1" bestFit="1" customWidth="1"/>
    <col min="4" max="4" width="10.7109375" style="3" bestFit="1" customWidth="1"/>
    <col min="5" max="5" width="9" style="3" bestFit="1" customWidth="1"/>
    <col min="6" max="6" width="9.5703125" style="2" bestFit="1" customWidth="1"/>
    <col min="7" max="7" width="9.140625" style="1" bestFit="1" customWidth="1"/>
    <col min="8" max="9" width="12.5703125" style="2" bestFit="1" customWidth="1"/>
    <col min="10" max="10" width="12.140625" style="2" customWidth="1"/>
    <col min="11" max="11" width="13.140625" style="3" customWidth="1"/>
    <col min="12" max="12" width="13" style="3" customWidth="1"/>
    <col min="13" max="14" width="12.28515625" style="3" customWidth="1"/>
    <col min="15" max="15" width="13.28515625" style="3" customWidth="1"/>
    <col min="16" max="16" width="11.5703125" style="3" customWidth="1"/>
    <col min="17" max="18" width="14.42578125" style="3" customWidth="1"/>
  </cols>
  <sheetData>
    <row r="1" spans="1:18" x14ac:dyDescent="0.25">
      <c r="A1" s="22"/>
      <c r="B1" s="50" t="s">
        <v>1</v>
      </c>
      <c r="C1" s="53"/>
      <c r="D1" s="43"/>
      <c r="E1" s="44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6"/>
      <c r="R1" s="55" t="s">
        <v>0</v>
      </c>
    </row>
    <row r="2" spans="1:18" x14ac:dyDescent="0.25">
      <c r="A2" s="22"/>
      <c r="B2" s="51" t="s">
        <v>2</v>
      </c>
      <c r="C2" s="53"/>
      <c r="D2" s="47"/>
      <c r="E2" s="44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6"/>
      <c r="R2" s="56"/>
    </row>
    <row r="3" spans="1:18" x14ac:dyDescent="0.25">
      <c r="A3" s="22"/>
      <c r="B3" s="51" t="s">
        <v>3</v>
      </c>
      <c r="C3" s="47"/>
      <c r="D3" s="54"/>
      <c r="E3" s="44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56"/>
    </row>
    <row r="4" spans="1:18" x14ac:dyDescent="0.25">
      <c r="A4" s="22"/>
      <c r="B4" s="51" t="s">
        <v>4</v>
      </c>
      <c r="C4" s="47"/>
      <c r="D4" s="54"/>
      <c r="E4" s="44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6"/>
      <c r="R4" s="56"/>
    </row>
    <row r="5" spans="1:18" x14ac:dyDescent="0.25">
      <c r="A5" s="22"/>
      <c r="B5" s="51" t="s">
        <v>5</v>
      </c>
      <c r="C5" s="47"/>
      <c r="D5" s="54"/>
      <c r="E5" s="44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56"/>
    </row>
    <row r="6" spans="1:18" x14ac:dyDescent="0.25">
      <c r="A6" s="22"/>
      <c r="B6" s="51" t="s">
        <v>6</v>
      </c>
      <c r="C6" s="53"/>
      <c r="D6" s="47"/>
      <c r="E6" s="44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6"/>
      <c r="R6" s="56"/>
    </row>
    <row r="7" spans="1:18" ht="15.75" thickBot="1" x14ac:dyDescent="0.3">
      <c r="A7" s="23"/>
      <c r="B7" s="52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9"/>
      <c r="R7" s="57"/>
    </row>
    <row r="8" spans="1:18" ht="15.75" thickBot="1" x14ac:dyDescent="0.3">
      <c r="J8" s="24"/>
      <c r="K8" s="25" t="s">
        <v>7</v>
      </c>
      <c r="L8" s="26" t="s">
        <v>8</v>
      </c>
      <c r="M8" s="26" t="s">
        <v>9</v>
      </c>
      <c r="N8" s="26" t="s">
        <v>8</v>
      </c>
      <c r="O8" s="26" t="s">
        <v>10</v>
      </c>
      <c r="P8" s="26"/>
      <c r="Q8" s="26"/>
      <c r="R8" s="26"/>
    </row>
    <row r="9" spans="1:18" ht="45" x14ac:dyDescent="0.25">
      <c r="A9" s="4" t="s">
        <v>11</v>
      </c>
      <c r="B9" s="5" t="s">
        <v>12</v>
      </c>
      <c r="C9" s="6" t="s">
        <v>13</v>
      </c>
      <c r="D9" s="5" t="s">
        <v>14</v>
      </c>
      <c r="E9" s="5" t="s">
        <v>15</v>
      </c>
      <c r="F9" s="7" t="s">
        <v>16</v>
      </c>
      <c r="G9" s="7" t="s">
        <v>17</v>
      </c>
      <c r="H9" s="7" t="s">
        <v>18</v>
      </c>
      <c r="I9" s="7" t="s">
        <v>19</v>
      </c>
      <c r="J9" s="27" t="s">
        <v>20</v>
      </c>
      <c r="K9" s="28" t="s">
        <v>21</v>
      </c>
      <c r="L9" s="28" t="s">
        <v>22</v>
      </c>
      <c r="M9" s="28" t="s">
        <v>23</v>
      </c>
      <c r="N9" s="28" t="s">
        <v>24</v>
      </c>
      <c r="O9" s="28" t="s">
        <v>25</v>
      </c>
      <c r="P9" s="28" t="s">
        <v>26</v>
      </c>
      <c r="Q9" s="29" t="s">
        <v>27</v>
      </c>
      <c r="R9" s="29" t="s">
        <v>28</v>
      </c>
    </row>
    <row r="10" spans="1:18" x14ac:dyDescent="0.25">
      <c r="A10" s="8"/>
      <c r="B10" s="10"/>
      <c r="C10" s="8"/>
      <c r="D10" s="10"/>
      <c r="E10" s="10"/>
      <c r="F10" s="12"/>
      <c r="G10" s="11"/>
      <c r="H10" s="12"/>
      <c r="I10" s="12"/>
      <c r="J10" s="30"/>
      <c r="K10" s="31"/>
      <c r="L10" s="31"/>
      <c r="M10" s="31"/>
      <c r="N10" s="32"/>
      <c r="O10" s="32"/>
      <c r="P10" s="33">
        <f>SUM(K10:O10)*1.2</f>
        <v>0</v>
      </c>
      <c r="Q10" s="32" t="e">
        <f>P10*1000/D10</f>
        <v>#DIV/0!</v>
      </c>
      <c r="R10" s="34">
        <f>SUM(D10*0.08)*1.2</f>
        <v>0</v>
      </c>
    </row>
    <row r="11" spans="1:18" x14ac:dyDescent="0.25">
      <c r="A11" s="8"/>
      <c r="B11" s="10"/>
      <c r="C11" s="8"/>
      <c r="D11" s="10"/>
      <c r="E11" s="10"/>
      <c r="F11" s="12"/>
      <c r="G11" s="11"/>
      <c r="H11" s="12"/>
      <c r="I11" s="12"/>
      <c r="J11" s="35"/>
      <c r="K11" s="31"/>
      <c r="L11" s="31"/>
      <c r="M11" s="31"/>
      <c r="N11" s="32"/>
      <c r="O11" s="32"/>
      <c r="P11" s="33">
        <f t="shared" ref="P11:P26" si="0">SUM(K11:O11)*1.2</f>
        <v>0</v>
      </c>
      <c r="Q11" s="32" t="e">
        <f t="shared" ref="Q11:Q26" si="1">P11*1000/D11</f>
        <v>#DIV/0!</v>
      </c>
      <c r="R11" s="34">
        <f t="shared" ref="R11:R26" si="2">SUM(D11*0.08)*1.2</f>
        <v>0</v>
      </c>
    </row>
    <row r="12" spans="1:18" x14ac:dyDescent="0.25">
      <c r="A12" s="8"/>
      <c r="B12" s="10"/>
      <c r="C12" s="8"/>
      <c r="D12" s="10"/>
      <c r="E12" s="10"/>
      <c r="F12" s="12"/>
      <c r="G12" s="11"/>
      <c r="H12" s="12"/>
      <c r="I12" s="12"/>
      <c r="J12" s="35"/>
      <c r="K12" s="31"/>
      <c r="L12" s="31"/>
      <c r="M12" s="31"/>
      <c r="N12" s="32"/>
      <c r="O12" s="32"/>
      <c r="P12" s="33">
        <f t="shared" si="0"/>
        <v>0</v>
      </c>
      <c r="Q12" s="32" t="e">
        <f t="shared" si="1"/>
        <v>#DIV/0!</v>
      </c>
      <c r="R12" s="34">
        <f t="shared" si="2"/>
        <v>0</v>
      </c>
    </row>
    <row r="13" spans="1:18" x14ac:dyDescent="0.25">
      <c r="A13" s="8"/>
      <c r="B13" s="10"/>
      <c r="C13" s="8"/>
      <c r="D13" s="10"/>
      <c r="E13" s="10"/>
      <c r="F13" s="12"/>
      <c r="G13" s="11"/>
      <c r="H13" s="12"/>
      <c r="I13" s="12"/>
      <c r="J13" s="30"/>
      <c r="K13" s="31"/>
      <c r="L13" s="31"/>
      <c r="M13" s="31"/>
      <c r="N13" s="32"/>
      <c r="O13" s="32"/>
      <c r="P13" s="33">
        <f t="shared" si="0"/>
        <v>0</v>
      </c>
      <c r="Q13" s="32" t="e">
        <f t="shared" si="1"/>
        <v>#DIV/0!</v>
      </c>
      <c r="R13" s="34">
        <f t="shared" si="2"/>
        <v>0</v>
      </c>
    </row>
    <row r="14" spans="1:18" x14ac:dyDescent="0.25">
      <c r="A14" s="8"/>
      <c r="B14" s="10"/>
      <c r="C14" s="8"/>
      <c r="D14" s="10"/>
      <c r="E14" s="10"/>
      <c r="F14" s="12"/>
      <c r="G14" s="11"/>
      <c r="H14" s="12"/>
      <c r="I14" s="12"/>
      <c r="J14" s="35"/>
      <c r="K14" s="31"/>
      <c r="L14" s="31"/>
      <c r="M14" s="31"/>
      <c r="N14" s="32"/>
      <c r="O14" s="32"/>
      <c r="P14" s="33">
        <f t="shared" si="0"/>
        <v>0</v>
      </c>
      <c r="Q14" s="32" t="e">
        <f t="shared" si="1"/>
        <v>#DIV/0!</v>
      </c>
      <c r="R14" s="34">
        <f t="shared" si="2"/>
        <v>0</v>
      </c>
    </row>
    <row r="15" spans="1:18" x14ac:dyDescent="0.25">
      <c r="A15" s="8"/>
      <c r="B15" s="10"/>
      <c r="C15" s="8"/>
      <c r="D15" s="10"/>
      <c r="E15" s="10"/>
      <c r="F15" s="12"/>
      <c r="G15" s="11"/>
      <c r="H15" s="12"/>
      <c r="I15" s="12"/>
      <c r="J15" s="35"/>
      <c r="K15" s="31"/>
      <c r="L15" s="31"/>
      <c r="M15" s="31"/>
      <c r="N15" s="32"/>
      <c r="O15" s="32"/>
      <c r="P15" s="33">
        <f t="shared" si="0"/>
        <v>0</v>
      </c>
      <c r="Q15" s="32" t="e">
        <f t="shared" si="1"/>
        <v>#DIV/0!</v>
      </c>
      <c r="R15" s="34">
        <f t="shared" si="2"/>
        <v>0</v>
      </c>
    </row>
    <row r="16" spans="1:18" x14ac:dyDescent="0.25">
      <c r="A16" s="8"/>
      <c r="B16" s="10"/>
      <c r="C16" s="8"/>
      <c r="D16" s="10"/>
      <c r="E16" s="10"/>
      <c r="F16" s="12"/>
      <c r="G16" s="11"/>
      <c r="H16" s="12"/>
      <c r="I16" s="12"/>
      <c r="J16" s="30"/>
      <c r="K16" s="31"/>
      <c r="L16" s="31"/>
      <c r="M16" s="31"/>
      <c r="N16" s="32"/>
      <c r="O16" s="32"/>
      <c r="P16" s="33">
        <f t="shared" si="0"/>
        <v>0</v>
      </c>
      <c r="Q16" s="32" t="e">
        <f t="shared" si="1"/>
        <v>#DIV/0!</v>
      </c>
      <c r="R16" s="34">
        <f t="shared" si="2"/>
        <v>0</v>
      </c>
    </row>
    <row r="17" spans="1:19" x14ac:dyDescent="0.25">
      <c r="A17" s="13"/>
      <c r="B17" s="10"/>
      <c r="C17" s="13"/>
      <c r="D17" s="10"/>
      <c r="E17" s="10"/>
      <c r="F17" s="12"/>
      <c r="G17" s="11"/>
      <c r="H17" s="12"/>
      <c r="I17" s="12"/>
      <c r="J17" s="35"/>
      <c r="K17" s="31"/>
      <c r="L17" s="31"/>
      <c r="M17" s="31"/>
      <c r="N17" s="32"/>
      <c r="O17" s="32"/>
      <c r="P17" s="33">
        <f t="shared" si="0"/>
        <v>0</v>
      </c>
      <c r="Q17" s="32" t="e">
        <f t="shared" si="1"/>
        <v>#DIV/0!</v>
      </c>
      <c r="R17" s="34">
        <f t="shared" si="2"/>
        <v>0</v>
      </c>
    </row>
    <row r="18" spans="1:19" x14ac:dyDescent="0.25">
      <c r="A18" s="13"/>
      <c r="B18" s="10"/>
      <c r="C18" s="13"/>
      <c r="D18" s="10"/>
      <c r="E18" s="10"/>
      <c r="F18" s="12"/>
      <c r="G18" s="11"/>
      <c r="H18" s="12"/>
      <c r="I18" s="12"/>
      <c r="J18" s="35"/>
      <c r="K18" s="31"/>
      <c r="L18" s="31"/>
      <c r="M18" s="31"/>
      <c r="N18" s="32"/>
      <c r="O18" s="32"/>
      <c r="P18" s="33">
        <f t="shared" ref="P18" si="3">SUM(K18:O18)*1.2</f>
        <v>0</v>
      </c>
      <c r="Q18" s="32" t="e">
        <f t="shared" si="1"/>
        <v>#DIV/0!</v>
      </c>
      <c r="R18" s="34">
        <f t="shared" si="2"/>
        <v>0</v>
      </c>
    </row>
    <row r="19" spans="1:19" x14ac:dyDescent="0.25">
      <c r="A19" s="8"/>
      <c r="B19" s="10"/>
      <c r="C19" s="8"/>
      <c r="D19" s="10"/>
      <c r="E19" s="10"/>
      <c r="F19" s="12"/>
      <c r="G19" s="11"/>
      <c r="H19" s="12"/>
      <c r="I19" s="12"/>
      <c r="J19" s="35"/>
      <c r="K19" s="31"/>
      <c r="L19" s="31"/>
      <c r="M19" s="31"/>
      <c r="N19" s="32"/>
      <c r="O19" s="32"/>
      <c r="P19" s="33">
        <f t="shared" si="0"/>
        <v>0</v>
      </c>
      <c r="Q19" s="32" t="e">
        <f t="shared" si="1"/>
        <v>#DIV/0!</v>
      </c>
      <c r="R19" s="34">
        <f t="shared" si="2"/>
        <v>0</v>
      </c>
    </row>
    <row r="20" spans="1:19" x14ac:dyDescent="0.25">
      <c r="A20" s="8"/>
      <c r="B20" s="10"/>
      <c r="C20" s="8"/>
      <c r="D20" s="10"/>
      <c r="E20" s="10"/>
      <c r="F20" s="12"/>
      <c r="G20" s="11"/>
      <c r="H20" s="12"/>
      <c r="I20" s="12"/>
      <c r="J20" s="30"/>
      <c r="K20" s="31"/>
      <c r="L20" s="31"/>
      <c r="M20" s="31"/>
      <c r="N20" s="32"/>
      <c r="O20" s="32"/>
      <c r="P20" s="33">
        <f t="shared" si="0"/>
        <v>0</v>
      </c>
      <c r="Q20" s="32" t="e">
        <f t="shared" si="1"/>
        <v>#DIV/0!</v>
      </c>
      <c r="R20" s="34">
        <f t="shared" si="2"/>
        <v>0</v>
      </c>
    </row>
    <row r="21" spans="1:19" x14ac:dyDescent="0.25">
      <c r="A21" s="8"/>
      <c r="B21" s="10"/>
      <c r="C21" s="8"/>
      <c r="D21" s="10"/>
      <c r="E21" s="10"/>
      <c r="F21" s="12"/>
      <c r="G21" s="11"/>
      <c r="H21" s="12"/>
      <c r="I21" s="12"/>
      <c r="J21" s="30"/>
      <c r="K21" s="31"/>
      <c r="L21" s="31"/>
      <c r="M21" s="31"/>
      <c r="N21" s="32"/>
      <c r="O21" s="32"/>
      <c r="P21" s="33">
        <f t="shared" si="0"/>
        <v>0</v>
      </c>
      <c r="Q21" s="32" t="e">
        <f t="shared" si="1"/>
        <v>#DIV/0!</v>
      </c>
      <c r="R21" s="34">
        <f t="shared" si="2"/>
        <v>0</v>
      </c>
    </row>
    <row r="22" spans="1:19" x14ac:dyDescent="0.25">
      <c r="A22" s="8"/>
      <c r="B22" s="10"/>
      <c r="C22" s="8"/>
      <c r="D22" s="10"/>
      <c r="E22" s="10"/>
      <c r="F22" s="12"/>
      <c r="G22" s="11"/>
      <c r="H22" s="12"/>
      <c r="I22" s="12"/>
      <c r="J22" s="35"/>
      <c r="K22" s="31"/>
      <c r="L22" s="31"/>
      <c r="M22" s="31"/>
      <c r="N22" s="32"/>
      <c r="O22" s="32"/>
      <c r="P22" s="33">
        <f t="shared" si="0"/>
        <v>0</v>
      </c>
      <c r="Q22" s="32" t="e">
        <f t="shared" si="1"/>
        <v>#DIV/0!</v>
      </c>
      <c r="R22" s="34">
        <f t="shared" si="2"/>
        <v>0</v>
      </c>
    </row>
    <row r="23" spans="1:19" x14ac:dyDescent="0.25">
      <c r="A23" s="8"/>
      <c r="B23" s="10"/>
      <c r="C23" s="8"/>
      <c r="D23" s="10"/>
      <c r="E23" s="10"/>
      <c r="F23" s="12"/>
      <c r="G23" s="11"/>
      <c r="H23" s="12"/>
      <c r="I23" s="12"/>
      <c r="J23" s="35"/>
      <c r="K23" s="31"/>
      <c r="L23" s="31"/>
      <c r="M23" s="31"/>
      <c r="N23" s="32"/>
      <c r="O23" s="36"/>
      <c r="P23" s="33">
        <f t="shared" si="0"/>
        <v>0</v>
      </c>
      <c r="Q23" s="32" t="e">
        <f t="shared" si="1"/>
        <v>#DIV/0!</v>
      </c>
      <c r="R23" s="34">
        <f t="shared" si="2"/>
        <v>0</v>
      </c>
    </row>
    <row r="24" spans="1:19" x14ac:dyDescent="0.25">
      <c r="A24" s="20"/>
      <c r="B24" s="14"/>
      <c r="C24" s="20"/>
      <c r="D24" s="14"/>
      <c r="E24" s="14"/>
      <c r="F24" s="19"/>
      <c r="G24" s="21"/>
      <c r="H24" s="19"/>
      <c r="I24" s="19"/>
      <c r="J24" s="30"/>
      <c r="K24" s="31"/>
      <c r="L24" s="31"/>
      <c r="M24" s="31"/>
      <c r="N24" s="32"/>
      <c r="O24" s="36"/>
      <c r="P24" s="33">
        <f t="shared" ref="P24" si="4">SUM(K24:O24)*1.2</f>
        <v>0</v>
      </c>
      <c r="Q24" s="32" t="e">
        <f t="shared" ref="Q24" si="5">P24*1000/D24</f>
        <v>#DIV/0!</v>
      </c>
      <c r="R24" s="34">
        <f t="shared" ref="R24" si="6">SUM(D24*0.08)*1.2</f>
        <v>0</v>
      </c>
    </row>
    <row r="25" spans="1:19" x14ac:dyDescent="0.25">
      <c r="A25" s="15"/>
      <c r="B25" s="16"/>
      <c r="C25" s="15"/>
      <c r="D25" s="16"/>
      <c r="E25" s="16"/>
      <c r="F25" s="17"/>
      <c r="G25" s="18"/>
      <c r="H25" s="17"/>
      <c r="I25" s="17"/>
      <c r="J25" s="37"/>
      <c r="K25" s="38"/>
      <c r="L25" s="38"/>
      <c r="M25" s="38"/>
      <c r="N25" s="39"/>
      <c r="O25" s="40" t="s">
        <v>29</v>
      </c>
      <c r="P25" s="41"/>
      <c r="Q25" s="42"/>
      <c r="R25" s="42"/>
    </row>
    <row r="26" spans="1:19" x14ac:dyDescent="0.25">
      <c r="A26" s="8"/>
      <c r="B26" s="10"/>
      <c r="C26" s="8"/>
      <c r="D26" s="14"/>
      <c r="E26" s="10"/>
      <c r="F26" s="12"/>
      <c r="G26" s="11"/>
      <c r="H26" s="12"/>
      <c r="I26" s="12"/>
      <c r="J26" s="35"/>
      <c r="K26" s="31"/>
      <c r="L26" s="31"/>
      <c r="M26" s="31"/>
      <c r="N26" s="32"/>
      <c r="O26" s="32"/>
      <c r="P26" s="33">
        <f t="shared" si="0"/>
        <v>0</v>
      </c>
      <c r="Q26" s="32" t="e">
        <f t="shared" si="1"/>
        <v>#DIV/0!</v>
      </c>
      <c r="R26" s="34">
        <f t="shared" si="2"/>
        <v>0</v>
      </c>
    </row>
    <row r="27" spans="1:19" x14ac:dyDescent="0.25">
      <c r="A27" s="9"/>
      <c r="B27" s="10"/>
      <c r="C27" s="11"/>
      <c r="D27" s="10"/>
      <c r="E27" s="10"/>
      <c r="F27" s="12"/>
      <c r="G27" s="11"/>
      <c r="H27" s="12"/>
      <c r="I27" s="12"/>
      <c r="J27" s="35"/>
      <c r="K27" s="31"/>
      <c r="L27" s="31"/>
      <c r="M27" s="31"/>
      <c r="N27" s="32"/>
      <c r="O27" s="32"/>
      <c r="P27" s="31"/>
      <c r="Q27" s="32"/>
      <c r="R27" s="32"/>
    </row>
    <row r="28" spans="1:19" x14ac:dyDescent="0.25">
      <c r="J28" s="24"/>
      <c r="K28" s="26"/>
      <c r="L28" s="26"/>
      <c r="M28" s="26"/>
      <c r="N28" s="26"/>
      <c r="O28" s="26"/>
      <c r="P28" s="26">
        <f>SUM(P10:P26)</f>
        <v>0</v>
      </c>
      <c r="Q28" s="26"/>
      <c r="R28" s="26">
        <f>SUM(R10:R26)</f>
        <v>0</v>
      </c>
    </row>
    <row r="30" spans="1:19" s="2" customFormat="1" x14ac:dyDescent="0.25">
      <c r="A30" s="1"/>
      <c r="B30" s="3"/>
      <c r="C30" s="1"/>
      <c r="D30" s="3"/>
      <c r="E30" s="3"/>
      <c r="G30" s="1"/>
      <c r="K30" s="3"/>
      <c r="L30" s="3"/>
      <c r="M30" s="3"/>
      <c r="N30" s="3"/>
      <c r="O30" s="3"/>
      <c r="P30" s="3"/>
      <c r="Q30" s="3"/>
      <c r="R30" s="3"/>
      <c r="S30"/>
    </row>
    <row r="31" spans="1:19" s="2" customFormat="1" x14ac:dyDescent="0.25">
      <c r="A31" t="s">
        <v>30</v>
      </c>
      <c r="B31" s="3"/>
      <c r="C31" s="1"/>
      <c r="D31" s="3"/>
      <c r="E31" s="3"/>
      <c r="G31" s="1"/>
      <c r="K31" s="3"/>
      <c r="L31" s="3"/>
      <c r="M31" s="3"/>
      <c r="N31" s="3"/>
      <c r="O31" s="3"/>
      <c r="P31" s="3"/>
      <c r="Q31" s="3"/>
      <c r="R31" s="3"/>
      <c r="S31"/>
    </row>
    <row r="32" spans="1:19" s="2" customFormat="1" x14ac:dyDescent="0.25">
      <c r="A32" s="1"/>
      <c r="B32" s="3"/>
      <c r="C32" s="1"/>
      <c r="D32" s="3"/>
      <c r="E32" s="3"/>
      <c r="G32" s="1"/>
      <c r="K32" s="3"/>
      <c r="L32" s="3"/>
      <c r="M32" s="3"/>
      <c r="N32" s="3"/>
      <c r="O32" s="3"/>
      <c r="P32" s="3"/>
      <c r="Q32" s="3"/>
      <c r="R32" s="3"/>
      <c r="S32"/>
    </row>
    <row r="33" spans="1:19" s="2" customFormat="1" x14ac:dyDescent="0.25">
      <c r="A33" s="1"/>
      <c r="B33" s="3"/>
      <c r="C33" s="1"/>
      <c r="D33" s="3"/>
      <c r="E33" s="3"/>
      <c r="G33" s="1"/>
      <c r="K33" s="3"/>
      <c r="L33" s="3"/>
      <c r="M33" s="3"/>
      <c r="N33" s="3"/>
      <c r="O33" s="3"/>
      <c r="P33" s="3"/>
      <c r="Q33" s="3"/>
      <c r="R33" s="3"/>
      <c r="S33"/>
    </row>
    <row r="34" spans="1:19" s="2" customFormat="1" x14ac:dyDescent="0.25">
      <c r="A34" s="1"/>
      <c r="B34" s="3"/>
      <c r="C34" s="1"/>
      <c r="D34" s="3"/>
      <c r="E34" s="3"/>
      <c r="G34" s="1"/>
      <c r="K34" s="3"/>
      <c r="L34" s="3"/>
      <c r="M34" s="3"/>
      <c r="N34" s="3"/>
      <c r="O34" s="3"/>
      <c r="P34" s="3"/>
      <c r="Q34" s="3"/>
      <c r="R34" s="3"/>
      <c r="S34"/>
    </row>
    <row r="35" spans="1:19" s="2" customFormat="1" x14ac:dyDescent="0.25">
      <c r="A35" s="1"/>
      <c r="B35" s="3"/>
      <c r="C35" s="1"/>
      <c r="D35" s="3"/>
      <c r="E35" s="3"/>
      <c r="G35" s="1"/>
      <c r="K35" s="3"/>
      <c r="L35" s="3"/>
      <c r="M35" s="3"/>
      <c r="N35" s="3"/>
      <c r="O35" s="3"/>
      <c r="P35" s="3"/>
      <c r="Q35" s="3"/>
      <c r="R35" s="3"/>
      <c r="S35"/>
    </row>
    <row r="36" spans="1:19" s="2" customFormat="1" x14ac:dyDescent="0.25">
      <c r="A36" s="1"/>
      <c r="B36" s="3"/>
      <c r="C36" s="1"/>
      <c r="D36" s="3"/>
      <c r="E36" s="3"/>
      <c r="G36" s="1"/>
      <c r="K36" s="3"/>
      <c r="L36" s="3"/>
      <c r="M36" s="3"/>
      <c r="N36" s="3"/>
      <c r="O36" s="3"/>
      <c r="P36" s="3"/>
      <c r="Q36" s="3"/>
      <c r="R36" s="3"/>
      <c r="S36"/>
    </row>
    <row r="37" spans="1:19" s="2" customFormat="1" x14ac:dyDescent="0.25">
      <c r="A37" s="1"/>
      <c r="B37" s="3"/>
      <c r="C37" s="1"/>
      <c r="D37" s="3"/>
      <c r="E37" s="3"/>
      <c r="G37" s="1"/>
      <c r="K37" s="3"/>
      <c r="L37" s="3"/>
      <c r="M37" s="3"/>
      <c r="N37" s="3"/>
      <c r="O37" s="3"/>
      <c r="P37" s="3"/>
      <c r="Q37" s="3"/>
      <c r="R37" s="3"/>
      <c r="S37"/>
    </row>
    <row r="38" spans="1:19" s="2" customFormat="1" x14ac:dyDescent="0.25">
      <c r="A38" s="1"/>
      <c r="B38" s="3"/>
      <c r="C38" s="1"/>
      <c r="D38" s="3"/>
      <c r="E38" s="3"/>
      <c r="G38" s="1"/>
      <c r="K38" s="3"/>
      <c r="L38" s="3"/>
      <c r="M38" s="3"/>
      <c r="N38" s="3"/>
      <c r="O38" s="3"/>
      <c r="P38" s="3"/>
      <c r="Q38" s="3"/>
      <c r="R38" s="3"/>
      <c r="S38"/>
    </row>
    <row r="39" spans="1:19" s="2" customFormat="1" x14ac:dyDescent="0.25">
      <c r="A39" s="1"/>
      <c r="B39" s="3"/>
      <c r="C39" s="1"/>
      <c r="D39" s="3"/>
      <c r="E39" s="3"/>
      <c r="G39" s="1"/>
      <c r="K39" s="3"/>
      <c r="L39" s="3"/>
      <c r="M39" s="3"/>
      <c r="N39" s="3"/>
      <c r="O39" s="3"/>
      <c r="P39" s="3"/>
      <c r="Q39" s="3"/>
      <c r="R39" s="3"/>
      <c r="S39"/>
    </row>
    <row r="40" spans="1:19" s="2" customFormat="1" x14ac:dyDescent="0.25">
      <c r="A40" s="1"/>
      <c r="B40" s="3"/>
      <c r="C40" s="1"/>
      <c r="D40" s="3"/>
      <c r="E40" s="3"/>
      <c r="G40" s="1"/>
      <c r="K40" s="3"/>
      <c r="L40" s="3"/>
      <c r="M40" s="3"/>
      <c r="N40" s="3"/>
      <c r="O40" s="3"/>
      <c r="P40" s="3"/>
      <c r="Q40" s="3"/>
      <c r="R40" s="3"/>
      <c r="S40"/>
    </row>
  </sheetData>
  <mergeCells count="1">
    <mergeCell ref="R1:R7"/>
  </mergeCells>
  <pageMargins left="0.70866141732283472" right="0.70866141732283472" top="0.74803149606299213" bottom="0.74803149606299213" header="0.31496062992125984" footer="0.31496062992125984"/>
  <pageSetup paperSize="8" scale="54" orientation="landscape" r:id="rId1"/>
  <headerFooter>
    <oddHeader xml:space="preserve">&amp;LC1827 Project Gemini
Rev 02&amp;R29.03.23
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1D096E-693C-4E47-91A4-09C8F1588FA3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6A14B15C-0A8E-4FFD-A374-3AC903F867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2773D3-FCCF-4F51-B0F0-7081783BD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VRF</vt:lpstr>
      <vt:lpstr>'New VRF'!Print_Area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2019-01-31T13:01:11Z</dcterms:created>
  <dcterms:modified xsi:type="dcterms:W3CDTF">2026-06-23T13:34:01Z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  <property fmtid="{D5CDD505-2E9C-101B-9397-08002B2CF9AE}" pid="4" name="Order">
    <vt:r8>196000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
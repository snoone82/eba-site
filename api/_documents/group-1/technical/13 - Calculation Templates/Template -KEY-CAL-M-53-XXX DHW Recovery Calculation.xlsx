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76" documentId="11_40297EDB7786FB4237F840BF211538E20584E3F5" xr6:coauthVersionLast="47" xr6:coauthVersionMax="47" xr10:uidLastSave="{B5C1F2FD-6B49-4085-AE6A-FF0850189916}"/>
  <bookViews>
    <workbookView xWindow="12045" yWindow="4065" windowWidth="24360" windowHeight="15345" xr2:uid="{00000000-000D-0000-FFFF-FFFF00000000}"/>
  </bookViews>
  <sheets>
    <sheet name="Recovery-hr" sheetId="4" r:id="rId1"/>
  </sheets>
  <definedNames>
    <definedName name="_xlnm.Print_Area" localSheetId="0">'Recovery-hr'!$A$1:$K$51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4" l="1"/>
  <c r="E20" i="4"/>
  <c r="G27" i="4" s="1"/>
  <c r="E19" i="4"/>
  <c r="G28" i="4" s="1"/>
  <c r="E18" i="4"/>
  <c r="G26" i="4" s="1"/>
  <c r="E17" i="4"/>
  <c r="G25" i="4" s="1"/>
  <c r="E16" i="4"/>
  <c r="E15" i="4"/>
  <c r="G24" i="4" s="1"/>
  <c r="G29" i="4" l="1"/>
  <c r="B31" i="4" s="1"/>
  <c r="H33" i="4" s="1"/>
  <c r="H49" i="4" l="1"/>
  <c r="H44" i="4"/>
  <c r="H35" i="4"/>
  <c r="H40" i="4" s="1"/>
  <c r="H39" i="4"/>
  <c r="H50" i="4" l="1"/>
  <c r="H45" i="4"/>
</calcChain>
</file>

<file path=xl/sharedStrings.xml><?xml version="1.0" encoding="utf-8"?>
<sst xmlns="http://schemas.openxmlformats.org/spreadsheetml/2006/main" count="80" uniqueCount="42">
  <si>
    <t>Project No.</t>
  </si>
  <si>
    <t>Project</t>
  </si>
  <si>
    <t>Title</t>
  </si>
  <si>
    <t>Schedule No.</t>
  </si>
  <si>
    <t>Revision</t>
  </si>
  <si>
    <t>Date</t>
  </si>
  <si>
    <r>
      <t>C</t>
    </r>
    <r>
      <rPr>
        <b/>
        <sz val="9"/>
        <color theme="1"/>
        <rFont val="Arial"/>
      </rPr>
      <t>apacity HW used in each appliance</t>
    </r>
  </si>
  <si>
    <t>(or 0.66)</t>
  </si>
  <si>
    <t>No hours recovery</t>
  </si>
  <si>
    <t>1</t>
  </si>
  <si>
    <t>hrs.</t>
  </si>
  <si>
    <t>CW Temperature rise</t>
  </si>
  <si>
    <t>°C</t>
  </si>
  <si>
    <t>Sanitaryware</t>
  </si>
  <si>
    <t>Capacity</t>
  </si>
  <si>
    <t>Total HW per use</t>
  </si>
  <si>
    <t>WHBs</t>
  </si>
  <si>
    <t>litres</t>
  </si>
  <si>
    <t>Cleaners Sinks</t>
  </si>
  <si>
    <t>litres (tend to be un-blended)</t>
  </si>
  <si>
    <t>Sinks</t>
  </si>
  <si>
    <t>Kitchen Sinks</t>
  </si>
  <si>
    <t>Shower</t>
  </si>
  <si>
    <t>Bath</t>
  </si>
  <si>
    <t>Peak Usage Volume Check - lunchtime</t>
  </si>
  <si>
    <t>QTY</t>
  </si>
  <si>
    <t>No. Uses Per Hour</t>
  </si>
  <si>
    <t>Total HW per Hr.</t>
  </si>
  <si>
    <t>no.</t>
  </si>
  <si>
    <t>Kitchen Sink (Staff?)</t>
  </si>
  <si>
    <t>HW Usage / Recovery Rate</t>
  </si>
  <si>
    <t>Total</t>
  </si>
  <si>
    <t xml:space="preserve">litres/hr </t>
  </si>
  <si>
    <t>Heat Input</t>
  </si>
  <si>
    <t>x</t>
  </si>
  <si>
    <t>=</t>
  </si>
  <si>
    <t>kW</t>
  </si>
  <si>
    <t>15% Margin</t>
  </si>
  <si>
    <t>Options</t>
  </si>
  <si>
    <t>Duty/Load</t>
  </si>
  <si>
    <t>IP 02-05-13-5303 Version 1</t>
  </si>
  <si>
    <t>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</si>
</sst>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</font>
    <font>
      <b/>
      <sz val="9"/>
      <color theme="1"/>
      <name val="Arial"/>
    </font>
    <font>
      <i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4" borderId="9" xfId="0" applyFont="1" applyFill="1" applyBorder="1"/>
    <xf numFmtId="0" fontId="3" fillId="4" borderId="10" xfId="0" applyFont="1" applyFill="1" applyBorder="1"/>
    <xf numFmtId="0" fontId="0" fillId="4" borderId="10" xfId="0" applyFill="1" applyBorder="1"/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15" xfId="0" applyFill="1" applyBorder="1"/>
    <xf numFmtId="0" fontId="4" fillId="0" borderId="0" xfId="0" applyFont="1"/>
    <xf numFmtId="2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5" fillId="0" borderId="0" xfId="0" applyFont="1"/>
    <xf numFmtId="164" fontId="4" fillId="0" borderId="0" xfId="0" applyNumberFormat="1" applyFont="1"/>
    <xf numFmtId="164" fontId="4" fillId="2" borderId="0" xfId="0" applyNumberFormat="1" applyFont="1" applyFill="1"/>
    <xf numFmtId="0" fontId="4" fillId="2" borderId="0" xfId="0" applyFont="1" applyFill="1"/>
    <xf numFmtId="164" fontId="4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9" fontId="4" fillId="2" borderId="0" xfId="0" applyNumberFormat="1" applyFont="1" applyFill="1"/>
    <xf numFmtId="9" fontId="4" fillId="3" borderId="0" xfId="0" applyNumberFormat="1" applyFont="1" applyFill="1"/>
    <xf numFmtId="0" fontId="1" fillId="4" borderId="7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263767</xdr:colOff>
      <xdr:row>1</xdr:row>
      <xdr:rowOff>183172</xdr:rowOff>
    </xdr:from>
    <xdr:to>
      <xdr:col>0</xdr:col>
      <xdr:colOff>1893275</xdr:colOff>
      <xdr:row>4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DF123-16F4-174C-3AB8-CF778D49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7" y="373672"/>
          <a:ext cx="1629508" cy="407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1"/>
  <sheetViews>
    <sheetView tabSelected="1" view="pageBreakPreview" zoomScale="130" zoomScaleNormal="100" zoomScaleSheetLayoutView="130" workbookViewId="0">
      <selection activeCell="C7" sqref="C7"/>
    </sheetView>
  </sheetViews>
  <sheetFormatPr defaultRowHeight="15" x14ac:dyDescent="0.25"/>
  <cols>
    <col min="1" max="1" width="34.7109375" customWidth="1"/>
    <col min="2" max="2" width="13.42578125" customWidth="1"/>
    <col min="5" max="5" width="12.28515625" customWidth="1"/>
    <col min="7" max="7" width="8.85546875" customWidth="1"/>
    <col min="8" max="8" width="10.140625" bestFit="1" customWidth="1"/>
    <col min="9" max="9" width="11.42578125" customWidth="1"/>
    <col min="11" max="11" width="20.7109375" customWidth="1"/>
  </cols>
  <sheetData>
    <row r="1" spans="1:11" x14ac:dyDescent="0.25">
      <c r="A1" s="2"/>
      <c r="B1" s="3"/>
      <c r="C1" s="4"/>
      <c r="D1" s="4"/>
      <c r="E1" s="18"/>
      <c r="F1" s="4"/>
      <c r="G1" s="4"/>
      <c r="H1" s="4"/>
      <c r="I1" s="4"/>
      <c r="J1" s="5"/>
      <c r="K1" s="37"/>
    </row>
    <row r="2" spans="1:11" x14ac:dyDescent="0.25">
      <c r="A2" s="6"/>
      <c r="B2" s="7" t="s">
        <v>0</v>
      </c>
      <c r="C2" s="8"/>
      <c r="D2" s="9"/>
      <c r="E2" s="9"/>
      <c r="F2" s="9"/>
      <c r="G2" s="9"/>
      <c r="H2" s="10"/>
      <c r="I2" s="10"/>
      <c r="J2" s="11"/>
      <c r="K2" s="38"/>
    </row>
    <row r="3" spans="1:11" x14ac:dyDescent="0.25">
      <c r="A3" s="6"/>
      <c r="B3" s="12" t="s">
        <v>1</v>
      </c>
      <c r="C3" s="13"/>
      <c r="D3" s="9"/>
      <c r="E3" s="9"/>
      <c r="F3" s="9"/>
      <c r="G3" s="9"/>
      <c r="H3" s="10"/>
      <c r="I3" s="10"/>
      <c r="J3" s="11"/>
      <c r="K3" s="38"/>
    </row>
    <row r="4" spans="1:11" x14ac:dyDescent="0.25">
      <c r="A4" s="6"/>
      <c r="B4" s="12" t="s">
        <v>2</v>
      </c>
      <c r="C4" s="13"/>
      <c r="D4" s="9"/>
      <c r="E4" s="9"/>
      <c r="F4" s="9"/>
      <c r="G4" s="9"/>
      <c r="H4" s="10"/>
      <c r="I4" s="10"/>
      <c r="J4" s="11"/>
      <c r="K4" s="38"/>
    </row>
    <row r="5" spans="1:11" x14ac:dyDescent="0.25">
      <c r="A5" s="6"/>
      <c r="B5" s="12" t="s">
        <v>3</v>
      </c>
      <c r="C5" s="13"/>
      <c r="D5" s="9"/>
      <c r="E5" s="9"/>
      <c r="F5" s="9"/>
      <c r="G5" s="9"/>
      <c r="H5" s="10"/>
      <c r="I5" s="10"/>
      <c r="J5" s="11"/>
      <c r="K5" s="38"/>
    </row>
    <row r="6" spans="1:11" x14ac:dyDescent="0.25">
      <c r="A6" s="6"/>
      <c r="B6" s="12" t="s">
        <v>4</v>
      </c>
      <c r="C6" s="13"/>
      <c r="D6" s="9"/>
      <c r="E6" s="9"/>
      <c r="F6" s="9"/>
      <c r="G6" s="9"/>
      <c r="H6" s="10"/>
      <c r="I6" s="10"/>
      <c r="J6" s="11"/>
      <c r="K6" s="38"/>
    </row>
    <row r="7" spans="1:11" x14ac:dyDescent="0.25">
      <c r="A7" s="6"/>
      <c r="B7" s="12" t="s">
        <v>5</v>
      </c>
      <c r="C7" s="13"/>
      <c r="D7" s="9"/>
      <c r="E7" s="9"/>
      <c r="F7" s="9"/>
      <c r="G7" s="9"/>
      <c r="H7" s="10"/>
      <c r="I7" s="10"/>
      <c r="J7" s="11"/>
      <c r="K7" s="38"/>
    </row>
    <row r="8" spans="1:11" ht="15.75" thickBot="1" x14ac:dyDescent="0.3">
      <c r="A8" s="14"/>
      <c r="B8" s="15"/>
      <c r="C8" s="16"/>
      <c r="D8" s="16"/>
      <c r="E8" s="19"/>
      <c r="F8" s="16"/>
      <c r="G8" s="16"/>
      <c r="H8" s="16"/>
      <c r="I8" s="16"/>
      <c r="J8" s="17"/>
      <c r="K8" s="39"/>
    </row>
    <row r="10" spans="1:11" x14ac:dyDescent="0.25">
      <c r="A10" s="20" t="s">
        <v>6</v>
      </c>
      <c r="B10" s="20"/>
      <c r="C10" s="20"/>
      <c r="D10" s="20"/>
      <c r="E10" s="21">
        <v>1</v>
      </c>
      <c r="F10" s="20"/>
      <c r="G10" s="21" t="s">
        <v>7</v>
      </c>
      <c r="H10" s="20"/>
      <c r="I10" s="20"/>
      <c r="J10" s="20"/>
      <c r="K10" s="20"/>
    </row>
    <row r="11" spans="1:11" x14ac:dyDescent="0.25">
      <c r="A11" s="20" t="s">
        <v>8</v>
      </c>
      <c r="B11" s="20"/>
      <c r="C11" s="20"/>
      <c r="D11" s="20"/>
      <c r="E11" s="22" t="s">
        <v>9</v>
      </c>
      <c r="F11" s="20" t="s">
        <v>10</v>
      </c>
      <c r="G11" s="20"/>
      <c r="H11" s="20"/>
      <c r="I11" s="20"/>
      <c r="J11" s="20"/>
      <c r="K11" s="20"/>
    </row>
    <row r="12" spans="1:11" x14ac:dyDescent="0.25">
      <c r="A12" s="20" t="s">
        <v>11</v>
      </c>
      <c r="B12" s="20"/>
      <c r="C12" s="20"/>
      <c r="D12" s="20"/>
      <c r="E12" s="20">
        <v>50</v>
      </c>
      <c r="F12" s="20" t="s">
        <v>12</v>
      </c>
      <c r="G12" s="20"/>
      <c r="H12" s="20"/>
      <c r="I12" s="20"/>
      <c r="J12" s="20"/>
      <c r="K12" s="20"/>
    </row>
    <row r="13" spans="1:1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25">
      <c r="A14" s="23" t="s">
        <v>13</v>
      </c>
      <c r="B14" s="23"/>
      <c r="C14" s="23" t="s">
        <v>14</v>
      </c>
      <c r="D14" s="23"/>
      <c r="E14" s="23" t="s">
        <v>15</v>
      </c>
      <c r="F14" s="20"/>
      <c r="G14" s="23"/>
      <c r="H14" s="20"/>
      <c r="I14" s="20"/>
      <c r="J14" s="20"/>
      <c r="K14" s="20"/>
    </row>
    <row r="15" spans="1:11" x14ac:dyDescent="0.25">
      <c r="A15" s="20" t="s">
        <v>16</v>
      </c>
      <c r="B15" s="20"/>
      <c r="C15" s="20">
        <v>5</v>
      </c>
      <c r="D15" s="20" t="s">
        <v>17</v>
      </c>
      <c r="E15" s="24">
        <f>C15*E10</f>
        <v>5</v>
      </c>
      <c r="F15" s="20" t="s">
        <v>17</v>
      </c>
      <c r="G15" s="20"/>
      <c r="H15" s="20"/>
      <c r="I15" s="20"/>
      <c r="J15" s="20"/>
      <c r="K15" s="20"/>
    </row>
    <row r="16" spans="1:11" x14ac:dyDescent="0.25">
      <c r="A16" s="20" t="s">
        <v>18</v>
      </c>
      <c r="B16" s="20"/>
      <c r="C16" s="20">
        <v>12</v>
      </c>
      <c r="D16" s="20" t="s">
        <v>17</v>
      </c>
      <c r="E16" s="24">
        <f>C16</f>
        <v>12</v>
      </c>
      <c r="F16" s="20" t="s">
        <v>19</v>
      </c>
      <c r="G16" s="20"/>
      <c r="H16" s="20"/>
      <c r="I16" s="20"/>
      <c r="J16" s="20"/>
      <c r="K16" s="20"/>
    </row>
    <row r="17" spans="1:11" ht="15" customHeight="1" x14ac:dyDescent="0.25">
      <c r="A17" s="20" t="s">
        <v>20</v>
      </c>
      <c r="B17" s="20"/>
      <c r="C17" s="20">
        <v>12</v>
      </c>
      <c r="D17" s="20" t="s">
        <v>17</v>
      </c>
      <c r="E17" s="24">
        <f>C17*E10</f>
        <v>12</v>
      </c>
      <c r="F17" s="20" t="s">
        <v>17</v>
      </c>
      <c r="G17" s="20"/>
      <c r="H17" s="20"/>
      <c r="I17" s="20"/>
      <c r="J17" s="20"/>
      <c r="K17" s="20"/>
    </row>
    <row r="18" spans="1:11" ht="15" customHeight="1" x14ac:dyDescent="0.25">
      <c r="A18" s="20" t="s">
        <v>21</v>
      </c>
      <c r="B18" s="20"/>
      <c r="C18" s="20">
        <v>12</v>
      </c>
      <c r="D18" s="20" t="s">
        <v>17</v>
      </c>
      <c r="E18" s="24">
        <f>C18</f>
        <v>12</v>
      </c>
      <c r="F18" s="20" t="s">
        <v>19</v>
      </c>
      <c r="G18" s="20"/>
      <c r="H18" s="20"/>
      <c r="I18" s="20"/>
      <c r="J18" s="20"/>
      <c r="K18" s="20"/>
    </row>
    <row r="19" spans="1:11" x14ac:dyDescent="0.25">
      <c r="A19" s="20" t="s">
        <v>22</v>
      </c>
      <c r="B19" s="20"/>
      <c r="C19" s="20">
        <v>40</v>
      </c>
      <c r="D19" s="20" t="s">
        <v>17</v>
      </c>
      <c r="E19" s="24">
        <f>C19*E10</f>
        <v>40</v>
      </c>
      <c r="F19" s="20" t="s">
        <v>17</v>
      </c>
      <c r="G19" s="20"/>
      <c r="H19" s="20"/>
      <c r="I19" s="20"/>
      <c r="J19" s="20"/>
      <c r="K19" s="20"/>
    </row>
    <row r="20" spans="1:11" x14ac:dyDescent="0.25">
      <c r="A20" s="20" t="s">
        <v>23</v>
      </c>
      <c r="B20" s="20"/>
      <c r="C20" s="20">
        <v>100</v>
      </c>
      <c r="D20" s="20" t="s">
        <v>17</v>
      </c>
      <c r="E20" s="24">
        <f>C20*E10</f>
        <v>100</v>
      </c>
      <c r="F20" s="20" t="s">
        <v>17</v>
      </c>
      <c r="G20" s="20"/>
      <c r="H20" s="20"/>
      <c r="I20" s="20"/>
      <c r="J20" s="20"/>
      <c r="K20" s="20"/>
    </row>
    <row r="21" spans="1:1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25">
      <c r="A22" s="20" t="s">
        <v>24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25">
      <c r="A23" s="23" t="s">
        <v>13</v>
      </c>
      <c r="B23" s="23"/>
      <c r="C23" s="23" t="s">
        <v>25</v>
      </c>
      <c r="D23" s="23"/>
      <c r="E23" s="23" t="s">
        <v>26</v>
      </c>
      <c r="F23" s="23"/>
      <c r="G23" s="23" t="s">
        <v>27</v>
      </c>
      <c r="H23" s="20"/>
      <c r="I23" s="20"/>
      <c r="J23" s="23"/>
      <c r="K23" s="20"/>
    </row>
    <row r="24" spans="1:11" x14ac:dyDescent="0.25">
      <c r="A24" s="20" t="s">
        <v>16</v>
      </c>
      <c r="B24" s="20"/>
      <c r="C24" s="20">
        <v>19</v>
      </c>
      <c r="D24" s="20" t="s">
        <v>28</v>
      </c>
      <c r="E24" s="20">
        <v>3</v>
      </c>
      <c r="F24" s="20" t="s">
        <v>28</v>
      </c>
      <c r="G24" s="25">
        <f>ROUND(C24*E24*E15,2)</f>
        <v>285</v>
      </c>
      <c r="H24" s="26" t="s">
        <v>17</v>
      </c>
      <c r="I24" s="26"/>
      <c r="J24" s="25"/>
      <c r="K24" s="26"/>
    </row>
    <row r="25" spans="1:11" x14ac:dyDescent="0.25">
      <c r="A25" s="20" t="s">
        <v>20</v>
      </c>
      <c r="B25" s="20"/>
      <c r="C25" s="20">
        <v>4</v>
      </c>
      <c r="D25" s="20" t="s">
        <v>28</v>
      </c>
      <c r="E25" s="20">
        <v>3</v>
      </c>
      <c r="F25" s="20" t="s">
        <v>28</v>
      </c>
      <c r="G25" s="25">
        <f>ROUND(C25*E25*E17,2)</f>
        <v>144</v>
      </c>
      <c r="H25" s="26" t="s">
        <v>17</v>
      </c>
      <c r="I25" s="26"/>
      <c r="J25" s="25"/>
      <c r="K25" s="26"/>
    </row>
    <row r="26" spans="1:11" x14ac:dyDescent="0.25">
      <c r="A26" s="20" t="s">
        <v>29</v>
      </c>
      <c r="B26" s="20"/>
      <c r="C26" s="20">
        <v>2</v>
      </c>
      <c r="D26" s="20" t="s">
        <v>28</v>
      </c>
      <c r="E26" s="20">
        <v>0</v>
      </c>
      <c r="F26" s="20" t="s">
        <v>28</v>
      </c>
      <c r="G26" s="25">
        <f>ROUND(C26*E26*E18,2)</f>
        <v>0</v>
      </c>
      <c r="H26" s="26" t="s">
        <v>17</v>
      </c>
      <c r="I26" s="26"/>
      <c r="J26" s="25"/>
      <c r="K26" s="26"/>
    </row>
    <row r="27" spans="1:11" x14ac:dyDescent="0.25">
      <c r="A27" s="20" t="s">
        <v>23</v>
      </c>
      <c r="B27" s="20"/>
      <c r="C27" s="20">
        <v>0</v>
      </c>
      <c r="D27" s="20" t="s">
        <v>28</v>
      </c>
      <c r="E27" s="20">
        <v>0</v>
      </c>
      <c r="F27" s="20" t="s">
        <v>28</v>
      </c>
      <c r="G27" s="25">
        <f>ROUND(C27*E27*E20,2)</f>
        <v>0</v>
      </c>
      <c r="H27" s="26" t="s">
        <v>17</v>
      </c>
      <c r="I27" s="26"/>
      <c r="J27" s="25"/>
      <c r="K27" s="26"/>
    </row>
    <row r="28" spans="1:11" x14ac:dyDescent="0.25">
      <c r="A28" s="20" t="s">
        <v>22</v>
      </c>
      <c r="B28" s="20"/>
      <c r="C28" s="20">
        <v>4</v>
      </c>
      <c r="D28" s="20" t="s">
        <v>28</v>
      </c>
      <c r="E28" s="20">
        <v>0.5</v>
      </c>
      <c r="F28" s="20" t="s">
        <v>28</v>
      </c>
      <c r="G28" s="25">
        <f>ROUND(C28*E28*E19,2)</f>
        <v>80</v>
      </c>
      <c r="H28" s="26" t="s">
        <v>17</v>
      </c>
      <c r="I28" s="26"/>
      <c r="J28" s="25"/>
      <c r="K28" s="26"/>
    </row>
    <row r="29" spans="1:11" x14ac:dyDescent="0.25">
      <c r="A29" s="20"/>
      <c r="B29" s="20"/>
      <c r="C29" s="20"/>
      <c r="D29" s="20"/>
      <c r="E29" s="20"/>
      <c r="F29" s="20"/>
      <c r="G29" s="24">
        <f>SUM(G24:G28)</f>
        <v>509</v>
      </c>
      <c r="H29" s="20"/>
      <c r="I29" s="20"/>
      <c r="J29" s="20"/>
      <c r="K29" s="20"/>
    </row>
    <row r="30" spans="1:11" x14ac:dyDescent="0.25">
      <c r="A30" s="23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25">
      <c r="A31" s="20" t="s">
        <v>31</v>
      </c>
      <c r="B31" s="41">
        <f>G29</f>
        <v>509</v>
      </c>
      <c r="C31" s="41"/>
      <c r="D31" s="41"/>
      <c r="E31" s="20" t="s">
        <v>32</v>
      </c>
      <c r="F31" s="20"/>
      <c r="G31" s="20"/>
      <c r="H31" s="20"/>
      <c r="I31" s="20"/>
      <c r="J31" s="20"/>
      <c r="K31" s="20"/>
    </row>
    <row r="32" spans="1:11" x14ac:dyDescent="0.25">
      <c r="A32" s="20"/>
      <c r="B32" s="27"/>
      <c r="C32" s="27"/>
      <c r="D32" s="27"/>
      <c r="E32" s="20"/>
      <c r="F32" s="20"/>
      <c r="G32" s="20"/>
      <c r="H32" s="20"/>
      <c r="I32" s="20"/>
      <c r="J32" s="20"/>
      <c r="K32" s="20"/>
    </row>
    <row r="33" spans="1:15" x14ac:dyDescent="0.25">
      <c r="A33" s="20" t="s">
        <v>33</v>
      </c>
      <c r="B33" s="28">
        <v>15000</v>
      </c>
      <c r="C33" s="29" t="s">
        <v>34</v>
      </c>
      <c r="D33" s="29">
        <v>4.2</v>
      </c>
      <c r="E33" s="29" t="s">
        <v>34</v>
      </c>
      <c r="F33" s="29">
        <f>E12</f>
        <v>50</v>
      </c>
      <c r="G33" s="30" t="s">
        <v>35</v>
      </c>
      <c r="H33" s="26">
        <f>ROUND(B33/(B34)*D33*F33,2)</f>
        <v>875</v>
      </c>
      <c r="I33" s="26" t="s">
        <v>36</v>
      </c>
      <c r="J33" s="20"/>
      <c r="K33" s="20"/>
    </row>
    <row r="34" spans="1:15" x14ac:dyDescent="0.25">
      <c r="A34" s="20"/>
      <c r="B34" s="42" t="s">
        <v>41</v>
      </c>
      <c r="C34" s="43"/>
      <c r="D34" s="43"/>
      <c r="E34" s="43"/>
      <c r="F34" s="43"/>
      <c r="G34" s="20"/>
      <c r="H34" s="20"/>
      <c r="I34" s="20"/>
      <c r="J34" s="20"/>
      <c r="K34" s="20"/>
    </row>
    <row r="35" spans="1:15" x14ac:dyDescent="0.25">
      <c r="A35" s="20"/>
      <c r="B35" s="20"/>
      <c r="C35" s="20"/>
      <c r="D35" s="20"/>
      <c r="E35" s="20"/>
      <c r="F35" s="20"/>
      <c r="G35" s="20"/>
      <c r="H35" s="31">
        <f>H33*1.15</f>
        <v>1006.2499999999999</v>
      </c>
      <c r="I35" s="31" t="s">
        <v>37</v>
      </c>
      <c r="J35" s="20"/>
      <c r="K35" s="20"/>
    </row>
    <row r="36" spans="1:1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5" ht="15" customHeight="1" x14ac:dyDescent="0.25">
      <c r="A37" s="23" t="s">
        <v>38</v>
      </c>
      <c r="B37" s="20"/>
      <c r="C37" s="20"/>
      <c r="D37" s="20"/>
      <c r="E37" s="20"/>
      <c r="F37" s="32"/>
      <c r="G37" s="32"/>
      <c r="H37" s="32"/>
      <c r="I37" s="20"/>
      <c r="J37" s="20"/>
      <c r="K37" s="20"/>
    </row>
    <row r="38" spans="1:15" x14ac:dyDescent="0.25">
      <c r="A38" s="33"/>
      <c r="B38" s="40"/>
      <c r="C38" s="40"/>
      <c r="D38" s="40"/>
      <c r="E38" s="40"/>
      <c r="F38" s="34"/>
      <c r="G38" s="34"/>
      <c r="H38" s="26"/>
      <c r="I38" s="26" t="s">
        <v>36</v>
      </c>
      <c r="J38" s="34"/>
      <c r="K38" s="34"/>
    </row>
    <row r="39" spans="1:15" x14ac:dyDescent="0.25">
      <c r="A39" s="33"/>
      <c r="B39" s="34"/>
      <c r="C39" s="34"/>
      <c r="D39" s="34"/>
      <c r="E39" s="34"/>
      <c r="F39" s="20"/>
      <c r="G39" s="20"/>
      <c r="H39" s="35">
        <f>H38/H33</f>
        <v>0</v>
      </c>
      <c r="I39" s="26" t="s">
        <v>39</v>
      </c>
      <c r="J39" s="20"/>
      <c r="K39" s="20"/>
      <c r="L39" s="1"/>
      <c r="O39" s="1"/>
    </row>
    <row r="40" spans="1:15" x14ac:dyDescent="0.25">
      <c r="A40" s="33"/>
      <c r="B40" s="20"/>
      <c r="C40" s="20"/>
      <c r="D40" s="20"/>
      <c r="E40" s="20"/>
      <c r="F40" s="20"/>
      <c r="G40" s="20"/>
      <c r="H40" s="36">
        <f>H38/H35</f>
        <v>0</v>
      </c>
      <c r="I40" s="31" t="s">
        <v>39</v>
      </c>
      <c r="J40" s="21"/>
      <c r="K40" s="21"/>
      <c r="L40" s="1"/>
      <c r="O40" s="1"/>
    </row>
    <row r="41" spans="1:15" x14ac:dyDescent="0.25">
      <c r="A41" s="3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"/>
      <c r="O41" s="1"/>
    </row>
    <row r="42" spans="1:1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5" x14ac:dyDescent="0.25">
      <c r="A43" s="33"/>
      <c r="B43" s="40"/>
      <c r="C43" s="40"/>
      <c r="D43" s="40"/>
      <c r="E43" s="40"/>
      <c r="F43" s="20"/>
      <c r="G43" s="20"/>
      <c r="H43" s="26"/>
      <c r="I43" s="26" t="s">
        <v>36</v>
      </c>
      <c r="J43" s="20"/>
      <c r="K43" s="20"/>
    </row>
    <row r="44" spans="1:15" x14ac:dyDescent="0.25">
      <c r="A44" s="20"/>
      <c r="B44" s="20"/>
      <c r="C44" s="20"/>
      <c r="D44" s="20"/>
      <c r="E44" s="20"/>
      <c r="F44" s="20"/>
      <c r="G44" s="20"/>
      <c r="H44" s="35">
        <f>H43/H33</f>
        <v>0</v>
      </c>
      <c r="I44" s="26" t="s">
        <v>39</v>
      </c>
      <c r="J44" s="20"/>
      <c r="K44" s="20"/>
    </row>
    <row r="45" spans="1:15" x14ac:dyDescent="0.25">
      <c r="A45" s="20"/>
      <c r="B45" s="20"/>
      <c r="C45" s="20"/>
      <c r="D45" s="20"/>
      <c r="E45" s="20"/>
      <c r="F45" s="20"/>
      <c r="G45" s="20"/>
      <c r="H45" s="36">
        <f>H43/H35</f>
        <v>0</v>
      </c>
      <c r="I45" s="31" t="s">
        <v>39</v>
      </c>
      <c r="J45" s="20"/>
      <c r="K45" s="20"/>
    </row>
    <row r="46" spans="1:15" x14ac:dyDescent="0.25">
      <c r="A46" s="3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5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5" x14ac:dyDescent="0.25">
      <c r="A48" s="33"/>
      <c r="B48" s="40"/>
      <c r="C48" s="40"/>
      <c r="D48" s="40"/>
      <c r="E48" s="40"/>
      <c r="F48" s="20"/>
      <c r="G48" s="20"/>
      <c r="H48" s="26"/>
      <c r="I48" s="26" t="s">
        <v>36</v>
      </c>
      <c r="J48" s="20"/>
      <c r="K48" s="20"/>
    </row>
    <row r="49" spans="1:11" x14ac:dyDescent="0.25">
      <c r="A49" s="33"/>
      <c r="B49" s="40"/>
      <c r="C49" s="40"/>
      <c r="D49" s="40"/>
      <c r="E49" s="40"/>
      <c r="F49" s="20"/>
      <c r="G49" s="20"/>
      <c r="H49" s="35">
        <f>H48/H33</f>
        <v>0</v>
      </c>
      <c r="I49" s="26" t="s">
        <v>39</v>
      </c>
      <c r="J49" s="20"/>
      <c r="K49" s="20"/>
    </row>
    <row r="50" spans="1:11" x14ac:dyDescent="0.25">
      <c r="A50" s="20"/>
      <c r="B50" s="20"/>
      <c r="C50" s="20"/>
      <c r="D50" s="20"/>
      <c r="E50" s="20"/>
      <c r="F50" s="20"/>
      <c r="G50" s="20"/>
      <c r="H50" s="36">
        <f>H48/H35</f>
        <v>0</v>
      </c>
      <c r="I50" s="31" t="s">
        <v>39</v>
      </c>
      <c r="J50" s="20"/>
      <c r="K50" s="20"/>
    </row>
    <row r="51" spans="1:11" x14ac:dyDescent="0.25">
      <c r="A51" t="s">
        <v>40</v>
      </c>
    </row>
  </sheetData>
  <mergeCells count="7">
    <mergeCell ref="K1:K8"/>
    <mergeCell ref="B49:E49"/>
    <mergeCell ref="B31:D31"/>
    <mergeCell ref="B34:F34"/>
    <mergeCell ref="B38:E38"/>
    <mergeCell ref="B43:E43"/>
    <mergeCell ref="B48:E48"/>
  </mergeCells>
  <pageMargins left="0.70866141732283472" right="0.70866141732283472" top="0.74803149606299213" bottom="0.74803149606299213" header="0.31496062992125984" footer="0.31496062992125984"/>
  <pageSetup paperSize="8" scale="71" orientation="landscape" r:id="rId1"/>
  <headerFooter>
    <oddFooter>&amp;L&amp;Z&amp;F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79ACD-0343-4191-AC37-03794CADC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04212-5B38-40A9-83B1-2A1A8041BD9F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52ACA194-3B8F-47B9-B33D-BC8E8A403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Recovery-hr</vt:lpstr>
      <vt:lpstr>'Recovery-hr'!Print_Area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2016-06-16T15:25:49Z</dcterms:created>
  <dcterms:modified xsi:type="dcterms:W3CDTF">2026-06-23T13:28:34Z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
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32" documentId="13_ncr:40009_{A122150C-C67B-495C-8F0E-882043A03466}" xr6:coauthVersionLast="47" xr6:coauthVersionMax="47" xr10:uidLastSave="{AE81B684-1C64-44FD-9C40-7389F0D12C4A}"/>
  <bookViews>
    <workbookView xWindow="12045" yWindow="4065" windowWidth="24360" windowHeight="15345" xr2:uid="{00000000-000D-0000-FFFF-FFFF00000000}"/>
  </bookViews>
  <sheets>
    <sheet name="Heatloss 1ach" sheetId="13" r:id="rId1"/>
    <sheet name="Heatgain" sheetId="16" r:id="rId2"/>
    <sheet name="Uvalue" sheetId="14" r:id="rId3"/>
  </sheets>
  <definedNames>
    <definedName name="_xlnm.Print_Area" localSheetId="0">'Heatloss 1ach'!$A$1:$O$65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6" l="1"/>
  <c r="F15" i="13" l="1"/>
  <c r="G51" i="13" s="1"/>
  <c r="F40" i="16"/>
  <c r="F41" i="16"/>
  <c r="K39" i="16"/>
  <c r="F39" i="16"/>
  <c r="H39" i="16" s="1"/>
  <c r="G38" i="16"/>
  <c r="F35" i="16"/>
  <c r="K35" i="16" s="1"/>
  <c r="H34" i="16"/>
  <c r="F34" i="16"/>
  <c r="K34" i="16"/>
  <c r="F29" i="16"/>
  <c r="K29" i="16"/>
  <c r="H28" i="16"/>
  <c r="I28" i="16" s="1"/>
  <c r="F28" i="16"/>
  <c r="K28" i="16" s="1"/>
  <c r="F27" i="16"/>
  <c r="K27" i="16"/>
  <c r="H26" i="16"/>
  <c r="F26" i="16"/>
  <c r="K26" i="16" s="1"/>
  <c r="F25" i="16"/>
  <c r="H25" i="16"/>
  <c r="F24" i="16"/>
  <c r="H24" i="16" s="1"/>
  <c r="I24" i="16" s="1"/>
  <c r="F23" i="16"/>
  <c r="H23" i="16" s="1"/>
  <c r="F22" i="16"/>
  <c r="F30" i="16"/>
  <c r="I18" i="16"/>
  <c r="H46" i="16"/>
  <c r="F18" i="16"/>
  <c r="G54" i="16" s="1"/>
  <c r="H40" i="16"/>
  <c r="I40" i="16" s="1"/>
  <c r="F33" i="16"/>
  <c r="K33" i="16" s="1"/>
  <c r="H29" i="16"/>
  <c r="K40" i="16"/>
  <c r="H27" i="16"/>
  <c r="I27" i="16" s="1"/>
  <c r="H35" i="16"/>
  <c r="I15" i="13"/>
  <c r="F18" i="14"/>
  <c r="F79" i="14"/>
  <c r="F78" i="14"/>
  <c r="F77" i="14"/>
  <c r="F76" i="14"/>
  <c r="F75" i="14"/>
  <c r="F74" i="14"/>
  <c r="G74" i="14" s="1"/>
  <c r="H74" i="14" s="1"/>
  <c r="F72" i="14"/>
  <c r="F71" i="14"/>
  <c r="F70" i="14"/>
  <c r="F69" i="14"/>
  <c r="F68" i="14"/>
  <c r="F67" i="14"/>
  <c r="G67" i="14" s="1"/>
  <c r="H67" i="14" s="1"/>
  <c r="F65" i="14"/>
  <c r="F64" i="14"/>
  <c r="F63" i="14"/>
  <c r="F62" i="14"/>
  <c r="F61" i="14"/>
  <c r="F60" i="14"/>
  <c r="G60" i="14" s="1"/>
  <c r="H60" i="14" s="1"/>
  <c r="F58" i="14"/>
  <c r="F57" i="14"/>
  <c r="F56" i="14"/>
  <c r="F55" i="14"/>
  <c r="F54" i="14"/>
  <c r="F53" i="14"/>
  <c r="G53" i="14" s="1"/>
  <c r="H53" i="14" s="1"/>
  <c r="F51" i="14"/>
  <c r="F50" i="14"/>
  <c r="F49" i="14"/>
  <c r="F48" i="14"/>
  <c r="F47" i="14"/>
  <c r="F46" i="14"/>
  <c r="G46" i="14" s="1"/>
  <c r="H46" i="14" s="1"/>
  <c r="F44" i="14"/>
  <c r="F43" i="14"/>
  <c r="F42" i="14"/>
  <c r="F41" i="14"/>
  <c r="F40" i="14"/>
  <c r="F39" i="14"/>
  <c r="G39" i="14" s="1"/>
  <c r="H39" i="14" s="1"/>
  <c r="F37" i="14"/>
  <c r="F36" i="14"/>
  <c r="F35" i="14"/>
  <c r="F34" i="14"/>
  <c r="F33" i="14"/>
  <c r="F32" i="14"/>
  <c r="G32" i="14" s="1"/>
  <c r="H32" i="14" s="1"/>
  <c r="F30" i="14"/>
  <c r="F29" i="14"/>
  <c r="F28" i="14"/>
  <c r="F27" i="14"/>
  <c r="F26" i="14"/>
  <c r="F25" i="14"/>
  <c r="G25" i="14" s="1"/>
  <c r="H25" i="14" s="1"/>
  <c r="F23" i="14"/>
  <c r="F22" i="14"/>
  <c r="F21" i="14"/>
  <c r="F20" i="14"/>
  <c r="F19" i="14"/>
  <c r="G18" i="14" s="1"/>
  <c r="H18" i="14" s="1"/>
  <c r="F37" i="13"/>
  <c r="H37" i="13" s="1"/>
  <c r="F36" i="13"/>
  <c r="K36" i="13" s="1"/>
  <c r="G35" i="13"/>
  <c r="F32" i="13"/>
  <c r="H45" i="13" s="1"/>
  <c r="F31" i="13"/>
  <c r="K31" i="13" s="1"/>
  <c r="F26" i="13"/>
  <c r="H26" i="13" s="1"/>
  <c r="F25" i="13"/>
  <c r="H25" i="13" s="1"/>
  <c r="F24" i="13"/>
  <c r="K24" i="13" s="1"/>
  <c r="F23" i="13"/>
  <c r="H23" i="13" s="1"/>
  <c r="F22" i="13"/>
  <c r="H22" i="13" s="1"/>
  <c r="F21" i="13"/>
  <c r="H21" i="13" s="1"/>
  <c r="F20" i="13"/>
  <c r="H20" i="13" s="1"/>
  <c r="F19" i="13"/>
  <c r="H19" i="13" s="1"/>
  <c r="K30" i="16"/>
  <c r="H30" i="16"/>
  <c r="I30" i="16" s="1"/>
  <c r="K41" i="16"/>
  <c r="H22" i="16"/>
  <c r="F32" i="16"/>
  <c r="I33" i="16"/>
  <c r="I35" i="16"/>
  <c r="H33" i="16"/>
  <c r="I29" i="16"/>
  <c r="I25" i="16"/>
  <c r="G55" i="16"/>
  <c r="I26" i="16"/>
  <c r="H43" i="16"/>
  <c r="I34" i="16"/>
  <c r="K32" i="16"/>
  <c r="H32" i="16"/>
  <c r="I32" i="16"/>
  <c r="I22" i="16"/>
  <c r="K26" i="13" l="1"/>
  <c r="H40" i="13"/>
  <c r="K32" i="13"/>
  <c r="F28" i="13"/>
  <c r="H28" i="13" s="1"/>
  <c r="I28" i="13" s="1"/>
  <c r="H31" i="13"/>
  <c r="I31" i="13" s="1"/>
  <c r="F30" i="13"/>
  <c r="H30" i="13" s="1"/>
  <c r="I30" i="13" s="1"/>
  <c r="H36" i="13"/>
  <c r="I36" i="13" s="1"/>
  <c r="G52" i="13"/>
  <c r="G53" i="13" s="1"/>
  <c r="I25" i="13"/>
  <c r="I23" i="13"/>
  <c r="I26" i="13"/>
  <c r="K37" i="13"/>
  <c r="H43" i="13"/>
  <c r="K25" i="13"/>
  <c r="F29" i="13"/>
  <c r="H29" i="13" s="1"/>
  <c r="I29" i="13" s="1"/>
  <c r="F27" i="13"/>
  <c r="H27" i="13" s="1"/>
  <c r="I27" i="13" s="1"/>
  <c r="H32" i="13"/>
  <c r="I32" i="13" s="1"/>
  <c r="K23" i="13"/>
  <c r="I21" i="13"/>
  <c r="I20" i="13"/>
  <c r="I22" i="13"/>
  <c r="I19" i="13"/>
  <c r="H24" i="13"/>
  <c r="I24" i="13" s="1"/>
  <c r="H41" i="16"/>
  <c r="I39" i="16"/>
  <c r="G56" i="16"/>
  <c r="I41" i="16"/>
  <c r="I37" i="13"/>
  <c r="I38" i="13" s="1"/>
  <c r="H38" i="13"/>
  <c r="I23" i="16"/>
  <c r="F31" i="16"/>
  <c r="H48" i="16"/>
  <c r="F38" i="13"/>
  <c r="K28" i="13" l="1"/>
  <c r="K30" i="13"/>
  <c r="K29" i="13"/>
  <c r="F33" i="13"/>
  <c r="K33" i="13" s="1"/>
  <c r="H33" i="13"/>
  <c r="I33" i="13" s="1"/>
  <c r="I39" i="13" s="1"/>
  <c r="H41" i="13" s="1"/>
  <c r="K27" i="13"/>
  <c r="K31" i="16"/>
  <c r="H31" i="16"/>
  <c r="F36" i="16"/>
  <c r="K38" i="13"/>
  <c r="F39" i="13" l="1"/>
  <c r="G54" i="13" s="1"/>
  <c r="G55" i="13" s="1"/>
  <c r="H39" i="13"/>
  <c r="G58" i="13" s="1"/>
  <c r="H42" i="13"/>
  <c r="H44" i="13"/>
  <c r="K36" i="16"/>
  <c r="F42" i="16"/>
  <c r="I31" i="16"/>
  <c r="H36" i="16"/>
  <c r="K39" i="13" l="1"/>
  <c r="G61" i="13" s="1"/>
  <c r="G57" i="13"/>
  <c r="H48" i="13"/>
  <c r="B63" i="13" s="1"/>
  <c r="K42" i="16"/>
  <c r="I36" i="16"/>
  <c r="I42" i="16" s="1"/>
  <c r="H44" i="16" s="1"/>
  <c r="H42" i="16"/>
  <c r="G61" i="16" s="1"/>
  <c r="G60" i="13" l="1"/>
  <c r="G57" i="16"/>
  <c r="G58" i="16" s="1"/>
  <c r="H45" i="16"/>
  <c r="B66" i="16" s="1"/>
  <c r="H47" i="16"/>
  <c r="G64" i="16"/>
  <c r="G63" i="16"/>
  <c r="G60" i="16"/>
</calcChain>
</file>

<file path=xl/sharedStrings.xml><?xml version="1.0" encoding="utf-8"?>
<sst xmlns="http://schemas.openxmlformats.org/spreadsheetml/2006/main" count="255" uniqueCount="108">
  <si>
    <t>Project No.</t>
  </si>
  <si>
    <t>????</t>
  </si>
  <si>
    <t>Key Integrated Services Ltd
Unit 2, Bollin Court, Mill Lane,
Lymm, Cheshire, WA13 9SX
TEL: 01925 759948  FAX: 01925 758400</t>
  </si>
  <si>
    <t>Project</t>
  </si>
  <si>
    <t>?????</t>
  </si>
  <si>
    <t>Title</t>
  </si>
  <si>
    <t>Heat Loss Calculation - U Values</t>
  </si>
  <si>
    <t>Schedule No.</t>
  </si>
  <si>
    <t>KEY-XX-CAL-M-50-XXX</t>
  </si>
  <si>
    <t>Revision</t>
  </si>
  <si>
    <t>Date</t>
  </si>
  <si>
    <t>Heating Load Estimate Sheet</t>
  </si>
  <si>
    <t>Project:</t>
  </si>
  <si>
    <t>Date:</t>
  </si>
  <si>
    <t>Checked:</t>
  </si>
  <si>
    <t>Project No:</t>
  </si>
  <si>
    <t>Engineer:</t>
  </si>
  <si>
    <t>Sheet No:</t>
  </si>
  <si>
    <t>Building:</t>
  </si>
  <si>
    <t>System:</t>
  </si>
  <si>
    <t>Room:</t>
  </si>
  <si>
    <t>FULL FABRIC LOSS</t>
  </si>
  <si>
    <t>Size:</t>
  </si>
  <si>
    <t>Length</t>
  </si>
  <si>
    <t>Width</t>
  </si>
  <si>
    <t>Height</t>
  </si>
  <si>
    <t>Volume</t>
  </si>
  <si>
    <r>
      <t>t</t>
    </r>
    <r>
      <rPr>
        <vertAlign val="subscript"/>
        <sz val="10"/>
        <rFont val="Arial"/>
        <family val="2"/>
      </rPr>
      <t>ei</t>
    </r>
  </si>
  <si>
    <r>
      <t>t</t>
    </r>
    <r>
      <rPr>
        <vertAlign val="subscript"/>
        <sz val="10"/>
        <rFont val="Arial"/>
        <family val="2"/>
      </rPr>
      <t>ao</t>
    </r>
  </si>
  <si>
    <r>
      <t>D</t>
    </r>
    <r>
      <rPr>
        <sz val="10"/>
        <rFont val="Arial"/>
        <family val="2"/>
      </rPr>
      <t>t</t>
    </r>
  </si>
  <si>
    <t>AC/hr</t>
  </si>
  <si>
    <t>Occupancy</t>
  </si>
  <si>
    <t>l/s/p</t>
  </si>
  <si>
    <t>.</t>
  </si>
  <si>
    <t>Element</t>
  </si>
  <si>
    <t>No</t>
  </si>
  <si>
    <t>Area</t>
  </si>
  <si>
    <t>U</t>
  </si>
  <si>
    <t>UA</t>
  </si>
  <si>
    <t>Q</t>
  </si>
  <si>
    <t>Y</t>
  </si>
  <si>
    <t>YA</t>
  </si>
  <si>
    <t>(m)</t>
  </si>
  <si>
    <t>Off</t>
  </si>
  <si>
    <r>
      <t>(m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</t>
    </r>
  </si>
  <si>
    <r>
      <t>(W/m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oC)</t>
    </r>
  </si>
  <si>
    <t>(W)</t>
  </si>
  <si>
    <t>(W/m2K)</t>
  </si>
  <si>
    <t>W/K</t>
  </si>
  <si>
    <t>Glass   N</t>
  </si>
  <si>
    <t>-</t>
  </si>
  <si>
    <t>E</t>
  </si>
  <si>
    <t>S</t>
  </si>
  <si>
    <t>W</t>
  </si>
  <si>
    <t>Door     N</t>
  </si>
  <si>
    <t>Wall     N</t>
  </si>
  <si>
    <t>Roof</t>
  </si>
  <si>
    <t>Floor</t>
  </si>
  <si>
    <t>Sub Total</t>
  </si>
  <si>
    <t>PARTIAL FABRIC LOSS</t>
  </si>
  <si>
    <t>Glass</t>
  </si>
  <si>
    <t>Partition</t>
  </si>
  <si>
    <t>Total Fabric</t>
  </si>
  <si>
    <t>AIR INFILTRATION LOSS</t>
  </si>
  <si>
    <t xml:space="preserve">1.0 ach is based on min turn down of roof void ventilation in Osborn specification. Calculation do not include heat gains to space.  </t>
  </si>
  <si>
    <t>Adjustment for height</t>
  </si>
  <si>
    <t>%</t>
  </si>
  <si>
    <t>VENTILATION LOSSES</t>
  </si>
  <si>
    <t>REHEAT FACTOR BSEN 12831</t>
  </si>
  <si>
    <t>Additional Loss/Gain (people/lighting/equipment)</t>
  </si>
  <si>
    <t>GRAND TOTAL HEAT LOSS</t>
  </si>
  <si>
    <t>TEMPERATURE CALCULATIONS</t>
  </si>
  <si>
    <t>R=</t>
  </si>
  <si>
    <t>Table 5.4</t>
  </si>
  <si>
    <t>Infiltration</t>
  </si>
  <si>
    <r>
      <t>C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>=</t>
    </r>
  </si>
  <si>
    <t xml:space="preserve"> Ventilation</t>
  </si>
  <si>
    <t>Infiltration and Ventilation</t>
  </si>
  <si>
    <t>tai=</t>
  </si>
  <si>
    <r>
      <t>t</t>
    </r>
    <r>
      <rPr>
        <vertAlign val="subscript"/>
        <sz val="10"/>
        <rFont val="Arial"/>
        <family val="2"/>
      </rPr>
      <t>m</t>
    </r>
    <r>
      <rPr>
        <sz val="10"/>
        <rFont val="Arial"/>
        <family val="2"/>
      </rPr>
      <t>=</t>
    </r>
  </si>
  <si>
    <t>HEAT SOURCE CHARACTERISTICS</t>
  </si>
  <si>
    <r>
      <t>F1</t>
    </r>
    <r>
      <rPr>
        <vertAlign val="subscript"/>
        <sz val="10"/>
        <rFont val="Arial"/>
        <family val="2"/>
      </rPr>
      <t>cu</t>
    </r>
    <r>
      <rPr>
        <sz val="10"/>
        <rFont val="Arial"/>
        <family val="2"/>
      </rPr>
      <t>=</t>
    </r>
  </si>
  <si>
    <r>
      <t>F2</t>
    </r>
    <r>
      <rPr>
        <vertAlign val="subscript"/>
        <sz val="10"/>
        <rFont val="Arial"/>
        <family val="2"/>
      </rPr>
      <t>cu</t>
    </r>
    <r>
      <rPr>
        <sz val="10"/>
        <rFont val="Arial"/>
        <family val="2"/>
      </rPr>
      <t>=</t>
    </r>
  </si>
  <si>
    <t>THERMAL RESPONSE FACTOR</t>
  </si>
  <si>
    <t>W/m2</t>
  </si>
  <si>
    <t>IP 02-05-13-5604</t>
  </si>
  <si>
    <t>Heat Gain Calculation - U Values</t>
  </si>
  <si>
    <t>Heat gain ADD Lighting &amp; People to total</t>
  </si>
  <si>
    <t>ADD Lighting &amp; People</t>
  </si>
  <si>
    <t>"U" Value calculation sheet</t>
  </si>
  <si>
    <t>Material/Element</t>
  </si>
  <si>
    <t>Thickness</t>
  </si>
  <si>
    <t>Conductivity</t>
  </si>
  <si>
    <t>Resistance</t>
  </si>
  <si>
    <t>Total Resistance</t>
  </si>
  <si>
    <t>"U" Value</t>
  </si>
  <si>
    <r>
      <t>(W/m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</si>
  <si>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r>
      <t>(m</t>
    </r>
    <r>
      <rPr>
        <b/>
        <vertAlign val="superscript"/>
        <sz val="10"/>
        <rFont val="Arial"/>
        <family val="2"/>
      </rPr>
      <t>2O</t>
    </r>
    <r>
      <rPr>
        <b/>
        <sz val="10"/>
        <rFont val="Arial"/>
        <family val="2"/>
      </rPr>
      <t>C/W)</t>
    </r>
  </si>
  <si>
    <r>
      <t>(W/m</t>
    </r>
    <r>
      <rPr>
        <b/>
        <vertAlign val="superscript"/>
        <sz val="10"/>
        <rFont val="Arial"/>
        <family val="2"/>
      </rPr>
      <t>2O</t>
    </r>
    <r>
      <rPr>
        <b/>
        <sz val="10"/>
        <rFont val="Arial"/>
        <family val="2"/>
      </rPr>
      <t>C)</t>
    </r>
  </si>
  <si>
    <t>U value</t>
  </si>
  <si>
    <t>glass</t>
  </si>
  <si>
    <t xml:space="preserve">U value Thermal resistance K </t>
  </si>
  <si>
    <t>=</t>
  </si>
  <si>
    <t>d</t>
  </si>
  <si>
    <t>thickness (m)</t>
  </si>
  <si>
    <t>λ</t>
  </si>
  <si>
    <t>K value - thermal conductivity w/m.k</t>
  </si>
  <si>
    <t>air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</si>
</sst>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10"/>
      <name val="Arial"/>
      <family val="2"/>
    </font>
    <font>
      <vertAlign val="subscript"/>
      <sz val="10"/>
      <name val="Arial"/>
      <family val="2"/>
    </font>
    <font>
      <sz val="10"/>
      <name val="GreekC"/>
    </font>
    <font>
      <vertAlign val="superscript"/>
      <sz val="10"/>
      <name val="Arial"/>
      <family val="2"/>
    </font>
    <font>
      <strike/>
      <sz val="10"/>
      <name val="Arial"/>
      <family val="2"/>
    </font>
    <font>
      <b/>
      <vertAlign val="superscript"/>
      <sz val="10"/>
      <name val="Arial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7" fillId="0" borderId="18" xfId="0" applyFont="1" applyBorder="1"/>
    <xf numFmtId="0" fontId="0" fillId="0" borderId="20" xfId="0" applyBorder="1"/>
    <xf numFmtId="0" fontId="0" fillId="0" borderId="21" xfId="0" applyBorder="1"/>
    <xf numFmtId="2" fontId="0" fillId="2" borderId="22" xfId="0" applyNumberFormat="1" applyFill="1" applyBorder="1"/>
    <xf numFmtId="2" fontId="0" fillId="0" borderId="23" xfId="0" applyNumberFormat="1" applyBorder="1"/>
    <xf numFmtId="2" fontId="0" fillId="2" borderId="24" xfId="0" applyNumberFormat="1" applyFill="1" applyBorder="1"/>
    <xf numFmtId="0" fontId="0" fillId="2" borderId="25" xfId="0" applyFill="1" applyBorder="1"/>
    <xf numFmtId="0" fontId="0" fillId="2" borderId="26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right"/>
    </xf>
    <xf numFmtId="2" fontId="0" fillId="2" borderId="37" xfId="0" applyNumberFormat="1" applyFill="1" applyBorder="1"/>
    <xf numFmtId="0" fontId="0" fillId="2" borderId="38" xfId="0" applyFill="1" applyBorder="1"/>
    <xf numFmtId="2" fontId="0" fillId="3" borderId="39" xfId="0" applyNumberFormat="1" applyFill="1" applyBorder="1"/>
    <xf numFmtId="2" fontId="0" fillId="0" borderId="37" xfId="0" applyNumberFormat="1" applyBorder="1"/>
    <xf numFmtId="0" fontId="0" fillId="2" borderId="4" xfId="0" applyFill="1" applyBorder="1" applyAlignment="1">
      <alignment horizontal="center"/>
    </xf>
    <xf numFmtId="2" fontId="0" fillId="0" borderId="40" xfId="0" applyNumberFormat="1" applyBorder="1" applyAlignment="1">
      <alignment horizontal="center" vertical="center"/>
    </xf>
    <xf numFmtId="0" fontId="0" fillId="0" borderId="41" xfId="0" applyBorder="1" applyAlignment="1">
      <alignment horizontal="right"/>
    </xf>
    <xf numFmtId="2" fontId="0" fillId="2" borderId="42" xfId="0" applyNumberFormat="1" applyFill="1" applyBorder="1"/>
    <xf numFmtId="0" fontId="0" fillId="2" borderId="1" xfId="0" applyFill="1" applyBorder="1"/>
    <xf numFmtId="2" fontId="0" fillId="3" borderId="38" xfId="0" applyNumberFormat="1" applyFill="1" applyBorder="1"/>
    <xf numFmtId="2" fontId="0" fillId="0" borderId="42" xfId="0" applyNumberFormat="1" applyBorder="1"/>
    <xf numFmtId="2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right"/>
    </xf>
    <xf numFmtId="0" fontId="0" fillId="2" borderId="5" xfId="0" applyFill="1" applyBorder="1"/>
    <xf numFmtId="2" fontId="0" fillId="3" borderId="45" xfId="0" applyNumberFormat="1" applyFill="1" applyBorder="1"/>
    <xf numFmtId="2" fontId="0" fillId="0" borderId="22" xfId="0" applyNumberFormat="1" applyBorder="1"/>
    <xf numFmtId="0" fontId="0" fillId="2" borderId="14" xfId="0" applyFill="1" applyBorder="1" applyAlignment="1">
      <alignment horizontal="center"/>
    </xf>
    <xf numFmtId="2" fontId="0" fillId="0" borderId="46" xfId="0" applyNumberFormat="1" applyBorder="1" applyAlignment="1">
      <alignment horizontal="center" vertical="center"/>
    </xf>
    <xf numFmtId="2" fontId="0" fillId="2" borderId="17" xfId="0" applyNumberFormat="1" applyFill="1" applyBorder="1"/>
    <xf numFmtId="0" fontId="0" fillId="2" borderId="2" xfId="0" applyFill="1" applyBorder="1"/>
    <xf numFmtId="2" fontId="0" fillId="3" borderId="2" xfId="0" applyNumberFormat="1" applyFill="1" applyBorder="1"/>
    <xf numFmtId="2" fontId="0" fillId="0" borderId="17" xfId="0" applyNumberFormat="1" applyBorder="1"/>
    <xf numFmtId="0" fontId="0" fillId="2" borderId="47" xfId="0" applyFill="1" applyBorder="1" applyAlignment="1">
      <alignment horizontal="center"/>
    </xf>
    <xf numFmtId="2" fontId="0" fillId="0" borderId="48" xfId="0" applyNumberFormat="1" applyBorder="1" applyAlignment="1">
      <alignment horizontal="right"/>
    </xf>
    <xf numFmtId="2" fontId="0" fillId="0" borderId="43" xfId="0" applyNumberFormat="1" applyBorder="1" applyAlignment="1">
      <alignment horizontal="right"/>
    </xf>
    <xf numFmtId="2" fontId="0" fillId="0" borderId="46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2" fontId="0" fillId="3" borderId="1" xfId="0" applyNumberFormat="1" applyFill="1" applyBorder="1"/>
    <xf numFmtId="2" fontId="0" fillId="3" borderId="49" xfId="0" applyNumberFormat="1" applyFill="1" applyBorder="1"/>
    <xf numFmtId="0" fontId="0" fillId="0" borderId="16" xfId="0" applyBorder="1" applyAlignment="1">
      <alignment horizontal="left"/>
    </xf>
    <xf numFmtId="0" fontId="0" fillId="0" borderId="41" xfId="0" applyBorder="1" applyAlignment="1">
      <alignment horizontal="left"/>
    </xf>
    <xf numFmtId="2" fontId="0" fillId="0" borderId="45" xfId="0" applyNumberFormat="1" applyBorder="1"/>
    <xf numFmtId="0" fontId="9" fillId="0" borderId="22" xfId="0" applyFont="1" applyBorder="1"/>
    <xf numFmtId="0" fontId="0" fillId="0" borderId="14" xfId="0" applyBorder="1" applyAlignment="1">
      <alignment horizontal="center"/>
    </xf>
    <xf numFmtId="2" fontId="0" fillId="2" borderId="50" xfId="0" applyNumberFormat="1" applyFill="1" applyBorder="1"/>
    <xf numFmtId="0" fontId="0" fillId="0" borderId="51" xfId="0" applyBorder="1"/>
    <xf numFmtId="2" fontId="0" fillId="2" borderId="52" xfId="0" applyNumberFormat="1" applyFill="1" applyBorder="1"/>
    <xf numFmtId="2" fontId="0" fillId="2" borderId="38" xfId="0" applyNumberFormat="1" applyFill="1" applyBorder="1"/>
    <xf numFmtId="2" fontId="0" fillId="2" borderId="4" xfId="0" applyNumberFormat="1" applyFill="1" applyBorder="1"/>
    <xf numFmtId="4" fontId="0" fillId="0" borderId="1" xfId="0" applyNumberFormat="1" applyBorder="1"/>
    <xf numFmtId="2" fontId="0" fillId="2" borderId="1" xfId="0" applyNumberFormat="1" applyFill="1" applyBorder="1"/>
    <xf numFmtId="0" fontId="0" fillId="0" borderId="49" xfId="0" applyBorder="1"/>
    <xf numFmtId="2" fontId="0" fillId="0" borderId="53" xfId="0" applyNumberFormat="1" applyBorder="1"/>
    <xf numFmtId="0" fontId="0" fillId="2" borderId="54" xfId="0" applyFill="1" applyBorder="1"/>
    <xf numFmtId="4" fontId="0" fillId="0" borderId="5" xfId="0" applyNumberFormat="1" applyBorder="1"/>
    <xf numFmtId="2" fontId="0" fillId="0" borderId="55" xfId="0" applyNumberFormat="1" applyBorder="1" applyAlignment="1">
      <alignment horizontal="right"/>
    </xf>
    <xf numFmtId="2" fontId="1" fillId="0" borderId="56" xfId="0" applyNumberFormat="1" applyFont="1" applyBorder="1"/>
    <xf numFmtId="4" fontId="1" fillId="0" borderId="57" xfId="0" applyNumberFormat="1" applyFont="1" applyBorder="1"/>
    <xf numFmtId="0" fontId="0" fillId="0" borderId="57" xfId="0" applyBorder="1" applyAlignment="1">
      <alignment horizontal="center"/>
    </xf>
    <xf numFmtId="2" fontId="0" fillId="0" borderId="15" xfId="0" applyNumberFormat="1" applyBorder="1" applyAlignment="1">
      <alignment horizontal="right"/>
    </xf>
    <xf numFmtId="0" fontId="0" fillId="0" borderId="47" xfId="0" applyBorder="1"/>
    <xf numFmtId="0" fontId="0" fillId="0" borderId="58" xfId="0" applyBorder="1"/>
    <xf numFmtId="2" fontId="1" fillId="0" borderId="59" xfId="0" applyNumberFormat="1" applyFont="1" applyBorder="1"/>
    <xf numFmtId="0" fontId="0" fillId="0" borderId="60" xfId="0" applyBorder="1"/>
    <xf numFmtId="10" fontId="0" fillId="2" borderId="61" xfId="0" applyNumberFormat="1" applyFill="1" applyBorder="1"/>
    <xf numFmtId="2" fontId="0" fillId="0" borderId="56" xfId="0" applyNumberFormat="1" applyBorder="1"/>
    <xf numFmtId="10" fontId="0" fillId="0" borderId="0" xfId="0" applyNumberFormat="1"/>
    <xf numFmtId="0" fontId="0" fillId="0" borderId="62" xfId="0" applyBorder="1"/>
    <xf numFmtId="0" fontId="0" fillId="0" borderId="63" xfId="0" applyBorder="1"/>
    <xf numFmtId="2" fontId="0" fillId="0" borderId="62" xfId="0" applyNumberFormat="1" applyBorder="1"/>
    <xf numFmtId="2" fontId="5" fillId="0" borderId="56" xfId="0" applyNumberFormat="1" applyFont="1" applyBorder="1"/>
    <xf numFmtId="0" fontId="0" fillId="0" borderId="64" xfId="0" applyBorder="1"/>
    <xf numFmtId="0" fontId="0" fillId="0" borderId="17" xfId="0" applyBorder="1"/>
    <xf numFmtId="0" fontId="0" fillId="0" borderId="65" xfId="0" applyBorder="1"/>
    <xf numFmtId="0" fontId="0" fillId="0" borderId="66" xfId="0" applyBorder="1"/>
    <xf numFmtId="0" fontId="0" fillId="0" borderId="38" xfId="0" applyBorder="1"/>
    <xf numFmtId="0" fontId="0" fillId="0" borderId="67" xfId="0" applyBorder="1"/>
    <xf numFmtId="2" fontId="0" fillId="3" borderId="42" xfId="0" applyNumberFormat="1" applyFill="1" applyBorder="1"/>
    <xf numFmtId="0" fontId="2" fillId="0" borderId="66" xfId="0" applyFont="1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2" fontId="0" fillId="0" borderId="71" xfId="0" applyNumberFormat="1" applyBorder="1"/>
    <xf numFmtId="0" fontId="0" fillId="0" borderId="72" xfId="0" applyBorder="1"/>
    <xf numFmtId="0" fontId="1" fillId="0" borderId="73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1" fillId="0" borderId="75" xfId="0" applyFont="1" applyBorder="1" applyAlignment="1">
      <alignment horizontal="center"/>
    </xf>
    <xf numFmtId="0" fontId="0" fillId="0" borderId="31" xfId="0" applyBorder="1"/>
    <xf numFmtId="0" fontId="1" fillId="0" borderId="3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36" xfId="0" applyFill="1" applyBorder="1"/>
    <xf numFmtId="0" fontId="0" fillId="2" borderId="37" xfId="0" applyFill="1" applyBorder="1"/>
    <xf numFmtId="2" fontId="0" fillId="4" borderId="76" xfId="0" applyNumberFormat="1" applyFill="1" applyBorder="1"/>
    <xf numFmtId="0" fontId="0" fillId="0" borderId="52" xfId="0" applyBorder="1"/>
    <xf numFmtId="0" fontId="0" fillId="2" borderId="51" xfId="0" applyFill="1" applyBorder="1"/>
    <xf numFmtId="0" fontId="0" fillId="2" borderId="52" xfId="0" applyFill="1" applyBorder="1"/>
    <xf numFmtId="2" fontId="0" fillId="4" borderId="5" xfId="0" applyNumberFormat="1" applyFill="1" applyBorder="1"/>
    <xf numFmtId="0" fontId="0" fillId="2" borderId="77" xfId="0" applyFill="1" applyBorder="1"/>
    <xf numFmtId="0" fontId="0" fillId="2" borderId="71" xfId="0" applyFill="1" applyBorder="1"/>
    <xf numFmtId="2" fontId="0" fillId="4" borderId="70" xfId="0" applyNumberFormat="1" applyFill="1" applyBorder="1"/>
    <xf numFmtId="0" fontId="0" fillId="0" borderId="71" xfId="0" applyBorder="1"/>
    <xf numFmtId="2" fontId="0" fillId="4" borderId="78" xfId="0" applyNumberFormat="1" applyFill="1" applyBorder="1"/>
    <xf numFmtId="0" fontId="0" fillId="2" borderId="42" xfId="0" applyFill="1" applyBorder="1"/>
    <xf numFmtId="0" fontId="0" fillId="2" borderId="32" xfId="0" applyFill="1" applyBorder="1"/>
    <xf numFmtId="0" fontId="0" fillId="0" borderId="37" xfId="0" applyBorder="1"/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14" fillId="0" borderId="92" xfId="0" applyFont="1" applyBorder="1" applyAlignment="1">
      <alignment horizontal="center" vertical="center" wrapText="1"/>
    </xf>
    <xf numFmtId="0" fontId="0" fillId="0" borderId="86" xfId="0" applyBorder="1"/>
    <xf numFmtId="0" fontId="14" fillId="5" borderId="20" xfId="0" applyFont="1" applyFill="1" applyBorder="1" applyAlignment="1">
      <alignment horizontal="center" vertical="center" wrapText="1"/>
    </xf>
    <xf numFmtId="0" fontId="0" fillId="5" borderId="47" xfId="0" applyFill="1" applyBorder="1"/>
    <xf numFmtId="0" fontId="14" fillId="5" borderId="47" xfId="0" applyFont="1" applyFill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5" borderId="100" xfId="0" applyFont="1" applyFill="1" applyBorder="1" applyAlignment="1">
      <alignment horizontal="center" vertical="center" wrapText="1"/>
    </xf>
    <xf numFmtId="0" fontId="0" fillId="5" borderId="83" xfId="0" applyFill="1" applyBorder="1"/>
    <xf numFmtId="0" fontId="0" fillId="5" borderId="101" xfId="0" applyFill="1" applyBorder="1"/>
    <xf numFmtId="0" fontId="14" fillId="5" borderId="83" xfId="0" applyFont="1" applyFill="1" applyBorder="1" applyAlignment="1">
      <alignment horizontal="center" vertical="center" wrapText="1"/>
    </xf>
    <xf numFmtId="0" fontId="15" fillId="5" borderId="96" xfId="0" applyFont="1" applyFill="1" applyBorder="1"/>
    <xf numFmtId="0" fontId="3" fillId="5" borderId="97" xfId="0" applyFont="1" applyFill="1" applyBorder="1"/>
    <xf numFmtId="0" fontId="1" fillId="5" borderId="98" xfId="0" applyFont="1" applyFill="1" applyBorder="1"/>
    <xf numFmtId="0" fontId="12" fillId="5" borderId="97" xfId="0" applyFont="1" applyFill="1" applyBorder="1"/>
    <xf numFmtId="0" fontId="3" fillId="5" borderId="97" xfId="0" applyFont="1" applyFill="1" applyBorder="1" applyAlignment="1">
      <alignment horizontal="center" vertical="center" wrapText="1"/>
    </xf>
    <xf numFmtId="0" fontId="15" fillId="5" borderId="96" xfId="0" applyFont="1" applyFill="1" applyBorder="1" applyAlignment="1">
      <alignment horizontal="left"/>
    </xf>
    <xf numFmtId="0" fontId="1" fillId="5" borderId="98" xfId="0" applyFont="1" applyFill="1" applyBorder="1" applyAlignment="1">
      <alignment horizontal="left"/>
    </xf>
    <xf numFmtId="14" fontId="1" fillId="5" borderId="98" xfId="0" applyNumberFormat="1" applyFont="1" applyFill="1" applyBorder="1" applyAlignment="1">
      <alignment horizontal="left"/>
    </xf>
    <xf numFmtId="0" fontId="3" fillId="0" borderId="63" xfId="0" applyFont="1" applyBorder="1"/>
    <xf numFmtId="2" fontId="0" fillId="2" borderId="97" xfId="0" applyNumberFormat="1" applyFill="1" applyBorder="1"/>
    <xf numFmtId="0" fontId="0" fillId="0" borderId="97" xfId="0" applyBorder="1"/>
    <xf numFmtId="0" fontId="1" fillId="0" borderId="8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60" xfId="0" applyBorder="1" applyAlignment="1">
      <alignment horizontal="center"/>
    </xf>
    <xf numFmtId="0" fontId="2" fillId="0" borderId="85" xfId="0" applyFont="1" applyBorder="1" applyAlignment="1">
      <alignment horizontal="center"/>
    </xf>
    <xf numFmtId="0" fontId="2" fillId="0" borderId="86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6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7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2" fillId="5" borderId="8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9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89" xfId="0" applyBorder="1" applyAlignment="1">
      <alignment horizontal="center"/>
    </xf>
    <xf numFmtId="0" fontId="0" fillId="0" borderId="90" xfId="0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53" xfId="0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8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87" xfId="0" applyFont="1" applyBorder="1" applyAlignment="1">
      <alignment horizontal="center"/>
    </xf>
    <xf numFmtId="0" fontId="7" fillId="0" borderId="88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12" fillId="5" borderId="92" xfId="0" applyFont="1" applyFill="1" applyBorder="1" applyAlignment="1">
      <alignment horizontal="center" vertical="center" wrapText="1"/>
    </xf>
    <xf numFmtId="0" fontId="12" fillId="5" borderId="86" xfId="0" applyFont="1" applyFill="1" applyBorder="1" applyAlignment="1">
      <alignment horizontal="center" vertical="center" wrapText="1"/>
    </xf>
    <xf numFmtId="0" fontId="12" fillId="5" borderId="91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5" borderId="99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2" fontId="1" fillId="0" borderId="78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33" xfId="0" applyNumberFormat="1" applyFont="1" applyBorder="1" applyAlignment="1">
      <alignment horizontal="center" vertical="center"/>
    </xf>
    <xf numFmtId="2" fontId="5" fillId="0" borderId="30" xfId="0" applyNumberFormat="1" applyFont="1" applyBorder="1" applyAlignment="1">
      <alignment horizontal="center" vertical="center"/>
    </xf>
    <xf numFmtId="2" fontId="5" fillId="0" borderId="88" xfId="0" applyNumberFormat="1" applyFont="1" applyBorder="1" applyAlignment="1">
      <alignment horizontal="center" vertical="center"/>
    </xf>
    <xf numFmtId="2" fontId="5" fillId="0" borderId="35" xfId="0" applyNumberFormat="1" applyFont="1" applyBorder="1" applyAlignment="1">
      <alignment horizontal="center" vertical="center"/>
    </xf>
    <xf numFmtId="0" fontId="0" fillId="0" borderId="93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171189</xdr:colOff>
      <xdr:row>0</xdr:row>
      <xdr:rowOff>153762</xdr:rowOff>
    </xdr:from>
    <xdr:ext cx="1797624" cy="449406"/>
    <xdr:pic>
      <xdr:nvPicPr>
        <xdr:cNvPr id="2" name="Picture 1">
          <a:extLst>
            <a:ext uri="{FF2B5EF4-FFF2-40B4-BE49-F238E27FC236}">
              <a16:creationId xmlns:a16="http://schemas.microsoft.com/office/drawing/2014/main" id="{23ED491F-C37A-446B-8103-06EE50975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1189" y="153762"/>
          <a:ext cx="1797624" cy="449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73078</xdr:colOff>
      <xdr:row>1</xdr:row>
      <xdr:rowOff>153762</xdr:rowOff>
    </xdr:from>
    <xdr:ext cx="1993847" cy="449406"/>
    <xdr:pic>
      <xdr:nvPicPr>
        <xdr:cNvPr id="2" name="Picture 1">
          <a:extLst>
            <a:ext uri="{FF2B5EF4-FFF2-40B4-BE49-F238E27FC236}">
              <a16:creationId xmlns:a16="http://schemas.microsoft.com/office/drawing/2014/main" id="{5D3BD449-8C94-42BD-89EE-84B409D9A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78" y="315687"/>
          <a:ext cx="1993847" cy="449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26</xdr:row>
      <xdr:rowOff>0</xdr:rowOff>
    </xdr:from>
    <xdr:to>
      <xdr:col>20</xdr:col>
      <xdr:colOff>504825</xdr:colOff>
      <xdr:row>49</xdr:row>
      <xdr:rowOff>142875</xdr:rowOff>
    </xdr:to>
    <xdr:pic>
      <xdr:nvPicPr>
        <xdr:cNvPr id="1060" name="Picture 1">
          <a:extLst>
            <a:ext uri="{FF2B5EF4-FFF2-40B4-BE49-F238E27FC236}">
              <a16:creationId xmlns:a16="http://schemas.microsoft.com/office/drawing/2014/main" id="{4AA4C427-5AC0-CE08-FECE-84540E1FC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2857500"/>
          <a:ext cx="7467600" cy="398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73078</xdr:colOff>
      <xdr:row>1</xdr:row>
      <xdr:rowOff>153762</xdr:rowOff>
    </xdr:from>
    <xdr:ext cx="1993847" cy="449406"/>
    <xdr:pic>
      <xdr:nvPicPr>
        <xdr:cNvPr id="2" name="Picture 1">
          <a:extLst>
            <a:ext uri="{FF2B5EF4-FFF2-40B4-BE49-F238E27FC236}">
              <a16:creationId xmlns:a16="http://schemas.microsoft.com/office/drawing/2014/main" id="{D9036E2E-B30D-428C-94C9-F2D0011CD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78" y="315687"/>
          <a:ext cx="1993847" cy="449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5"/>
  <sheetViews>
    <sheetView tabSelected="1" view="pageBreakPreview" zoomScale="115" zoomScaleNormal="100" zoomScaleSheetLayoutView="115" workbookViewId="0">
      <selection activeCell="D32" sqref="D32"/>
    </sheetView>
  </sheetViews>
  <sheetFormatPr defaultRowHeight="12.75"/>
  <cols>
    <col min="8" max="8" width="10.28515625" customWidth="1"/>
  </cols>
  <sheetData>
    <row r="1" spans="1:15">
      <c r="A1" s="148"/>
      <c r="E1" s="154" t="s">
        <v>0</v>
      </c>
      <c r="F1" s="155"/>
      <c r="G1" s="156"/>
      <c r="H1" s="157"/>
      <c r="I1" s="155"/>
      <c r="J1" s="155"/>
      <c r="K1" s="158"/>
      <c r="L1" s="194"/>
      <c r="M1" s="195"/>
      <c r="N1" s="195"/>
      <c r="O1" s="196"/>
    </row>
    <row r="2" spans="1:15">
      <c r="A2" s="148"/>
      <c r="E2" s="159" t="s">
        <v>3</v>
      </c>
      <c r="F2" s="155"/>
      <c r="G2" s="160"/>
      <c r="H2" s="157"/>
      <c r="I2" s="155"/>
      <c r="J2" s="155"/>
      <c r="K2" s="158"/>
      <c r="L2" s="197"/>
      <c r="M2" s="195"/>
      <c r="N2" s="195"/>
      <c r="O2" s="196"/>
    </row>
    <row r="3" spans="1:15">
      <c r="A3" s="148"/>
      <c r="E3" s="159" t="s">
        <v>5</v>
      </c>
      <c r="F3" s="155"/>
      <c r="G3" s="160"/>
      <c r="H3" s="157"/>
      <c r="I3" s="155"/>
      <c r="J3" s="155"/>
      <c r="K3" s="158"/>
      <c r="L3" s="197"/>
      <c r="M3" s="195"/>
      <c r="N3" s="195"/>
      <c r="O3" s="196"/>
    </row>
    <row r="4" spans="1:15">
      <c r="A4" s="148"/>
      <c r="E4" s="159" t="s">
        <v>7</v>
      </c>
      <c r="F4" s="155"/>
      <c r="G4" s="160"/>
      <c r="H4" s="157"/>
      <c r="I4" s="155"/>
      <c r="J4" s="155"/>
      <c r="K4" s="158"/>
      <c r="L4" s="197"/>
      <c r="M4" s="195"/>
      <c r="N4" s="195"/>
      <c r="O4" s="196"/>
    </row>
    <row r="5" spans="1:15">
      <c r="A5" s="148"/>
      <c r="E5" s="159" t="s">
        <v>9</v>
      </c>
      <c r="F5" s="155"/>
      <c r="G5" s="160"/>
      <c r="H5" s="157"/>
      <c r="I5" s="155"/>
      <c r="J5" s="155"/>
      <c r="K5" s="158"/>
      <c r="L5" s="197"/>
      <c r="M5" s="195"/>
      <c r="N5" s="195"/>
      <c r="O5" s="196"/>
    </row>
    <row r="6" spans="1:15">
      <c r="A6" s="148"/>
      <c r="E6" s="159" t="s">
        <v>10</v>
      </c>
      <c r="F6" s="155"/>
      <c r="G6" s="161"/>
      <c r="H6" s="157"/>
      <c r="I6" s="155"/>
      <c r="J6" s="155"/>
      <c r="K6" s="158"/>
      <c r="L6" s="197"/>
      <c r="M6" s="195"/>
      <c r="N6" s="195"/>
      <c r="O6" s="196"/>
    </row>
    <row r="7" spans="1:15" ht="13.5" thickBot="1">
      <c r="A7" s="149"/>
      <c r="B7" s="18"/>
      <c r="C7" s="18"/>
      <c r="D7" s="18"/>
      <c r="E7" s="150"/>
      <c r="F7" s="151"/>
      <c r="G7" s="152"/>
      <c r="H7" s="153"/>
      <c r="I7" s="153"/>
      <c r="J7" s="153"/>
      <c r="K7" s="153"/>
      <c r="L7" s="198"/>
      <c r="M7" s="199"/>
      <c r="N7" s="199"/>
      <c r="O7" s="200"/>
    </row>
    <row r="8" spans="1:15" ht="13.5" thickBot="1"/>
    <row r="9" spans="1:15" ht="13.5" thickTop="1">
      <c r="B9" s="11" t="s">
        <v>11</v>
      </c>
      <c r="C9" s="12"/>
      <c r="D9" s="12"/>
      <c r="E9" s="12"/>
      <c r="F9" s="12"/>
      <c r="G9" s="12"/>
      <c r="H9" s="12"/>
      <c r="I9" s="12"/>
      <c r="J9" s="12"/>
      <c r="K9" s="13"/>
    </row>
    <row r="10" spans="1:15">
      <c r="B10" s="14" t="s">
        <v>12</v>
      </c>
      <c r="C10" s="142"/>
      <c r="E10" t="s">
        <v>13</v>
      </c>
      <c r="F10" s="15"/>
      <c r="G10" t="s">
        <v>14</v>
      </c>
      <c r="K10" s="16"/>
    </row>
    <row r="11" spans="1:15">
      <c r="B11" s="14" t="s">
        <v>15</v>
      </c>
      <c r="C11" s="142"/>
      <c r="E11" t="s">
        <v>16</v>
      </c>
      <c r="F11" s="140"/>
      <c r="G11" t="s">
        <v>17</v>
      </c>
      <c r="K11" s="16"/>
    </row>
    <row r="12" spans="1:15" ht="13.5" thickBot="1">
      <c r="B12" s="17" t="s">
        <v>18</v>
      </c>
      <c r="C12" s="76"/>
      <c r="D12" s="18"/>
      <c r="E12" s="18" t="s">
        <v>19</v>
      </c>
      <c r="F12" s="18"/>
      <c r="G12" s="18" t="s">
        <v>20</v>
      </c>
      <c r="H12" s="18"/>
      <c r="I12" s="18"/>
      <c r="J12" s="18"/>
      <c r="K12" s="16"/>
    </row>
    <row r="13" spans="1:15" ht="13.5" thickBot="1">
      <c r="B13" s="215" t="s">
        <v>21</v>
      </c>
      <c r="C13" s="216"/>
      <c r="D13" s="216"/>
      <c r="J13" s="18"/>
      <c r="K13" s="19"/>
    </row>
    <row r="14" spans="1:15" ht="15.75">
      <c r="B14" s="20" t="s">
        <v>22</v>
      </c>
      <c r="C14" s="21" t="s">
        <v>23</v>
      </c>
      <c r="D14" s="21" t="s">
        <v>24</v>
      </c>
      <c r="E14" s="21" t="s">
        <v>25</v>
      </c>
      <c r="F14" s="22" t="s">
        <v>26</v>
      </c>
      <c r="G14" s="23" t="s">
        <v>27</v>
      </c>
      <c r="H14" s="21" t="s">
        <v>28</v>
      </c>
      <c r="I14" s="24" t="s">
        <v>29</v>
      </c>
      <c r="J14" s="25" t="s">
        <v>30</v>
      </c>
      <c r="K14" s="217"/>
    </row>
    <row r="15" spans="1:15" ht="13.5" thickBot="1">
      <c r="B15" s="26"/>
      <c r="C15" s="27"/>
      <c r="D15" s="27"/>
      <c r="E15" s="27"/>
      <c r="F15" s="28">
        <f>C15*D15*E15</f>
        <v>0</v>
      </c>
      <c r="G15" s="29"/>
      <c r="H15" s="27"/>
      <c r="I15" s="28">
        <f>G15-H15</f>
        <v>0</v>
      </c>
      <c r="J15" s="30">
        <v>1</v>
      </c>
      <c r="K15" s="218"/>
    </row>
    <row r="16" spans="1:15" ht="13.5" thickBot="1">
      <c r="B16" s="201" t="s">
        <v>31</v>
      </c>
      <c r="C16" s="202"/>
      <c r="D16" s="31"/>
      <c r="E16" s="32" t="s">
        <v>32</v>
      </c>
      <c r="F16" s="31"/>
      <c r="G16" s="203" t="s">
        <v>33</v>
      </c>
      <c r="H16" s="203"/>
      <c r="I16" s="31"/>
      <c r="J16" s="33"/>
      <c r="K16" s="219"/>
    </row>
    <row r="17" spans="2:11" ht="13.5" thickTop="1">
      <c r="B17" s="34" t="s">
        <v>34</v>
      </c>
      <c r="C17" s="9" t="s">
        <v>23</v>
      </c>
      <c r="D17" s="9" t="s">
        <v>25</v>
      </c>
      <c r="E17" s="9" t="s">
        <v>35</v>
      </c>
      <c r="F17" s="7" t="s">
        <v>36</v>
      </c>
      <c r="G17" s="9" t="s">
        <v>37</v>
      </c>
      <c r="H17" s="9" t="s">
        <v>38</v>
      </c>
      <c r="I17" s="9" t="s">
        <v>39</v>
      </c>
      <c r="J17" s="35" t="s">
        <v>40</v>
      </c>
      <c r="K17" s="36" t="s">
        <v>41</v>
      </c>
    </row>
    <row r="18" spans="2:11" ht="15" thickBot="1">
      <c r="B18" s="37"/>
      <c r="C18" s="38" t="s">
        <v>42</v>
      </c>
      <c r="D18" s="38" t="s">
        <v>42</v>
      </c>
      <c r="E18" s="39" t="s">
        <v>43</v>
      </c>
      <c r="F18" s="39" t="s">
        <v>44</v>
      </c>
      <c r="G18" s="38" t="s">
        <v>45</v>
      </c>
      <c r="H18" s="38"/>
      <c r="I18" s="38" t="s">
        <v>46</v>
      </c>
      <c r="J18" s="40" t="s">
        <v>47</v>
      </c>
      <c r="K18" s="41" t="s">
        <v>48</v>
      </c>
    </row>
    <row r="19" spans="2:11" ht="13.5" thickTop="1">
      <c r="B19" s="42" t="s">
        <v>49</v>
      </c>
      <c r="C19" s="43"/>
      <c r="D19" s="43"/>
      <c r="E19" s="44"/>
      <c r="F19" s="45">
        <f t="shared" ref="F19:F26" si="0">E19*D19*C19</f>
        <v>0</v>
      </c>
      <c r="G19" s="43"/>
      <c r="H19" s="46">
        <f>G19*F19</f>
        <v>0</v>
      </c>
      <c r="I19" s="46">
        <f>H19*I15</f>
        <v>0</v>
      </c>
      <c r="J19" s="47"/>
      <c r="K19" s="48" t="s">
        <v>50</v>
      </c>
    </row>
    <row r="20" spans="2:11">
      <c r="B20" s="49" t="s">
        <v>51</v>
      </c>
      <c r="C20" s="50"/>
      <c r="D20" s="50"/>
      <c r="E20" s="51"/>
      <c r="F20" s="52">
        <f t="shared" si="0"/>
        <v>0</v>
      </c>
      <c r="G20" s="50"/>
      <c r="H20" s="53">
        <f t="shared" ref="H20:H32" si="1">G20*F20</f>
        <v>0</v>
      </c>
      <c r="I20" s="53">
        <f>I15*H20</f>
        <v>0</v>
      </c>
      <c r="J20" s="47"/>
      <c r="K20" s="54" t="s">
        <v>50</v>
      </c>
    </row>
    <row r="21" spans="2:11">
      <c r="B21" s="49" t="s">
        <v>52</v>
      </c>
      <c r="C21" s="50"/>
      <c r="D21" s="50"/>
      <c r="E21" s="51"/>
      <c r="F21" s="52">
        <f t="shared" si="0"/>
        <v>0</v>
      </c>
      <c r="G21" s="50"/>
      <c r="H21" s="53">
        <f t="shared" si="1"/>
        <v>0</v>
      </c>
      <c r="I21" s="53">
        <f>I15*H21</f>
        <v>0</v>
      </c>
      <c r="J21" s="47"/>
      <c r="K21" s="54" t="s">
        <v>50</v>
      </c>
    </row>
    <row r="22" spans="2:11" ht="13.5" thickBot="1">
      <c r="B22" s="55" t="s">
        <v>53</v>
      </c>
      <c r="C22" s="27"/>
      <c r="D22" s="27"/>
      <c r="E22" s="56"/>
      <c r="F22" s="57">
        <f t="shared" si="0"/>
        <v>0</v>
      </c>
      <c r="G22" s="27"/>
      <c r="H22" s="58">
        <f t="shared" si="1"/>
        <v>0</v>
      </c>
      <c r="I22" s="58">
        <f>I15*H22</f>
        <v>0</v>
      </c>
      <c r="J22" s="59"/>
      <c r="K22" s="60" t="s">
        <v>50</v>
      </c>
    </row>
    <row r="23" spans="2:11">
      <c r="B23" s="20" t="s">
        <v>54</v>
      </c>
      <c r="C23" s="61"/>
      <c r="D23" s="61"/>
      <c r="E23" s="62"/>
      <c r="F23" s="63">
        <f t="shared" si="0"/>
        <v>0</v>
      </c>
      <c r="G23" s="61"/>
      <c r="H23" s="64">
        <f t="shared" si="1"/>
        <v>0</v>
      </c>
      <c r="I23" s="64">
        <f>I15*H23</f>
        <v>0</v>
      </c>
      <c r="J23" s="65"/>
      <c r="K23" s="66">
        <f t="shared" ref="K23:K32" si="2">J23*F23</f>
        <v>0</v>
      </c>
    </row>
    <row r="24" spans="2:11">
      <c r="B24" s="49" t="s">
        <v>51</v>
      </c>
      <c r="C24" s="50"/>
      <c r="D24" s="50"/>
      <c r="E24" s="51"/>
      <c r="F24" s="52">
        <f>E24*D24*C24</f>
        <v>0</v>
      </c>
      <c r="G24" s="50"/>
      <c r="H24" s="53">
        <f t="shared" si="1"/>
        <v>0</v>
      </c>
      <c r="I24" s="53">
        <f>I15*H24</f>
        <v>0</v>
      </c>
      <c r="J24" s="47"/>
      <c r="K24" s="67">
        <f t="shared" si="2"/>
        <v>0</v>
      </c>
    </row>
    <row r="25" spans="2:11">
      <c r="B25" s="49" t="s">
        <v>52</v>
      </c>
      <c r="C25" s="50"/>
      <c r="D25" s="50"/>
      <c r="E25" s="51"/>
      <c r="F25" s="52">
        <f t="shared" si="0"/>
        <v>0</v>
      </c>
      <c r="G25" s="50"/>
      <c r="H25" s="53">
        <f t="shared" si="1"/>
        <v>0</v>
      </c>
      <c r="I25" s="53">
        <f>I15*H25</f>
        <v>0</v>
      </c>
      <c r="J25" s="47"/>
      <c r="K25" s="67">
        <f t="shared" si="2"/>
        <v>0</v>
      </c>
    </row>
    <row r="26" spans="2:11" ht="13.5" thickBot="1">
      <c r="B26" s="55" t="s">
        <v>53</v>
      </c>
      <c r="C26" s="27"/>
      <c r="D26" s="27"/>
      <c r="E26" s="56"/>
      <c r="F26" s="57">
        <f t="shared" si="0"/>
        <v>0</v>
      </c>
      <c r="G26" s="27"/>
      <c r="H26" s="58">
        <f t="shared" si="1"/>
        <v>0</v>
      </c>
      <c r="I26" s="58">
        <f>I15*H26</f>
        <v>0</v>
      </c>
      <c r="J26" s="59"/>
      <c r="K26" s="68">
        <f t="shared" si="2"/>
        <v>0</v>
      </c>
    </row>
    <row r="27" spans="2:11">
      <c r="B27" s="69" t="s">
        <v>55</v>
      </c>
      <c r="C27" s="61"/>
      <c r="D27" s="61"/>
      <c r="E27" s="62">
        <v>1</v>
      </c>
      <c r="F27" s="63">
        <f>(E27*D27*C27)-F19-F23</f>
        <v>0</v>
      </c>
      <c r="G27" s="61"/>
      <c r="H27" s="64">
        <f t="shared" si="1"/>
        <v>0</v>
      </c>
      <c r="I27" s="64">
        <f>I15*H27</f>
        <v>0</v>
      </c>
      <c r="J27" s="65"/>
      <c r="K27" s="66">
        <f t="shared" si="2"/>
        <v>0</v>
      </c>
    </row>
    <row r="28" spans="2:11">
      <c r="B28" s="49" t="s">
        <v>51</v>
      </c>
      <c r="C28" s="50"/>
      <c r="D28" s="50"/>
      <c r="E28" s="51">
        <v>1</v>
      </c>
      <c r="F28" s="70">
        <f>(E28*D28*C28)-F20-F24</f>
        <v>0</v>
      </c>
      <c r="G28" s="50"/>
      <c r="H28" s="53">
        <f t="shared" si="1"/>
        <v>0</v>
      </c>
      <c r="I28" s="53">
        <f>I15*H28</f>
        <v>0</v>
      </c>
      <c r="J28" s="47"/>
      <c r="K28" s="67">
        <f t="shared" si="2"/>
        <v>0</v>
      </c>
    </row>
    <row r="29" spans="2:11">
      <c r="B29" s="49" t="s">
        <v>52</v>
      </c>
      <c r="C29" s="50"/>
      <c r="D29" s="50"/>
      <c r="E29" s="51">
        <v>1</v>
      </c>
      <c r="F29" s="70">
        <f>(E29*D29*C29)-F21-F25</f>
        <v>0</v>
      </c>
      <c r="G29" s="50"/>
      <c r="H29" s="53">
        <f t="shared" si="1"/>
        <v>0</v>
      </c>
      <c r="I29" s="53">
        <f>I15*H29</f>
        <v>0</v>
      </c>
      <c r="J29" s="47"/>
      <c r="K29" s="67">
        <f t="shared" si="2"/>
        <v>0</v>
      </c>
    </row>
    <row r="30" spans="2:11" ht="13.5" thickBot="1">
      <c r="B30" s="55" t="s">
        <v>53</v>
      </c>
      <c r="C30" s="27"/>
      <c r="D30" s="27"/>
      <c r="E30" s="56">
        <v>1</v>
      </c>
      <c r="F30" s="71">
        <f>(E30*D30*C30)-F22-F26</f>
        <v>0</v>
      </c>
      <c r="G30" s="27"/>
      <c r="H30" s="58">
        <f t="shared" si="1"/>
        <v>0</v>
      </c>
      <c r="I30" s="58">
        <f>I15*H30</f>
        <v>0</v>
      </c>
      <c r="J30" s="59"/>
      <c r="K30" s="68">
        <f t="shared" si="2"/>
        <v>0</v>
      </c>
    </row>
    <row r="31" spans="2:11">
      <c r="B31" s="72" t="s">
        <v>56</v>
      </c>
      <c r="C31" s="61"/>
      <c r="D31" s="61"/>
      <c r="E31" s="62">
        <v>1</v>
      </c>
      <c r="F31" s="63">
        <f>E31*D31*C31</f>
        <v>0</v>
      </c>
      <c r="G31" s="61"/>
      <c r="H31" s="64">
        <f t="shared" si="1"/>
        <v>0</v>
      </c>
      <c r="I31" s="64">
        <f>I15*H31</f>
        <v>0</v>
      </c>
      <c r="J31" s="65"/>
      <c r="K31" s="66">
        <f t="shared" si="2"/>
        <v>0</v>
      </c>
    </row>
    <row r="32" spans="2:11">
      <c r="B32" s="73" t="s">
        <v>57</v>
      </c>
      <c r="C32" s="50"/>
      <c r="D32" s="50"/>
      <c r="E32" s="51">
        <v>1</v>
      </c>
      <c r="F32" s="52">
        <f>E32*D32*C32</f>
        <v>0</v>
      </c>
      <c r="G32" s="50"/>
      <c r="H32" s="53">
        <f t="shared" si="1"/>
        <v>0</v>
      </c>
      <c r="I32" s="53">
        <f>I15*H32</f>
        <v>0</v>
      </c>
      <c r="J32" s="47"/>
      <c r="K32" s="67">
        <f t="shared" si="2"/>
        <v>0</v>
      </c>
    </row>
    <row r="33" spans="2:11" ht="13.5" thickBot="1">
      <c r="B33" s="168" t="s">
        <v>58</v>
      </c>
      <c r="C33" s="169"/>
      <c r="D33" s="204"/>
      <c r="E33" s="6"/>
      <c r="F33" s="74">
        <f>SUM(F19:F32)</f>
        <v>0</v>
      </c>
      <c r="G33" s="75"/>
      <c r="H33" s="74">
        <f>SUM(H19:H32)</f>
        <v>0</v>
      </c>
      <c r="I33" s="58">
        <f>I15*H33</f>
        <v>0</v>
      </c>
      <c r="J33" s="76"/>
      <c r="K33" s="68">
        <f>J33*F33</f>
        <v>0</v>
      </c>
    </row>
    <row r="34" spans="2:11" ht="15.75">
      <c r="B34" s="173" t="s">
        <v>59</v>
      </c>
      <c r="C34" s="174"/>
      <c r="D34" s="205"/>
      <c r="E34" s="23" t="s">
        <v>27</v>
      </c>
      <c r="F34" s="21" t="s">
        <v>28</v>
      </c>
      <c r="G34" s="24" t="s">
        <v>29</v>
      </c>
      <c r="H34" s="206"/>
      <c r="I34" s="207"/>
      <c r="J34" s="207"/>
      <c r="K34" s="208"/>
    </row>
    <row r="35" spans="2:11" ht="13.5" thickBot="1">
      <c r="B35" s="212"/>
      <c r="C35" s="213"/>
      <c r="D35" s="214"/>
      <c r="E35" s="77"/>
      <c r="F35" s="27"/>
      <c r="G35" s="28">
        <f>F35-E35</f>
        <v>0</v>
      </c>
      <c r="H35" s="209"/>
      <c r="I35" s="210"/>
      <c r="J35" s="210"/>
      <c r="K35" s="211"/>
    </row>
    <row r="36" spans="2:11">
      <c r="B36" s="78" t="s">
        <v>60</v>
      </c>
      <c r="C36" s="79"/>
      <c r="D36" s="79"/>
      <c r="E36" s="80"/>
      <c r="F36" s="63">
        <f>E36*D36*C36</f>
        <v>0</v>
      </c>
      <c r="G36" s="81"/>
      <c r="H36" s="82">
        <f>G36*F36</f>
        <v>0</v>
      </c>
      <c r="I36" s="82">
        <f>H36*G35</f>
        <v>0</v>
      </c>
      <c r="J36" s="10"/>
      <c r="K36" s="67">
        <f>J36*F36</f>
        <v>0</v>
      </c>
    </row>
    <row r="37" spans="2:11">
      <c r="B37" s="78" t="s">
        <v>61</v>
      </c>
      <c r="C37" s="79"/>
      <c r="D37" s="79"/>
      <c r="E37" s="83"/>
      <c r="F37" s="52">
        <f>E37*D37*C37</f>
        <v>0</v>
      </c>
      <c r="G37" s="163"/>
      <c r="H37" s="82">
        <f>G37*F37</f>
        <v>0</v>
      </c>
      <c r="I37" s="82">
        <f>H37*G35</f>
        <v>0</v>
      </c>
      <c r="J37" s="10"/>
      <c r="K37" s="67">
        <f>J37*F37</f>
        <v>0</v>
      </c>
    </row>
    <row r="38" spans="2:11" ht="13.5" thickBot="1">
      <c r="B38" s="189" t="s">
        <v>58</v>
      </c>
      <c r="C38" s="190"/>
      <c r="D38" s="191"/>
      <c r="E38" s="84"/>
      <c r="F38" s="85">
        <f>F37+F36</f>
        <v>0</v>
      </c>
      <c r="G38" s="86"/>
      <c r="H38" s="87">
        <f>H37+H36</f>
        <v>0</v>
      </c>
      <c r="I38" s="87">
        <f>I37+I36</f>
        <v>0</v>
      </c>
      <c r="J38" s="8"/>
      <c r="K38" s="88">
        <f>J38*F38</f>
        <v>0</v>
      </c>
    </row>
    <row r="39" spans="2:11" ht="13.5" thickBot="1">
      <c r="B39" s="192" t="s">
        <v>62</v>
      </c>
      <c r="C39" s="193"/>
      <c r="D39" s="193"/>
      <c r="F39" s="89">
        <f>F38+F33</f>
        <v>0</v>
      </c>
      <c r="G39" s="3"/>
      <c r="H39" s="90">
        <f>H38+H33</f>
        <v>0</v>
      </c>
      <c r="I39" s="90">
        <f>I38+I33</f>
        <v>0</v>
      </c>
      <c r="J39" s="91"/>
      <c r="K39" s="92">
        <f>J39*F39</f>
        <v>0</v>
      </c>
    </row>
    <row r="40" spans="2:11" ht="13.5" thickBot="1">
      <c r="B40" s="182" t="s">
        <v>63</v>
      </c>
      <c r="C40" s="183"/>
      <c r="D40" s="183"/>
      <c r="E40" s="93"/>
      <c r="F40" s="93"/>
      <c r="G40" s="94"/>
      <c r="H40" s="95">
        <f>0.33*F15*J15*I15</f>
        <v>0</v>
      </c>
      <c r="I40" s="165" t="s">
        <v>64</v>
      </c>
      <c r="J40" s="166"/>
      <c r="K40" s="167"/>
    </row>
    <row r="41" spans="2:11" ht="13.5" thickBot="1">
      <c r="B41" s="168" t="s">
        <v>58</v>
      </c>
      <c r="C41" s="169"/>
      <c r="D41" s="169"/>
      <c r="E41" s="169"/>
      <c r="F41" s="169"/>
      <c r="G41" s="170"/>
      <c r="H41" s="89">
        <f>H40+I39</f>
        <v>0</v>
      </c>
      <c r="I41" s="165"/>
      <c r="J41" s="166"/>
      <c r="K41" s="167"/>
    </row>
    <row r="42" spans="2:11" ht="13.5" thickBot="1">
      <c r="B42" s="171" t="s">
        <v>65</v>
      </c>
      <c r="C42" s="172"/>
      <c r="D42" s="172"/>
      <c r="E42" s="96" t="s">
        <v>66</v>
      </c>
      <c r="F42" s="96"/>
      <c r="G42" s="97"/>
      <c r="H42" s="98">
        <f>H41*G42</f>
        <v>0</v>
      </c>
      <c r="I42" s="165"/>
      <c r="J42" s="166"/>
      <c r="K42" s="167"/>
    </row>
    <row r="43" spans="2:11" ht="13.5" thickBot="1">
      <c r="B43" s="173" t="s">
        <v>67</v>
      </c>
      <c r="C43" s="174"/>
      <c r="D43" s="174"/>
      <c r="G43" s="99"/>
      <c r="H43" s="98">
        <f>(1.2*1.02*I15*(D16*F16))*(1-(I16/100))</f>
        <v>0</v>
      </c>
      <c r="I43" s="165"/>
      <c r="J43" s="166"/>
      <c r="K43" s="167"/>
    </row>
    <row r="44" spans="2:11" ht="13.5" thickBot="1">
      <c r="B44" s="175" t="s">
        <v>58</v>
      </c>
      <c r="C44" s="176"/>
      <c r="D44" s="176"/>
      <c r="E44" s="176"/>
      <c r="F44" s="176"/>
      <c r="G44" s="177"/>
      <c r="H44" s="98">
        <f>H43+H41</f>
        <v>0</v>
      </c>
      <c r="I44" s="165"/>
      <c r="J44" s="166"/>
      <c r="K44" s="167"/>
    </row>
    <row r="45" spans="2:11" ht="13.5" thickBot="1">
      <c r="B45" s="178" t="s">
        <v>68</v>
      </c>
      <c r="C45" s="179"/>
      <c r="D45" s="179"/>
      <c r="G45" s="100"/>
      <c r="H45" s="98">
        <f>16*F32</f>
        <v>0</v>
      </c>
      <c r="I45" s="165"/>
      <c r="J45" s="166"/>
      <c r="K45" s="167"/>
    </row>
    <row r="46" spans="2:11" ht="13.5" thickBot="1">
      <c r="B46" s="162" t="s">
        <v>69</v>
      </c>
      <c r="C46" s="164"/>
      <c r="D46" s="164"/>
      <c r="E46" s="164"/>
      <c r="F46" s="164"/>
      <c r="G46" s="102"/>
      <c r="H46" s="98">
        <v>0</v>
      </c>
      <c r="I46" s="165"/>
      <c r="J46" s="166"/>
      <c r="K46" s="167"/>
    </row>
    <row r="47" spans="2:11" ht="13.5" thickBot="1">
      <c r="B47" s="101"/>
      <c r="C47" s="5"/>
      <c r="D47" s="164"/>
      <c r="E47" s="164"/>
      <c r="F47" s="164"/>
      <c r="G47" s="102"/>
      <c r="H47" s="98"/>
      <c r="I47" s="165"/>
      <c r="J47" s="166"/>
      <c r="K47" s="167"/>
    </row>
    <row r="48" spans="2:11" ht="13.5" thickBot="1">
      <c r="B48" s="180" t="s">
        <v>70</v>
      </c>
      <c r="C48" s="181"/>
      <c r="D48" s="181"/>
      <c r="E48" s="181"/>
      <c r="F48" s="181"/>
      <c r="G48" s="181"/>
      <c r="H48" s="103">
        <f>IF(H45&gt;H43,(H41+H45+H46),(H41+H43))-H42</f>
        <v>0</v>
      </c>
      <c r="I48" s="96"/>
      <c r="J48" s="96"/>
      <c r="K48" s="104"/>
    </row>
    <row r="49" spans="2:11">
      <c r="B49" s="182" t="s">
        <v>71</v>
      </c>
      <c r="C49" s="183"/>
      <c r="D49" s="183"/>
      <c r="E49" s="183"/>
      <c r="F49" s="2"/>
      <c r="G49" s="105"/>
      <c r="H49" s="93"/>
      <c r="I49" s="93"/>
      <c r="J49" s="5"/>
      <c r="K49" s="106"/>
    </row>
    <row r="50" spans="2:11">
      <c r="B50" s="107"/>
      <c r="C50" s="5"/>
      <c r="D50" s="5"/>
      <c r="E50" s="5"/>
      <c r="F50" s="108" t="s">
        <v>72</v>
      </c>
      <c r="G50" s="50">
        <v>0</v>
      </c>
      <c r="H50" s="5" t="s">
        <v>73</v>
      </c>
      <c r="I50" s="164"/>
      <c r="J50" s="5"/>
      <c r="K50" s="109"/>
    </row>
    <row r="51" spans="2:11" ht="15.75">
      <c r="B51" s="107" t="s">
        <v>74</v>
      </c>
      <c r="C51" s="5"/>
      <c r="D51" s="5"/>
      <c r="E51" s="5"/>
      <c r="F51" s="108" t="s">
        <v>75</v>
      </c>
      <c r="G51" s="110">
        <f>0.33*J15*F15</f>
        <v>0</v>
      </c>
      <c r="H51" s="5"/>
      <c r="I51" s="5"/>
      <c r="J51" s="5"/>
      <c r="K51" s="109"/>
    </row>
    <row r="52" spans="2:11" ht="15.75">
      <c r="B52" s="107" t="s">
        <v>76</v>
      </c>
      <c r="C52" s="5"/>
      <c r="D52" s="5"/>
      <c r="E52" s="5"/>
      <c r="F52" s="108" t="s">
        <v>75</v>
      </c>
      <c r="G52" s="53">
        <f>((D16*F16)/1000)*1.2*1.02*(1-I16)*I15</f>
        <v>0</v>
      </c>
      <c r="H52" s="5"/>
      <c r="I52" s="5"/>
      <c r="J52" s="5"/>
      <c r="K52" s="109"/>
    </row>
    <row r="53" spans="2:11" ht="15.75">
      <c r="B53" s="107" t="s">
        <v>77</v>
      </c>
      <c r="C53" s="5"/>
      <c r="D53" s="5"/>
      <c r="E53" s="5"/>
      <c r="F53" s="108" t="s">
        <v>75</v>
      </c>
      <c r="G53" s="53">
        <f>G52+G51</f>
        <v>0</v>
      </c>
      <c r="H53" s="5"/>
      <c r="I53" s="5"/>
      <c r="J53" s="5"/>
      <c r="K53" s="109"/>
    </row>
    <row r="54" spans="2:11">
      <c r="B54" s="107"/>
      <c r="C54" s="5"/>
      <c r="D54" s="5"/>
      <c r="E54" s="5"/>
      <c r="F54" s="108" t="s">
        <v>78</v>
      </c>
      <c r="G54" s="53" t="e">
        <f>(-H41*(1-1.5*G50)+(G51*(H15))+(6*F39*G15))/(G51+(6*F39))</f>
        <v>#DIV/0!</v>
      </c>
      <c r="H54" s="5"/>
      <c r="I54" s="5"/>
      <c r="J54" s="5"/>
      <c r="K54" s="109"/>
    </row>
    <row r="55" spans="2:11" ht="15.75">
      <c r="B55" s="107"/>
      <c r="C55" s="5"/>
      <c r="D55" s="5"/>
      <c r="E55" s="5"/>
      <c r="F55" s="108" t="s">
        <v>79</v>
      </c>
      <c r="G55" s="53" t="e">
        <f>(2*G15)-G54</f>
        <v>#DIV/0!</v>
      </c>
      <c r="H55" s="5"/>
      <c r="I55" s="5"/>
      <c r="J55" s="5"/>
      <c r="K55" s="109"/>
    </row>
    <row r="56" spans="2:11">
      <c r="B56" s="184" t="s">
        <v>80</v>
      </c>
      <c r="C56" s="185"/>
      <c r="D56" s="185"/>
      <c r="E56" s="185"/>
      <c r="F56" s="108"/>
      <c r="G56" s="53"/>
      <c r="H56" s="5"/>
      <c r="I56" s="5"/>
      <c r="J56" s="5"/>
      <c r="K56" s="109"/>
    </row>
    <row r="57" spans="2:11" ht="15.75">
      <c r="B57" s="107"/>
      <c r="C57" s="5"/>
      <c r="D57" s="5"/>
      <c r="E57" s="5"/>
      <c r="F57" s="108" t="s">
        <v>81</v>
      </c>
      <c r="G57" s="53" t="e">
        <f>(3*(G51+(6*F39)))/(H39+(18*F39)+((3*G51)-H39))</f>
        <v>#DIV/0!</v>
      </c>
      <c r="H57" s="5"/>
      <c r="I57" s="5"/>
      <c r="J57" s="5"/>
      <c r="K57" s="109"/>
    </row>
    <row r="58" spans="2:11" ht="15.75">
      <c r="B58" s="107"/>
      <c r="C58" s="5"/>
      <c r="D58" s="5"/>
      <c r="E58" s="5"/>
      <c r="F58" s="108" t="s">
        <v>82</v>
      </c>
      <c r="G58" s="53" t="e">
        <f>(H39+(18*F39))/(H39+(18*F39)+((3*G51)-H39))</f>
        <v>#DIV/0!</v>
      </c>
      <c r="H58" s="5"/>
      <c r="I58" s="5"/>
      <c r="J58" s="5"/>
      <c r="K58" s="109"/>
    </row>
    <row r="59" spans="2:11">
      <c r="B59" s="186" t="s">
        <v>83</v>
      </c>
      <c r="C59" s="187"/>
      <c r="D59" s="187"/>
      <c r="E59" s="188"/>
      <c r="F59" s="108"/>
      <c r="G59" s="53"/>
      <c r="H59" s="5"/>
      <c r="I59" s="5"/>
      <c r="J59" s="5"/>
      <c r="K59" s="109"/>
    </row>
    <row r="60" spans="2:11">
      <c r="B60" s="107" t="s">
        <v>74</v>
      </c>
      <c r="C60" s="5"/>
      <c r="D60" s="5"/>
      <c r="E60" s="5"/>
      <c r="F60" s="108"/>
      <c r="G60" s="53" t="e">
        <f>(K39+G51)/(H39+G51)</f>
        <v>#DIV/0!</v>
      </c>
      <c r="H60" s="5"/>
      <c r="I60" s="5"/>
      <c r="J60" s="5"/>
      <c r="K60" s="109"/>
    </row>
    <row r="61" spans="2:11">
      <c r="B61" t="s">
        <v>77</v>
      </c>
      <c r="F61" s="108"/>
      <c r="G61" t="e">
        <f>(K39+G53)/(H39+G53)</f>
        <v>#DIV/0!</v>
      </c>
      <c r="H61" s="5"/>
      <c r="I61" s="5"/>
      <c r="J61" s="5"/>
      <c r="K61" s="109"/>
    </row>
    <row r="62" spans="2:11">
      <c r="B62" s="111" t="s">
        <v>84</v>
      </c>
      <c r="C62" s="5"/>
      <c r="D62" s="5"/>
      <c r="E62" s="5"/>
      <c r="F62" s="108"/>
      <c r="G62" s="53"/>
      <c r="H62" s="5"/>
      <c r="I62" s="5"/>
      <c r="J62" s="5"/>
      <c r="K62" s="109"/>
    </row>
    <row r="63" spans="2:11" ht="13.5" thickBot="1">
      <c r="B63" s="112" t="e">
        <f>H48/F32</f>
        <v>#DIV/0!</v>
      </c>
      <c r="C63" s="113"/>
      <c r="D63" s="113"/>
      <c r="E63" s="113"/>
      <c r="F63" s="114"/>
      <c r="G63" s="115"/>
      <c r="H63" s="113"/>
      <c r="I63" s="113"/>
      <c r="J63" s="113"/>
      <c r="K63" s="116"/>
    </row>
    <row r="64" spans="2:11" ht="13.5" thickTop="1"/>
    <row r="65" spans="1:1">
      <c r="A65" t="s">
        <v>85</v>
      </c>
    </row>
  </sheetData>
  <mergeCells count="22">
    <mergeCell ref="L1:O7"/>
    <mergeCell ref="B16:C16"/>
    <mergeCell ref="G16:H16"/>
    <mergeCell ref="B33:D33"/>
    <mergeCell ref="B34:D34"/>
    <mergeCell ref="H34:K35"/>
    <mergeCell ref="B35:D35"/>
    <mergeCell ref="B13:D13"/>
    <mergeCell ref="K14:K16"/>
    <mergeCell ref="B48:G48"/>
    <mergeCell ref="B49:E49"/>
    <mergeCell ref="B56:E56"/>
    <mergeCell ref="B59:E59"/>
    <mergeCell ref="B38:D38"/>
    <mergeCell ref="B39:D39"/>
    <mergeCell ref="B40:D40"/>
    <mergeCell ref="I40:K47"/>
    <mergeCell ref="B41:G41"/>
    <mergeCell ref="B42:D42"/>
    <mergeCell ref="B43:D43"/>
    <mergeCell ref="B44:G44"/>
    <mergeCell ref="B45:D45"/>
  </mergeCells>
  <pageMargins left="0.7" right="0.7" top="0.75" bottom="0.75" header="0.3" footer="0.3"/>
  <pageSetup paperSize="9" scale="6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7"/>
  <sheetViews>
    <sheetView workbookViewId="0">
      <selection activeCell="H17" sqref="H17"/>
    </sheetView>
  </sheetViews>
  <sheetFormatPr defaultRowHeight="12.75"/>
  <sheetData>
    <row r="1" spans="1:15">
      <c r="A1" s="143"/>
      <c r="B1" s="144"/>
      <c r="C1" s="144"/>
      <c r="D1" s="144"/>
      <c r="E1" s="145"/>
      <c r="F1" s="146"/>
      <c r="G1" s="146"/>
      <c r="H1" s="147"/>
      <c r="I1" s="147"/>
      <c r="J1" s="147"/>
      <c r="K1" s="147"/>
      <c r="L1" s="220" t="s">
        <v>2</v>
      </c>
      <c r="M1" s="221"/>
      <c r="N1" s="221"/>
      <c r="O1" s="222"/>
    </row>
    <row r="2" spans="1:15">
      <c r="A2" s="148"/>
      <c r="E2" s="154" t="s">
        <v>0</v>
      </c>
      <c r="F2" s="155"/>
      <c r="G2" s="156" t="s">
        <v>1</v>
      </c>
      <c r="H2" s="157"/>
      <c r="I2" s="155"/>
      <c r="J2" s="155"/>
      <c r="K2" s="158"/>
      <c r="L2" s="194"/>
      <c r="M2" s="223"/>
      <c r="N2" s="223"/>
      <c r="O2" s="224"/>
    </row>
    <row r="3" spans="1:15">
      <c r="A3" s="148"/>
      <c r="E3" s="159" t="s">
        <v>3</v>
      </c>
      <c r="F3" s="155"/>
      <c r="G3" s="160" t="s">
        <v>4</v>
      </c>
      <c r="H3" s="157"/>
      <c r="I3" s="155"/>
      <c r="J3" s="155"/>
      <c r="K3" s="158"/>
      <c r="L3" s="194"/>
      <c r="M3" s="223"/>
      <c r="N3" s="223"/>
      <c r="O3" s="224"/>
    </row>
    <row r="4" spans="1:15">
      <c r="A4" s="148"/>
      <c r="E4" s="159" t="s">
        <v>5</v>
      </c>
      <c r="F4" s="155"/>
      <c r="G4" s="160" t="s">
        <v>86</v>
      </c>
      <c r="H4" s="157"/>
      <c r="I4" s="155"/>
      <c r="J4" s="155"/>
      <c r="K4" s="158"/>
      <c r="L4" s="194"/>
      <c r="M4" s="223"/>
      <c r="N4" s="223"/>
      <c r="O4" s="224"/>
    </row>
    <row r="5" spans="1:15">
      <c r="A5" s="148"/>
      <c r="E5" s="159" t="s">
        <v>7</v>
      </c>
      <c r="F5" s="155"/>
      <c r="G5" s="160" t="s">
        <v>8</v>
      </c>
      <c r="H5" s="157"/>
      <c r="I5" s="155"/>
      <c r="J5" s="155"/>
      <c r="K5" s="158"/>
      <c r="L5" s="194"/>
      <c r="M5" s="223"/>
      <c r="N5" s="223"/>
      <c r="O5" s="224"/>
    </row>
    <row r="6" spans="1:15">
      <c r="A6" s="148"/>
      <c r="E6" s="159" t="s">
        <v>9</v>
      </c>
      <c r="F6" s="155"/>
      <c r="G6" s="160" t="s">
        <v>1</v>
      </c>
      <c r="H6" s="157"/>
      <c r="I6" s="155"/>
      <c r="J6" s="155"/>
      <c r="K6" s="158"/>
      <c r="L6" s="194"/>
      <c r="M6" s="223"/>
      <c r="N6" s="223"/>
      <c r="O6" s="224"/>
    </row>
    <row r="7" spans="1:15">
      <c r="A7" s="148"/>
      <c r="E7" s="159" t="s">
        <v>10</v>
      </c>
      <c r="F7" s="155"/>
      <c r="G7" s="161" t="s">
        <v>4</v>
      </c>
      <c r="H7" s="157"/>
      <c r="I7" s="155"/>
      <c r="J7" s="155"/>
      <c r="K7" s="158"/>
      <c r="L7" s="194"/>
      <c r="M7" s="223"/>
      <c r="N7" s="223"/>
      <c r="O7" s="224"/>
    </row>
    <row r="8" spans="1:15" ht="13.5" thickBot="1">
      <c r="A8" s="149"/>
      <c r="B8" s="18"/>
      <c r="C8" s="18"/>
      <c r="D8" s="18"/>
      <c r="E8" s="150"/>
      <c r="F8" s="151"/>
      <c r="G8" s="152"/>
      <c r="H8" s="153"/>
      <c r="I8" s="153"/>
      <c r="J8" s="153"/>
      <c r="K8" s="153"/>
      <c r="L8" s="225"/>
      <c r="M8" s="226"/>
      <c r="N8" s="226"/>
      <c r="O8" s="227"/>
    </row>
    <row r="11" spans="1:15" ht="13.5" thickBot="1">
      <c r="B11" s="141" t="s">
        <v>87</v>
      </c>
    </row>
    <row r="12" spans="1:15" ht="13.5" thickTop="1">
      <c r="B12" s="11" t="s">
        <v>11</v>
      </c>
      <c r="C12" s="12"/>
      <c r="D12" s="12"/>
      <c r="E12" s="12"/>
      <c r="F12" s="12"/>
      <c r="G12" s="12"/>
      <c r="H12" s="12"/>
      <c r="I12" s="12"/>
      <c r="J12" s="12"/>
      <c r="K12" s="13"/>
    </row>
    <row r="13" spans="1:15">
      <c r="B13" s="14" t="s">
        <v>12</v>
      </c>
      <c r="E13" t="s">
        <v>13</v>
      </c>
      <c r="F13" s="15"/>
      <c r="G13" t="s">
        <v>14</v>
      </c>
      <c r="K13" s="16"/>
      <c r="M13" t="s">
        <v>88</v>
      </c>
    </row>
    <row r="14" spans="1:15">
      <c r="B14" s="14" t="s">
        <v>15</v>
      </c>
      <c r="E14" t="s">
        <v>16</v>
      </c>
      <c r="F14" s="140"/>
      <c r="G14" t="s">
        <v>17</v>
      </c>
      <c r="K14" s="16"/>
    </row>
    <row r="15" spans="1:15" ht="13.5" thickBot="1">
      <c r="B15" s="17" t="s">
        <v>18</v>
      </c>
      <c r="C15" s="18"/>
      <c r="D15" s="18"/>
      <c r="E15" s="18" t="s">
        <v>19</v>
      </c>
      <c r="F15" s="18"/>
      <c r="G15" s="18" t="s">
        <v>20</v>
      </c>
      <c r="H15" s="18"/>
      <c r="I15" s="18"/>
      <c r="J15" s="18"/>
      <c r="K15" s="16"/>
    </row>
    <row r="16" spans="1:15" ht="13.5" thickBot="1">
      <c r="B16" s="215" t="s">
        <v>21</v>
      </c>
      <c r="C16" s="216"/>
      <c r="D16" s="216"/>
      <c r="J16" s="18"/>
      <c r="K16" s="19"/>
    </row>
    <row r="17" spans="2:11" ht="15.75">
      <c r="B17" s="20" t="s">
        <v>22</v>
      </c>
      <c r="C17" s="21" t="s">
        <v>23</v>
      </c>
      <c r="D17" s="21" t="s">
        <v>24</v>
      </c>
      <c r="E17" s="21" t="s">
        <v>25</v>
      </c>
      <c r="F17" s="22" t="s">
        <v>26</v>
      </c>
      <c r="G17" s="23" t="s">
        <v>27</v>
      </c>
      <c r="H17" s="21" t="s">
        <v>28</v>
      </c>
      <c r="I17" s="24" t="s">
        <v>29</v>
      </c>
      <c r="J17" s="25" t="s">
        <v>30</v>
      </c>
      <c r="K17" s="217"/>
    </row>
    <row r="18" spans="2:11" ht="13.5" thickBot="1">
      <c r="B18" s="26"/>
      <c r="C18" s="27">
        <v>14.4</v>
      </c>
      <c r="D18" s="27">
        <v>6.5</v>
      </c>
      <c r="E18" s="27">
        <v>4.5999999999999996</v>
      </c>
      <c r="F18" s="28">
        <f>C18*D18*E18</f>
        <v>430.56</v>
      </c>
      <c r="G18" s="29">
        <v>32</v>
      </c>
      <c r="H18" s="27">
        <v>25</v>
      </c>
      <c r="I18" s="28">
        <f>G18-H18</f>
        <v>7</v>
      </c>
      <c r="J18" s="30">
        <v>0.5</v>
      </c>
      <c r="K18" s="218"/>
    </row>
    <row r="19" spans="2:11" ht="13.5" thickBot="1">
      <c r="B19" s="201" t="s">
        <v>31</v>
      </c>
      <c r="C19" s="202"/>
      <c r="D19" s="31"/>
      <c r="E19" s="32" t="s">
        <v>32</v>
      </c>
      <c r="F19" s="31"/>
      <c r="G19" s="203" t="s">
        <v>33</v>
      </c>
      <c r="H19" s="203"/>
      <c r="I19" s="31"/>
      <c r="J19" s="33"/>
      <c r="K19" s="219"/>
    </row>
    <row r="20" spans="2:11" ht="13.5" thickTop="1">
      <c r="B20" s="34" t="s">
        <v>34</v>
      </c>
      <c r="C20" s="9" t="s">
        <v>23</v>
      </c>
      <c r="D20" s="9" t="s">
        <v>25</v>
      </c>
      <c r="E20" s="9" t="s">
        <v>35</v>
      </c>
      <c r="F20" s="7" t="s">
        <v>36</v>
      </c>
      <c r="G20" s="9" t="s">
        <v>37</v>
      </c>
      <c r="H20" s="9" t="s">
        <v>38</v>
      </c>
      <c r="I20" s="9" t="s">
        <v>39</v>
      </c>
      <c r="J20" s="35" t="s">
        <v>40</v>
      </c>
      <c r="K20" s="36" t="s">
        <v>41</v>
      </c>
    </row>
    <row r="21" spans="2:11" ht="15" thickBot="1">
      <c r="B21" s="37"/>
      <c r="C21" s="38" t="s">
        <v>42</v>
      </c>
      <c r="D21" s="38" t="s">
        <v>42</v>
      </c>
      <c r="E21" s="39" t="s">
        <v>43</v>
      </c>
      <c r="F21" s="39" t="s">
        <v>44</v>
      </c>
      <c r="G21" s="38" t="s">
        <v>45</v>
      </c>
      <c r="H21" s="38"/>
      <c r="I21" s="38" t="s">
        <v>46</v>
      </c>
      <c r="J21" s="40" t="s">
        <v>47</v>
      </c>
      <c r="K21" s="41" t="s">
        <v>48</v>
      </c>
    </row>
    <row r="22" spans="2:11" ht="13.5" thickTop="1">
      <c r="B22" s="42" t="s">
        <v>49</v>
      </c>
      <c r="C22" s="43"/>
      <c r="D22" s="43"/>
      <c r="E22" s="44"/>
      <c r="F22" s="45">
        <f t="shared" ref="F22:F29" si="0">E22*D22*C22</f>
        <v>0</v>
      </c>
      <c r="G22" s="43"/>
      <c r="H22" s="46">
        <f>G22*F22</f>
        <v>0</v>
      </c>
      <c r="I22" s="46">
        <f>H22*I18</f>
        <v>0</v>
      </c>
      <c r="J22" s="47"/>
      <c r="K22" s="48" t="s">
        <v>50</v>
      </c>
    </row>
    <row r="23" spans="2:11">
      <c r="B23" s="49" t="s">
        <v>51</v>
      </c>
      <c r="C23" s="50"/>
      <c r="D23" s="50"/>
      <c r="E23" s="51"/>
      <c r="F23" s="52">
        <f t="shared" si="0"/>
        <v>0</v>
      </c>
      <c r="G23" s="50"/>
      <c r="H23" s="53">
        <f t="shared" ref="H23:H35" si="1">G23*F23</f>
        <v>0</v>
      </c>
      <c r="I23" s="53">
        <f>I18*H23</f>
        <v>0</v>
      </c>
      <c r="J23" s="47"/>
      <c r="K23" s="54" t="s">
        <v>50</v>
      </c>
    </row>
    <row r="24" spans="2:11">
      <c r="B24" s="49" t="s">
        <v>52</v>
      </c>
      <c r="C24" s="50"/>
      <c r="D24" s="50"/>
      <c r="E24" s="51"/>
      <c r="F24" s="52">
        <f t="shared" si="0"/>
        <v>0</v>
      </c>
      <c r="G24" s="50"/>
      <c r="H24" s="53">
        <f t="shared" si="1"/>
        <v>0</v>
      </c>
      <c r="I24" s="53">
        <f>I18*H24</f>
        <v>0</v>
      </c>
      <c r="J24" s="47"/>
      <c r="K24" s="54" t="s">
        <v>50</v>
      </c>
    </row>
    <row r="25" spans="2:11" ht="13.5" thickBot="1">
      <c r="B25" s="55" t="s">
        <v>53</v>
      </c>
      <c r="C25" s="27"/>
      <c r="D25" s="27"/>
      <c r="E25" s="56"/>
      <c r="F25" s="57">
        <f t="shared" si="0"/>
        <v>0</v>
      </c>
      <c r="G25" s="27"/>
      <c r="H25" s="58">
        <f t="shared" si="1"/>
        <v>0</v>
      </c>
      <c r="I25" s="58">
        <f>I18*H25</f>
        <v>0</v>
      </c>
      <c r="J25" s="59"/>
      <c r="K25" s="60" t="s">
        <v>50</v>
      </c>
    </row>
    <row r="26" spans="2:11">
      <c r="B26" s="20" t="s">
        <v>54</v>
      </c>
      <c r="C26" s="61">
        <v>3</v>
      </c>
      <c r="D26" s="61">
        <v>3</v>
      </c>
      <c r="E26" s="62">
        <v>1</v>
      </c>
      <c r="F26" s="63">
        <f t="shared" si="0"/>
        <v>9</v>
      </c>
      <c r="G26" s="61">
        <v>1.5</v>
      </c>
      <c r="H26" s="64">
        <f t="shared" si="1"/>
        <v>13.5</v>
      </c>
      <c r="I26" s="64">
        <f>I18*H26</f>
        <v>94.5</v>
      </c>
      <c r="J26" s="65"/>
      <c r="K26" s="66">
        <f t="shared" ref="K26:K35" si="2">J26*F26</f>
        <v>0</v>
      </c>
    </row>
    <row r="27" spans="2:11">
      <c r="B27" s="49" t="s">
        <v>51</v>
      </c>
      <c r="C27" s="50"/>
      <c r="D27" s="50"/>
      <c r="E27" s="51"/>
      <c r="F27" s="52">
        <f>E27*D27*C27</f>
        <v>0</v>
      </c>
      <c r="G27" s="50"/>
      <c r="H27" s="53">
        <f t="shared" si="1"/>
        <v>0</v>
      </c>
      <c r="I27" s="53">
        <f>I18*H27</f>
        <v>0</v>
      </c>
      <c r="J27" s="47"/>
      <c r="K27" s="67">
        <f t="shared" si="2"/>
        <v>0</v>
      </c>
    </row>
    <row r="28" spans="2:11">
      <c r="B28" s="49" t="s">
        <v>52</v>
      </c>
      <c r="C28" s="50"/>
      <c r="D28" s="50"/>
      <c r="E28" s="51"/>
      <c r="F28" s="52">
        <f t="shared" si="0"/>
        <v>0</v>
      </c>
      <c r="G28" s="50"/>
      <c r="H28" s="53">
        <f t="shared" si="1"/>
        <v>0</v>
      </c>
      <c r="I28" s="53">
        <f>I18*H28</f>
        <v>0</v>
      </c>
      <c r="J28" s="47"/>
      <c r="K28" s="67">
        <f t="shared" si="2"/>
        <v>0</v>
      </c>
    </row>
    <row r="29" spans="2:11" ht="13.5" thickBot="1">
      <c r="B29" s="55" t="s">
        <v>53</v>
      </c>
      <c r="C29" s="27"/>
      <c r="D29" s="27"/>
      <c r="E29" s="56"/>
      <c r="F29" s="57">
        <f t="shared" si="0"/>
        <v>0</v>
      </c>
      <c r="G29" s="27"/>
      <c r="H29" s="58">
        <f t="shared" si="1"/>
        <v>0</v>
      </c>
      <c r="I29" s="58">
        <f>I18*H29</f>
        <v>0</v>
      </c>
      <c r="J29" s="59"/>
      <c r="K29" s="68">
        <f t="shared" si="2"/>
        <v>0</v>
      </c>
    </row>
    <row r="30" spans="2:11">
      <c r="B30" s="69" t="s">
        <v>55</v>
      </c>
      <c r="C30" s="61">
        <v>14.3</v>
      </c>
      <c r="D30" s="61">
        <v>4.2</v>
      </c>
      <c r="E30" s="62">
        <v>1</v>
      </c>
      <c r="F30" s="63">
        <f>(E30*D30*C30)-F22-F26</f>
        <v>51.06</v>
      </c>
      <c r="G30" s="61">
        <v>0.21</v>
      </c>
      <c r="H30" s="64">
        <f t="shared" si="1"/>
        <v>10.7226</v>
      </c>
      <c r="I30" s="64">
        <f>I18*H30</f>
        <v>75.058199999999999</v>
      </c>
      <c r="J30" s="65"/>
      <c r="K30" s="66">
        <f t="shared" si="2"/>
        <v>0</v>
      </c>
    </row>
    <row r="31" spans="2:11">
      <c r="B31" s="49" t="s">
        <v>51</v>
      </c>
      <c r="C31" s="50">
        <v>6.5</v>
      </c>
      <c r="D31" s="50">
        <v>4.5999999999999996</v>
      </c>
      <c r="E31" s="51">
        <v>1</v>
      </c>
      <c r="F31" s="70">
        <f>(E31*D31*C31)-F23-F27</f>
        <v>29.9</v>
      </c>
      <c r="G31" s="50">
        <v>0.21</v>
      </c>
      <c r="H31" s="53">
        <f t="shared" si="1"/>
        <v>6.278999999999999</v>
      </c>
      <c r="I31" s="53">
        <f>I18*H31</f>
        <v>43.952999999999996</v>
      </c>
      <c r="J31" s="47"/>
      <c r="K31" s="67">
        <f t="shared" si="2"/>
        <v>0</v>
      </c>
    </row>
    <row r="32" spans="2:11">
      <c r="B32" s="49" t="s">
        <v>52</v>
      </c>
      <c r="C32" s="50">
        <v>14.3</v>
      </c>
      <c r="D32" s="50">
        <v>4.2</v>
      </c>
      <c r="E32" s="51">
        <v>1</v>
      </c>
      <c r="F32" s="70">
        <f>(E32*D32*C32)-F24-F28</f>
        <v>60.06</v>
      </c>
      <c r="G32" s="50">
        <v>0.21</v>
      </c>
      <c r="H32" s="53">
        <f t="shared" si="1"/>
        <v>12.6126</v>
      </c>
      <c r="I32" s="53">
        <f>I18*H32</f>
        <v>88.288200000000003</v>
      </c>
      <c r="J32" s="47"/>
      <c r="K32" s="67">
        <f t="shared" si="2"/>
        <v>0</v>
      </c>
    </row>
    <row r="33" spans="2:11" ht="13.5" thickBot="1">
      <c r="B33" s="55" t="s">
        <v>53</v>
      </c>
      <c r="C33" s="27">
        <v>6.5</v>
      </c>
      <c r="D33" s="27">
        <v>4.5999999999999996</v>
      </c>
      <c r="E33" s="56">
        <v>1</v>
      </c>
      <c r="F33" s="71">
        <f>(E33*D33*C33)-F25-F29</f>
        <v>29.9</v>
      </c>
      <c r="G33" s="27">
        <v>0.21</v>
      </c>
      <c r="H33" s="58">
        <f t="shared" si="1"/>
        <v>6.278999999999999</v>
      </c>
      <c r="I33" s="58">
        <f>I18*H33</f>
        <v>43.952999999999996</v>
      </c>
      <c r="J33" s="59"/>
      <c r="K33" s="68">
        <f t="shared" si="2"/>
        <v>0</v>
      </c>
    </row>
    <row r="34" spans="2:11">
      <c r="B34" s="72" t="s">
        <v>56</v>
      </c>
      <c r="C34" s="61">
        <v>14.4</v>
      </c>
      <c r="D34" s="61">
        <v>6.5</v>
      </c>
      <c r="E34" s="62">
        <v>1</v>
      </c>
      <c r="F34" s="63">
        <f>E34*D34*C34</f>
        <v>93.600000000000009</v>
      </c>
      <c r="G34" s="61">
        <v>0.21</v>
      </c>
      <c r="H34" s="64">
        <f t="shared" si="1"/>
        <v>19.656000000000002</v>
      </c>
      <c r="I34" s="64">
        <f>I18*H34</f>
        <v>137.59200000000001</v>
      </c>
      <c r="J34" s="65"/>
      <c r="K34" s="66">
        <f t="shared" si="2"/>
        <v>0</v>
      </c>
    </row>
    <row r="35" spans="2:11">
      <c r="B35" s="73" t="s">
        <v>57</v>
      </c>
      <c r="C35" s="50">
        <v>14.4</v>
      </c>
      <c r="D35" s="50">
        <v>6.5</v>
      </c>
      <c r="E35" s="51">
        <v>1</v>
      </c>
      <c r="F35" s="52">
        <f>E35*D35*C35</f>
        <v>93.600000000000009</v>
      </c>
      <c r="G35" s="50">
        <v>0.25</v>
      </c>
      <c r="H35" s="53">
        <f t="shared" si="1"/>
        <v>23.400000000000002</v>
      </c>
      <c r="I35" s="53">
        <f>I18*H35</f>
        <v>163.80000000000001</v>
      </c>
      <c r="J35" s="47"/>
      <c r="K35" s="67">
        <f t="shared" si="2"/>
        <v>0</v>
      </c>
    </row>
    <row r="36" spans="2:11" ht="13.5" thickBot="1">
      <c r="B36" s="168" t="s">
        <v>58</v>
      </c>
      <c r="C36" s="169"/>
      <c r="D36" s="204"/>
      <c r="E36" s="6"/>
      <c r="F36" s="74">
        <f>SUM(F22:F35)</f>
        <v>367.12000000000006</v>
      </c>
      <c r="G36" s="75"/>
      <c r="H36" s="74">
        <f>SUM(H22:H35)</f>
        <v>92.449200000000005</v>
      </c>
      <c r="I36" s="58">
        <f>I18*H36</f>
        <v>647.14440000000002</v>
      </c>
      <c r="J36" s="76"/>
      <c r="K36" s="68">
        <f>J36*F36</f>
        <v>0</v>
      </c>
    </row>
    <row r="37" spans="2:11" ht="15.75">
      <c r="B37" s="173" t="s">
        <v>59</v>
      </c>
      <c r="C37" s="174"/>
      <c r="D37" s="205"/>
      <c r="E37" s="23" t="s">
        <v>27</v>
      </c>
      <c r="F37" s="21" t="s">
        <v>28</v>
      </c>
      <c r="G37" s="24" t="s">
        <v>29</v>
      </c>
      <c r="H37" s="206"/>
      <c r="I37" s="207"/>
      <c r="J37" s="207"/>
      <c r="K37" s="208"/>
    </row>
    <row r="38" spans="2:11" ht="13.5" thickBot="1">
      <c r="B38" s="212"/>
      <c r="C38" s="213"/>
      <c r="D38" s="214"/>
      <c r="E38" s="77"/>
      <c r="F38" s="27"/>
      <c r="G38" s="28">
        <f>F38-E38</f>
        <v>0</v>
      </c>
      <c r="H38" s="209"/>
      <c r="I38" s="210"/>
      <c r="J38" s="210"/>
      <c r="K38" s="211"/>
    </row>
    <row r="39" spans="2:11">
      <c r="B39" s="78" t="s">
        <v>60</v>
      </c>
      <c r="C39" s="79"/>
      <c r="D39" s="79"/>
      <c r="E39" s="80"/>
      <c r="F39" s="63">
        <f>E39*D39*C39</f>
        <v>0</v>
      </c>
      <c r="G39" s="81"/>
      <c r="H39" s="82">
        <f>G39*F39</f>
        <v>0</v>
      </c>
      <c r="I39" s="82">
        <f>H39*G38</f>
        <v>0</v>
      </c>
      <c r="J39" s="10"/>
      <c r="K39" s="67">
        <f>J39*F39</f>
        <v>0</v>
      </c>
    </row>
    <row r="40" spans="2:11">
      <c r="B40" s="78" t="s">
        <v>61</v>
      </c>
      <c r="C40" s="79"/>
      <c r="D40" s="79"/>
      <c r="E40" s="83"/>
      <c r="F40" s="52">
        <f>E40*D40*C40</f>
        <v>0</v>
      </c>
      <c r="G40" s="163"/>
      <c r="H40" s="82">
        <f>G40*F40</f>
        <v>0</v>
      </c>
      <c r="I40" s="82">
        <f>H40*G38</f>
        <v>0</v>
      </c>
      <c r="J40" s="10"/>
      <c r="K40" s="67">
        <f>J40*F40</f>
        <v>0</v>
      </c>
    </row>
    <row r="41" spans="2:11" ht="13.5" thickBot="1">
      <c r="B41" s="189" t="s">
        <v>58</v>
      </c>
      <c r="C41" s="190"/>
      <c r="D41" s="191"/>
      <c r="E41" s="84"/>
      <c r="F41" s="85">
        <f>F40+F39</f>
        <v>0</v>
      </c>
      <c r="G41" s="86"/>
      <c r="H41" s="87">
        <f>H40+H39</f>
        <v>0</v>
      </c>
      <c r="I41" s="87">
        <f>I40+I39</f>
        <v>0</v>
      </c>
      <c r="J41" s="8"/>
      <c r="K41" s="88">
        <f>J41*F41</f>
        <v>0</v>
      </c>
    </row>
    <row r="42" spans="2:11" ht="13.5" thickBot="1">
      <c r="B42" s="192" t="s">
        <v>62</v>
      </c>
      <c r="C42" s="193"/>
      <c r="D42" s="193"/>
      <c r="F42" s="89">
        <f>F41+F36</f>
        <v>367.12000000000006</v>
      </c>
      <c r="G42" s="3"/>
      <c r="H42" s="90">
        <f>H41+H36</f>
        <v>92.449200000000005</v>
      </c>
      <c r="I42" s="90">
        <f>I41+I36</f>
        <v>647.14440000000002</v>
      </c>
      <c r="J42" s="91"/>
      <c r="K42" s="92">
        <f>J42*F42</f>
        <v>0</v>
      </c>
    </row>
    <row r="43" spans="2:11" ht="13.5" thickBot="1">
      <c r="B43" s="182" t="s">
        <v>63</v>
      </c>
      <c r="C43" s="183"/>
      <c r="D43" s="183"/>
      <c r="E43" s="93"/>
      <c r="F43" s="93"/>
      <c r="G43" s="94"/>
      <c r="H43" s="95">
        <f>0.33*F18*J18*I18</f>
        <v>497.29680000000002</v>
      </c>
      <c r="I43" s="209"/>
      <c r="J43" s="210"/>
      <c r="K43" s="211"/>
    </row>
    <row r="44" spans="2:11" ht="13.5" thickBot="1">
      <c r="B44" s="168" t="s">
        <v>58</v>
      </c>
      <c r="C44" s="169"/>
      <c r="D44" s="169"/>
      <c r="E44" s="169"/>
      <c r="F44" s="169"/>
      <c r="G44" s="170"/>
      <c r="H44" s="89">
        <f>H43+I42</f>
        <v>1144.4412</v>
      </c>
      <c r="I44" s="209"/>
      <c r="J44" s="210"/>
      <c r="K44" s="211"/>
    </row>
    <row r="45" spans="2:11" ht="13.5" thickBot="1">
      <c r="B45" s="171" t="s">
        <v>65</v>
      </c>
      <c r="C45" s="172"/>
      <c r="D45" s="172"/>
      <c r="E45" s="96" t="s">
        <v>66</v>
      </c>
      <c r="F45" s="96"/>
      <c r="G45" s="97"/>
      <c r="H45" s="98">
        <f>H44*G45</f>
        <v>0</v>
      </c>
      <c r="I45" s="209"/>
      <c r="J45" s="210"/>
      <c r="K45" s="211"/>
    </row>
    <row r="46" spans="2:11" ht="13.5" thickBot="1">
      <c r="B46" s="173" t="s">
        <v>67</v>
      </c>
      <c r="C46" s="174"/>
      <c r="D46" s="174"/>
      <c r="G46" s="99"/>
      <c r="H46" s="98">
        <f>(1.2*1.02*I18*(D19*F19))*(1-(I19/100))</f>
        <v>0</v>
      </c>
      <c r="I46" s="209"/>
      <c r="J46" s="210"/>
      <c r="K46" s="211"/>
    </row>
    <row r="47" spans="2:11" ht="13.5" thickBot="1">
      <c r="B47" s="175" t="s">
        <v>58</v>
      </c>
      <c r="C47" s="176"/>
      <c r="D47" s="176"/>
      <c r="E47" s="176"/>
      <c r="F47" s="176"/>
      <c r="G47" s="177"/>
      <c r="H47" s="98">
        <f>H46+H44</f>
        <v>1144.4412</v>
      </c>
      <c r="I47" s="209"/>
      <c r="J47" s="210"/>
      <c r="K47" s="211"/>
    </row>
    <row r="48" spans="2:11" ht="13.5" thickBot="1">
      <c r="B48" s="178" t="s">
        <v>68</v>
      </c>
      <c r="C48" s="179"/>
      <c r="D48" s="179"/>
      <c r="G48" s="100"/>
      <c r="H48" s="98">
        <f>16*F35</f>
        <v>1497.6000000000001</v>
      </c>
      <c r="I48" s="209"/>
      <c r="J48" s="210"/>
      <c r="K48" s="211"/>
    </row>
    <row r="49" spans="2:11" ht="13.5" thickBot="1">
      <c r="B49" s="162" t="s">
        <v>69</v>
      </c>
      <c r="C49" s="164"/>
      <c r="D49" s="164"/>
      <c r="E49" s="164"/>
      <c r="F49" s="164"/>
      <c r="G49" s="102"/>
      <c r="H49" s="98">
        <v>0</v>
      </c>
      <c r="I49" s="209"/>
      <c r="J49" s="210"/>
      <c r="K49" s="211"/>
    </row>
    <row r="50" spans="2:11" ht="13.5" thickBot="1">
      <c r="B50" s="101"/>
      <c r="C50" s="5"/>
      <c r="D50" s="164"/>
      <c r="E50" s="164"/>
      <c r="F50" s="164"/>
      <c r="G50" s="102"/>
      <c r="H50" s="98"/>
      <c r="I50" s="209"/>
      <c r="J50" s="210"/>
      <c r="K50" s="211"/>
    </row>
    <row r="51" spans="2:11" ht="13.5" thickBot="1">
      <c r="B51" s="180" t="s">
        <v>70</v>
      </c>
      <c r="C51" s="181"/>
      <c r="D51" s="181"/>
      <c r="E51" s="181"/>
      <c r="F51" s="181"/>
      <c r="G51" s="181"/>
      <c r="H51" s="103">
        <f>IF(H48&gt;H46,(H44+H48+H49),(H44+H46))-H45</f>
        <v>2642.0412000000001</v>
      </c>
      <c r="I51" s="96"/>
      <c r="J51" s="96"/>
      <c r="K51" s="104"/>
    </row>
    <row r="52" spans="2:11">
      <c r="B52" s="182" t="s">
        <v>71</v>
      </c>
      <c r="C52" s="183"/>
      <c r="D52" s="183"/>
      <c r="E52" s="183"/>
      <c r="F52" s="2"/>
      <c r="G52" s="105"/>
      <c r="H52" s="93"/>
      <c r="I52" s="93"/>
      <c r="J52" s="5"/>
      <c r="K52" s="106"/>
    </row>
    <row r="53" spans="2:11">
      <c r="B53" s="107"/>
      <c r="C53" s="5"/>
      <c r="D53" s="5"/>
      <c r="E53" s="5"/>
      <c r="F53" s="108" t="s">
        <v>72</v>
      </c>
      <c r="G53" s="50">
        <v>0</v>
      </c>
      <c r="H53" s="5" t="s">
        <v>73</v>
      </c>
      <c r="I53" s="164"/>
      <c r="J53" s="5"/>
      <c r="K53" s="109"/>
    </row>
    <row r="54" spans="2:11" ht="15.75">
      <c r="B54" s="107" t="s">
        <v>74</v>
      </c>
      <c r="C54" s="5"/>
      <c r="D54" s="5"/>
      <c r="E54" s="5"/>
      <c r="F54" s="108" t="s">
        <v>75</v>
      </c>
      <c r="G54" s="110">
        <f>0.33*J18*F18</f>
        <v>71.042400000000001</v>
      </c>
      <c r="H54" s="5"/>
      <c r="I54" s="5"/>
      <c r="J54" s="5"/>
      <c r="K54" s="109"/>
    </row>
    <row r="55" spans="2:11" ht="15.75">
      <c r="B55" s="107" t="s">
        <v>76</v>
      </c>
      <c r="C55" s="5"/>
      <c r="D55" s="5"/>
      <c r="E55" s="5"/>
      <c r="F55" s="108" t="s">
        <v>75</v>
      </c>
      <c r="G55" s="53">
        <f>((D19*F19)/1000)*1.2*1.02*(1-I19)*I18</f>
        <v>0</v>
      </c>
      <c r="H55" s="5"/>
      <c r="I55" s="5"/>
      <c r="J55" s="5"/>
      <c r="K55" s="109"/>
    </row>
    <row r="56" spans="2:11" ht="15.75">
      <c r="B56" s="107" t="s">
        <v>77</v>
      </c>
      <c r="C56" s="5"/>
      <c r="D56" s="5"/>
      <c r="E56" s="5"/>
      <c r="F56" s="108" t="s">
        <v>75</v>
      </c>
      <c r="G56" s="53">
        <f>G55+G54</f>
        <v>71.042400000000001</v>
      </c>
      <c r="H56" s="5"/>
      <c r="I56" s="5"/>
      <c r="J56" s="5"/>
      <c r="K56" s="109"/>
    </row>
    <row r="57" spans="2:11">
      <c r="B57" s="107"/>
      <c r="C57" s="5"/>
      <c r="D57" s="5"/>
      <c r="E57" s="5"/>
      <c r="F57" s="108" t="s">
        <v>78</v>
      </c>
      <c r="G57" s="53">
        <f>(-H44*(1-1.5*G53)+(G54*(H18))+(6*F42*G18))/(G54+(6*F42))</f>
        <v>31.277964135566673</v>
      </c>
      <c r="H57" s="5"/>
      <c r="I57" s="5"/>
      <c r="J57" s="5"/>
      <c r="K57" s="109"/>
    </row>
    <row r="58" spans="2:11" ht="15.75">
      <c r="B58" s="107"/>
      <c r="C58" s="5"/>
      <c r="D58" s="5"/>
      <c r="E58" s="5"/>
      <c r="F58" s="108" t="s">
        <v>79</v>
      </c>
      <c r="G58" s="53">
        <f>(2*G18)-G57</f>
        <v>32.722035864433323</v>
      </c>
      <c r="H58" s="5"/>
      <c r="I58" s="5"/>
      <c r="J58" s="5"/>
      <c r="K58" s="109"/>
    </row>
    <row r="59" spans="2:11">
      <c r="B59" s="184" t="s">
        <v>80</v>
      </c>
      <c r="C59" s="185"/>
      <c r="D59" s="185"/>
      <c r="E59" s="185"/>
      <c r="F59" s="108"/>
      <c r="G59" s="53"/>
      <c r="H59" s="5"/>
      <c r="I59" s="5"/>
      <c r="J59" s="5"/>
      <c r="K59" s="109"/>
    </row>
    <row r="60" spans="2:11" ht="15.75">
      <c r="B60" s="107"/>
      <c r="C60" s="5"/>
      <c r="D60" s="5"/>
      <c r="E60" s="5"/>
      <c r="F60" s="108" t="s">
        <v>81</v>
      </c>
      <c r="G60" s="53">
        <f>(3*(G54+(6*F42)))/(H42+(18*F42)+((3*G54)-H42))</f>
        <v>1</v>
      </c>
      <c r="H60" s="5"/>
      <c r="I60" s="5"/>
      <c r="J60" s="5"/>
      <c r="K60" s="109"/>
    </row>
    <row r="61" spans="2:11" ht="15.75">
      <c r="B61" s="107"/>
      <c r="C61" s="5"/>
      <c r="D61" s="5"/>
      <c r="E61" s="5"/>
      <c r="F61" s="108" t="s">
        <v>82</v>
      </c>
      <c r="G61" s="53">
        <f>(H42+(18*F42))/(H42+(18*F42)+((3*G54)-H42))</f>
        <v>0.98230861764624133</v>
      </c>
      <c r="H61" s="5"/>
      <c r="I61" s="5"/>
      <c r="J61" s="5"/>
      <c r="K61" s="109"/>
    </row>
    <row r="62" spans="2:11">
      <c r="B62" s="186" t="s">
        <v>83</v>
      </c>
      <c r="C62" s="187"/>
      <c r="D62" s="187"/>
      <c r="E62" s="188"/>
      <c r="F62" s="108"/>
      <c r="G62" s="53"/>
      <c r="H62" s="5"/>
      <c r="I62" s="5"/>
      <c r="J62" s="5"/>
      <c r="K62" s="109"/>
    </row>
    <row r="63" spans="2:11">
      <c r="B63" s="107" t="s">
        <v>74</v>
      </c>
      <c r="C63" s="5"/>
      <c r="D63" s="5"/>
      <c r="E63" s="5"/>
      <c r="F63" s="108"/>
      <c r="G63" s="53">
        <f>(K42+G54)/(H42+G54)</f>
        <v>0.43453241634432593</v>
      </c>
      <c r="H63" s="5"/>
      <c r="I63" s="5"/>
      <c r="J63" s="5"/>
      <c r="K63" s="109"/>
    </row>
    <row r="64" spans="2:11">
      <c r="B64" t="s">
        <v>77</v>
      </c>
      <c r="F64" s="108"/>
      <c r="G64">
        <f>(K42+G56)/(H42+G56)</f>
        <v>0.43453241634432593</v>
      </c>
      <c r="H64" s="5"/>
      <c r="I64" s="5"/>
      <c r="J64" s="5"/>
      <c r="K64" s="109"/>
    </row>
    <row r="65" spans="2:11">
      <c r="B65" s="111" t="s">
        <v>84</v>
      </c>
      <c r="C65" s="5"/>
      <c r="D65" s="5"/>
      <c r="E65" s="5"/>
      <c r="F65" s="108"/>
      <c r="G65" s="53"/>
      <c r="H65" s="5"/>
      <c r="I65" s="5"/>
      <c r="J65" s="5"/>
      <c r="K65" s="109"/>
    </row>
    <row r="66" spans="2:11" ht="13.5" thickBot="1">
      <c r="B66" s="112">
        <f>H51/F35</f>
        <v>28.226935897435897</v>
      </c>
      <c r="C66" s="113"/>
      <c r="D66" s="113"/>
      <c r="E66" s="113"/>
      <c r="F66" s="114"/>
      <c r="G66" s="115"/>
      <c r="H66" s="113"/>
      <c r="I66" s="113"/>
      <c r="J66" s="113"/>
      <c r="K66" s="116"/>
    </row>
    <row r="67" spans="2:11" ht="13.5" thickTop="1"/>
  </sheetData>
  <mergeCells count="22">
    <mergeCell ref="B51:G51"/>
    <mergeCell ref="B52:E52"/>
    <mergeCell ref="B59:E59"/>
    <mergeCell ref="B62:E62"/>
    <mergeCell ref="B41:D41"/>
    <mergeCell ref="B42:D42"/>
    <mergeCell ref="B43:D43"/>
    <mergeCell ref="B36:D36"/>
    <mergeCell ref="B37:D37"/>
    <mergeCell ref="H37:K38"/>
    <mergeCell ref="B38:D38"/>
    <mergeCell ref="I43:K50"/>
    <mergeCell ref="B44:G44"/>
    <mergeCell ref="B45:D45"/>
    <mergeCell ref="B46:D46"/>
    <mergeCell ref="B47:G47"/>
    <mergeCell ref="B48:D48"/>
    <mergeCell ref="L1:O8"/>
    <mergeCell ref="B16:D16"/>
    <mergeCell ref="K17:K19"/>
    <mergeCell ref="B19:C19"/>
    <mergeCell ref="G19:H1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0"/>
  <sheetViews>
    <sheetView workbookViewId="0">
      <selection activeCell="H17" sqref="H17"/>
    </sheetView>
  </sheetViews>
  <sheetFormatPr defaultRowHeight="12.75"/>
  <cols>
    <col min="3" max="3" width="17.140625" customWidth="1"/>
    <col min="5" max="5" width="19.85546875" customWidth="1"/>
    <col min="6" max="7" width="14.28515625" customWidth="1"/>
    <col min="10" max="10" width="25.28515625" customWidth="1"/>
    <col min="11" max="11" width="2.5703125" customWidth="1"/>
    <col min="12" max="12" width="3.42578125" customWidth="1"/>
  </cols>
  <sheetData>
    <row r="1" spans="1:15">
      <c r="A1" s="143"/>
      <c r="B1" s="144"/>
      <c r="C1" s="144"/>
      <c r="D1" s="144"/>
      <c r="E1" s="145"/>
      <c r="F1" s="146"/>
      <c r="G1" s="146"/>
      <c r="H1" s="147"/>
      <c r="I1" s="147"/>
      <c r="J1" s="147"/>
      <c r="K1" s="147"/>
      <c r="L1" s="220" t="s">
        <v>2</v>
      </c>
      <c r="M1" s="221"/>
      <c r="N1" s="221"/>
      <c r="O1" s="222"/>
    </row>
    <row r="2" spans="1:15">
      <c r="A2" s="148"/>
      <c r="E2" s="154" t="s">
        <v>0</v>
      </c>
      <c r="F2" s="155"/>
      <c r="G2" s="156" t="s">
        <v>1</v>
      </c>
      <c r="H2" s="157"/>
      <c r="I2" s="155"/>
      <c r="J2" s="155"/>
      <c r="K2" s="158"/>
      <c r="L2" s="194"/>
      <c r="M2" s="223"/>
      <c r="N2" s="223"/>
      <c r="O2" s="224"/>
    </row>
    <row r="3" spans="1:15">
      <c r="A3" s="148"/>
      <c r="E3" s="159" t="s">
        <v>3</v>
      </c>
      <c r="F3" s="155"/>
      <c r="G3" s="160" t="s">
        <v>4</v>
      </c>
      <c r="H3" s="157"/>
      <c r="I3" s="155"/>
      <c r="J3" s="155"/>
      <c r="K3" s="158"/>
      <c r="L3" s="194"/>
      <c r="M3" s="223"/>
      <c r="N3" s="223"/>
      <c r="O3" s="224"/>
    </row>
    <row r="4" spans="1:15">
      <c r="A4" s="148"/>
      <c r="E4" s="159" t="s">
        <v>5</v>
      </c>
      <c r="F4" s="155"/>
      <c r="G4" s="160" t="s">
        <v>6</v>
      </c>
      <c r="H4" s="157"/>
      <c r="I4" s="155"/>
      <c r="J4" s="155"/>
      <c r="K4" s="158"/>
      <c r="L4" s="194"/>
      <c r="M4" s="223"/>
      <c r="N4" s="223"/>
      <c r="O4" s="224"/>
    </row>
    <row r="5" spans="1:15">
      <c r="A5" s="148"/>
      <c r="E5" s="159" t="s">
        <v>7</v>
      </c>
      <c r="F5" s="155"/>
      <c r="G5" s="160" t="s">
        <v>8</v>
      </c>
      <c r="H5" s="157"/>
      <c r="I5" s="155"/>
      <c r="J5" s="155"/>
      <c r="K5" s="158"/>
      <c r="L5" s="194"/>
      <c r="M5" s="223"/>
      <c r="N5" s="223"/>
      <c r="O5" s="224"/>
    </row>
    <row r="6" spans="1:15">
      <c r="A6" s="148"/>
      <c r="E6" s="159" t="s">
        <v>9</v>
      </c>
      <c r="F6" s="155"/>
      <c r="G6" s="160" t="s">
        <v>1</v>
      </c>
      <c r="H6" s="157"/>
      <c r="I6" s="155"/>
      <c r="J6" s="155"/>
      <c r="K6" s="158"/>
      <c r="L6" s="194"/>
      <c r="M6" s="223"/>
      <c r="N6" s="223"/>
      <c r="O6" s="224"/>
    </row>
    <row r="7" spans="1:15">
      <c r="A7" s="148"/>
      <c r="E7" s="159" t="s">
        <v>10</v>
      </c>
      <c r="F7" s="155"/>
      <c r="G7" s="161" t="s">
        <v>4</v>
      </c>
      <c r="H7" s="157"/>
      <c r="I7" s="155"/>
      <c r="J7" s="155"/>
      <c r="K7" s="158"/>
      <c r="L7" s="194"/>
      <c r="M7" s="223"/>
      <c r="N7" s="223"/>
      <c r="O7" s="224"/>
    </row>
    <row r="8" spans="1:15" ht="13.5" thickBot="1">
      <c r="A8" s="149"/>
      <c r="B8" s="18"/>
      <c r="C8" s="18"/>
      <c r="D8" s="18"/>
      <c r="E8" s="150"/>
      <c r="F8" s="151"/>
      <c r="G8" s="152"/>
      <c r="H8" s="153"/>
      <c r="I8" s="153"/>
      <c r="J8" s="153"/>
      <c r="K8" s="153"/>
      <c r="L8" s="225"/>
      <c r="M8" s="226"/>
      <c r="N8" s="226"/>
      <c r="O8" s="227"/>
    </row>
    <row r="11" spans="1:15" ht="13.5" thickBot="1"/>
    <row r="12" spans="1:15" ht="13.5" thickTop="1">
      <c r="B12" s="11" t="s">
        <v>89</v>
      </c>
      <c r="C12" s="12"/>
      <c r="D12" s="12"/>
      <c r="E12" s="12"/>
      <c r="F12" s="12"/>
      <c r="G12" s="12"/>
      <c r="H12" s="13"/>
    </row>
    <row r="13" spans="1:15">
      <c r="B13" s="14" t="s">
        <v>12</v>
      </c>
      <c r="E13" t="s">
        <v>13</v>
      </c>
      <c r="F13" s="15"/>
      <c r="H13" s="16"/>
    </row>
    <row r="14" spans="1:15">
      <c r="B14" s="14" t="s">
        <v>15</v>
      </c>
      <c r="E14" t="s">
        <v>16</v>
      </c>
      <c r="F14" s="140"/>
      <c r="H14" s="16"/>
    </row>
    <row r="15" spans="1:15" ht="13.5" thickBot="1">
      <c r="B15" s="17" t="s">
        <v>18</v>
      </c>
      <c r="C15" s="18"/>
      <c r="E15" t="s">
        <v>14</v>
      </c>
      <c r="F15" s="18"/>
      <c r="G15" s="18"/>
      <c r="H15" s="16"/>
    </row>
    <row r="16" spans="1:15">
      <c r="B16" s="117" t="s">
        <v>34</v>
      </c>
      <c r="C16" s="118" t="s">
        <v>90</v>
      </c>
      <c r="D16" s="118" t="s">
        <v>91</v>
      </c>
      <c r="E16" s="118" t="s">
        <v>92</v>
      </c>
      <c r="F16" s="118" t="s">
        <v>93</v>
      </c>
      <c r="G16" s="118" t="s">
        <v>94</v>
      </c>
      <c r="H16" s="119" t="s">
        <v>95</v>
      </c>
    </row>
    <row r="17" spans="2:13" ht="15" thickBot="1">
      <c r="B17" s="120"/>
      <c r="C17" s="121"/>
      <c r="D17" s="121" t="s">
        <v>42</v>
      </c>
      <c r="E17" s="121" t="s">
        <v>96</v>
      </c>
      <c r="F17" s="121" t="s">
        <v>97</v>
      </c>
      <c r="G17" s="121" t="s">
        <v>97</v>
      </c>
      <c r="H17" s="122" t="s">
        <v>98</v>
      </c>
      <c r="J17" s="4" t="s">
        <v>99</v>
      </c>
    </row>
    <row r="18" spans="2:13" ht="13.5" thickTop="1">
      <c r="B18" s="123">
        <v>1</v>
      </c>
      <c r="C18" s="124" t="s">
        <v>100</v>
      </c>
      <c r="D18" s="124">
        <v>4.0000000000000001E-3</v>
      </c>
      <c r="E18" s="125">
        <v>1</v>
      </c>
      <c r="F18" s="126">
        <f>IF(E18=0,0,(D18/E18))</f>
        <v>4.0000000000000001E-3</v>
      </c>
      <c r="G18" s="228">
        <f>SUM(F18:F21)</f>
        <v>0.34133333333333338</v>
      </c>
      <c r="H18" s="231">
        <f>IF(G18=0,0,(1/G18))</f>
        <v>2.9296874999999996</v>
      </c>
      <c r="J18" s="140" t="s">
        <v>101</v>
      </c>
      <c r="K18" t="s">
        <v>102</v>
      </c>
      <c r="L18" s="138" t="s">
        <v>103</v>
      </c>
      <c r="M18" s="140" t="s">
        <v>104</v>
      </c>
    </row>
    <row r="19" spans="2:13">
      <c r="B19" s="127">
        <v>2</v>
      </c>
      <c r="C19" s="128" t="s">
        <v>100</v>
      </c>
      <c r="D19" s="128">
        <v>4.0000000000000001E-3</v>
      </c>
      <c r="E19" s="129">
        <v>1</v>
      </c>
      <c r="F19" s="126">
        <f>IF(E19=0,0,(D19/E19))</f>
        <v>4.0000000000000001E-3</v>
      </c>
      <c r="G19" s="229"/>
      <c r="H19" s="232"/>
      <c r="L19" s="139" t="s">
        <v>105</v>
      </c>
      <c r="M19" s="140" t="s">
        <v>106</v>
      </c>
    </row>
    <row r="20" spans="2:13">
      <c r="B20" s="127">
        <v>3</v>
      </c>
      <c r="C20" s="128" t="s">
        <v>107</v>
      </c>
      <c r="D20" s="128">
        <v>0.01</v>
      </c>
      <c r="E20" s="129">
        <v>0.03</v>
      </c>
      <c r="F20" s="126">
        <f>IF(E20=0,0,(D20/E20))</f>
        <v>0.33333333333333337</v>
      </c>
      <c r="G20" s="229"/>
      <c r="H20" s="232"/>
    </row>
    <row r="21" spans="2:13">
      <c r="B21" s="127">
        <v>4</v>
      </c>
      <c r="C21" s="128"/>
      <c r="D21" s="128"/>
      <c r="E21" s="129"/>
      <c r="F21" s="126">
        <f>IF(E21=0,0,(D21/E21))</f>
        <v>0</v>
      </c>
      <c r="G21" s="229"/>
      <c r="H21" s="232"/>
    </row>
    <row r="22" spans="2:13">
      <c r="B22" s="127">
        <v>5</v>
      </c>
      <c r="C22" s="128"/>
      <c r="D22" s="128"/>
      <c r="E22" s="129"/>
      <c r="F22" s="126">
        <f>IF(D22=0,0,(D22/E22))</f>
        <v>0</v>
      </c>
      <c r="G22" s="229"/>
      <c r="H22" s="232"/>
    </row>
    <row r="23" spans="2:13" ht="13.5" thickBot="1">
      <c r="B23" s="130">
        <v>6</v>
      </c>
      <c r="C23" s="131"/>
      <c r="D23" s="131"/>
      <c r="E23" s="132"/>
      <c r="F23" s="133">
        <f>IF(D23=0,0,(D23/E23))</f>
        <v>0</v>
      </c>
      <c r="G23" s="230"/>
      <c r="H23" s="233"/>
    </row>
    <row r="24" spans="2:13" ht="14.25" thickTop="1" thickBot="1">
      <c r="B24" s="234"/>
      <c r="C24" s="235"/>
      <c r="D24" s="235"/>
      <c r="E24" s="235"/>
      <c r="F24" s="235"/>
      <c r="G24" s="235"/>
      <c r="H24" s="236"/>
    </row>
    <row r="25" spans="2:13" ht="13.5" thickTop="1">
      <c r="B25" s="123">
        <v>1</v>
      </c>
      <c r="C25" s="124"/>
      <c r="D25" s="124"/>
      <c r="E25" s="134"/>
      <c r="F25" s="126">
        <f t="shared" ref="F25:F30" si="0">IF(D25=0,0,(D25/E25))</f>
        <v>0</v>
      </c>
      <c r="G25" s="228">
        <f>SUM(F25:F28)</f>
        <v>0</v>
      </c>
      <c r="H25" s="231">
        <f>IF(G25=0,0,(1/G25))</f>
        <v>0</v>
      </c>
    </row>
    <row r="26" spans="2:13">
      <c r="B26" s="127">
        <v>2</v>
      </c>
      <c r="C26" s="128"/>
      <c r="D26" s="128"/>
      <c r="E26" s="129"/>
      <c r="F26" s="126">
        <f t="shared" si="0"/>
        <v>0</v>
      </c>
      <c r="G26" s="229"/>
      <c r="H26" s="232"/>
    </row>
    <row r="27" spans="2:13">
      <c r="B27" s="127">
        <v>3</v>
      </c>
      <c r="C27" s="128"/>
      <c r="D27" s="128"/>
      <c r="E27" s="129"/>
      <c r="F27" s="126">
        <f t="shared" si="0"/>
        <v>0</v>
      </c>
      <c r="G27" s="229"/>
      <c r="H27" s="232"/>
    </row>
    <row r="28" spans="2:13">
      <c r="B28" s="127">
        <v>4</v>
      </c>
      <c r="C28" s="1"/>
      <c r="D28" s="128"/>
      <c r="E28" s="129"/>
      <c r="F28" s="126">
        <f t="shared" si="0"/>
        <v>0</v>
      </c>
      <c r="G28" s="229"/>
      <c r="H28" s="232"/>
    </row>
    <row r="29" spans="2:13">
      <c r="B29" s="127">
        <v>5</v>
      </c>
      <c r="C29" s="135"/>
      <c r="D29" s="135"/>
      <c r="E29" s="129"/>
      <c r="F29" s="126">
        <f t="shared" si="0"/>
        <v>0</v>
      </c>
      <c r="G29" s="229"/>
      <c r="H29" s="232"/>
    </row>
    <row r="30" spans="2:13" ht="13.5" thickBot="1">
      <c r="B30" s="130">
        <v>6</v>
      </c>
      <c r="C30" s="136"/>
      <c r="D30" s="136"/>
      <c r="E30" s="132"/>
      <c r="F30" s="133">
        <f t="shared" si="0"/>
        <v>0</v>
      </c>
      <c r="G30" s="230"/>
      <c r="H30" s="233"/>
    </row>
    <row r="31" spans="2:13" ht="14.25" thickTop="1" thickBot="1">
      <c r="B31" s="234"/>
      <c r="C31" s="235"/>
      <c r="D31" s="235"/>
      <c r="E31" s="235"/>
      <c r="F31" s="235"/>
      <c r="G31" s="235"/>
      <c r="H31" s="236"/>
    </row>
    <row r="32" spans="2:13" ht="13.5" thickTop="1">
      <c r="B32" s="123">
        <v>1</v>
      </c>
      <c r="C32" s="124"/>
      <c r="D32" s="124"/>
      <c r="E32" s="134"/>
      <c r="F32" s="137">
        <f t="shared" ref="F32:F37" si="1">IF(D32=0,0,(D32/E32))</f>
        <v>0</v>
      </c>
      <c r="G32" s="228">
        <f>SUM(F32:F35)</f>
        <v>0</v>
      </c>
      <c r="H32" s="231">
        <f>IF(G32=0,0,(1/G32))</f>
        <v>0</v>
      </c>
    </row>
    <row r="33" spans="2:8">
      <c r="B33" s="127">
        <v>2</v>
      </c>
      <c r="C33" s="128"/>
      <c r="D33" s="128"/>
      <c r="E33" s="129"/>
      <c r="F33" s="126">
        <f t="shared" si="1"/>
        <v>0</v>
      </c>
      <c r="G33" s="229"/>
      <c r="H33" s="232"/>
    </row>
    <row r="34" spans="2:8">
      <c r="B34" s="127">
        <v>3</v>
      </c>
      <c r="C34" s="128"/>
      <c r="D34" s="128"/>
      <c r="E34" s="129"/>
      <c r="F34" s="126">
        <f t="shared" si="1"/>
        <v>0</v>
      </c>
      <c r="G34" s="229"/>
      <c r="H34" s="232"/>
    </row>
    <row r="35" spans="2:8">
      <c r="B35" s="127">
        <v>4</v>
      </c>
      <c r="C35" s="128"/>
      <c r="D35" s="128"/>
      <c r="E35" s="129"/>
      <c r="F35" s="126">
        <f t="shared" si="1"/>
        <v>0</v>
      </c>
      <c r="G35" s="229"/>
      <c r="H35" s="232"/>
    </row>
    <row r="36" spans="2:8">
      <c r="B36" s="127">
        <v>5</v>
      </c>
      <c r="C36" s="135"/>
      <c r="D36" s="135"/>
      <c r="E36" s="129"/>
      <c r="F36" s="126">
        <f t="shared" si="1"/>
        <v>0</v>
      </c>
      <c r="G36" s="229"/>
      <c r="H36" s="232"/>
    </row>
    <row r="37" spans="2:8" ht="13.5" thickBot="1">
      <c r="B37" s="130">
        <v>6</v>
      </c>
      <c r="C37" s="136"/>
      <c r="D37" s="136"/>
      <c r="E37" s="132"/>
      <c r="F37" s="133">
        <f t="shared" si="1"/>
        <v>0</v>
      </c>
      <c r="G37" s="230"/>
      <c r="H37" s="233"/>
    </row>
    <row r="38" spans="2:8" ht="14.25" thickTop="1" thickBot="1">
      <c r="B38" s="234"/>
      <c r="C38" s="235"/>
      <c r="D38" s="235"/>
      <c r="E38" s="235"/>
      <c r="F38" s="235"/>
      <c r="G38" s="235"/>
      <c r="H38" s="236"/>
    </row>
    <row r="39" spans="2:8" ht="13.5" thickTop="1">
      <c r="B39" s="123">
        <v>1</v>
      </c>
      <c r="C39" s="124"/>
      <c r="D39" s="124"/>
      <c r="E39" s="134"/>
      <c r="F39" s="137">
        <f t="shared" ref="F39:F44" si="2">IF(D39=0,0,(D39/E39))</f>
        <v>0</v>
      </c>
      <c r="G39" s="228">
        <f>SUM(F39:F42)</f>
        <v>0</v>
      </c>
      <c r="H39" s="231">
        <f>IF(G39=0,0,(1/G39))</f>
        <v>0</v>
      </c>
    </row>
    <row r="40" spans="2:8">
      <c r="B40" s="127">
        <v>2</v>
      </c>
      <c r="C40" s="128"/>
      <c r="D40" s="128"/>
      <c r="E40" s="129"/>
      <c r="F40" s="126">
        <f t="shared" si="2"/>
        <v>0</v>
      </c>
      <c r="G40" s="229"/>
      <c r="H40" s="232"/>
    </row>
    <row r="41" spans="2:8">
      <c r="B41" s="127">
        <v>3</v>
      </c>
      <c r="C41" s="128"/>
      <c r="D41" s="128"/>
      <c r="E41" s="129"/>
      <c r="F41" s="126">
        <f t="shared" si="2"/>
        <v>0</v>
      </c>
      <c r="G41" s="229"/>
      <c r="H41" s="232"/>
    </row>
    <row r="42" spans="2:8">
      <c r="B42" s="127">
        <v>4</v>
      </c>
      <c r="C42" s="128"/>
      <c r="D42" s="128"/>
      <c r="E42" s="129"/>
      <c r="F42" s="126">
        <f t="shared" si="2"/>
        <v>0</v>
      </c>
      <c r="G42" s="229"/>
      <c r="H42" s="232"/>
    </row>
    <row r="43" spans="2:8">
      <c r="B43" s="127">
        <v>5</v>
      </c>
      <c r="C43" s="135"/>
      <c r="D43" s="135"/>
      <c r="E43" s="129"/>
      <c r="F43" s="126">
        <f t="shared" si="2"/>
        <v>0</v>
      </c>
      <c r="G43" s="229"/>
      <c r="H43" s="232"/>
    </row>
    <row r="44" spans="2:8" ht="13.5" thickBot="1">
      <c r="B44" s="130">
        <v>6</v>
      </c>
      <c r="C44" s="136"/>
      <c r="D44" s="136"/>
      <c r="E44" s="132"/>
      <c r="F44" s="133">
        <f t="shared" si="2"/>
        <v>0</v>
      </c>
      <c r="G44" s="230"/>
      <c r="H44" s="233"/>
    </row>
    <row r="45" spans="2:8" ht="14.25" thickTop="1" thickBot="1">
      <c r="B45" s="234"/>
      <c r="C45" s="235"/>
      <c r="D45" s="235"/>
      <c r="E45" s="235"/>
      <c r="F45" s="235"/>
      <c r="G45" s="235"/>
      <c r="H45" s="236"/>
    </row>
    <row r="46" spans="2:8" ht="13.5" thickTop="1">
      <c r="B46" s="123">
        <v>1</v>
      </c>
      <c r="C46" s="124"/>
      <c r="D46" s="124"/>
      <c r="E46" s="134"/>
      <c r="F46" s="137">
        <f t="shared" ref="F46:F51" si="3">IF(D46=0,0,(D46/E46))</f>
        <v>0</v>
      </c>
      <c r="G46" s="228">
        <f>SUM(F46:F49)</f>
        <v>0</v>
      </c>
      <c r="H46" s="231">
        <f>IF(G46=0,0,(1/G46))</f>
        <v>0</v>
      </c>
    </row>
    <row r="47" spans="2:8">
      <c r="B47" s="127">
        <v>2</v>
      </c>
      <c r="C47" s="128"/>
      <c r="D47" s="128"/>
      <c r="E47" s="129"/>
      <c r="F47" s="126">
        <f t="shared" si="3"/>
        <v>0</v>
      </c>
      <c r="G47" s="229"/>
      <c r="H47" s="232"/>
    </row>
    <row r="48" spans="2:8">
      <c r="B48" s="127">
        <v>3</v>
      </c>
      <c r="C48" s="128"/>
      <c r="D48" s="128"/>
      <c r="E48" s="129"/>
      <c r="F48" s="126">
        <f t="shared" si="3"/>
        <v>0</v>
      </c>
      <c r="G48" s="229"/>
      <c r="H48" s="232"/>
    </row>
    <row r="49" spans="2:8">
      <c r="B49" s="127">
        <v>4</v>
      </c>
      <c r="C49" s="128"/>
      <c r="D49" s="128"/>
      <c r="E49" s="129"/>
      <c r="F49" s="126">
        <f t="shared" si="3"/>
        <v>0</v>
      </c>
      <c r="G49" s="229"/>
      <c r="H49" s="232"/>
    </row>
    <row r="50" spans="2:8">
      <c r="B50" s="127">
        <v>5</v>
      </c>
      <c r="C50" s="135"/>
      <c r="D50" s="135"/>
      <c r="E50" s="129"/>
      <c r="F50" s="126">
        <f t="shared" si="3"/>
        <v>0</v>
      </c>
      <c r="G50" s="229"/>
      <c r="H50" s="232"/>
    </row>
    <row r="51" spans="2:8" ht="13.5" thickBot="1">
      <c r="B51" s="130">
        <v>6</v>
      </c>
      <c r="C51" s="136"/>
      <c r="D51" s="136"/>
      <c r="E51" s="132"/>
      <c r="F51" s="133">
        <f t="shared" si="3"/>
        <v>0</v>
      </c>
      <c r="G51" s="230"/>
      <c r="H51" s="233"/>
    </row>
    <row r="52" spans="2:8" ht="14.25" thickTop="1" thickBot="1">
      <c r="B52" s="234"/>
      <c r="C52" s="235"/>
      <c r="D52" s="235"/>
      <c r="E52" s="235"/>
      <c r="F52" s="235"/>
      <c r="G52" s="235"/>
      <c r="H52" s="236"/>
    </row>
    <row r="53" spans="2:8" ht="13.5" thickTop="1">
      <c r="B53" s="123">
        <v>1</v>
      </c>
      <c r="C53" s="124"/>
      <c r="D53" s="124"/>
      <c r="E53" s="134"/>
      <c r="F53" s="137">
        <f t="shared" ref="F53:F58" si="4">IF(D53=0,0,(D53/E53))</f>
        <v>0</v>
      </c>
      <c r="G53" s="228">
        <f>SUM(F53:F56)</f>
        <v>0</v>
      </c>
      <c r="H53" s="231">
        <f>IF(G53=0,0,(1/G53))</f>
        <v>0</v>
      </c>
    </row>
    <row r="54" spans="2:8">
      <c r="B54" s="127">
        <v>2</v>
      </c>
      <c r="C54" s="128"/>
      <c r="D54" s="128"/>
      <c r="E54" s="129"/>
      <c r="F54" s="126">
        <f t="shared" si="4"/>
        <v>0</v>
      </c>
      <c r="G54" s="229"/>
      <c r="H54" s="232"/>
    </row>
    <row r="55" spans="2:8">
      <c r="B55" s="127">
        <v>3</v>
      </c>
      <c r="C55" s="128"/>
      <c r="D55" s="128"/>
      <c r="E55" s="129"/>
      <c r="F55" s="126">
        <f t="shared" si="4"/>
        <v>0</v>
      </c>
      <c r="G55" s="229"/>
      <c r="H55" s="232"/>
    </row>
    <row r="56" spans="2:8">
      <c r="B56" s="127">
        <v>4</v>
      </c>
      <c r="C56" s="128"/>
      <c r="D56" s="128"/>
      <c r="E56" s="129"/>
      <c r="F56" s="126">
        <f t="shared" si="4"/>
        <v>0</v>
      </c>
      <c r="G56" s="229"/>
      <c r="H56" s="232"/>
    </row>
    <row r="57" spans="2:8">
      <c r="B57" s="127">
        <v>5</v>
      </c>
      <c r="C57" s="135"/>
      <c r="D57" s="135"/>
      <c r="E57" s="129"/>
      <c r="F57" s="126">
        <f t="shared" si="4"/>
        <v>0</v>
      </c>
      <c r="G57" s="229"/>
      <c r="H57" s="232"/>
    </row>
    <row r="58" spans="2:8" ht="13.5" thickBot="1">
      <c r="B58" s="130">
        <v>6</v>
      </c>
      <c r="C58" s="136"/>
      <c r="D58" s="136"/>
      <c r="E58" s="132"/>
      <c r="F58" s="133">
        <f t="shared" si="4"/>
        <v>0</v>
      </c>
      <c r="G58" s="230"/>
      <c r="H58" s="233"/>
    </row>
    <row r="59" spans="2:8" ht="14.25" thickTop="1" thickBot="1">
      <c r="B59" s="234"/>
      <c r="C59" s="235"/>
      <c r="D59" s="235"/>
      <c r="E59" s="235"/>
      <c r="F59" s="235"/>
      <c r="G59" s="235"/>
      <c r="H59" s="236"/>
    </row>
    <row r="60" spans="2:8" ht="13.5" thickTop="1">
      <c r="B60" s="123">
        <v>1</v>
      </c>
      <c r="C60" s="124"/>
      <c r="D60" s="124"/>
      <c r="E60" s="134"/>
      <c r="F60" s="137">
        <f t="shared" ref="F60:F65" si="5">IF(D60=0,0,(D60/E60))</f>
        <v>0</v>
      </c>
      <c r="G60" s="228">
        <f>SUM(F60:F63)</f>
        <v>0</v>
      </c>
      <c r="H60" s="231">
        <f>IF(G60=0,0,(1/G60))</f>
        <v>0</v>
      </c>
    </row>
    <row r="61" spans="2:8">
      <c r="B61" s="127">
        <v>2</v>
      </c>
      <c r="C61" s="128"/>
      <c r="D61" s="128"/>
      <c r="E61" s="129"/>
      <c r="F61" s="126">
        <f t="shared" si="5"/>
        <v>0</v>
      </c>
      <c r="G61" s="229"/>
      <c r="H61" s="232"/>
    </row>
    <row r="62" spans="2:8">
      <c r="B62" s="127">
        <v>3</v>
      </c>
      <c r="C62" s="128"/>
      <c r="D62" s="128"/>
      <c r="E62" s="129"/>
      <c r="F62" s="126">
        <f t="shared" si="5"/>
        <v>0</v>
      </c>
      <c r="G62" s="229"/>
      <c r="H62" s="232"/>
    </row>
    <row r="63" spans="2:8">
      <c r="B63" s="127">
        <v>4</v>
      </c>
      <c r="C63" s="128"/>
      <c r="D63" s="128"/>
      <c r="E63" s="129"/>
      <c r="F63" s="126">
        <f t="shared" si="5"/>
        <v>0</v>
      </c>
      <c r="G63" s="229"/>
      <c r="H63" s="232"/>
    </row>
    <row r="64" spans="2:8">
      <c r="B64" s="127">
        <v>5</v>
      </c>
      <c r="C64" s="135"/>
      <c r="D64" s="135"/>
      <c r="E64" s="129"/>
      <c r="F64" s="126">
        <f t="shared" si="5"/>
        <v>0</v>
      </c>
      <c r="G64" s="229"/>
      <c r="H64" s="232"/>
    </row>
    <row r="65" spans="2:8" ht="13.5" thickBot="1">
      <c r="B65" s="130">
        <v>6</v>
      </c>
      <c r="C65" s="136"/>
      <c r="D65" s="136"/>
      <c r="E65" s="132"/>
      <c r="F65" s="133">
        <f t="shared" si="5"/>
        <v>0</v>
      </c>
      <c r="G65" s="230"/>
      <c r="H65" s="233"/>
    </row>
    <row r="66" spans="2:8" ht="14.25" thickTop="1" thickBot="1">
      <c r="B66" s="234"/>
      <c r="C66" s="235"/>
      <c r="D66" s="235"/>
      <c r="E66" s="235"/>
      <c r="F66" s="235"/>
      <c r="G66" s="235"/>
      <c r="H66" s="236"/>
    </row>
    <row r="67" spans="2:8" ht="13.5" thickTop="1">
      <c r="B67" s="123">
        <v>1</v>
      </c>
      <c r="C67" s="124"/>
      <c r="D67" s="124"/>
      <c r="E67" s="134"/>
      <c r="F67" s="137">
        <f t="shared" ref="F67:F72" si="6">IF(D67=0,0,(D67/E67))</f>
        <v>0</v>
      </c>
      <c r="G67" s="228">
        <f>SUM(F67:F70)</f>
        <v>0</v>
      </c>
      <c r="H67" s="231">
        <f>IF(G67=0,0,(1/G67))</f>
        <v>0</v>
      </c>
    </row>
    <row r="68" spans="2:8">
      <c r="B68" s="127">
        <v>2</v>
      </c>
      <c r="C68" s="128"/>
      <c r="D68" s="128"/>
      <c r="E68" s="129"/>
      <c r="F68" s="126">
        <f t="shared" si="6"/>
        <v>0</v>
      </c>
      <c r="G68" s="229"/>
      <c r="H68" s="232"/>
    </row>
    <row r="69" spans="2:8">
      <c r="B69" s="127">
        <v>3</v>
      </c>
      <c r="C69" s="128"/>
      <c r="D69" s="128"/>
      <c r="E69" s="129"/>
      <c r="F69" s="126">
        <f t="shared" si="6"/>
        <v>0</v>
      </c>
      <c r="G69" s="229"/>
      <c r="H69" s="232"/>
    </row>
    <row r="70" spans="2:8">
      <c r="B70" s="127">
        <v>4</v>
      </c>
      <c r="C70" s="128"/>
      <c r="D70" s="128"/>
      <c r="E70" s="129"/>
      <c r="F70" s="126">
        <f t="shared" si="6"/>
        <v>0</v>
      </c>
      <c r="G70" s="229"/>
      <c r="H70" s="232"/>
    </row>
    <row r="71" spans="2:8">
      <c r="B71" s="127">
        <v>5</v>
      </c>
      <c r="C71" s="135"/>
      <c r="D71" s="135"/>
      <c r="E71" s="129"/>
      <c r="F71" s="126">
        <f t="shared" si="6"/>
        <v>0</v>
      </c>
      <c r="G71" s="229"/>
      <c r="H71" s="232"/>
    </row>
    <row r="72" spans="2:8" ht="13.5" thickBot="1">
      <c r="B72" s="130">
        <v>6</v>
      </c>
      <c r="C72" s="136"/>
      <c r="D72" s="136"/>
      <c r="E72" s="132"/>
      <c r="F72" s="133">
        <f t="shared" si="6"/>
        <v>0</v>
      </c>
      <c r="G72" s="230"/>
      <c r="H72" s="233"/>
    </row>
    <row r="73" spans="2:8" ht="14.25" thickTop="1" thickBot="1">
      <c r="B73" s="234"/>
      <c r="C73" s="235"/>
      <c r="D73" s="235"/>
      <c r="E73" s="235"/>
      <c r="F73" s="235"/>
      <c r="G73" s="235"/>
      <c r="H73" s="236"/>
    </row>
    <row r="74" spans="2:8" ht="13.5" thickTop="1">
      <c r="B74" s="123">
        <v>1</v>
      </c>
      <c r="C74" s="124"/>
      <c r="D74" s="124"/>
      <c r="E74" s="134"/>
      <c r="F74" s="137">
        <f t="shared" ref="F74:F79" si="7">IF(D74=0,0,(D74/E74))</f>
        <v>0</v>
      </c>
      <c r="G74" s="228">
        <f>SUM(F74:F77)</f>
        <v>0</v>
      </c>
      <c r="H74" s="231">
        <f>IF(G74=0,0,(1/G74))</f>
        <v>0</v>
      </c>
    </row>
    <row r="75" spans="2:8">
      <c r="B75" s="127">
        <v>2</v>
      </c>
      <c r="C75" s="128"/>
      <c r="D75" s="128"/>
      <c r="E75" s="129"/>
      <c r="F75" s="126">
        <f t="shared" si="7"/>
        <v>0</v>
      </c>
      <c r="G75" s="229"/>
      <c r="H75" s="232"/>
    </row>
    <row r="76" spans="2:8">
      <c r="B76" s="127">
        <v>3</v>
      </c>
      <c r="C76" s="128"/>
      <c r="D76" s="128"/>
      <c r="E76" s="129"/>
      <c r="F76" s="126">
        <f t="shared" si="7"/>
        <v>0</v>
      </c>
      <c r="G76" s="229"/>
      <c r="H76" s="232"/>
    </row>
    <row r="77" spans="2:8">
      <c r="B77" s="127">
        <v>4</v>
      </c>
      <c r="C77" s="128"/>
      <c r="D77" s="128"/>
      <c r="E77" s="129"/>
      <c r="F77" s="126">
        <f t="shared" si="7"/>
        <v>0</v>
      </c>
      <c r="G77" s="229"/>
      <c r="H77" s="232"/>
    </row>
    <row r="78" spans="2:8">
      <c r="B78" s="127">
        <v>5</v>
      </c>
      <c r="C78" s="135"/>
      <c r="D78" s="135"/>
      <c r="E78" s="129"/>
      <c r="F78" s="126">
        <f t="shared" si="7"/>
        <v>0</v>
      </c>
      <c r="G78" s="229"/>
      <c r="H78" s="232"/>
    </row>
    <row r="79" spans="2:8" ht="13.5" thickBot="1">
      <c r="B79" s="130">
        <v>6</v>
      </c>
      <c r="C79" s="136"/>
      <c r="D79" s="136"/>
      <c r="E79" s="132"/>
      <c r="F79" s="133">
        <f t="shared" si="7"/>
        <v>0</v>
      </c>
      <c r="G79" s="230"/>
      <c r="H79" s="233"/>
    </row>
    <row r="80" spans="2:8" ht="13.5" thickTop="1"/>
  </sheetData>
  <mergeCells count="27">
    <mergeCell ref="B31:H31"/>
    <mergeCell ref="G18:G23"/>
    <mergeCell ref="H18:H23"/>
    <mergeCell ref="B24:H24"/>
    <mergeCell ref="G25:G30"/>
    <mergeCell ref="H25:H30"/>
    <mergeCell ref="H32:H37"/>
    <mergeCell ref="B38:H38"/>
    <mergeCell ref="G39:G44"/>
    <mergeCell ref="H39:H44"/>
    <mergeCell ref="B45:H45"/>
    <mergeCell ref="L1:O8"/>
    <mergeCell ref="G74:G79"/>
    <mergeCell ref="H74:H79"/>
    <mergeCell ref="G60:G65"/>
    <mergeCell ref="H60:H65"/>
    <mergeCell ref="B66:H66"/>
    <mergeCell ref="G67:G72"/>
    <mergeCell ref="H67:H72"/>
    <mergeCell ref="B73:H73"/>
    <mergeCell ref="G46:G51"/>
    <mergeCell ref="H46:H51"/>
    <mergeCell ref="B52:H52"/>
    <mergeCell ref="G53:G58"/>
    <mergeCell ref="H53:H58"/>
    <mergeCell ref="B59:H59"/>
    <mergeCell ref="G32:G3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11AB52-2B64-489A-8236-E07D626EA4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9DCC91-B807-4E74-A978-DE1C6AA7022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E33BD61E-7050-41CC-BA63-970508802A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Heatloss 1ach</vt:lpstr>
      <vt:lpstr>Heatgain</vt:lpstr>
      <vt:lpstr>Uvalue</vt:lpstr>
      <vt:lpstr>'Heatloss 1ach'!Print_Area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2005-06-08T09:55:06Z</dcterms:created>
  <dcterms:modified xsi:type="dcterms:W3CDTF">2026-06-23T13:33:08Z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195800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
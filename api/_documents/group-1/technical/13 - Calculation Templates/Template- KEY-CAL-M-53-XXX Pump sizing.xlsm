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75aa362f49c77008/Desktop/Kat Work/KeyIS/05 - Technical/13 - Calculation Templates/"/>
    </mc:Choice>
  </mc:AlternateContent>
  <xr:revisionPtr revIDLastSave="158" documentId="8_{360898B5-830D-4494-871E-3EA558AA656A}" xr6:coauthVersionLast="47" xr6:coauthVersionMax="47" xr10:uidLastSave="{3AEC286B-93BC-4BDF-AEC4-CAEFF125E924}"/>
  <bookViews>
    <workbookView xWindow="12045" yWindow="4065" windowWidth="24360" windowHeight="15345" tabRatio="332" xr2:uid="{00000000-000D-0000-FFFF-FFFF00000000}"/>
  </bookViews>
  <sheets>
    <sheet name="System Ref (3)" sheetId="7" r:id="rId1"/>
  </sheets>
  <functionGroups builtInGroupCount="19"/>
  <definedNames>
    <definedName name="A" localSheetId="0">'System Ref (3)'!#REF!</definedName>
    <definedName name="A">#REF!</definedName>
    <definedName name="Dp" localSheetId="0">'System Ref (3)'!$Q$14:$Q$80</definedName>
    <definedName name="Dp">#REF!</definedName>
    <definedName name="flow" localSheetId="0">'System Ref (3)'!$B$14:$B$80</definedName>
    <definedName name="flow">#REF!</definedName>
    <definedName name="Grade" localSheetId="0">'System Ref (3)'!$R$8</definedName>
    <definedName name="Grade">#REF!</definedName>
    <definedName name="k" localSheetId="0">'System Ref (3)'!$P$14:$P$80</definedName>
    <definedName name="k">#REF!</definedName>
    <definedName name="ks" localSheetId="0">'System Ref (3)'!$R$6</definedName>
    <definedName name="ks">#REF!</definedName>
    <definedName name="le" localSheetId="0">'System Ref (3)'!$L$14:$L$80</definedName>
    <definedName name="le">#REF!</definedName>
    <definedName name="Length" localSheetId="0">'System Ref (3)'!$M$14:$M$80</definedName>
    <definedName name="Length">#REF!</definedName>
    <definedName name="No_off" localSheetId="0">'System Ref (3)'!$O$14:$O$80</definedName>
    <definedName name="No_off">#REF!</definedName>
    <definedName name="Pd" localSheetId="0">'System Ref (3)'!$J$14:$J$80</definedName>
    <definedName name="Pd">#REF!</definedName>
    <definedName name="Pipe_Type" localSheetId="0">'System Ref (3)'!$R$7</definedName>
    <definedName name="Pipe_Type">#REF!</definedName>
    <definedName name="PipeSize" localSheetId="0">'System Ref (3)'!$H$14:$H$80</definedName>
    <definedName name="PipeSize">#REF!</definedName>
    <definedName name="_xlnm.Print_Area" localSheetId="0">'System Ref (3)'!$A$1:$U$97</definedName>
    <definedName name="_xlnm.Print_Titles" localSheetId="0">'System Ref (3)'!$11:$13</definedName>
    <definedName name="Temp" localSheetId="0">'System Ref (3)'!$R$9</definedName>
    <definedName name="Temp">#REF!</definedName>
    <definedName name="Velocity" localSheetId="0">'System Ref (3)'!$K$14:$K$80</definedName>
    <definedName name="Velocity">#REF!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94" i="7" l="1"/>
  <c r="J91" i="7"/>
  <c r="J92" i="7" s="1"/>
  <c r="J93" i="7" s="1"/>
  <c r="M82" i="7"/>
  <c r="G80" i="7"/>
  <c r="F80" i="7"/>
  <c r="G79" i="7"/>
  <c r="F79" i="7"/>
  <c r="G78" i="7"/>
  <c r="F78" i="7"/>
  <c r="G77" i="7"/>
  <c r="F77" i="7"/>
  <c r="G76" i="7"/>
  <c r="F76" i="7"/>
  <c r="G75" i="7"/>
  <c r="F75" i="7"/>
  <c r="G74" i="7"/>
  <c r="F74" i="7"/>
  <c r="G73" i="7"/>
  <c r="F73" i="7"/>
  <c r="G72" i="7"/>
  <c r="F72" i="7"/>
  <c r="G71" i="7"/>
  <c r="F71" i="7"/>
  <c r="G70" i="7"/>
  <c r="F70" i="7"/>
  <c r="G69" i="7"/>
  <c r="F69" i="7"/>
  <c r="G68" i="7"/>
  <c r="F68" i="7"/>
  <c r="G67" i="7"/>
  <c r="F67" i="7"/>
  <c r="G66" i="7"/>
  <c r="F66" i="7"/>
  <c r="G65" i="7"/>
  <c r="F65" i="7"/>
  <c r="G64" i="7"/>
  <c r="F64" i="7"/>
  <c r="G63" i="7"/>
  <c r="F63" i="7"/>
  <c r="G62" i="7"/>
  <c r="F62" i="7"/>
  <c r="G61" i="7"/>
  <c r="F61" i="7"/>
  <c r="G60" i="7"/>
  <c r="F60" i="7"/>
  <c r="G59" i="7"/>
  <c r="F59" i="7"/>
  <c r="G58" i="7"/>
  <c r="F58" i="7"/>
  <c r="G57" i="7"/>
  <c r="F57" i="7"/>
  <c r="G56" i="7"/>
  <c r="F56" i="7"/>
  <c r="G55" i="7"/>
  <c r="F55" i="7"/>
  <c r="G54" i="7"/>
  <c r="F54" i="7"/>
  <c r="G53" i="7"/>
  <c r="F53" i="7"/>
  <c r="G52" i="7"/>
  <c r="F52" i="7"/>
  <c r="G51" i="7"/>
  <c r="F51" i="7"/>
  <c r="G50" i="7"/>
  <c r="F50" i="7"/>
  <c r="G49" i="7"/>
  <c r="F49" i="7"/>
  <c r="G48" i="7"/>
  <c r="F48" i="7"/>
  <c r="G47" i="7"/>
  <c r="F47" i="7"/>
  <c r="G46" i="7"/>
  <c r="F46" i="7"/>
  <c r="G45" i="7"/>
  <c r="F45" i="7"/>
  <c r="G44" i="7"/>
  <c r="F44" i="7"/>
  <c r="G43" i="7"/>
  <c r="F43" i="7"/>
  <c r="G42" i="7"/>
  <c r="F42" i="7"/>
  <c r="G41" i="7"/>
  <c r="F41" i="7"/>
  <c r="G40" i="7"/>
  <c r="F40" i="7"/>
  <c r="G39" i="7"/>
  <c r="F39" i="7"/>
  <c r="G38" i="7"/>
  <c r="F38" i="7"/>
  <c r="G37" i="7"/>
  <c r="F37" i="7"/>
  <c r="G36" i="7"/>
  <c r="F36" i="7"/>
  <c r="G35" i="7"/>
  <c r="F35" i="7"/>
  <c r="G34" i="7"/>
  <c r="F34" i="7"/>
  <c r="G33" i="7"/>
  <c r="F33" i="7"/>
  <c r="G32" i="7"/>
  <c r="F32" i="7"/>
  <c r="G31" i="7"/>
  <c r="F31" i="7"/>
  <c r="G30" i="7"/>
  <c r="F30" i="7"/>
  <c r="G29" i="7"/>
  <c r="F29" i="7"/>
  <c r="G28" i="7"/>
  <c r="F28" i="7"/>
  <c r="G27" i="7"/>
  <c r="F27" i="7"/>
  <c r="G26" i="7"/>
  <c r="F26" i="7"/>
  <c r="G25" i="7"/>
  <c r="F25" i="7"/>
  <c r="G24" i="7"/>
  <c r="F24" i="7"/>
  <c r="G23" i="7"/>
  <c r="F23" i="7"/>
  <c r="G22" i="7"/>
  <c r="F22" i="7"/>
  <c r="G21" i="7"/>
  <c r="F21" i="7"/>
  <c r="G20" i="7"/>
  <c r="F20" i="7"/>
  <c r="G19" i="7"/>
  <c r="F19" i="7"/>
  <c r="G18" i="7"/>
  <c r="F18" i="7"/>
  <c r="G17" i="7"/>
  <c r="F17" i="7"/>
  <c r="G16" i="7"/>
  <c r="F16" i="7"/>
  <c r="G15" i="7"/>
  <c r="F15" i="7"/>
  <c r="R14" i="7"/>
  <c r="H78" i="7"/>
  <c r="H66" i="7"/>
  <c r="H74" i="7"/>
  <c r="H73" i="7"/>
  <c r="H32" i="7"/>
  <c r="H35" i="7"/>
  <c r="H53" i="7"/>
  <c r="H77" i="7"/>
  <c r="H67" i="7"/>
  <c r="H55" i="7"/>
  <c r="H22" i="7"/>
  <c r="H47" i="7"/>
  <c r="H23" i="7"/>
  <c r="H24" i="7"/>
  <c r="H56" i="7"/>
  <c r="H29" i="7"/>
  <c r="H68" i="7"/>
  <c r="H69" i="7"/>
  <c r="H19" i="7"/>
  <c r="H48" i="7"/>
  <c r="H60" i="7"/>
  <c r="H37" i="7"/>
  <c r="H17" i="7"/>
  <c r="H65" i="7"/>
  <c r="H45" i="7"/>
  <c r="I15" i="7"/>
  <c r="K15" i="7" s="1"/>
  <c r="H18" i="7"/>
  <c r="H50" i="7"/>
  <c r="H46" i="7"/>
  <c r="H64" i="7"/>
  <c r="H30" i="7"/>
  <c r="H21" i="7"/>
  <c r="H63" i="7"/>
  <c r="H58" i="7"/>
  <c r="H38" i="7"/>
  <c r="H31" i="7"/>
  <c r="H42" i="7"/>
  <c r="H72" i="7"/>
  <c r="H34" i="7"/>
  <c r="H28" i="7"/>
  <c r="H54" i="7"/>
  <c r="H43" i="7"/>
  <c r="H57" i="7"/>
  <c r="J15" i="7"/>
  <c r="H25" i="7"/>
  <c r="H27" i="7"/>
  <c r="H33" i="7"/>
  <c r="H61" i="7"/>
  <c r="H20" i="7"/>
  <c r="H62" i="7"/>
  <c r="H51" i="7"/>
  <c r="H79" i="7"/>
  <c r="H26" i="7"/>
  <c r="H36" i="7"/>
  <c r="H40" i="7"/>
  <c r="H76" i="7"/>
  <c r="H39" i="7"/>
  <c r="H80" i="7"/>
  <c r="H75" i="7"/>
  <c r="H44" i="7"/>
  <c r="H41" i="7"/>
  <c r="H49" i="7"/>
  <c r="H70" i="7"/>
  <c r="H71" i="7"/>
  <c r="H52" i="7"/>
  <c r="H59" i="7"/>
  <c r="R15" i="7" l="1"/>
  <c r="S15" i="7" s="1"/>
  <c r="I30" i="7"/>
  <c r="I62" i="7"/>
  <c r="I78" i="7"/>
  <c r="I23" i="7"/>
  <c r="I39" i="7"/>
  <c r="I55" i="7"/>
  <c r="I71" i="7"/>
  <c r="I64" i="7"/>
  <c r="I80" i="7"/>
  <c r="I41" i="7"/>
  <c r="I73" i="7"/>
  <c r="I24" i="7"/>
  <c r="I66" i="7"/>
  <c r="I27" i="7"/>
  <c r="I43" i="7"/>
  <c r="I59" i="7"/>
  <c r="I75" i="7"/>
  <c r="I32" i="7"/>
  <c r="I48" i="7"/>
  <c r="I25" i="7"/>
  <c r="I20" i="7"/>
  <c r="I36" i="7"/>
  <c r="I52" i="7"/>
  <c r="I68" i="7"/>
  <c r="I18" i="7"/>
  <c r="I34" i="7"/>
  <c r="I29" i="7"/>
  <c r="I45" i="7"/>
  <c r="I61" i="7"/>
  <c r="I77" i="7"/>
  <c r="I46" i="7"/>
  <c r="I50" i="7"/>
  <c r="I22" i="7"/>
  <c r="I38" i="7"/>
  <c r="I54" i="7"/>
  <c r="I70" i="7"/>
  <c r="I57" i="7"/>
  <c r="I31" i="7"/>
  <c r="I47" i="7"/>
  <c r="I63" i="7"/>
  <c r="I79" i="7"/>
  <c r="I56" i="7"/>
  <c r="I72" i="7"/>
  <c r="I65" i="7"/>
  <c r="I49" i="7"/>
  <c r="I74" i="7"/>
  <c r="I40" i="7"/>
  <c r="I26" i="7"/>
  <c r="I42" i="7"/>
  <c r="I58" i="7"/>
  <c r="I19" i="7"/>
  <c r="I35" i="7"/>
  <c r="I51" i="7"/>
  <c r="I67" i="7"/>
  <c r="I28" i="7"/>
  <c r="I44" i="7"/>
  <c r="I60" i="7"/>
  <c r="I76" i="7"/>
  <c r="I17" i="7"/>
  <c r="I33" i="7"/>
  <c r="I21" i="7"/>
  <c r="I37" i="7"/>
  <c r="I53" i="7"/>
  <c r="I69" i="7"/>
  <c r="K37" i="7"/>
  <c r="K70" i="7"/>
  <c r="K45" i="7"/>
  <c r="K53" i="7"/>
  <c r="J24" i="7"/>
  <c r="K39" i="7"/>
  <c r="K29" i="7"/>
  <c r="K56" i="7"/>
  <c r="K50" i="7"/>
  <c r="J77" i="7"/>
  <c r="K26" i="7"/>
  <c r="K66" i="7"/>
  <c r="J30" i="7"/>
  <c r="K62" i="7"/>
  <c r="K78" i="7"/>
  <c r="J33" i="7"/>
  <c r="J18" i="7"/>
  <c r="J29" i="7"/>
  <c r="J57" i="7"/>
  <c r="I16" i="7"/>
  <c r="J20" i="7"/>
  <c r="J27" i="7"/>
  <c r="J43" i="7"/>
  <c r="J53" i="7"/>
  <c r="K21" i="7"/>
  <c r="J71" i="7"/>
  <c r="J80" i="7"/>
  <c r="K64" i="7"/>
  <c r="K60" i="7"/>
  <c r="J32" i="7"/>
  <c r="K47" i="7"/>
  <c r="J58" i="7"/>
  <c r="J61" i="7"/>
  <c r="K22" i="7"/>
  <c r="K68" i="7"/>
  <c r="J79" i="7"/>
  <c r="K61" i="7"/>
  <c r="K31" i="7"/>
  <c r="J21" i="7"/>
  <c r="K48" i="7"/>
  <c r="K18" i="7"/>
  <c r="K42" i="7"/>
  <c r="J54" i="7"/>
  <c r="J45" i="7"/>
  <c r="J73" i="7"/>
  <c r="J63" i="7"/>
  <c r="K20" i="7"/>
  <c r="K55" i="7"/>
  <c r="J51" i="7"/>
  <c r="K79" i="7"/>
  <c r="K54" i="7"/>
  <c r="K17" i="7"/>
  <c r="J67" i="7"/>
  <c r="K36" i="7"/>
  <c r="J28" i="7"/>
  <c r="K80" i="7"/>
  <c r="K19" i="7"/>
  <c r="J42" i="7"/>
  <c r="K35" i="7"/>
  <c r="J52" i="7"/>
  <c r="K59" i="7"/>
  <c r="K28" i="7"/>
  <c r="K32" i="7"/>
  <c r="J38" i="7"/>
  <c r="J74" i="7"/>
  <c r="K38" i="7"/>
  <c r="J23" i="7"/>
  <c r="J26" i="7"/>
  <c r="K49" i="7"/>
  <c r="J72" i="7"/>
  <c r="J19" i="7"/>
  <c r="J39" i="7"/>
  <c r="K16" i="7"/>
  <c r="K57" i="7"/>
  <c r="K76" i="7"/>
  <c r="J31" i="7"/>
  <c r="K65" i="7"/>
  <c r="J75" i="7"/>
  <c r="J44" i="7"/>
  <c r="J64" i="7"/>
  <c r="J41" i="7"/>
  <c r="K24" i="7"/>
  <c r="K51" i="7"/>
  <c r="J47" i="7"/>
  <c r="K46" i="7"/>
  <c r="J34" i="7"/>
  <c r="K30" i="7"/>
  <c r="K75" i="7"/>
  <c r="K33" i="7"/>
  <c r="K74" i="7"/>
  <c r="J49" i="7"/>
  <c r="K52" i="7"/>
  <c r="K40" i="7"/>
  <c r="J25" i="7"/>
  <c r="J16" i="7"/>
  <c r="J22" i="7"/>
  <c r="K63" i="7"/>
  <c r="K27" i="7"/>
  <c r="J62" i="7"/>
  <c r="J66" i="7"/>
  <c r="J46" i="7"/>
  <c r="K44" i="7"/>
  <c r="L15" i="7"/>
  <c r="K58" i="7"/>
  <c r="J40" i="7"/>
  <c r="J60" i="7"/>
  <c r="K73" i="7"/>
  <c r="K41" i="7"/>
  <c r="K72" i="7"/>
  <c r="J37" i="7"/>
  <c r="K43" i="7"/>
  <c r="K71" i="7"/>
  <c r="J68" i="7"/>
  <c r="J55" i="7"/>
  <c r="J65" i="7"/>
  <c r="K23" i="7"/>
  <c r="J48" i="7"/>
  <c r="K25" i="7"/>
  <c r="J78" i="7"/>
  <c r="J35" i="7"/>
  <c r="K67" i="7"/>
  <c r="K34" i="7"/>
  <c r="J17" i="7"/>
  <c r="J70" i="7"/>
  <c r="J76" i="7"/>
  <c r="J69" i="7"/>
  <c r="J56" i="7"/>
  <c r="J59" i="7"/>
  <c r="K77" i="7"/>
  <c r="J50" i="7"/>
  <c r="K69" i="7"/>
  <c r="J36" i="7"/>
  <c r="R21" i="7" l="1"/>
  <c r="R49" i="7"/>
  <c r="R61" i="7"/>
  <c r="R43" i="7"/>
  <c r="R33" i="7"/>
  <c r="R65" i="7"/>
  <c r="R45" i="7"/>
  <c r="R27" i="7"/>
  <c r="R17" i="7"/>
  <c r="R72" i="7"/>
  <c r="R29" i="7"/>
  <c r="R66" i="7"/>
  <c r="R76" i="7"/>
  <c r="R56" i="7"/>
  <c r="R34" i="7"/>
  <c r="R24" i="7"/>
  <c r="R60" i="7"/>
  <c r="R79" i="7"/>
  <c r="R18" i="7"/>
  <c r="R73" i="7"/>
  <c r="R44" i="7"/>
  <c r="R63" i="7"/>
  <c r="R68" i="7"/>
  <c r="R41" i="7"/>
  <c r="R28" i="7"/>
  <c r="R36" i="7"/>
  <c r="R51" i="7"/>
  <c r="R57" i="7"/>
  <c r="R20" i="7"/>
  <c r="R71" i="7"/>
  <c r="R47" i="7"/>
  <c r="R35" i="7"/>
  <c r="R70" i="7"/>
  <c r="R25" i="7"/>
  <c r="R55" i="7"/>
  <c r="R31" i="7"/>
  <c r="R19" i="7"/>
  <c r="R54" i="7"/>
  <c r="R48" i="7"/>
  <c r="R39" i="7"/>
  <c r="R52" i="7"/>
  <c r="R64" i="7"/>
  <c r="R58" i="7"/>
  <c r="R38" i="7"/>
  <c r="R32" i="7"/>
  <c r="R23" i="7"/>
  <c r="R42" i="7"/>
  <c r="R22" i="7"/>
  <c r="R16" i="7"/>
  <c r="S16" i="7" s="1"/>
  <c r="R78" i="7"/>
  <c r="R67" i="7"/>
  <c r="R69" i="7"/>
  <c r="R26" i="7"/>
  <c r="R50" i="7"/>
  <c r="R62" i="7"/>
  <c r="R80" i="7"/>
  <c r="R53" i="7"/>
  <c r="R40" i="7"/>
  <c r="R46" i="7"/>
  <c r="R75" i="7"/>
  <c r="R30" i="7"/>
  <c r="R37" i="7"/>
  <c r="R74" i="7"/>
  <c r="R77" i="7"/>
  <c r="R59" i="7"/>
  <c r="L21" i="7"/>
  <c r="L49" i="7"/>
  <c r="L61" i="7"/>
  <c r="L43" i="7"/>
  <c r="L33" i="7"/>
  <c r="L65" i="7"/>
  <c r="L45" i="7"/>
  <c r="L27" i="7"/>
  <c r="L17" i="7"/>
  <c r="L72" i="7"/>
  <c r="L29" i="7"/>
  <c r="L66" i="7"/>
  <c r="L76" i="7"/>
  <c r="L56" i="7"/>
  <c r="L34" i="7"/>
  <c r="L24" i="7"/>
  <c r="L60" i="7"/>
  <c r="L79" i="7"/>
  <c r="L18" i="7"/>
  <c r="L73" i="7"/>
  <c r="L44" i="7"/>
  <c r="L63" i="7"/>
  <c r="L68" i="7"/>
  <c r="L41" i="7"/>
  <c r="L28" i="7"/>
  <c r="L36" i="7"/>
  <c r="L51" i="7"/>
  <c r="L57" i="7"/>
  <c r="L20" i="7"/>
  <c r="L71" i="7"/>
  <c r="L47" i="7"/>
  <c r="L35" i="7"/>
  <c r="L70" i="7"/>
  <c r="L25" i="7"/>
  <c r="L55" i="7"/>
  <c r="L31" i="7"/>
  <c r="L19" i="7"/>
  <c r="L54" i="7"/>
  <c r="L48" i="7"/>
  <c r="L39" i="7"/>
  <c r="L52" i="7"/>
  <c r="L64" i="7"/>
  <c r="L58" i="7"/>
  <c r="L38" i="7"/>
  <c r="L32" i="7"/>
  <c r="L23" i="7"/>
  <c r="L42" i="7"/>
  <c r="L22" i="7"/>
  <c r="L78" i="7"/>
  <c r="L67" i="7"/>
  <c r="L69" i="7"/>
  <c r="L26" i="7"/>
  <c r="L50" i="7"/>
  <c r="L62" i="7"/>
  <c r="L80" i="7"/>
  <c r="L53" i="7"/>
  <c r="L40" i="7"/>
  <c r="L46" i="7"/>
  <c r="L75" i="7"/>
  <c r="L30" i="7"/>
  <c r="L37" i="7"/>
  <c r="L74" i="7"/>
  <c r="L77" i="7"/>
  <c r="L59" i="7"/>
  <c r="L16" i="7"/>
  <c r="S17" i="7" l="1"/>
  <c r="S18" i="7" s="1"/>
  <c r="S19" i="7" s="1"/>
  <c r="S20" i="7" s="1"/>
  <c r="S21" i="7" s="1"/>
  <c r="S22" i="7" s="1"/>
  <c r="S23" i="7" s="1"/>
  <c r="S24" i="7" s="1"/>
  <c r="S25" i="7" s="1"/>
  <c r="S26" i="7" s="1"/>
  <c r="S27" i="7" s="1"/>
  <c r="S28" i="7" s="1"/>
  <c r="S29" i="7" s="1"/>
  <c r="S30" i="7" s="1"/>
  <c r="S31" i="7" s="1"/>
  <c r="S32" i="7" s="1"/>
  <c r="S33" i="7" s="1"/>
  <c r="S34" i="7" s="1"/>
  <c r="S35" i="7" s="1"/>
  <c r="S36" i="7" s="1"/>
  <c r="S37" i="7" s="1"/>
  <c r="S38" i="7" s="1"/>
  <c r="S39" i="7" s="1"/>
  <c r="S40" i="7" s="1"/>
  <c r="S41" i="7" s="1"/>
  <c r="S42" i="7" s="1"/>
  <c r="S43" i="7" s="1"/>
  <c r="S44" i="7" s="1"/>
  <c r="S45" i="7" s="1"/>
  <c r="S46" i="7" s="1"/>
  <c r="S47" i="7" s="1"/>
  <c r="S48" i="7" s="1"/>
  <c r="S49" i="7" s="1"/>
  <c r="S50" i="7" s="1"/>
  <c r="S51" i="7" s="1"/>
  <c r="S52" i="7" s="1"/>
  <c r="S53" i="7" s="1"/>
  <c r="S54" i="7" s="1"/>
  <c r="S55" i="7" s="1"/>
  <c r="S56" i="7" s="1"/>
  <c r="S57" i="7" s="1"/>
  <c r="S58" i="7" s="1"/>
  <c r="S59" i="7" s="1"/>
  <c r="S60" i="7" s="1"/>
  <c r="S61" i="7" s="1"/>
  <c r="S62" i="7" s="1"/>
  <c r="S63" i="7" s="1"/>
  <c r="S64" i="7" s="1"/>
  <c r="S65" i="7" s="1"/>
  <c r="S66" i="7" s="1"/>
  <c r="S67" i="7" s="1"/>
  <c r="S68" i="7" s="1"/>
  <c r="S69" i="7" s="1"/>
  <c r="S70" i="7" s="1"/>
  <c r="S71" i="7" s="1"/>
  <c r="S72" i="7" s="1"/>
  <c r="S73" i="7" s="1"/>
  <c r="S74" i="7" s="1"/>
  <c r="S75" i="7" s="1"/>
  <c r="S76" i="7" s="1"/>
  <c r="S77" i="7" s="1"/>
  <c r="S78" i="7" s="1"/>
  <c r="S79" i="7" s="1"/>
  <c r="S80" i="7" s="1"/>
  <c r="S81" i="7" s="1"/>
  <c r="S82"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Buro Happold</author>
  </authors>
  <commentList>
    <comment ref="C12" authorId="0" shapeId="0" xr:uid="{05E55ECC-6764-4A8E-9705-7F020725B8ED}">
      <text>
        <r>
          <rPr>
            <b/>
            <sz val="8"/>
            <color indexed="81"/>
            <rFont val="Tahoma"/>
            <family val="2"/>
          </rPr>
          <t xml:space="preserve">Nominal Pipe Sizes
Steel       Copper      UPVC
</t>
        </r>
        <r>
          <rPr>
            <sz val="8"/>
            <color indexed="81"/>
            <rFont val="Tahoma"/>
            <family val="2"/>
          </rPr>
          <t xml:space="preserve">
15                     6               15
20                     8               20
25                   10               25
32                   12               32
40                   15               40
50                   22               50
65                   28               65
80                   35               80
90                   42               90
100                 54             100
125                 67             125
150                 76             150
175               108             175
200               133             200
225               159             225
250                                  250
300                                  300
350                                  350
400                                  400
450                                  450
500                                  500
550                                  550
600                                  600</t>
        </r>
      </text>
    </comment>
    <comment ref="H12" authorId="0" shapeId="0" xr:uid="{324428C2-9D7A-4CCB-98DD-5959F9D0DE0F}">
      <text>
        <r>
          <rPr>
            <b/>
            <sz val="8"/>
            <color indexed="81"/>
            <rFont val="Tahoma"/>
            <family val="2"/>
          </rPr>
          <t>Internal Pipe Diameters</t>
        </r>
        <r>
          <rPr>
            <sz val="8"/>
            <color indexed="81"/>
            <rFont val="Tahoma"/>
            <family val="2"/>
          </rPr>
          <t xml:space="preserve">
 __________</t>
        </r>
        <r>
          <rPr>
            <b/>
            <sz val="8"/>
            <color indexed="81"/>
            <rFont val="Tahoma"/>
            <family val="2"/>
          </rPr>
          <t>Steel___________        ________Copper______         _____UPVC_____
Medium     Heavy     Galvanised            X                Y               Z            Class C      Class E</t>
        </r>
        <r>
          <rPr>
            <sz val="8"/>
            <color indexed="81"/>
            <rFont val="Tahoma"/>
            <family val="2"/>
          </rPr>
          <t xml:space="preserve">
  16.1             14.9               14.4                4.8             4.4             5.0               -              17.2
  21.6             20.4               19.9                6.8             4.4             7.0               -              21.8
  27.3             25.7               25.2                8.8             8.4             9.0               -              28.2
  36.0             34.4               33.9              10.8           10.4            11.0              -              35.9
  41.9             40.3               39.8              13.6           13.0            14.0              -              40.9
  53.0             51.3               50.8              20.22         19.62         20.82          54.4           51.4
  68.7             67.0               66.5              26.22         25.62         26.82          68.2           64.2
  80.7             79.1               78.6              32.63         32.03         33.63          80.7           75.9
  93.15           91.55             91.05            39.63         39.03         40.23             -                 -
105.1            103.5            102.8              51.63         50.03         52.23        103.9           97.7
129.95          128.85          128.35            64.27         62.67         64.67        127.6         120.0
155.4            154.3            153.8              73.22         72.22         73.82        153.2         144.0
183.0            183.0            183.0            105.12       103.12        105.72       176.3         165.9
207.3            207.3            207.3            130.38                          130.38        201.5         190.9
232.7            232.7            232.7            155.38                          156.38        224.8         212.8
260.4            260.4            260.4                                                  251.2         238.0
311.3            311.3            311.3                                                  298.0         282.2
341.4            341.4            341.4                                                      -                 -
392.2            392.2            392.2                                                      -                 -
441.0            441.0            441.0                                                      -                 -
492.0            492.0            492.0                                                      -                 -
541.4            541.4            541.4                                                      -                 -
592.4            592.4            592.4                                                      -                 -</t>
        </r>
      </text>
    </comment>
    <comment ref="K12" authorId="0" shapeId="0" xr:uid="{11CF4E6B-9416-43C4-84C7-3A4375EA8E1C}">
      <text>
        <r>
          <rPr>
            <sz val="8"/>
            <color indexed="81"/>
            <rFont val="Tahoma"/>
            <family val="2"/>
          </rPr>
          <t>Velocity calculated on internal diameters</t>
        </r>
      </text>
    </comment>
    <comment ref="R12" authorId="0" shapeId="0" xr:uid="{9BF38EDA-3F9D-4C0F-AEC1-7DDF6B4DAE03}">
      <text>
        <r>
          <rPr>
            <b/>
            <sz val="8"/>
            <color indexed="81"/>
            <rFont val="Tahoma"/>
            <family val="2"/>
          </rPr>
          <t xml:space="preserve">Total pressure=
</t>
        </r>
        <r>
          <rPr>
            <sz val="8"/>
            <color indexed="81"/>
            <rFont val="Tahoma"/>
            <family val="2"/>
          </rPr>
          <t>= length x Pa/m
+ VP factor x fittings x rho x v^2/2 
+ individual pressure drop</t>
        </r>
      </text>
    </comment>
  </commentList>
</comments>
</file>

<file path=xl/sharedStrings.xml><?xml version="1.0" encoding="utf-8"?>
<sst xmlns="http://schemas.openxmlformats.org/spreadsheetml/2006/main" count="62" uniqueCount="57">
  <si>
    <t>Reference: CIBSE Guide C Section 4</t>
  </si>
  <si>
    <t>Note: This Excel spreadsheet is 'protected' to avoid calculations being deleted by mistake. If you want to unprotect it is, there is no password.</t>
  </si>
  <si>
    <t>Calculation sheet ref.:</t>
  </si>
  <si>
    <t>Project name:</t>
  </si>
  <si>
    <t>By:</t>
  </si>
  <si>
    <t>Project number:</t>
  </si>
  <si>
    <t>Date:</t>
  </si>
  <si>
    <t>System:</t>
  </si>
  <si>
    <t>Chk'd:</t>
  </si>
  <si>
    <t>Pump:</t>
  </si>
  <si>
    <t>Input</t>
  </si>
  <si>
    <t>Output</t>
  </si>
  <si>
    <t>System Details</t>
  </si>
  <si>
    <t>Calculations</t>
  </si>
  <si>
    <t xml:space="preserve">Section number  </t>
  </si>
  <si>
    <t>Flow
(kg/s)</t>
  </si>
  <si>
    <t>Pipe size
(mm)</t>
  </si>
  <si>
    <t xml:space="preserve">Limit velocity
(default) </t>
  </si>
  <si>
    <t>Limit PD
(default)</t>
  </si>
  <si>
    <t xml:space="preserve">Limit velocity At velocity  </t>
  </si>
  <si>
    <t xml:space="preserve">Limit PD   </t>
  </si>
  <si>
    <t>Internal pipe size
(mm)</t>
  </si>
  <si>
    <t>Pressure loss
(Pa/m)</t>
  </si>
  <si>
    <t>Velocity
(m/s)</t>
  </si>
  <si>
    <t>Equivalent length of pipe (m)</t>
  </si>
  <si>
    <t xml:space="preserve">Length
(m)  </t>
  </si>
  <si>
    <t xml:space="preserve">Fitting type  </t>
  </si>
  <si>
    <t xml:space="preserve"> No. off</t>
  </si>
  <si>
    <t xml:space="preserve">K' for fitting  </t>
  </si>
  <si>
    <t>Item pressure or (Pa)</t>
  </si>
  <si>
    <t>Total pressure drop (Pa)</t>
  </si>
  <si>
    <t>Running  total
(Pa)</t>
  </si>
  <si>
    <t>bend</t>
  </si>
  <si>
    <t>Valves</t>
  </si>
  <si>
    <t>Bar</t>
  </si>
  <si>
    <t>ltrs in pipework</t>
  </si>
  <si>
    <t>P1 Secondary Circulation Pump Size</t>
  </si>
  <si>
    <t>Pipe Length</t>
  </si>
  <si>
    <t>loss w/m</t>
  </si>
  <si>
    <t xml:space="preserve"> average of 54dia and 22dia</t>
  </si>
  <si>
    <t>total loss</t>
  </si>
  <si>
    <t>kW</t>
  </si>
  <si>
    <t>Design Margin</t>
  </si>
  <si>
    <t>Delta T</t>
  </si>
  <si>
    <t>kg/s</t>
  </si>
  <si>
    <t>Pa/m</t>
  </si>
  <si>
    <t>kPa</t>
  </si>
  <si>
    <t>Say 0.25kg/s@80kPa</t>
  </si>
  <si>
    <t>Pump Train</t>
  </si>
  <si>
    <t>PHX (1bar allowance)</t>
  </si>
  <si>
    <t>Connection to Header</t>
  </si>
  <si>
    <t>Flow Monitor</t>
  </si>
  <si>
    <t>Key Integrated Services Ltd
Unit 2 Bollin Court, Mill Lane,
Lymm, Cheshire, WA13 9SX
TEL: 01925 759948  
FAX: 01925 758400</t>
  </si>
  <si>
    <t>Comments/Notes</t>
  </si>
  <si>
    <t>Section for Sizing Domistic Secondary Pump</t>
  </si>
  <si>
    <t>IP 02-05-13-5304 Version 1</t>
  </si>
  <si>
    <t>Say 10kg/s@235kPa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</si>
</sst>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 \ \ \ \ \ General"/>
    <numFmt numFmtId="165" formatCode="General\ &quot;m/s&quot;"/>
    <numFmt numFmtId="166" formatCode="0.0\ &quot;Pa/m&quot;"/>
    <numFmt numFmtId="167" formatCode="0.000"/>
    <numFmt numFmtId="168" formatCode="0.0"/>
    <numFmt numFmtId="169" formatCode="0.0;0;\-"/>
    <numFmt numFmtId="170" formatCode="0.00;0.00;\-"/>
    <numFmt numFmtId="171" formatCode="0.00;&quot;Error&quot;;&quot;-&quot;"/>
    <numFmt numFmtId="172" formatCode="&quot;  &quot;@"/>
    <numFmt numFmtId="173" formatCode="0.0;&quot;error&quot;;&quot;-&quot;"/>
  </numFmts>
  <fonts count="13" x14ac:knownFonts="1">
    <font>
      <sz val="10"/>
      <name val="Arial"/>
    </font>
    <font>
      <sz val="10"/>
      <name val="Arial"/>
      <family val="2"/>
    </font>
    <font>
      <b/>
      <sz val="8"/>
      <color indexed="81"/>
      <name val="Tahoma"/>
      <family val="2"/>
    </font>
    <font>
      <sz val="8"/>
      <color indexed="81"/>
      <name val="Tahoma"/>
      <family val="2"/>
    </font>
    <font>
      <sz val="9"/>
      <name val="Arial"/>
      <family val="2"/>
    </font>
    <font>
      <sz val="9"/>
      <color indexed="8"/>
      <name val="Arial"/>
      <family val="2"/>
    </font>
    <font>
      <sz val="9"/>
      <color indexed="9"/>
      <name val="Arial"/>
      <family val="2"/>
    </font>
    <font>
      <b/>
      <sz val="9"/>
      <name val="Arial"/>
      <family val="2"/>
    </font>
    <font>
      <b/>
      <sz val="9"/>
      <color rgb="FFFF0000"/>
      <name val="Arial"/>
      <family val="2"/>
    </font>
    <font>
      <sz val="9"/>
      <color rgb="FFFF0000"/>
      <name val="Arial"/>
      <family val="2"/>
    </font>
    <font>
      <sz val="9"/>
      <color theme="0"/>
      <name val="Arial"/>
      <family val="2"/>
    </font>
    <font>
      <sz val="8"/>
      <color rgb="FF000000"/>
      <name val="Tahoma"/>
      <family val="2"/>
    </font>
    <font>
      <sz val="8"/>
      <name val="Arial"/>
      <family val="2"/>
    </font>
  </fonts>
  <fills count="5">
    <fill>
      <patternFill patternType="none"/>
    </fill>
    <fill>
      <patternFill patternType="gray125"/>
    </fill>
    <fill>
      <patternFill patternType="solid">
        <fgColor indexed="13"/>
        <bgColor indexed="64"/>
      </patternFill>
    </fill>
    <fill>
      <patternFill patternType="solid">
        <fgColor theme="0" tint="-0.14999847407452621"/>
        <bgColor indexed="64"/>
      </patternFill>
    </fill>
    <fill>
      <patternFill patternType="solid">
        <fgColor theme="0" tint="-4.9989318521683403E-2"/>
        <bgColor indexed="64"/>
      </patternFill>
    </fill>
  </fills>
  <borders count="59">
    <border>
      <left/>
      <right/>
      <top/>
      <bottom/>
      <diagonal/>
    </border>
    <border>
      <left style="thin">
        <color indexed="64"/>
      </left>
      <right style="thin">
        <color indexed="64"/>
      </right>
      <top style="double">
        <color indexed="64"/>
      </top>
      <bottom/>
      <diagonal/>
    </border>
    <border>
      <left/>
      <right/>
      <top style="double">
        <color indexed="64"/>
      </top>
      <bottom/>
      <diagonal/>
    </border>
    <border>
      <left/>
      <right style="double">
        <color indexed="64"/>
      </right>
      <top style="double">
        <color indexed="64"/>
      </top>
      <bottom/>
      <diagonal/>
    </border>
    <border>
      <left/>
      <right style="double">
        <color indexed="64"/>
      </right>
      <top/>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bottom style="double">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thin">
        <color indexed="64"/>
      </right>
      <top style="double">
        <color indexed="64"/>
      </top>
      <bottom/>
      <diagonal/>
    </border>
    <border>
      <left/>
      <right style="thin">
        <color indexed="64"/>
      </right>
      <top/>
      <bottom style="double">
        <color indexed="64"/>
      </bottom>
      <diagonal/>
    </border>
    <border>
      <left/>
      <right style="thin">
        <color indexed="64"/>
      </right>
      <top/>
      <bottom style="thin">
        <color indexed="64"/>
      </bottom>
      <diagonal/>
    </border>
    <border>
      <left style="thin">
        <color indexed="64"/>
      </left>
      <right style="medium">
        <color indexed="64"/>
      </right>
      <top style="double">
        <color indexed="64"/>
      </top>
      <bottom/>
      <diagonal/>
    </border>
    <border>
      <left style="thin">
        <color indexed="64"/>
      </left>
      <right style="medium">
        <color indexed="64"/>
      </right>
      <top/>
      <bottom style="double">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medium">
        <color indexed="64"/>
      </right>
      <top style="double">
        <color indexed="64"/>
      </top>
      <bottom style="double">
        <color indexed="64"/>
      </bottom>
      <diagonal/>
    </border>
    <border>
      <left style="thin">
        <color indexed="64"/>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thin">
        <color indexed="64"/>
      </right>
      <top style="double">
        <color indexed="64"/>
      </top>
      <bottom/>
      <diagonal/>
    </border>
    <border>
      <left style="double">
        <color indexed="64"/>
      </left>
      <right style="thin">
        <color indexed="64"/>
      </right>
      <top/>
      <bottom style="double">
        <color indexed="64"/>
      </bottom>
      <diagonal/>
    </border>
    <border>
      <left style="double">
        <color indexed="64"/>
      </left>
      <right/>
      <top/>
      <bottom/>
      <diagonal/>
    </border>
    <border>
      <left style="double">
        <color indexed="64"/>
      </left>
      <right/>
      <top/>
      <bottom style="double">
        <color indexed="64"/>
      </bottom>
      <diagonal/>
    </border>
    <border>
      <left style="double">
        <color indexed="64"/>
      </left>
      <right/>
      <top style="double">
        <color indexed="64"/>
      </top>
      <bottom/>
      <diagonal/>
    </border>
    <border>
      <left/>
      <right/>
      <top style="double">
        <color indexed="64"/>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top style="double">
        <color indexed="64"/>
      </top>
      <bottom/>
      <diagonal/>
    </border>
    <border>
      <left style="thin">
        <color indexed="64"/>
      </left>
      <right/>
      <top/>
      <bottom style="double">
        <color indexed="64"/>
      </bottom>
      <diagonal/>
    </border>
    <border>
      <left style="thin">
        <color indexed="64"/>
      </left>
      <right/>
      <top/>
      <bottom style="thin">
        <color indexed="64"/>
      </bottom>
      <diagonal/>
    </border>
    <border>
      <left style="medium">
        <color indexed="64"/>
      </left>
      <right style="double">
        <color indexed="64"/>
      </right>
      <top style="double">
        <color indexed="64"/>
      </top>
      <bottom/>
      <diagonal/>
    </border>
    <border>
      <left style="medium">
        <color indexed="64"/>
      </left>
      <right style="double">
        <color indexed="64"/>
      </right>
      <top/>
      <bottom style="double">
        <color indexed="64"/>
      </bottom>
      <diagonal/>
    </border>
    <border>
      <left style="medium">
        <color indexed="64"/>
      </left>
      <right style="double">
        <color indexed="64"/>
      </right>
      <top style="double">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style="double">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s>
  <cellStyleXfs count="1">
    <xf numFmtId="0" fontId="0" fillId="0" borderId="0"/>
  </cellStyleXfs>
  <cellXfs count="138">
    <xf numFmtId="0" fontId="0" fillId="0" borderId="0" xfId="0"/>
    <xf numFmtId="0" fontId="1" fillId="0" borderId="0" xfId="0" applyFont="1" applyAlignment="1">
      <alignment vertical="center"/>
    </xf>
    <xf numFmtId="2" fontId="1" fillId="0" borderId="0" xfId="0" applyNumberFormat="1" applyFont="1" applyAlignment="1">
      <alignment vertical="center"/>
    </xf>
    <xf numFmtId="2" fontId="1" fillId="0" borderId="0" xfId="0" applyNumberFormat="1" applyFont="1" applyAlignment="1">
      <alignment horizontal="center" vertical="center"/>
    </xf>
    <xf numFmtId="0" fontId="4" fillId="0" borderId="0" xfId="0" applyFont="1" applyAlignment="1">
      <alignment vertical="center"/>
    </xf>
    <xf numFmtId="0" fontId="4" fillId="0" borderId="2" xfId="0" applyFont="1" applyBorder="1" applyAlignment="1">
      <alignment vertical="center"/>
    </xf>
    <xf numFmtId="0" fontId="4" fillId="0" borderId="2" xfId="0" applyFont="1" applyBorder="1" applyAlignment="1">
      <alignment horizontal="left"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5" fillId="0" borderId="0" xfId="0" applyFont="1" applyAlignment="1">
      <alignment horizontal="right" vertical="center"/>
    </xf>
    <xf numFmtId="0" fontId="4" fillId="0" borderId="0" xfId="0" applyFont="1" applyAlignment="1">
      <alignment horizontal="left" vertical="center"/>
    </xf>
    <xf numFmtId="164" fontId="5" fillId="0" borderId="0" xfId="0" applyNumberFormat="1" applyFont="1" applyAlignment="1">
      <alignment horizontal="left" vertical="center"/>
    </xf>
    <xf numFmtId="0" fontId="6" fillId="0" borderId="0" xfId="0" applyFont="1" applyAlignment="1" applyProtection="1">
      <alignment horizontal="center" vertical="center"/>
      <protection locked="0"/>
    </xf>
    <xf numFmtId="0" fontId="4" fillId="0" borderId="4" xfId="0" applyFont="1" applyBorder="1" applyAlignment="1">
      <alignment horizontal="center" vertical="center"/>
    </xf>
    <xf numFmtId="14" fontId="5" fillId="0" borderId="0" xfId="0" applyNumberFormat="1" applyFont="1" applyAlignment="1">
      <alignment horizontal="right" vertical="center"/>
    </xf>
    <xf numFmtId="0" fontId="5" fillId="0" borderId="0" xfId="0" applyFont="1" applyAlignment="1">
      <alignment horizontal="left" vertical="center"/>
    </xf>
    <xf numFmtId="0" fontId="4" fillId="0" borderId="4" xfId="0" applyFont="1" applyBorder="1" applyAlignment="1">
      <alignment vertical="center"/>
    </xf>
    <xf numFmtId="14" fontId="5" fillId="0" borderId="5" xfId="0" applyNumberFormat="1" applyFont="1" applyBorder="1" applyAlignment="1">
      <alignment horizontal="right" vertical="center"/>
    </xf>
    <xf numFmtId="0" fontId="4" fillId="0" borderId="5" xfId="0" applyFont="1" applyBorder="1" applyAlignment="1">
      <alignment vertical="center"/>
    </xf>
    <xf numFmtId="0" fontId="4" fillId="0" borderId="5" xfId="0" applyFont="1" applyBorder="1" applyAlignment="1">
      <alignment horizontal="left" vertical="center"/>
    </xf>
    <xf numFmtId="0" fontId="5" fillId="0" borderId="5" xfId="0" applyFont="1" applyBorder="1" applyAlignment="1">
      <alignment horizontal="left" vertical="center"/>
    </xf>
    <xf numFmtId="0" fontId="4" fillId="0" borderId="5" xfId="0" applyFont="1" applyBorder="1" applyAlignment="1">
      <alignment horizontal="center" vertical="center"/>
    </xf>
    <xf numFmtId="0" fontId="4" fillId="0" borderId="6" xfId="0" applyFont="1" applyBorder="1" applyAlignment="1">
      <alignment vertical="center"/>
    </xf>
    <xf numFmtId="0" fontId="4" fillId="0" borderId="1"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3" xfId="0" applyFont="1" applyBorder="1" applyAlignment="1">
      <alignment horizontal="center" vertical="center" wrapText="1"/>
    </xf>
    <xf numFmtId="166" fontId="4" fillId="2" borderId="14" xfId="0" applyNumberFormat="1" applyFont="1" applyFill="1" applyBorder="1" applyAlignment="1">
      <alignment horizontal="center" vertical="center"/>
    </xf>
    <xf numFmtId="166" fontId="4" fillId="2" borderId="7" xfId="0" applyNumberFormat="1" applyFont="1" applyFill="1" applyBorder="1" applyAlignment="1">
      <alignment horizontal="center" vertical="center"/>
    </xf>
    <xf numFmtId="169" fontId="4" fillId="0" borderId="15" xfId="0" applyNumberFormat="1" applyFont="1" applyBorder="1" applyAlignment="1">
      <alignment horizontal="center" vertical="center"/>
    </xf>
    <xf numFmtId="169" fontId="4" fillId="0" borderId="9" xfId="0" applyNumberFormat="1" applyFont="1" applyBorder="1" applyAlignment="1">
      <alignment horizontal="center" vertical="center"/>
    </xf>
    <xf numFmtId="170" fontId="4" fillId="0" borderId="9" xfId="0" applyNumberFormat="1" applyFont="1" applyBorder="1" applyAlignment="1">
      <alignment horizontal="center" vertical="center"/>
    </xf>
    <xf numFmtId="171" fontId="4" fillId="0" borderId="9" xfId="0" applyNumberFormat="1" applyFont="1" applyBorder="1" applyAlignment="1">
      <alignment horizontal="center" vertical="center"/>
    </xf>
    <xf numFmtId="171" fontId="4" fillId="0" borderId="18" xfId="0" applyNumberFormat="1" applyFont="1" applyBorder="1" applyAlignment="1">
      <alignment horizontal="center" vertical="center"/>
    </xf>
    <xf numFmtId="173" fontId="4" fillId="0" borderId="15" xfId="0" applyNumberFormat="1" applyFont="1" applyBorder="1" applyAlignment="1">
      <alignment horizontal="center" vertical="center"/>
    </xf>
    <xf numFmtId="171" fontId="4" fillId="0" borderId="10" xfId="0" applyNumberFormat="1" applyFont="1" applyBorder="1" applyAlignment="1">
      <alignment horizontal="center" vertical="center"/>
    </xf>
    <xf numFmtId="169" fontId="4" fillId="0" borderId="7" xfId="0" applyNumberFormat="1" applyFont="1" applyBorder="1" applyAlignment="1">
      <alignment horizontal="center" vertical="center"/>
    </xf>
    <xf numFmtId="170" fontId="4" fillId="0" borderId="7" xfId="0" applyNumberFormat="1" applyFont="1" applyBorder="1" applyAlignment="1">
      <alignment horizontal="center" vertical="center"/>
    </xf>
    <xf numFmtId="171" fontId="4" fillId="0" borderId="12" xfId="0" applyNumberFormat="1" applyFont="1" applyBorder="1" applyAlignment="1">
      <alignment horizontal="center" vertical="center"/>
    </xf>
    <xf numFmtId="171" fontId="4" fillId="0" borderId="17" xfId="0" applyNumberFormat="1" applyFont="1" applyBorder="1" applyAlignment="1">
      <alignment horizontal="center" vertical="center"/>
    </xf>
    <xf numFmtId="173" fontId="4" fillId="0" borderId="14" xfId="0" applyNumberFormat="1" applyFont="1" applyBorder="1" applyAlignment="1">
      <alignment horizontal="center" vertical="center"/>
    </xf>
    <xf numFmtId="2" fontId="4" fillId="0" borderId="0" xfId="0" applyNumberFormat="1" applyFont="1" applyAlignment="1">
      <alignment vertical="center"/>
    </xf>
    <xf numFmtId="1" fontId="4" fillId="0" borderId="0" xfId="0" applyNumberFormat="1" applyFont="1" applyAlignment="1">
      <alignment vertical="center"/>
    </xf>
    <xf numFmtId="0" fontId="10" fillId="0" borderId="0" xfId="0" applyFont="1" applyAlignment="1">
      <alignment vertical="center"/>
    </xf>
    <xf numFmtId="9" fontId="4" fillId="0" borderId="0" xfId="0" applyNumberFormat="1" applyFont="1" applyAlignment="1">
      <alignment vertical="center"/>
    </xf>
    <xf numFmtId="2" fontId="9" fillId="0" borderId="0" xfId="0" applyNumberFormat="1" applyFont="1" applyAlignment="1">
      <alignment vertical="center"/>
    </xf>
    <xf numFmtId="0" fontId="4" fillId="0" borderId="0" xfId="0" applyFont="1" applyAlignment="1">
      <alignment horizontal="right" vertical="center"/>
    </xf>
    <xf numFmtId="0" fontId="7" fillId="0" borderId="0" xfId="0" applyFont="1" applyAlignment="1">
      <alignment vertical="center"/>
    </xf>
    <xf numFmtId="0" fontId="4" fillId="0" borderId="19" xfId="0" applyFont="1" applyBorder="1" applyAlignment="1">
      <alignment vertical="center"/>
    </xf>
    <xf numFmtId="9" fontId="4" fillId="0" borderId="10" xfId="0" applyNumberFormat="1" applyFont="1" applyBorder="1" applyAlignment="1">
      <alignment vertical="center"/>
    </xf>
    <xf numFmtId="0" fontId="4" fillId="0" borderId="20" xfId="0" applyFont="1" applyBorder="1" applyAlignment="1">
      <alignment vertical="center"/>
    </xf>
    <xf numFmtId="0" fontId="4" fillId="0" borderId="10" xfId="0" applyFont="1" applyBorder="1" applyAlignment="1">
      <alignment vertical="center"/>
    </xf>
    <xf numFmtId="2" fontId="4" fillId="0" borderId="0" xfId="0" applyNumberFormat="1" applyFont="1" applyAlignment="1">
      <alignment horizontal="center" vertical="center"/>
    </xf>
    <xf numFmtId="0" fontId="4" fillId="3" borderId="8" xfId="0" applyFont="1" applyFill="1" applyBorder="1" applyAlignment="1" applyProtection="1">
      <alignment horizontal="center" vertical="center"/>
      <protection locked="0"/>
    </xf>
    <xf numFmtId="167" fontId="8" fillId="3" borderId="9" xfId="0" applyNumberFormat="1" applyFont="1" applyFill="1" applyBorder="1" applyAlignment="1" applyProtection="1">
      <alignment horizontal="center" vertical="center"/>
      <protection locked="0"/>
    </xf>
    <xf numFmtId="1" fontId="4" fillId="3" borderId="9" xfId="0" applyNumberFormat="1" applyFont="1" applyFill="1" applyBorder="1" applyAlignment="1" applyProtection="1">
      <alignment horizontal="center" vertical="center"/>
      <protection locked="0"/>
    </xf>
    <xf numFmtId="168" fontId="4" fillId="3" borderId="9" xfId="0" applyNumberFormat="1" applyFont="1" applyFill="1" applyBorder="1" applyAlignment="1" applyProtection="1">
      <alignment horizontal="center" vertical="center"/>
      <protection locked="0"/>
    </xf>
    <xf numFmtId="168" fontId="4" fillId="3" borderId="18" xfId="0" applyNumberFormat="1" applyFont="1" applyFill="1" applyBorder="1" applyAlignment="1" applyProtection="1">
      <alignment horizontal="center" vertical="center"/>
      <protection locked="0"/>
    </xf>
    <xf numFmtId="167" fontId="4" fillId="3" borderId="9" xfId="0" applyNumberFormat="1" applyFont="1" applyFill="1" applyBorder="1" applyAlignment="1" applyProtection="1">
      <alignment horizontal="center" vertical="center"/>
      <protection locked="0"/>
    </xf>
    <xf numFmtId="0" fontId="4" fillId="3" borderId="11" xfId="0" applyFont="1" applyFill="1" applyBorder="1" applyAlignment="1" applyProtection="1">
      <alignment horizontal="center" vertical="center"/>
      <protection locked="0"/>
    </xf>
    <xf numFmtId="167" fontId="4" fillId="3" borderId="7" xfId="0" applyNumberFormat="1" applyFont="1" applyFill="1" applyBorder="1" applyAlignment="1" applyProtection="1">
      <alignment horizontal="center" vertical="center"/>
      <protection locked="0"/>
    </xf>
    <xf numFmtId="1" fontId="4" fillId="3" borderId="7" xfId="0" applyNumberFormat="1" applyFont="1" applyFill="1" applyBorder="1" applyAlignment="1" applyProtection="1">
      <alignment horizontal="center" vertical="center"/>
      <protection locked="0"/>
    </xf>
    <xf numFmtId="168" fontId="4" fillId="3" borderId="7" xfId="0" applyNumberFormat="1" applyFont="1" applyFill="1" applyBorder="1" applyAlignment="1" applyProtection="1">
      <alignment horizontal="center" vertical="center"/>
      <protection locked="0"/>
    </xf>
    <xf numFmtId="168" fontId="4" fillId="3" borderId="17" xfId="0" applyNumberFormat="1" applyFont="1" applyFill="1" applyBorder="1" applyAlignment="1" applyProtection="1">
      <alignment horizontal="center" vertical="center"/>
      <protection locked="0"/>
    </xf>
    <xf numFmtId="2" fontId="4" fillId="3" borderId="15" xfId="0" applyNumberFormat="1" applyFont="1" applyFill="1" applyBorder="1" applyAlignment="1" applyProtection="1">
      <alignment horizontal="center" vertical="center"/>
      <protection locked="0"/>
    </xf>
    <xf numFmtId="0" fontId="4" fillId="3" borderId="9" xfId="0" applyFont="1" applyFill="1" applyBorder="1" applyAlignment="1" applyProtection="1">
      <alignment horizontal="center" vertical="center"/>
      <protection locked="0"/>
    </xf>
    <xf numFmtId="0" fontId="4" fillId="3" borderId="18" xfId="0" applyFont="1" applyFill="1" applyBorder="1" applyAlignment="1" applyProtection="1">
      <alignment horizontal="center" vertical="center"/>
      <protection locked="0"/>
    </xf>
    <xf numFmtId="2" fontId="4" fillId="3" borderId="14" xfId="0" applyNumberFormat="1" applyFont="1" applyFill="1" applyBorder="1" applyAlignment="1" applyProtection="1">
      <alignment horizontal="center" vertical="center"/>
      <protection locked="0"/>
    </xf>
    <xf numFmtId="0" fontId="4" fillId="3" borderId="7" xfId="0" applyFont="1" applyFill="1" applyBorder="1" applyAlignment="1" applyProtection="1">
      <alignment horizontal="center" vertical="center"/>
      <protection locked="0"/>
    </xf>
    <xf numFmtId="0" fontId="4" fillId="3" borderId="17" xfId="0" applyFont="1" applyFill="1" applyBorder="1" applyAlignment="1" applyProtection="1">
      <alignment horizontal="center" vertical="center"/>
      <protection locked="0"/>
    </xf>
    <xf numFmtId="165" fontId="4" fillId="3" borderId="7" xfId="0" applyNumberFormat="1" applyFont="1" applyFill="1" applyBorder="1" applyAlignment="1" applyProtection="1">
      <alignment horizontal="center" vertical="center"/>
      <protection locked="0"/>
    </xf>
    <xf numFmtId="166" fontId="4" fillId="3" borderId="17" xfId="0" applyNumberFormat="1" applyFont="1" applyFill="1" applyBorder="1" applyAlignment="1" applyProtection="1">
      <alignment horizontal="center" vertical="center"/>
      <protection locked="0"/>
    </xf>
    <xf numFmtId="0" fontId="0" fillId="0" borderId="0" xfId="0" applyAlignment="1">
      <alignment vertical="center" wrapText="1"/>
    </xf>
    <xf numFmtId="173" fontId="4" fillId="0" borderId="42" xfId="0" applyNumberFormat="1" applyFont="1" applyBorder="1" applyAlignment="1">
      <alignment horizontal="right" vertical="center"/>
    </xf>
    <xf numFmtId="173" fontId="4" fillId="0" borderId="41" xfId="0" applyNumberFormat="1" applyFont="1" applyBorder="1" applyAlignment="1">
      <alignment horizontal="right" vertical="center"/>
    </xf>
    <xf numFmtId="0" fontId="4" fillId="0" borderId="45" xfId="0" applyFont="1" applyBorder="1" applyAlignment="1">
      <alignment horizontal="left" vertical="center"/>
    </xf>
    <xf numFmtId="0" fontId="4" fillId="0" borderId="46" xfId="0" applyFont="1" applyBorder="1" applyAlignment="1">
      <alignment vertical="center"/>
    </xf>
    <xf numFmtId="0" fontId="9" fillId="0" borderId="46" xfId="0" applyFont="1" applyBorder="1" applyAlignment="1">
      <alignment vertical="center"/>
    </xf>
    <xf numFmtId="0" fontId="4" fillId="0" borderId="47" xfId="0" applyFont="1" applyBorder="1" applyAlignment="1">
      <alignment vertical="center"/>
    </xf>
    <xf numFmtId="0" fontId="4" fillId="0" borderId="48" xfId="0" applyFont="1" applyBorder="1" applyAlignment="1">
      <alignment vertical="center"/>
    </xf>
    <xf numFmtId="0" fontId="4" fillId="0" borderId="49" xfId="0" applyFont="1" applyBorder="1" applyAlignment="1">
      <alignment vertical="center"/>
    </xf>
    <xf numFmtId="0" fontId="4" fillId="0" borderId="50" xfId="0" applyFont="1" applyBorder="1" applyAlignment="1">
      <alignment vertical="center"/>
    </xf>
    <xf numFmtId="0" fontId="4" fillId="0" borderId="51" xfId="0" applyFont="1" applyBorder="1" applyAlignment="1">
      <alignment vertical="center"/>
    </xf>
    <xf numFmtId="0" fontId="9" fillId="0" borderId="0" xfId="0" applyFont="1" applyAlignment="1">
      <alignment vertical="center"/>
    </xf>
    <xf numFmtId="0" fontId="4" fillId="0" borderId="52" xfId="0" applyFont="1" applyBorder="1" applyAlignment="1">
      <alignment vertical="center"/>
    </xf>
    <xf numFmtId="2" fontId="4" fillId="0" borderId="52" xfId="0" applyNumberFormat="1" applyFont="1" applyBorder="1" applyAlignment="1">
      <alignment vertical="center"/>
    </xf>
    <xf numFmtId="0" fontId="4" fillId="0" borderId="53" xfId="0" applyFont="1" applyBorder="1" applyAlignment="1">
      <alignment vertical="center"/>
    </xf>
    <xf numFmtId="0" fontId="4" fillId="0" borderId="54" xfId="0" applyFont="1" applyBorder="1" applyAlignment="1">
      <alignment vertical="center"/>
    </xf>
    <xf numFmtId="2" fontId="4" fillId="0" borderId="55" xfId="0" applyNumberFormat="1" applyFont="1" applyBorder="1" applyAlignment="1">
      <alignment vertical="center"/>
    </xf>
    <xf numFmtId="0" fontId="12" fillId="0" borderId="56" xfId="0" applyFont="1" applyBorder="1" applyAlignment="1">
      <alignment horizontal="center" vertical="center" wrapText="1"/>
    </xf>
    <xf numFmtId="0" fontId="12" fillId="0" borderId="57" xfId="0" applyFont="1" applyBorder="1" applyAlignment="1">
      <alignment horizontal="center" vertical="center" wrapText="1"/>
    </xf>
    <xf numFmtId="0" fontId="4" fillId="0" borderId="57" xfId="0" applyFont="1" applyBorder="1" applyAlignment="1">
      <alignment vertical="center"/>
    </xf>
    <xf numFmtId="0" fontId="4" fillId="0" borderId="58" xfId="0" applyFont="1" applyBorder="1" applyAlignment="1">
      <alignment vertical="center"/>
    </xf>
    <xf numFmtId="0" fontId="4" fillId="0" borderId="16" xfId="0" applyFont="1" applyBorder="1" applyAlignment="1">
      <alignment horizontal="center" vertical="center" wrapText="1"/>
    </xf>
    <xf numFmtId="0" fontId="4" fillId="0" borderId="17" xfId="0" applyFont="1" applyBorder="1" applyAlignment="1">
      <alignment horizontal="center" vertical="center" wrapText="1"/>
    </xf>
    <xf numFmtId="0" fontId="4" fillId="0" borderId="13" xfId="0" applyFont="1" applyBorder="1" applyAlignment="1">
      <alignment horizontal="center" vertical="center" wrapText="1"/>
    </xf>
    <xf numFmtId="0" fontId="4" fillId="0" borderId="14" xfId="0" applyFont="1" applyBorder="1" applyAlignment="1">
      <alignment horizontal="center" vertical="center" wrapText="1"/>
    </xf>
    <xf numFmtId="0" fontId="4" fillId="0" borderId="40" xfId="0" applyFont="1" applyBorder="1" applyAlignment="1">
      <alignment horizontal="center" vertical="center" wrapText="1"/>
    </xf>
    <xf numFmtId="0" fontId="4" fillId="0" borderId="41" xfId="0" applyFont="1" applyBorder="1" applyAlignment="1">
      <alignment horizontal="center" vertical="center" wrapText="1"/>
    </xf>
    <xf numFmtId="0" fontId="12" fillId="4" borderId="0" xfId="0" applyFont="1" applyFill="1" applyAlignment="1">
      <alignment horizontal="center" vertical="center" wrapText="1"/>
    </xf>
    <xf numFmtId="0" fontId="0" fillId="0" borderId="0" xfId="0" applyAlignment="1">
      <alignment vertical="center"/>
    </xf>
    <xf numFmtId="0" fontId="12" fillId="4" borderId="56" xfId="0" applyFont="1" applyFill="1" applyBorder="1" applyAlignment="1">
      <alignment horizontal="center" vertical="center" wrapText="1"/>
    </xf>
    <xf numFmtId="0" fontId="0" fillId="0" borderId="57" xfId="0" applyBorder="1" applyAlignment="1">
      <alignment vertical="center" wrapText="1"/>
    </xf>
    <xf numFmtId="0" fontId="0" fillId="0" borderId="58" xfId="0" applyBorder="1" applyAlignment="1">
      <alignment vertical="center" wrapText="1"/>
    </xf>
    <xf numFmtId="0" fontId="4" fillId="0" borderId="43" xfId="0" applyFont="1" applyBorder="1" applyAlignment="1">
      <alignment horizontal="center" vertical="center"/>
    </xf>
    <xf numFmtId="0" fontId="0" fillId="0" borderId="44" xfId="0" applyBorder="1" applyAlignment="1">
      <alignment horizontal="center" vertical="center"/>
    </xf>
    <xf numFmtId="0" fontId="4" fillId="0" borderId="1" xfId="0" applyFont="1" applyBorder="1" applyAlignment="1">
      <alignment horizontal="center" vertical="center" wrapText="1"/>
    </xf>
    <xf numFmtId="0" fontId="4" fillId="0" borderId="7" xfId="0" applyFont="1" applyBorder="1" applyAlignment="1">
      <alignment horizontal="center" vertical="center" wrapText="1"/>
    </xf>
    <xf numFmtId="0" fontId="7" fillId="0" borderId="21" xfId="0" applyFont="1" applyBorder="1" applyAlignment="1">
      <alignment horizontal="center" vertical="center"/>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7" fillId="0" borderId="24" xfId="0" applyFont="1" applyBorder="1" applyAlignment="1">
      <alignment horizontal="center" vertical="center"/>
    </xf>
    <xf numFmtId="0" fontId="7" fillId="0" borderId="25" xfId="0" applyFont="1" applyBorder="1" applyAlignment="1">
      <alignment horizontal="center" vertical="center"/>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172" fontId="5" fillId="0" borderId="28" xfId="0" applyNumberFormat="1" applyFont="1" applyBorder="1" applyAlignment="1">
      <alignment horizontal="right" vertical="center"/>
    </xf>
    <xf numFmtId="172" fontId="5" fillId="0" borderId="0" xfId="0" applyNumberFormat="1" applyFont="1" applyAlignment="1">
      <alignment horizontal="right" vertical="center"/>
    </xf>
    <xf numFmtId="0" fontId="7" fillId="3" borderId="36" xfId="0" applyFont="1" applyFill="1" applyBorder="1" applyAlignment="1" applyProtection="1">
      <alignment horizontal="left" vertical="center"/>
      <protection locked="0"/>
    </xf>
    <xf numFmtId="0" fontId="7" fillId="3" borderId="32" xfId="0" applyFont="1" applyFill="1" applyBorder="1" applyAlignment="1" applyProtection="1">
      <alignment horizontal="left" vertical="center"/>
      <protection locked="0"/>
    </xf>
    <xf numFmtId="0" fontId="7" fillId="3" borderId="37" xfId="0" applyFont="1" applyFill="1" applyBorder="1" applyAlignment="1" applyProtection="1">
      <alignment horizontal="left" vertical="center"/>
      <protection locked="0"/>
    </xf>
    <xf numFmtId="0" fontId="5" fillId="3" borderId="36" xfId="0" applyFont="1" applyFill="1" applyBorder="1" applyAlignment="1" applyProtection="1">
      <alignment horizontal="left" vertical="center"/>
      <protection locked="0"/>
    </xf>
    <xf numFmtId="0" fontId="5" fillId="3" borderId="37" xfId="0" applyFont="1" applyFill="1" applyBorder="1" applyAlignment="1" applyProtection="1">
      <alignment horizontal="left" vertical="center"/>
      <protection locked="0"/>
    </xf>
    <xf numFmtId="0" fontId="5" fillId="0" borderId="29" xfId="0" applyFont="1" applyBorder="1" applyAlignment="1">
      <alignment horizontal="right" vertical="center"/>
    </xf>
    <xf numFmtId="0" fontId="5" fillId="0" borderId="5" xfId="0" applyFont="1" applyBorder="1" applyAlignment="1">
      <alignment horizontal="right" vertical="center"/>
    </xf>
    <xf numFmtId="0" fontId="4" fillId="3" borderId="38" xfId="0" applyFont="1" applyFill="1" applyBorder="1" applyAlignment="1" applyProtection="1">
      <alignment horizontal="left" vertical="center"/>
      <protection locked="0"/>
    </xf>
    <xf numFmtId="0" fontId="4" fillId="3" borderId="33" xfId="0" applyFont="1" applyFill="1" applyBorder="1" applyAlignment="1" applyProtection="1">
      <alignment horizontal="left" vertical="center"/>
      <protection locked="0"/>
    </xf>
    <xf numFmtId="0" fontId="4" fillId="3" borderId="39" xfId="0" applyFont="1" applyFill="1" applyBorder="1" applyAlignment="1" applyProtection="1">
      <alignment horizontal="left" vertical="center"/>
      <protection locked="0"/>
    </xf>
    <xf numFmtId="14" fontId="5" fillId="3" borderId="38" xfId="0" applyNumberFormat="1" applyFont="1" applyFill="1" applyBorder="1" applyAlignment="1" applyProtection="1">
      <alignment horizontal="left" vertical="center"/>
      <protection locked="0"/>
    </xf>
    <xf numFmtId="14" fontId="5" fillId="3" borderId="39" xfId="0" applyNumberFormat="1" applyFont="1" applyFill="1" applyBorder="1" applyAlignment="1" applyProtection="1">
      <alignment horizontal="left" vertical="center"/>
      <protection locked="0"/>
    </xf>
    <xf numFmtId="0" fontId="4" fillId="3" borderId="36" xfId="0" applyFont="1" applyFill="1" applyBorder="1" applyAlignment="1" applyProtection="1">
      <alignment horizontal="left" vertical="center"/>
      <protection locked="0"/>
    </xf>
    <xf numFmtId="0" fontId="4" fillId="3" borderId="32" xfId="0" applyFont="1" applyFill="1" applyBorder="1" applyAlignment="1" applyProtection="1">
      <alignment horizontal="left" vertical="center"/>
      <protection locked="0"/>
    </xf>
    <xf numFmtId="0" fontId="4" fillId="3" borderId="37" xfId="0" applyFont="1" applyFill="1" applyBorder="1" applyAlignment="1" applyProtection="1">
      <alignment horizontal="left" vertical="center"/>
      <protection locked="0"/>
    </xf>
    <xf numFmtId="14" fontId="5" fillId="3" borderId="36" xfId="0" applyNumberFormat="1" applyFont="1" applyFill="1" applyBorder="1" applyAlignment="1" applyProtection="1">
      <alignment horizontal="left" vertical="center"/>
      <protection locked="0"/>
    </xf>
    <xf numFmtId="14" fontId="5" fillId="3" borderId="37" xfId="0" applyNumberFormat="1" applyFont="1" applyFill="1" applyBorder="1" applyAlignment="1" applyProtection="1">
      <alignment horizontal="left" vertical="center"/>
      <protection locked="0"/>
    </xf>
    <xf numFmtId="172" fontId="5" fillId="0" borderId="30" xfId="0" applyNumberFormat="1" applyFont="1" applyBorder="1" applyAlignment="1">
      <alignment horizontal="right" vertical="center"/>
    </xf>
    <xf numFmtId="172" fontId="5" fillId="0" borderId="2" xfId="0" applyNumberFormat="1" applyFont="1" applyBorder="1" applyAlignment="1">
      <alignment horizontal="right" vertical="center"/>
    </xf>
    <xf numFmtId="0" fontId="4" fillId="3" borderId="34" xfId="0" applyFont="1" applyFill="1" applyBorder="1" applyAlignment="1" applyProtection="1">
      <alignment horizontal="left" vertical="center"/>
      <protection locked="0"/>
    </xf>
    <xf numFmtId="0" fontId="4" fillId="3" borderId="31" xfId="0" applyFont="1" applyFill="1" applyBorder="1" applyAlignment="1" applyProtection="1">
      <alignment horizontal="left" vertical="center"/>
      <protection locked="0"/>
    </xf>
    <xf numFmtId="0" fontId="4" fillId="3" borderId="35" xfId="0" applyFont="1" applyFill="1" applyBorder="1" applyAlignment="1" applyProtection="1">
      <alignment horizontal="left" vertical="center"/>
      <protection locked="0"/>
    </xf>
  </cellXfs>
  <cellStyles count="1">
    <cellStyle name="Normal" xfId="0" builtinId="0"/>
  </cellStyles>
  <dxfs count="1">
    <dxf>
      <font>
        <b/>
        <i/>
        <condense val="0"/>
        <extend val="0"/>
        <color indexed="53"/>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10" Type="http://schemas.microsoft.com/office/2006/relationships/vbaProject" Target="vbaProject.bin"/><Relationship Id="rId4" Type="http://schemas.openxmlformats.org/officeDocument/2006/relationships/sharedStrings" Target="sharedStrings.xml"/><Relationship Id="rId9" Type="http://schemas.openxmlformats.org/officeDocument/2006/relationships/customXml" Target="../customXml/item4.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fmlaLink="R7"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R8" noThreeD="1"/>
</file>

<file path=xl/ctrlProps/ctrlProp7.xml><?xml version="1.0" encoding="utf-8"?>
<formControlPr xmlns="http://schemas.microsoft.com/office/spreadsheetml/2009/9/main" objectType="Radio" noThreeD="1"/>
</file>

<file path=xl/ctrlProps/ctrlProp8.xml><?xml version="1.0" encoding="utf-8"?>
<formControlPr xmlns="http://schemas.microsoft.com/office/spreadsheetml/2009/9/main" objectType="Radio" checked="Checked"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R9"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304800</xdr:colOff>
          <xdr:row>5</xdr:row>
          <xdr:rowOff>85725</xdr:rowOff>
        </xdr:from>
        <xdr:to>
          <xdr:col>14</xdr:col>
          <xdr:colOff>542925</xdr:colOff>
          <xdr:row>9</xdr:row>
          <xdr:rowOff>76200</xdr:rowOff>
        </xdr:to>
        <xdr:sp macro="" textlink="">
          <xdr:nvSpPr>
            <xdr:cNvPr id="14337" name="Group Box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Pipe Type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5</xdr:row>
          <xdr:rowOff>200025</xdr:rowOff>
        </xdr:from>
        <xdr:to>
          <xdr:col>14</xdr:col>
          <xdr:colOff>447675</xdr:colOff>
          <xdr:row>7</xdr:row>
          <xdr:rowOff>0</xdr:rowOff>
        </xdr:to>
        <xdr:sp macro="" textlink="">
          <xdr:nvSpPr>
            <xdr:cNvPr id="14338" name="option11" hidden="1">
              <a:extLst>
                <a:ext uri="{63B3BB69-23CF-44E3-9099-C40C66FF867C}">
                  <a14:compatExt spid="_x0000_s14338"/>
                </a:ext>
                <a:ext uri="{FF2B5EF4-FFF2-40B4-BE49-F238E27FC236}">
                  <a16:creationId xmlns:a16="http://schemas.microsoft.com/office/drawing/2014/main" id="{00000000-0008-0000-00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Steel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6</xdr:row>
          <xdr:rowOff>228600</xdr:rowOff>
        </xdr:from>
        <xdr:to>
          <xdr:col>14</xdr:col>
          <xdr:colOff>466725</xdr:colOff>
          <xdr:row>8</xdr:row>
          <xdr:rowOff>28575</xdr:rowOff>
        </xdr:to>
        <xdr:sp macro="" textlink="">
          <xdr:nvSpPr>
            <xdr:cNvPr id="14339" name="option12" hidden="1">
              <a:extLst>
                <a:ext uri="{63B3BB69-23CF-44E3-9099-C40C66FF867C}">
                  <a14:compatExt spid="_x0000_s14339"/>
                </a:ext>
                <a:ext uri="{FF2B5EF4-FFF2-40B4-BE49-F238E27FC236}">
                  <a16:creationId xmlns:a16="http://schemas.microsoft.com/office/drawing/2014/main" id="{00000000-0008-0000-00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Copper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466725</xdr:colOff>
          <xdr:row>8</xdr:row>
          <xdr:rowOff>9525</xdr:rowOff>
        </xdr:from>
        <xdr:to>
          <xdr:col>14</xdr:col>
          <xdr:colOff>466725</xdr:colOff>
          <xdr:row>9</xdr:row>
          <xdr:rowOff>47625</xdr:rowOff>
        </xdr:to>
        <xdr:sp macro="" textlink="">
          <xdr:nvSpPr>
            <xdr:cNvPr id="14340" name="option13" hidden="1">
              <a:extLst>
                <a:ext uri="{63B3BB69-23CF-44E3-9099-C40C66FF867C}">
                  <a14:compatExt spid="_x0000_s14340"/>
                </a:ext>
                <a:ext uri="{FF2B5EF4-FFF2-40B4-BE49-F238E27FC236}">
                  <a16:creationId xmlns:a16="http://schemas.microsoft.com/office/drawing/2014/main" id="{00000000-0008-0000-00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UPVC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5</xdr:row>
          <xdr:rowOff>85725</xdr:rowOff>
        </xdr:from>
        <xdr:to>
          <xdr:col>16</xdr:col>
          <xdr:colOff>161925</xdr:colOff>
          <xdr:row>9</xdr:row>
          <xdr:rowOff>76200</xdr:rowOff>
        </xdr:to>
        <xdr:sp macro="" textlink="">
          <xdr:nvSpPr>
            <xdr:cNvPr id="14341" name="Group Box 5" hidden="1">
              <a:extLst>
                <a:ext uri="{63B3BB69-23CF-44E3-9099-C40C66FF867C}">
                  <a14:compatExt spid="_x0000_s14341"/>
                </a:ext>
                <a:ext uri="{FF2B5EF4-FFF2-40B4-BE49-F238E27FC236}">
                  <a16:creationId xmlns:a16="http://schemas.microsoft.com/office/drawing/2014/main" id="{00000000-0008-0000-0000-000005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Pipe Grade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676275</xdr:colOff>
          <xdr:row>5</xdr:row>
          <xdr:rowOff>200025</xdr:rowOff>
        </xdr:from>
        <xdr:to>
          <xdr:col>16</xdr:col>
          <xdr:colOff>57150</xdr:colOff>
          <xdr:row>7</xdr:row>
          <xdr:rowOff>0</xdr:rowOff>
        </xdr:to>
        <xdr:sp macro="" textlink="">
          <xdr:nvSpPr>
            <xdr:cNvPr id="14342" name="option21"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Heavy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676275</xdr:colOff>
          <xdr:row>6</xdr:row>
          <xdr:rowOff>228600</xdr:rowOff>
        </xdr:from>
        <xdr:to>
          <xdr:col>16</xdr:col>
          <xdr:colOff>76200</xdr:colOff>
          <xdr:row>8</xdr:row>
          <xdr:rowOff>28575</xdr:rowOff>
        </xdr:to>
        <xdr:sp macro="" textlink="">
          <xdr:nvSpPr>
            <xdr:cNvPr id="14343" name="option22" hidden="1">
              <a:extLst>
                <a:ext uri="{63B3BB69-23CF-44E3-9099-C40C66FF867C}">
                  <a14:compatExt spid="_x0000_s14343"/>
                </a:ext>
                <a:ext uri="{FF2B5EF4-FFF2-40B4-BE49-F238E27FC236}">
                  <a16:creationId xmlns:a16="http://schemas.microsoft.com/office/drawing/2014/main" id="{00000000-0008-0000-00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Medium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676275</xdr:colOff>
          <xdr:row>8</xdr:row>
          <xdr:rowOff>9525</xdr:rowOff>
        </xdr:from>
        <xdr:to>
          <xdr:col>16</xdr:col>
          <xdr:colOff>76200</xdr:colOff>
          <xdr:row>9</xdr:row>
          <xdr:rowOff>47625</xdr:rowOff>
        </xdr:to>
        <xdr:sp macro="" textlink="">
          <xdr:nvSpPr>
            <xdr:cNvPr id="14344" name="option23" hidden="1">
              <a:extLst>
                <a:ext uri="{63B3BB69-23CF-44E3-9099-C40C66FF867C}">
                  <a14:compatExt spid="_x0000_s14344"/>
                </a:ext>
                <a:ext uri="{FF2B5EF4-FFF2-40B4-BE49-F238E27FC236}">
                  <a16:creationId xmlns:a16="http://schemas.microsoft.com/office/drawing/2014/main" id="{00000000-0008-0000-00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Galvanised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219075</xdr:colOff>
          <xdr:row>5</xdr:row>
          <xdr:rowOff>85725</xdr:rowOff>
        </xdr:from>
        <xdr:to>
          <xdr:col>17</xdr:col>
          <xdr:colOff>514350</xdr:colOff>
          <xdr:row>9</xdr:row>
          <xdr:rowOff>76200</xdr:rowOff>
        </xdr:to>
        <xdr:sp macro="" textlink="">
          <xdr:nvSpPr>
            <xdr:cNvPr id="14345" name="Group Box 9" descr="WaterTemp."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GB" sz="800" b="0" i="0" u="none" strike="noStrike" baseline="0">
                  <a:solidFill>
                    <a:srgbClr val="000000"/>
                  </a:solidFill>
                  <a:latin typeface="Tahoma"/>
                  <a:ea typeface="Tahoma"/>
                  <a:cs typeface="Tahoma"/>
                </a:rPr>
                <a:t>Water Temp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438150</xdr:colOff>
          <xdr:row>5</xdr:row>
          <xdr:rowOff>200025</xdr:rowOff>
        </xdr:from>
        <xdr:to>
          <xdr:col>17</xdr:col>
          <xdr:colOff>504825</xdr:colOff>
          <xdr:row>7</xdr:row>
          <xdr:rowOff>0</xdr:rowOff>
        </xdr:to>
        <xdr:sp macro="" textlink="">
          <xdr:nvSpPr>
            <xdr:cNvPr id="14346" name="option31" hidden="1">
              <a:extLst>
                <a:ext uri="{63B3BB69-23CF-44E3-9099-C40C66FF867C}">
                  <a14:compatExt spid="_x0000_s14346"/>
                </a:ext>
                <a:ext uri="{FF2B5EF4-FFF2-40B4-BE49-F238E27FC236}">
                  <a16:creationId xmlns:a16="http://schemas.microsoft.com/office/drawing/2014/main" id="{00000000-0008-0000-0000-00000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10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438150</xdr:colOff>
          <xdr:row>7</xdr:row>
          <xdr:rowOff>0</xdr:rowOff>
        </xdr:from>
        <xdr:to>
          <xdr:col>17</xdr:col>
          <xdr:colOff>504825</xdr:colOff>
          <xdr:row>8</xdr:row>
          <xdr:rowOff>28575</xdr:rowOff>
        </xdr:to>
        <xdr:sp macro="" textlink="">
          <xdr:nvSpPr>
            <xdr:cNvPr id="14347" name="option32" hidden="1">
              <a:extLst>
                <a:ext uri="{63B3BB69-23CF-44E3-9099-C40C66FF867C}">
                  <a14:compatExt spid="_x0000_s14347"/>
                </a:ext>
                <a:ext uri="{FF2B5EF4-FFF2-40B4-BE49-F238E27FC236}">
                  <a16:creationId xmlns:a16="http://schemas.microsoft.com/office/drawing/2014/main" id="{00000000-0008-0000-0000-00000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75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438150</xdr:colOff>
          <xdr:row>8</xdr:row>
          <xdr:rowOff>9525</xdr:rowOff>
        </xdr:from>
        <xdr:to>
          <xdr:col>17</xdr:col>
          <xdr:colOff>504825</xdr:colOff>
          <xdr:row>9</xdr:row>
          <xdr:rowOff>47625</xdr:rowOff>
        </xdr:to>
        <xdr:sp macro="" textlink="">
          <xdr:nvSpPr>
            <xdr:cNvPr id="14348" name="option33" hidden="1">
              <a:extLst>
                <a:ext uri="{63B3BB69-23CF-44E3-9099-C40C66FF867C}">
                  <a14:compatExt spid="_x0000_s14348"/>
                </a:ext>
                <a:ext uri="{FF2B5EF4-FFF2-40B4-BE49-F238E27FC236}">
                  <a16:creationId xmlns:a16="http://schemas.microsoft.com/office/drawing/2014/main" id="{00000000-0008-0000-0000-00000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Tahoma"/>
                  <a:ea typeface="Tahoma"/>
                  <a:cs typeface="Tahoma"/>
                </a:rPr>
                <a:t>150</a:t>
              </a:r>
            </a:p>
          </xdr:txBody>
        </xdr:sp>
        <xdr:clientData/>
      </xdr:twoCellAnchor>
    </mc:Choice>
    <mc:Fallback/>
  </mc:AlternateContent>
  <xdr:twoCellAnchor editAs="oneCell">
    <xdr:from>
      <xdr:col>21</xdr:col>
      <xdr:colOff>323850</xdr:colOff>
      <xdr:row>7</xdr:row>
      <xdr:rowOff>57150</xdr:rowOff>
    </xdr:from>
    <xdr:to>
      <xdr:col>31</xdr:col>
      <xdr:colOff>581025</xdr:colOff>
      <xdr:row>109</xdr:row>
      <xdr:rowOff>95250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487275" y="923925"/>
          <a:ext cx="6267450" cy="891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352425</xdr:colOff>
      <xdr:row>99</xdr:row>
      <xdr:rowOff>9525</xdr:rowOff>
    </xdr:from>
    <xdr:to>
      <xdr:col>19</xdr:col>
      <xdr:colOff>1266825</xdr:colOff>
      <xdr:row>120</xdr:row>
      <xdr:rowOff>85725</xdr:rowOff>
    </xdr:to>
    <xdr:pic>
      <xdr:nvPicPr>
        <xdr:cNvPr id="4" name="Picture 2">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629525" y="8134350"/>
          <a:ext cx="4533900" cy="3476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241803</xdr:colOff>
      <xdr:row>0</xdr:row>
      <xdr:rowOff>114300</xdr:rowOff>
    </xdr:from>
    <xdr:to>
      <xdr:col>4</xdr:col>
      <xdr:colOff>86529</xdr:colOff>
      <xdr:row>3</xdr:row>
      <xdr:rowOff>158307</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xdr:blipFill>
      <xdr:spPr bwMode="auto">
        <a:xfrm>
          <a:off x="241803" y="114300"/>
          <a:ext cx="2163856" cy="540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F554C-8E75-44B2-B3F4-648F96E2ADD0}">
  <sheetPr codeName="Sheet7">
    <pageSetUpPr fitToPage="1"/>
  </sheetPr>
  <dimension ref="A1:Y107"/>
  <sheetViews>
    <sheetView showGridLines="0" tabSelected="1" view="pageBreakPreview" zoomScale="115" zoomScaleNormal="100" zoomScaleSheetLayoutView="115" workbookViewId="0">
      <selection activeCell="T1" sqref="T1:T5"/>
    </sheetView>
  </sheetViews>
  <sheetFormatPr defaultRowHeight="12.75" customHeight="1" x14ac:dyDescent="0.2"/>
  <cols>
    <col min="1" max="4" width="8.7109375" style="1" customWidth="1"/>
    <col min="5" max="5" width="12" style="1" bestFit="1" customWidth="1"/>
    <col min="6" max="7" width="13.28515625" style="1" hidden="1" customWidth="1"/>
    <col min="8" max="8" width="8.7109375" style="1" customWidth="1"/>
    <col min="9" max="9" width="14.85546875" style="1" bestFit="1" customWidth="1"/>
    <col min="10" max="10" width="11" style="1" bestFit="1" customWidth="1"/>
    <col min="11" max="11" width="8.7109375" style="1" customWidth="1"/>
    <col min="12" max="12" width="10.28515625" style="1" customWidth="1"/>
    <col min="13" max="18" width="8.7109375" style="1" customWidth="1"/>
    <col min="19" max="19" width="10.7109375" style="1" customWidth="1"/>
    <col min="20" max="20" width="21.7109375" style="1" customWidth="1"/>
    <col min="21" max="21" width="15.7109375" style="1" customWidth="1"/>
    <col min="22" max="22" width="7.85546875" style="1" customWidth="1"/>
    <col min="23" max="16384" width="9.140625" style="1"/>
  </cols>
  <sheetData>
    <row r="1" spans="1:25" ht="12.75" customHeight="1" thickTop="1" x14ac:dyDescent="0.2">
      <c r="H1" s="4" t="s">
        <v>0</v>
      </c>
      <c r="T1" s="100"/>
      <c r="U1" s="71"/>
    </row>
    <row r="2" spans="1:25" ht="12.75" customHeight="1" x14ac:dyDescent="0.2">
      <c r="H2" s="4" t="s">
        <v>1</v>
      </c>
      <c r="T2" s="101"/>
      <c r="U2" s="71"/>
      <c r="X2" s="98" t="s">
        <v>52</v>
      </c>
      <c r="Y2" s="99"/>
    </row>
    <row r="3" spans="1:25" ht="12.75" customHeight="1" x14ac:dyDescent="0.2">
      <c r="B3" s="4"/>
      <c r="C3" s="4"/>
      <c r="D3" s="4"/>
      <c r="E3" s="4"/>
      <c r="F3" s="4"/>
      <c r="G3" s="4"/>
      <c r="H3" s="4"/>
      <c r="I3" s="4"/>
      <c r="J3" s="4"/>
      <c r="K3" s="4"/>
      <c r="L3" s="4"/>
      <c r="M3" s="4"/>
      <c r="N3" s="4"/>
      <c r="O3" s="4"/>
      <c r="P3" s="4"/>
      <c r="Q3" s="4"/>
      <c r="R3" s="4"/>
      <c r="S3" s="4"/>
      <c r="T3" s="101"/>
      <c r="U3" s="71"/>
      <c r="X3" s="98"/>
      <c r="Y3" s="99"/>
    </row>
    <row r="4" spans="1:25" ht="12.75" customHeight="1" x14ac:dyDescent="0.2">
      <c r="B4" s="4"/>
      <c r="C4" s="4"/>
      <c r="D4" s="4"/>
      <c r="E4" s="4"/>
      <c r="F4" s="4"/>
      <c r="G4" s="4"/>
      <c r="H4" s="4"/>
      <c r="I4" s="4"/>
      <c r="J4" s="4"/>
      <c r="K4" s="4"/>
      <c r="L4" s="4"/>
      <c r="M4" s="4"/>
      <c r="N4" s="4"/>
      <c r="O4" s="4"/>
      <c r="P4" s="4"/>
      <c r="Q4" s="4"/>
      <c r="R4" s="4"/>
      <c r="S4" s="4"/>
      <c r="T4" s="101"/>
      <c r="U4" s="71"/>
      <c r="X4" s="98"/>
      <c r="Y4" s="99"/>
    </row>
    <row r="5" spans="1:25" ht="12.75" customHeight="1" thickBot="1" x14ac:dyDescent="0.25">
      <c r="A5" s="4"/>
      <c r="B5" s="4"/>
      <c r="C5" s="4"/>
      <c r="D5" s="4"/>
      <c r="E5" s="4"/>
      <c r="F5" s="4"/>
      <c r="G5" s="4"/>
      <c r="H5" s="4"/>
      <c r="I5" s="4"/>
      <c r="J5" s="4"/>
      <c r="K5" s="4"/>
      <c r="L5" s="4"/>
      <c r="M5" s="4"/>
      <c r="N5" s="4"/>
      <c r="O5" s="4"/>
      <c r="P5" s="4"/>
      <c r="Q5" s="4"/>
      <c r="R5" s="4"/>
      <c r="S5" s="4"/>
      <c r="T5" s="102"/>
      <c r="U5" s="71"/>
      <c r="X5" s="98"/>
      <c r="Y5" s="99"/>
    </row>
    <row r="6" spans="1:25" ht="15" customHeight="1" thickTop="1" x14ac:dyDescent="0.2">
      <c r="A6" s="133" t="s">
        <v>2</v>
      </c>
      <c r="B6" s="134"/>
      <c r="C6" s="134"/>
      <c r="D6" s="135"/>
      <c r="E6" s="136"/>
      <c r="F6" s="136"/>
      <c r="G6" s="136"/>
      <c r="H6" s="136"/>
      <c r="I6" s="136"/>
      <c r="J6" s="137"/>
      <c r="K6" s="5"/>
      <c r="L6" s="5"/>
      <c r="M6" s="5"/>
      <c r="N6" s="5"/>
      <c r="O6" s="5"/>
      <c r="P6" s="6"/>
      <c r="Q6" s="5"/>
      <c r="R6" s="7"/>
      <c r="S6" s="8"/>
      <c r="T6" s="88"/>
      <c r="U6" s="71"/>
      <c r="X6" s="98"/>
      <c r="Y6" s="99"/>
    </row>
    <row r="7" spans="1:25" ht="15" customHeight="1" x14ac:dyDescent="0.2">
      <c r="A7" s="114" t="s">
        <v>3</v>
      </c>
      <c r="B7" s="115"/>
      <c r="C7" s="115"/>
      <c r="D7" s="128"/>
      <c r="E7" s="129"/>
      <c r="F7" s="129"/>
      <c r="G7" s="129"/>
      <c r="H7" s="129"/>
      <c r="I7" s="129"/>
      <c r="J7" s="130"/>
      <c r="K7" s="9" t="s">
        <v>4</v>
      </c>
      <c r="L7" s="119"/>
      <c r="M7" s="120"/>
      <c r="N7" s="4"/>
      <c r="O7" s="4"/>
      <c r="P7" s="10"/>
      <c r="Q7" s="11"/>
      <c r="R7" s="12">
        <v>1</v>
      </c>
      <c r="S7" s="13"/>
      <c r="T7" s="89"/>
      <c r="U7" s="71"/>
      <c r="X7" s="98"/>
      <c r="Y7" s="99"/>
    </row>
    <row r="8" spans="1:25" ht="15" customHeight="1" x14ac:dyDescent="0.2">
      <c r="A8" s="114" t="s">
        <v>5</v>
      </c>
      <c r="B8" s="115"/>
      <c r="C8" s="115"/>
      <c r="D8" s="128"/>
      <c r="E8" s="129"/>
      <c r="F8" s="129"/>
      <c r="G8" s="129"/>
      <c r="H8" s="129"/>
      <c r="I8" s="129"/>
      <c r="J8" s="130"/>
      <c r="K8" s="14" t="s">
        <v>6</v>
      </c>
      <c r="L8" s="131"/>
      <c r="M8" s="132"/>
      <c r="N8" s="4"/>
      <c r="O8" s="4"/>
      <c r="P8" s="10"/>
      <c r="Q8" s="15"/>
      <c r="R8" s="12">
        <v>3</v>
      </c>
      <c r="S8" s="13"/>
      <c r="T8" s="89"/>
      <c r="U8" s="71"/>
      <c r="X8" s="98"/>
      <c r="Y8" s="99"/>
    </row>
    <row r="9" spans="1:25" ht="15" customHeight="1" x14ac:dyDescent="0.2">
      <c r="A9" s="114" t="s">
        <v>7</v>
      </c>
      <c r="B9" s="115"/>
      <c r="C9" s="115"/>
      <c r="D9" s="116"/>
      <c r="E9" s="117"/>
      <c r="F9" s="117"/>
      <c r="G9" s="117"/>
      <c r="H9" s="117"/>
      <c r="I9" s="117"/>
      <c r="J9" s="118"/>
      <c r="K9" s="9" t="s">
        <v>8</v>
      </c>
      <c r="L9" s="119"/>
      <c r="M9" s="120"/>
      <c r="N9" s="4"/>
      <c r="O9" s="4"/>
      <c r="P9" s="10"/>
      <c r="Q9" s="15"/>
      <c r="R9" s="12">
        <v>2</v>
      </c>
      <c r="S9" s="16"/>
      <c r="T9" s="90"/>
      <c r="U9" s="4"/>
      <c r="X9" s="98"/>
      <c r="Y9" s="99"/>
    </row>
    <row r="10" spans="1:25" ht="15" customHeight="1" thickBot="1" x14ac:dyDescent="0.25">
      <c r="A10" s="121" t="s">
        <v>9</v>
      </c>
      <c r="B10" s="122"/>
      <c r="C10" s="122"/>
      <c r="D10" s="123"/>
      <c r="E10" s="124"/>
      <c r="F10" s="124"/>
      <c r="G10" s="124"/>
      <c r="H10" s="124"/>
      <c r="I10" s="124"/>
      <c r="J10" s="125"/>
      <c r="K10" s="17" t="s">
        <v>6</v>
      </c>
      <c r="L10" s="126"/>
      <c r="M10" s="127"/>
      <c r="N10" s="18"/>
      <c r="O10" s="18"/>
      <c r="P10" s="19"/>
      <c r="Q10" s="20"/>
      <c r="R10" s="21"/>
      <c r="S10" s="22"/>
      <c r="T10" s="90"/>
      <c r="U10" s="4"/>
    </row>
    <row r="11" spans="1:25" ht="15" customHeight="1" thickTop="1" thickBot="1" x14ac:dyDescent="0.25">
      <c r="A11" s="107" t="s">
        <v>10</v>
      </c>
      <c r="B11" s="108"/>
      <c r="C11" s="108"/>
      <c r="D11" s="108"/>
      <c r="E11" s="109"/>
      <c r="F11" s="4"/>
      <c r="G11" s="4"/>
      <c r="H11" s="110" t="s">
        <v>11</v>
      </c>
      <c r="I11" s="108"/>
      <c r="J11" s="108"/>
      <c r="K11" s="108"/>
      <c r="L11" s="109"/>
      <c r="M11" s="108" t="s">
        <v>12</v>
      </c>
      <c r="N11" s="108"/>
      <c r="O11" s="108"/>
      <c r="P11" s="108"/>
      <c r="Q11" s="109"/>
      <c r="R11" s="108" t="s">
        <v>13</v>
      </c>
      <c r="S11" s="111"/>
      <c r="T11" s="91"/>
      <c r="U11" s="4"/>
    </row>
    <row r="12" spans="1:25" ht="39.75" customHeight="1" thickTop="1" x14ac:dyDescent="0.2">
      <c r="A12" s="112" t="s">
        <v>14</v>
      </c>
      <c r="B12" s="105" t="s">
        <v>15</v>
      </c>
      <c r="C12" s="105" t="s">
        <v>16</v>
      </c>
      <c r="D12" s="23" t="s">
        <v>17</v>
      </c>
      <c r="E12" s="24" t="s">
        <v>18</v>
      </c>
      <c r="F12" s="25" t="s">
        <v>19</v>
      </c>
      <c r="G12" s="23" t="s">
        <v>20</v>
      </c>
      <c r="H12" s="105" t="s">
        <v>16</v>
      </c>
      <c r="I12" s="105" t="s">
        <v>21</v>
      </c>
      <c r="J12" s="105" t="s">
        <v>22</v>
      </c>
      <c r="K12" s="105" t="s">
        <v>23</v>
      </c>
      <c r="L12" s="92" t="s">
        <v>24</v>
      </c>
      <c r="M12" s="94" t="s">
        <v>25</v>
      </c>
      <c r="N12" s="105" t="s">
        <v>26</v>
      </c>
      <c r="O12" s="105" t="s">
        <v>27</v>
      </c>
      <c r="P12" s="105" t="s">
        <v>28</v>
      </c>
      <c r="Q12" s="92" t="s">
        <v>29</v>
      </c>
      <c r="R12" s="94" t="s">
        <v>30</v>
      </c>
      <c r="S12" s="96" t="s">
        <v>31</v>
      </c>
      <c r="T12" s="103" t="s">
        <v>53</v>
      </c>
      <c r="U12" s="4"/>
    </row>
    <row r="13" spans="1:25" ht="12.75" customHeight="1" thickBot="1" x14ac:dyDescent="0.25">
      <c r="A13" s="113"/>
      <c r="B13" s="106"/>
      <c r="C13" s="106"/>
      <c r="D13" s="69">
        <v>1.5</v>
      </c>
      <c r="E13" s="70">
        <v>250</v>
      </c>
      <c r="F13" s="26"/>
      <c r="G13" s="27"/>
      <c r="H13" s="106"/>
      <c r="I13" s="106"/>
      <c r="J13" s="106"/>
      <c r="K13" s="106"/>
      <c r="L13" s="93"/>
      <c r="M13" s="95"/>
      <c r="N13" s="106"/>
      <c r="O13" s="106"/>
      <c r="P13" s="106"/>
      <c r="Q13" s="93"/>
      <c r="R13" s="95"/>
      <c r="S13" s="97"/>
      <c r="T13" s="104"/>
      <c r="U13" s="4"/>
    </row>
    <row r="14" spans="1:25" ht="12.75" customHeight="1" thickTop="1" x14ac:dyDescent="0.2">
      <c r="A14" s="52"/>
      <c r="B14" s="53"/>
      <c r="C14" s="54"/>
      <c r="D14" s="55"/>
      <c r="E14" s="56"/>
      <c r="F14" s="28"/>
      <c r="G14" s="29"/>
      <c r="H14" s="29"/>
      <c r="I14" s="29"/>
      <c r="J14" s="30"/>
      <c r="K14" s="31"/>
      <c r="L14" s="32"/>
      <c r="M14" s="63"/>
      <c r="N14" s="64"/>
      <c r="O14" s="64"/>
      <c r="P14" s="64"/>
      <c r="Q14" s="65"/>
      <c r="R14" s="33">
        <f t="shared" ref="R14:R44" si="0">Length*Pd+k*No_off/2*1000*Velocity^2+Dp</f>
        <v>0</v>
      </c>
      <c r="S14" s="72"/>
      <c r="T14" s="74"/>
      <c r="U14" s="4"/>
    </row>
    <row r="15" spans="1:25" ht="12.75" customHeight="1" x14ac:dyDescent="0.2">
      <c r="A15" s="52">
        <v>1</v>
      </c>
      <c r="B15" s="53">
        <v>1.2</v>
      </c>
      <c r="C15" s="54">
        <v>100</v>
      </c>
      <c r="D15" s="55">
        <v>1.5</v>
      </c>
      <c r="E15" s="56">
        <v>250</v>
      </c>
      <c r="F15" s="28">
        <f t="shared" ref="F15:G44" si="1">IF(D15="",D$13,D15)</f>
        <v>1.5</v>
      </c>
      <c r="G15" s="29">
        <f t="shared" si="1"/>
        <v>250</v>
      </c>
      <c r="H15" s="29">
        <v>40</v>
      </c>
      <c r="I15" s="29">
        <f>IF(PipeSize=0,0,equ_diam(H15,Pipe_Type,Grade))</f>
        <v>39.799999999999997</v>
      </c>
      <c r="J15" s="30">
        <f>Water_PD(B15, I15, Pipe_Type, Grade, Temp)</f>
        <v>271.66107930982128</v>
      </c>
      <c r="K15" s="34">
        <f>Water_Velocity_circular(B15,I15,Pipe_Type,Grade)</f>
        <v>0.96452116836211732</v>
      </c>
      <c r="L15" s="32">
        <f t="shared" ref="L15:L44" si="2">IF(I15=0,0,Equivalent_length(B15, I15, J15, Pipe_Type, Grade, Temp))</f>
        <v>1.7552945518154064</v>
      </c>
      <c r="M15" s="63">
        <v>100</v>
      </c>
      <c r="N15" s="64" t="s">
        <v>32</v>
      </c>
      <c r="O15" s="64">
        <v>10</v>
      </c>
      <c r="P15" s="64">
        <v>0.5</v>
      </c>
      <c r="Q15" s="65"/>
      <c r="R15" s="33">
        <f t="shared" si="0"/>
        <v>29491.860641528689</v>
      </c>
      <c r="S15" s="72">
        <f>S14+R15</f>
        <v>29491.860641528689</v>
      </c>
      <c r="T15" s="75"/>
      <c r="U15" s="4"/>
    </row>
    <row r="16" spans="1:25" ht="12.75" customHeight="1" x14ac:dyDescent="0.2">
      <c r="A16" s="52">
        <v>2</v>
      </c>
      <c r="B16" s="53">
        <v>5</v>
      </c>
      <c r="C16" s="54">
        <v>100</v>
      </c>
      <c r="D16" s="55">
        <v>1.5</v>
      </c>
      <c r="E16" s="56">
        <v>250</v>
      </c>
      <c r="F16" s="28">
        <f t="shared" si="1"/>
        <v>1.5</v>
      </c>
      <c r="G16" s="29">
        <f t="shared" si="1"/>
        <v>250</v>
      </c>
      <c r="H16" s="29">
        <v>80</v>
      </c>
      <c r="I16" s="29">
        <f t="shared" ref="I16:I44" si="3">IF(PipeSize=0,0,equ_diam(H16,Pipe_Type,Grade))</f>
        <v>78.599999999999994</v>
      </c>
      <c r="J16" s="30">
        <f t="shared" ref="J16:J44" si="4">Water_PD(B16, I16, Pipe_Type, Grade, Temp)</f>
        <v>132.59849217274842</v>
      </c>
      <c r="K16" s="34">
        <f t="shared" ref="K16:K44" si="5">Water_Velocity_circular(B16,I16,Pipe_Type,Grade)</f>
        <v>1.0304373069294777</v>
      </c>
      <c r="L16" s="32">
        <f t="shared" si="2"/>
        <v>4.1044830052910966</v>
      </c>
      <c r="M16" s="63">
        <v>50</v>
      </c>
      <c r="N16" s="64" t="s">
        <v>32</v>
      </c>
      <c r="O16" s="64">
        <v>10</v>
      </c>
      <c r="P16" s="64">
        <v>0.5</v>
      </c>
      <c r="Q16" s="65"/>
      <c r="R16" s="33">
        <f t="shared" si="0"/>
        <v>9284.4272174176076</v>
      </c>
      <c r="S16" s="72">
        <f t="shared" ref="S16:S78" si="6">S15+R16</f>
        <v>38776.287858946293</v>
      </c>
      <c r="T16" s="75"/>
      <c r="U16" s="4"/>
    </row>
    <row r="17" spans="1:21" ht="12.75" hidden="1" customHeight="1" x14ac:dyDescent="0.2">
      <c r="A17" s="52"/>
      <c r="B17" s="57"/>
      <c r="C17" s="54"/>
      <c r="D17" s="55"/>
      <c r="E17" s="56"/>
      <c r="F17" s="28">
        <f t="shared" si="1"/>
        <v>1.5</v>
      </c>
      <c r="G17" s="29">
        <f t="shared" si="1"/>
        <v>250</v>
      </c>
      <c r="H17" s="29">
        <f t="shared" ref="H17:H44" si="7">IF(C17="",Water_Pipe_Size(B17, G17, F17, Pipe_Type, Grade, Temp),C17)</f>
        <v>0</v>
      </c>
      <c r="I17" s="29">
        <f t="shared" si="3"/>
        <v>0</v>
      </c>
      <c r="J17" s="30">
        <f t="shared" si="4"/>
        <v>0</v>
      </c>
      <c r="K17" s="34">
        <f t="shared" si="5"/>
        <v>0</v>
      </c>
      <c r="L17" s="32">
        <f t="shared" si="2"/>
        <v>0</v>
      </c>
      <c r="M17" s="63"/>
      <c r="N17" s="64"/>
      <c r="O17" s="64"/>
      <c r="P17" s="64"/>
      <c r="Q17" s="65"/>
      <c r="R17" s="33">
        <f t="shared" si="0"/>
        <v>0</v>
      </c>
      <c r="S17" s="72">
        <f t="shared" si="6"/>
        <v>38776.287858946293</v>
      </c>
      <c r="T17" s="75"/>
      <c r="U17" s="4"/>
    </row>
    <row r="18" spans="1:21" ht="12.75" hidden="1" customHeight="1" x14ac:dyDescent="0.2">
      <c r="A18" s="52"/>
      <c r="B18" s="57"/>
      <c r="C18" s="54"/>
      <c r="D18" s="55"/>
      <c r="E18" s="56"/>
      <c r="F18" s="28">
        <f t="shared" si="1"/>
        <v>1.5</v>
      </c>
      <c r="G18" s="29">
        <f t="shared" si="1"/>
        <v>250</v>
      </c>
      <c r="H18" s="29">
        <f t="shared" si="7"/>
        <v>0</v>
      </c>
      <c r="I18" s="29">
        <f t="shared" si="3"/>
        <v>0</v>
      </c>
      <c r="J18" s="30">
        <f t="shared" si="4"/>
        <v>0</v>
      </c>
      <c r="K18" s="34">
        <f t="shared" si="5"/>
        <v>0</v>
      </c>
      <c r="L18" s="32">
        <f t="shared" si="2"/>
        <v>0</v>
      </c>
      <c r="M18" s="63"/>
      <c r="N18" s="64"/>
      <c r="O18" s="64"/>
      <c r="P18" s="64"/>
      <c r="Q18" s="65"/>
      <c r="R18" s="33">
        <f t="shared" si="0"/>
        <v>0</v>
      </c>
      <c r="S18" s="72">
        <f t="shared" si="6"/>
        <v>38776.287858946293</v>
      </c>
      <c r="T18" s="75"/>
      <c r="U18" s="4"/>
    </row>
    <row r="19" spans="1:21" ht="12.75" hidden="1" customHeight="1" x14ac:dyDescent="0.2">
      <c r="A19" s="52"/>
      <c r="B19" s="57"/>
      <c r="C19" s="54"/>
      <c r="D19" s="55"/>
      <c r="E19" s="56"/>
      <c r="F19" s="28">
        <f t="shared" si="1"/>
        <v>1.5</v>
      </c>
      <c r="G19" s="29">
        <f t="shared" si="1"/>
        <v>250</v>
      </c>
      <c r="H19" s="29">
        <f t="shared" si="7"/>
        <v>0</v>
      </c>
      <c r="I19" s="29">
        <f t="shared" si="3"/>
        <v>0</v>
      </c>
      <c r="J19" s="30">
        <f t="shared" si="4"/>
        <v>0</v>
      </c>
      <c r="K19" s="34">
        <f t="shared" si="5"/>
        <v>0</v>
      </c>
      <c r="L19" s="32">
        <f t="shared" si="2"/>
        <v>0</v>
      </c>
      <c r="M19" s="63"/>
      <c r="N19" s="64"/>
      <c r="O19" s="64"/>
      <c r="P19" s="64"/>
      <c r="Q19" s="65"/>
      <c r="R19" s="33">
        <f t="shared" si="0"/>
        <v>0</v>
      </c>
      <c r="S19" s="72">
        <f t="shared" si="6"/>
        <v>38776.287858946293</v>
      </c>
      <c r="T19" s="75"/>
      <c r="U19" s="4"/>
    </row>
    <row r="20" spans="1:21" ht="12.75" hidden="1" customHeight="1" x14ac:dyDescent="0.2">
      <c r="A20" s="52"/>
      <c r="B20" s="57"/>
      <c r="C20" s="54"/>
      <c r="D20" s="55"/>
      <c r="E20" s="56"/>
      <c r="F20" s="28">
        <f t="shared" si="1"/>
        <v>1.5</v>
      </c>
      <c r="G20" s="29">
        <f t="shared" si="1"/>
        <v>250</v>
      </c>
      <c r="H20" s="29">
        <f t="shared" si="7"/>
        <v>0</v>
      </c>
      <c r="I20" s="29">
        <f t="shared" si="3"/>
        <v>0</v>
      </c>
      <c r="J20" s="30">
        <f t="shared" si="4"/>
        <v>0</v>
      </c>
      <c r="K20" s="34">
        <f t="shared" si="5"/>
        <v>0</v>
      </c>
      <c r="L20" s="32">
        <f t="shared" si="2"/>
        <v>0</v>
      </c>
      <c r="M20" s="63"/>
      <c r="N20" s="64"/>
      <c r="O20" s="64"/>
      <c r="P20" s="64"/>
      <c r="Q20" s="65"/>
      <c r="R20" s="33">
        <f t="shared" si="0"/>
        <v>0</v>
      </c>
      <c r="S20" s="72">
        <f t="shared" si="6"/>
        <v>38776.287858946293</v>
      </c>
      <c r="T20" s="75"/>
      <c r="U20" s="4"/>
    </row>
    <row r="21" spans="1:21" ht="12.75" hidden="1" customHeight="1" x14ac:dyDescent="0.2">
      <c r="A21" s="52"/>
      <c r="B21" s="57"/>
      <c r="C21" s="54"/>
      <c r="D21" s="55"/>
      <c r="E21" s="56"/>
      <c r="F21" s="28">
        <f t="shared" si="1"/>
        <v>1.5</v>
      </c>
      <c r="G21" s="29">
        <f t="shared" si="1"/>
        <v>250</v>
      </c>
      <c r="H21" s="29">
        <f t="shared" si="7"/>
        <v>0</v>
      </c>
      <c r="I21" s="29">
        <f t="shared" si="3"/>
        <v>0</v>
      </c>
      <c r="J21" s="30">
        <f t="shared" si="4"/>
        <v>0</v>
      </c>
      <c r="K21" s="34">
        <f t="shared" si="5"/>
        <v>0</v>
      </c>
      <c r="L21" s="32">
        <f t="shared" si="2"/>
        <v>0</v>
      </c>
      <c r="M21" s="63"/>
      <c r="N21" s="64"/>
      <c r="O21" s="64"/>
      <c r="P21" s="64"/>
      <c r="Q21" s="65"/>
      <c r="R21" s="33">
        <f t="shared" si="0"/>
        <v>0</v>
      </c>
      <c r="S21" s="72">
        <f t="shared" si="6"/>
        <v>38776.287858946293</v>
      </c>
      <c r="T21" s="75"/>
      <c r="U21" s="4"/>
    </row>
    <row r="22" spans="1:21" ht="12.75" hidden="1" customHeight="1" x14ac:dyDescent="0.2">
      <c r="A22" s="52"/>
      <c r="B22" s="57"/>
      <c r="C22" s="54"/>
      <c r="D22" s="55"/>
      <c r="E22" s="56"/>
      <c r="F22" s="28">
        <f t="shared" si="1"/>
        <v>1.5</v>
      </c>
      <c r="G22" s="29">
        <f t="shared" si="1"/>
        <v>250</v>
      </c>
      <c r="H22" s="29">
        <f t="shared" si="7"/>
        <v>0</v>
      </c>
      <c r="I22" s="29">
        <f t="shared" si="3"/>
        <v>0</v>
      </c>
      <c r="J22" s="30">
        <f t="shared" si="4"/>
        <v>0</v>
      </c>
      <c r="K22" s="34">
        <f t="shared" si="5"/>
        <v>0</v>
      </c>
      <c r="L22" s="32">
        <f t="shared" si="2"/>
        <v>0</v>
      </c>
      <c r="M22" s="63"/>
      <c r="N22" s="64"/>
      <c r="O22" s="64"/>
      <c r="P22" s="64"/>
      <c r="Q22" s="65"/>
      <c r="R22" s="33">
        <f t="shared" si="0"/>
        <v>0</v>
      </c>
      <c r="S22" s="72">
        <f t="shared" si="6"/>
        <v>38776.287858946293</v>
      </c>
      <c r="T22" s="75"/>
      <c r="U22" s="4"/>
    </row>
    <row r="23" spans="1:21" ht="12.75" hidden="1" customHeight="1" x14ac:dyDescent="0.2">
      <c r="A23" s="52"/>
      <c r="B23" s="57"/>
      <c r="C23" s="54"/>
      <c r="D23" s="55"/>
      <c r="E23" s="56"/>
      <c r="F23" s="28">
        <f t="shared" si="1"/>
        <v>1.5</v>
      </c>
      <c r="G23" s="29">
        <f t="shared" si="1"/>
        <v>250</v>
      </c>
      <c r="H23" s="29">
        <f t="shared" si="7"/>
        <v>0</v>
      </c>
      <c r="I23" s="29">
        <f t="shared" si="3"/>
        <v>0</v>
      </c>
      <c r="J23" s="30">
        <f t="shared" si="4"/>
        <v>0</v>
      </c>
      <c r="K23" s="34">
        <f t="shared" si="5"/>
        <v>0</v>
      </c>
      <c r="L23" s="32">
        <f t="shared" si="2"/>
        <v>0</v>
      </c>
      <c r="M23" s="63"/>
      <c r="N23" s="64"/>
      <c r="O23" s="64"/>
      <c r="P23" s="64"/>
      <c r="Q23" s="65"/>
      <c r="R23" s="33">
        <f t="shared" si="0"/>
        <v>0</v>
      </c>
      <c r="S23" s="72">
        <f t="shared" si="6"/>
        <v>38776.287858946293</v>
      </c>
      <c r="T23" s="75"/>
      <c r="U23" s="4"/>
    </row>
    <row r="24" spans="1:21" ht="12.75" hidden="1" customHeight="1" x14ac:dyDescent="0.2">
      <c r="A24" s="52"/>
      <c r="B24" s="57"/>
      <c r="C24" s="54"/>
      <c r="D24" s="55"/>
      <c r="E24" s="56"/>
      <c r="F24" s="28">
        <f t="shared" si="1"/>
        <v>1.5</v>
      </c>
      <c r="G24" s="29">
        <f t="shared" si="1"/>
        <v>250</v>
      </c>
      <c r="H24" s="29">
        <f t="shared" si="7"/>
        <v>0</v>
      </c>
      <c r="I24" s="29">
        <f t="shared" si="3"/>
        <v>0</v>
      </c>
      <c r="J24" s="30">
        <f t="shared" si="4"/>
        <v>0</v>
      </c>
      <c r="K24" s="34">
        <f t="shared" si="5"/>
        <v>0</v>
      </c>
      <c r="L24" s="32">
        <f t="shared" si="2"/>
        <v>0</v>
      </c>
      <c r="M24" s="63"/>
      <c r="N24" s="64"/>
      <c r="O24" s="64"/>
      <c r="P24" s="64"/>
      <c r="Q24" s="65"/>
      <c r="R24" s="33">
        <f t="shared" si="0"/>
        <v>0</v>
      </c>
      <c r="S24" s="72">
        <f t="shared" si="6"/>
        <v>38776.287858946293</v>
      </c>
      <c r="T24" s="75"/>
      <c r="U24" s="4"/>
    </row>
    <row r="25" spans="1:21" ht="12.75" hidden="1" customHeight="1" x14ac:dyDescent="0.2">
      <c r="A25" s="52"/>
      <c r="B25" s="57"/>
      <c r="C25" s="54"/>
      <c r="D25" s="55"/>
      <c r="E25" s="56"/>
      <c r="F25" s="28">
        <f t="shared" si="1"/>
        <v>1.5</v>
      </c>
      <c r="G25" s="29">
        <f t="shared" si="1"/>
        <v>250</v>
      </c>
      <c r="H25" s="29">
        <f t="shared" si="7"/>
        <v>0</v>
      </c>
      <c r="I25" s="29">
        <f t="shared" si="3"/>
        <v>0</v>
      </c>
      <c r="J25" s="30">
        <f t="shared" si="4"/>
        <v>0</v>
      </c>
      <c r="K25" s="34">
        <f t="shared" si="5"/>
        <v>0</v>
      </c>
      <c r="L25" s="32">
        <f t="shared" si="2"/>
        <v>0</v>
      </c>
      <c r="M25" s="63"/>
      <c r="N25" s="64"/>
      <c r="O25" s="64"/>
      <c r="P25" s="64"/>
      <c r="Q25" s="65"/>
      <c r="R25" s="33">
        <f t="shared" si="0"/>
        <v>0</v>
      </c>
      <c r="S25" s="72">
        <f t="shared" si="6"/>
        <v>38776.287858946293</v>
      </c>
      <c r="T25" s="75"/>
      <c r="U25" s="4"/>
    </row>
    <row r="26" spans="1:21" ht="12.75" hidden="1" customHeight="1" x14ac:dyDescent="0.2">
      <c r="A26" s="52"/>
      <c r="B26" s="57"/>
      <c r="C26" s="54"/>
      <c r="D26" s="55"/>
      <c r="E26" s="56"/>
      <c r="F26" s="28">
        <f t="shared" si="1"/>
        <v>1.5</v>
      </c>
      <c r="G26" s="29">
        <f t="shared" si="1"/>
        <v>250</v>
      </c>
      <c r="H26" s="29">
        <f t="shared" si="7"/>
        <v>0</v>
      </c>
      <c r="I26" s="29">
        <f t="shared" si="3"/>
        <v>0</v>
      </c>
      <c r="J26" s="30">
        <f t="shared" si="4"/>
        <v>0</v>
      </c>
      <c r="K26" s="34">
        <f t="shared" si="5"/>
        <v>0</v>
      </c>
      <c r="L26" s="32">
        <f t="shared" si="2"/>
        <v>0</v>
      </c>
      <c r="M26" s="63"/>
      <c r="N26" s="64"/>
      <c r="O26" s="64"/>
      <c r="P26" s="64"/>
      <c r="Q26" s="65"/>
      <c r="R26" s="33">
        <f t="shared" si="0"/>
        <v>0</v>
      </c>
      <c r="S26" s="72">
        <f t="shared" si="6"/>
        <v>38776.287858946293</v>
      </c>
      <c r="T26" s="75"/>
      <c r="U26" s="4"/>
    </row>
    <row r="27" spans="1:21" ht="12.75" hidden="1" customHeight="1" x14ac:dyDescent="0.2">
      <c r="A27" s="52"/>
      <c r="B27" s="57"/>
      <c r="C27" s="54"/>
      <c r="D27" s="55"/>
      <c r="E27" s="56"/>
      <c r="F27" s="28">
        <f t="shared" si="1"/>
        <v>1.5</v>
      </c>
      <c r="G27" s="29">
        <f t="shared" si="1"/>
        <v>250</v>
      </c>
      <c r="H27" s="29">
        <f t="shared" si="7"/>
        <v>0</v>
      </c>
      <c r="I27" s="29">
        <f t="shared" si="3"/>
        <v>0</v>
      </c>
      <c r="J27" s="30">
        <f t="shared" si="4"/>
        <v>0</v>
      </c>
      <c r="K27" s="34">
        <f t="shared" si="5"/>
        <v>0</v>
      </c>
      <c r="L27" s="32">
        <f t="shared" si="2"/>
        <v>0</v>
      </c>
      <c r="M27" s="63"/>
      <c r="N27" s="64"/>
      <c r="O27" s="64"/>
      <c r="P27" s="64"/>
      <c r="Q27" s="65"/>
      <c r="R27" s="33">
        <f t="shared" si="0"/>
        <v>0</v>
      </c>
      <c r="S27" s="72">
        <f t="shared" si="6"/>
        <v>38776.287858946293</v>
      </c>
      <c r="T27" s="75"/>
      <c r="U27" s="4"/>
    </row>
    <row r="28" spans="1:21" ht="12.75" hidden="1" customHeight="1" x14ac:dyDescent="0.2">
      <c r="A28" s="52"/>
      <c r="B28" s="57"/>
      <c r="C28" s="54"/>
      <c r="D28" s="55"/>
      <c r="E28" s="56"/>
      <c r="F28" s="28">
        <f t="shared" si="1"/>
        <v>1.5</v>
      </c>
      <c r="G28" s="29">
        <f t="shared" si="1"/>
        <v>250</v>
      </c>
      <c r="H28" s="29">
        <f t="shared" si="7"/>
        <v>0</v>
      </c>
      <c r="I28" s="29">
        <f t="shared" si="3"/>
        <v>0</v>
      </c>
      <c r="J28" s="30">
        <f t="shared" si="4"/>
        <v>0</v>
      </c>
      <c r="K28" s="34">
        <f t="shared" si="5"/>
        <v>0</v>
      </c>
      <c r="L28" s="32">
        <f t="shared" si="2"/>
        <v>0</v>
      </c>
      <c r="M28" s="63"/>
      <c r="N28" s="64"/>
      <c r="O28" s="64"/>
      <c r="P28" s="64"/>
      <c r="Q28" s="65"/>
      <c r="R28" s="33">
        <f t="shared" si="0"/>
        <v>0</v>
      </c>
      <c r="S28" s="72">
        <f t="shared" si="6"/>
        <v>38776.287858946293</v>
      </c>
      <c r="T28" s="75"/>
      <c r="U28" s="4"/>
    </row>
    <row r="29" spans="1:21" ht="12.75" hidden="1" customHeight="1" x14ac:dyDescent="0.2">
      <c r="A29" s="52"/>
      <c r="B29" s="57"/>
      <c r="C29" s="54"/>
      <c r="D29" s="55"/>
      <c r="E29" s="56"/>
      <c r="F29" s="28">
        <f t="shared" si="1"/>
        <v>1.5</v>
      </c>
      <c r="G29" s="29">
        <f t="shared" si="1"/>
        <v>250</v>
      </c>
      <c r="H29" s="29">
        <f t="shared" si="7"/>
        <v>0</v>
      </c>
      <c r="I29" s="29">
        <f t="shared" si="3"/>
        <v>0</v>
      </c>
      <c r="J29" s="30">
        <f t="shared" si="4"/>
        <v>0</v>
      </c>
      <c r="K29" s="34">
        <f t="shared" si="5"/>
        <v>0</v>
      </c>
      <c r="L29" s="32">
        <f t="shared" si="2"/>
        <v>0</v>
      </c>
      <c r="M29" s="63"/>
      <c r="N29" s="64"/>
      <c r="O29" s="64"/>
      <c r="P29" s="64"/>
      <c r="Q29" s="65"/>
      <c r="R29" s="33">
        <f t="shared" si="0"/>
        <v>0</v>
      </c>
      <c r="S29" s="72">
        <f t="shared" si="6"/>
        <v>38776.287858946293</v>
      </c>
      <c r="T29" s="75"/>
      <c r="U29" s="4"/>
    </row>
    <row r="30" spans="1:21" ht="12.75" hidden="1" customHeight="1" x14ac:dyDescent="0.2">
      <c r="A30" s="52"/>
      <c r="B30" s="57"/>
      <c r="C30" s="54"/>
      <c r="D30" s="55"/>
      <c r="E30" s="56"/>
      <c r="F30" s="28">
        <f t="shared" si="1"/>
        <v>1.5</v>
      </c>
      <c r="G30" s="29">
        <f t="shared" si="1"/>
        <v>250</v>
      </c>
      <c r="H30" s="29">
        <f t="shared" si="7"/>
        <v>0</v>
      </c>
      <c r="I30" s="29">
        <f t="shared" si="3"/>
        <v>0</v>
      </c>
      <c r="J30" s="30">
        <f t="shared" si="4"/>
        <v>0</v>
      </c>
      <c r="K30" s="34">
        <f t="shared" si="5"/>
        <v>0</v>
      </c>
      <c r="L30" s="32">
        <f t="shared" si="2"/>
        <v>0</v>
      </c>
      <c r="M30" s="63"/>
      <c r="N30" s="64"/>
      <c r="O30" s="64"/>
      <c r="P30" s="64"/>
      <c r="Q30" s="65"/>
      <c r="R30" s="33">
        <f t="shared" si="0"/>
        <v>0</v>
      </c>
      <c r="S30" s="72">
        <f t="shared" si="6"/>
        <v>38776.287858946293</v>
      </c>
      <c r="T30" s="75"/>
      <c r="U30" s="4"/>
    </row>
    <row r="31" spans="1:21" ht="12.75" hidden="1" customHeight="1" x14ac:dyDescent="0.2">
      <c r="A31" s="52"/>
      <c r="B31" s="57"/>
      <c r="C31" s="54"/>
      <c r="D31" s="55"/>
      <c r="E31" s="56"/>
      <c r="F31" s="28">
        <f t="shared" si="1"/>
        <v>1.5</v>
      </c>
      <c r="G31" s="29">
        <f t="shared" si="1"/>
        <v>250</v>
      </c>
      <c r="H31" s="29">
        <f t="shared" si="7"/>
        <v>0</v>
      </c>
      <c r="I31" s="29">
        <f t="shared" si="3"/>
        <v>0</v>
      </c>
      <c r="J31" s="30">
        <f t="shared" si="4"/>
        <v>0</v>
      </c>
      <c r="K31" s="34">
        <f t="shared" si="5"/>
        <v>0</v>
      </c>
      <c r="L31" s="32">
        <f t="shared" si="2"/>
        <v>0</v>
      </c>
      <c r="M31" s="63"/>
      <c r="N31" s="64"/>
      <c r="O31" s="64"/>
      <c r="P31" s="64"/>
      <c r="Q31" s="65"/>
      <c r="R31" s="33">
        <f t="shared" si="0"/>
        <v>0</v>
      </c>
      <c r="S31" s="72">
        <f t="shared" si="6"/>
        <v>38776.287858946293</v>
      </c>
      <c r="T31" s="75"/>
      <c r="U31" s="4"/>
    </row>
    <row r="32" spans="1:21" ht="12.75" hidden="1" customHeight="1" x14ac:dyDescent="0.2">
      <c r="A32" s="52"/>
      <c r="B32" s="57"/>
      <c r="C32" s="54"/>
      <c r="D32" s="55"/>
      <c r="E32" s="56"/>
      <c r="F32" s="28">
        <f t="shared" si="1"/>
        <v>1.5</v>
      </c>
      <c r="G32" s="29">
        <f t="shared" si="1"/>
        <v>250</v>
      </c>
      <c r="H32" s="29">
        <f t="shared" si="7"/>
        <v>0</v>
      </c>
      <c r="I32" s="29">
        <f t="shared" si="3"/>
        <v>0</v>
      </c>
      <c r="J32" s="30">
        <f t="shared" si="4"/>
        <v>0</v>
      </c>
      <c r="K32" s="34">
        <f t="shared" si="5"/>
        <v>0</v>
      </c>
      <c r="L32" s="32">
        <f t="shared" si="2"/>
        <v>0</v>
      </c>
      <c r="M32" s="63"/>
      <c r="N32" s="64"/>
      <c r="O32" s="64"/>
      <c r="P32" s="64"/>
      <c r="Q32" s="65"/>
      <c r="R32" s="33">
        <f t="shared" si="0"/>
        <v>0</v>
      </c>
      <c r="S32" s="72">
        <f t="shared" si="6"/>
        <v>38776.287858946293</v>
      </c>
      <c r="T32" s="75"/>
      <c r="U32" s="4"/>
    </row>
    <row r="33" spans="1:21" ht="12.75" hidden="1" customHeight="1" x14ac:dyDescent="0.2">
      <c r="A33" s="52"/>
      <c r="B33" s="57"/>
      <c r="C33" s="54"/>
      <c r="D33" s="55"/>
      <c r="E33" s="56"/>
      <c r="F33" s="28">
        <f t="shared" si="1"/>
        <v>1.5</v>
      </c>
      <c r="G33" s="29">
        <f t="shared" si="1"/>
        <v>250</v>
      </c>
      <c r="H33" s="29">
        <f t="shared" si="7"/>
        <v>0</v>
      </c>
      <c r="I33" s="29">
        <f t="shared" si="3"/>
        <v>0</v>
      </c>
      <c r="J33" s="30">
        <f t="shared" si="4"/>
        <v>0</v>
      </c>
      <c r="K33" s="34">
        <f t="shared" si="5"/>
        <v>0</v>
      </c>
      <c r="L33" s="32">
        <f t="shared" si="2"/>
        <v>0</v>
      </c>
      <c r="M33" s="63"/>
      <c r="N33" s="64"/>
      <c r="O33" s="64"/>
      <c r="P33" s="64"/>
      <c r="Q33" s="65"/>
      <c r="R33" s="33">
        <f t="shared" si="0"/>
        <v>0</v>
      </c>
      <c r="S33" s="72">
        <f t="shared" si="6"/>
        <v>38776.287858946293</v>
      </c>
      <c r="T33" s="75"/>
      <c r="U33" s="4"/>
    </row>
    <row r="34" spans="1:21" ht="12.75" hidden="1" customHeight="1" x14ac:dyDescent="0.2">
      <c r="A34" s="52"/>
      <c r="B34" s="57"/>
      <c r="C34" s="54"/>
      <c r="D34" s="55"/>
      <c r="E34" s="56"/>
      <c r="F34" s="28">
        <f t="shared" si="1"/>
        <v>1.5</v>
      </c>
      <c r="G34" s="29">
        <f t="shared" si="1"/>
        <v>250</v>
      </c>
      <c r="H34" s="29">
        <f t="shared" si="7"/>
        <v>0</v>
      </c>
      <c r="I34" s="29">
        <f t="shared" si="3"/>
        <v>0</v>
      </c>
      <c r="J34" s="30">
        <f t="shared" si="4"/>
        <v>0</v>
      </c>
      <c r="K34" s="34">
        <f t="shared" si="5"/>
        <v>0</v>
      </c>
      <c r="L34" s="32">
        <f t="shared" si="2"/>
        <v>0</v>
      </c>
      <c r="M34" s="63"/>
      <c r="N34" s="64"/>
      <c r="O34" s="64"/>
      <c r="P34" s="64"/>
      <c r="Q34" s="65"/>
      <c r="R34" s="33">
        <f t="shared" si="0"/>
        <v>0</v>
      </c>
      <c r="S34" s="72">
        <f t="shared" si="6"/>
        <v>38776.287858946293</v>
      </c>
      <c r="T34" s="75"/>
      <c r="U34" s="4"/>
    </row>
    <row r="35" spans="1:21" ht="12.75" hidden="1" customHeight="1" x14ac:dyDescent="0.2">
      <c r="A35" s="52"/>
      <c r="B35" s="57"/>
      <c r="C35" s="54"/>
      <c r="D35" s="55"/>
      <c r="E35" s="56"/>
      <c r="F35" s="28">
        <f t="shared" si="1"/>
        <v>1.5</v>
      </c>
      <c r="G35" s="29">
        <f t="shared" si="1"/>
        <v>250</v>
      </c>
      <c r="H35" s="29">
        <f t="shared" si="7"/>
        <v>0</v>
      </c>
      <c r="I35" s="29">
        <f t="shared" si="3"/>
        <v>0</v>
      </c>
      <c r="J35" s="30">
        <f t="shared" si="4"/>
        <v>0</v>
      </c>
      <c r="K35" s="34">
        <f t="shared" si="5"/>
        <v>0</v>
      </c>
      <c r="L35" s="32">
        <f t="shared" si="2"/>
        <v>0</v>
      </c>
      <c r="M35" s="63"/>
      <c r="N35" s="64"/>
      <c r="O35" s="64"/>
      <c r="P35" s="64"/>
      <c r="Q35" s="65"/>
      <c r="R35" s="33">
        <f t="shared" si="0"/>
        <v>0</v>
      </c>
      <c r="S35" s="72">
        <f t="shared" si="6"/>
        <v>38776.287858946293</v>
      </c>
      <c r="T35" s="75"/>
      <c r="U35" s="4"/>
    </row>
    <row r="36" spans="1:21" ht="12.75" hidden="1" customHeight="1" x14ac:dyDescent="0.2">
      <c r="A36" s="52"/>
      <c r="B36" s="57"/>
      <c r="C36" s="54"/>
      <c r="D36" s="55"/>
      <c r="E36" s="56"/>
      <c r="F36" s="28">
        <f t="shared" si="1"/>
        <v>1.5</v>
      </c>
      <c r="G36" s="29">
        <f t="shared" si="1"/>
        <v>250</v>
      </c>
      <c r="H36" s="29">
        <f t="shared" si="7"/>
        <v>0</v>
      </c>
      <c r="I36" s="29">
        <f t="shared" si="3"/>
        <v>0</v>
      </c>
      <c r="J36" s="30">
        <f t="shared" si="4"/>
        <v>0</v>
      </c>
      <c r="K36" s="34">
        <f t="shared" si="5"/>
        <v>0</v>
      </c>
      <c r="L36" s="32">
        <f t="shared" si="2"/>
        <v>0</v>
      </c>
      <c r="M36" s="63"/>
      <c r="N36" s="64"/>
      <c r="O36" s="64"/>
      <c r="P36" s="64"/>
      <c r="Q36" s="65"/>
      <c r="R36" s="33">
        <f t="shared" si="0"/>
        <v>0</v>
      </c>
      <c r="S36" s="72">
        <f t="shared" si="6"/>
        <v>38776.287858946293</v>
      </c>
      <c r="T36" s="75"/>
      <c r="U36" s="4"/>
    </row>
    <row r="37" spans="1:21" ht="12.75" hidden="1" customHeight="1" x14ac:dyDescent="0.2">
      <c r="A37" s="52"/>
      <c r="B37" s="57"/>
      <c r="C37" s="54"/>
      <c r="D37" s="55"/>
      <c r="E37" s="56"/>
      <c r="F37" s="28">
        <f t="shared" si="1"/>
        <v>1.5</v>
      </c>
      <c r="G37" s="29">
        <f t="shared" si="1"/>
        <v>250</v>
      </c>
      <c r="H37" s="29">
        <f t="shared" si="7"/>
        <v>0</v>
      </c>
      <c r="I37" s="29">
        <f t="shared" si="3"/>
        <v>0</v>
      </c>
      <c r="J37" s="30">
        <f t="shared" si="4"/>
        <v>0</v>
      </c>
      <c r="K37" s="34">
        <f t="shared" si="5"/>
        <v>0</v>
      </c>
      <c r="L37" s="32">
        <f t="shared" si="2"/>
        <v>0</v>
      </c>
      <c r="M37" s="63"/>
      <c r="N37" s="64"/>
      <c r="O37" s="64"/>
      <c r="P37" s="64"/>
      <c r="Q37" s="65"/>
      <c r="R37" s="33">
        <f t="shared" si="0"/>
        <v>0</v>
      </c>
      <c r="S37" s="72">
        <f t="shared" si="6"/>
        <v>38776.287858946293</v>
      </c>
      <c r="T37" s="75"/>
      <c r="U37" s="4"/>
    </row>
    <row r="38" spans="1:21" ht="12.75" hidden="1" customHeight="1" x14ac:dyDescent="0.2">
      <c r="A38" s="52"/>
      <c r="B38" s="57"/>
      <c r="C38" s="54"/>
      <c r="D38" s="55"/>
      <c r="E38" s="56"/>
      <c r="F38" s="28">
        <f t="shared" si="1"/>
        <v>1.5</v>
      </c>
      <c r="G38" s="29">
        <f t="shared" si="1"/>
        <v>250</v>
      </c>
      <c r="H38" s="29">
        <f t="shared" si="7"/>
        <v>0</v>
      </c>
      <c r="I38" s="29">
        <f t="shared" si="3"/>
        <v>0</v>
      </c>
      <c r="J38" s="30">
        <f t="shared" si="4"/>
        <v>0</v>
      </c>
      <c r="K38" s="34">
        <f t="shared" si="5"/>
        <v>0</v>
      </c>
      <c r="L38" s="32">
        <f t="shared" si="2"/>
        <v>0</v>
      </c>
      <c r="M38" s="63"/>
      <c r="N38" s="64"/>
      <c r="O38" s="64"/>
      <c r="P38" s="64"/>
      <c r="Q38" s="65"/>
      <c r="R38" s="33">
        <f t="shared" si="0"/>
        <v>0</v>
      </c>
      <c r="S38" s="72">
        <f t="shared" si="6"/>
        <v>38776.287858946293</v>
      </c>
      <c r="T38" s="75"/>
      <c r="U38" s="4"/>
    </row>
    <row r="39" spans="1:21" ht="12.75" hidden="1" customHeight="1" x14ac:dyDescent="0.2">
      <c r="A39" s="52"/>
      <c r="B39" s="57"/>
      <c r="C39" s="54"/>
      <c r="D39" s="55"/>
      <c r="E39" s="56"/>
      <c r="F39" s="28">
        <f t="shared" si="1"/>
        <v>1.5</v>
      </c>
      <c r="G39" s="29">
        <f t="shared" si="1"/>
        <v>250</v>
      </c>
      <c r="H39" s="29">
        <f t="shared" si="7"/>
        <v>0</v>
      </c>
      <c r="I39" s="29">
        <f t="shared" si="3"/>
        <v>0</v>
      </c>
      <c r="J39" s="30">
        <f t="shared" si="4"/>
        <v>0</v>
      </c>
      <c r="K39" s="34">
        <f t="shared" si="5"/>
        <v>0</v>
      </c>
      <c r="L39" s="32">
        <f t="shared" si="2"/>
        <v>0</v>
      </c>
      <c r="M39" s="63"/>
      <c r="N39" s="64"/>
      <c r="O39" s="64"/>
      <c r="P39" s="64"/>
      <c r="Q39" s="65"/>
      <c r="R39" s="33">
        <f t="shared" si="0"/>
        <v>0</v>
      </c>
      <c r="S39" s="72">
        <f t="shared" si="6"/>
        <v>38776.287858946293</v>
      </c>
      <c r="T39" s="75"/>
      <c r="U39" s="4"/>
    </row>
    <row r="40" spans="1:21" ht="12.75" hidden="1" customHeight="1" x14ac:dyDescent="0.2">
      <c r="A40" s="52"/>
      <c r="B40" s="57"/>
      <c r="C40" s="54"/>
      <c r="D40" s="55"/>
      <c r="E40" s="56"/>
      <c r="F40" s="28">
        <f t="shared" si="1"/>
        <v>1.5</v>
      </c>
      <c r="G40" s="29">
        <f t="shared" si="1"/>
        <v>250</v>
      </c>
      <c r="H40" s="29">
        <f t="shared" si="7"/>
        <v>0</v>
      </c>
      <c r="I40" s="29">
        <f t="shared" si="3"/>
        <v>0</v>
      </c>
      <c r="J40" s="30">
        <f t="shared" si="4"/>
        <v>0</v>
      </c>
      <c r="K40" s="34">
        <f t="shared" si="5"/>
        <v>0</v>
      </c>
      <c r="L40" s="32">
        <f t="shared" si="2"/>
        <v>0</v>
      </c>
      <c r="M40" s="63"/>
      <c r="N40" s="64"/>
      <c r="O40" s="64"/>
      <c r="P40" s="64"/>
      <c r="Q40" s="65"/>
      <c r="R40" s="33">
        <f t="shared" si="0"/>
        <v>0</v>
      </c>
      <c r="S40" s="72">
        <f t="shared" si="6"/>
        <v>38776.287858946293</v>
      </c>
      <c r="T40" s="75"/>
      <c r="U40" s="4"/>
    </row>
    <row r="41" spans="1:21" ht="12.75" hidden="1" customHeight="1" x14ac:dyDescent="0.2">
      <c r="A41" s="52"/>
      <c r="B41" s="57"/>
      <c r="C41" s="54"/>
      <c r="D41" s="55"/>
      <c r="E41" s="56"/>
      <c r="F41" s="28">
        <f t="shared" si="1"/>
        <v>1.5</v>
      </c>
      <c r="G41" s="29">
        <f t="shared" si="1"/>
        <v>250</v>
      </c>
      <c r="H41" s="29">
        <f t="shared" si="7"/>
        <v>0</v>
      </c>
      <c r="I41" s="29">
        <f t="shared" si="3"/>
        <v>0</v>
      </c>
      <c r="J41" s="30">
        <f t="shared" si="4"/>
        <v>0</v>
      </c>
      <c r="K41" s="34">
        <f t="shared" si="5"/>
        <v>0</v>
      </c>
      <c r="L41" s="32">
        <f t="shared" si="2"/>
        <v>0</v>
      </c>
      <c r="M41" s="63"/>
      <c r="N41" s="64"/>
      <c r="O41" s="64"/>
      <c r="P41" s="64"/>
      <c r="Q41" s="65"/>
      <c r="R41" s="33">
        <f t="shared" si="0"/>
        <v>0</v>
      </c>
      <c r="S41" s="72">
        <f t="shared" si="6"/>
        <v>38776.287858946293</v>
      </c>
      <c r="T41" s="75"/>
      <c r="U41" s="4"/>
    </row>
    <row r="42" spans="1:21" ht="12.75" hidden="1" customHeight="1" x14ac:dyDescent="0.2">
      <c r="A42" s="52"/>
      <c r="B42" s="57"/>
      <c r="C42" s="54"/>
      <c r="D42" s="55"/>
      <c r="E42" s="56"/>
      <c r="F42" s="28">
        <f t="shared" si="1"/>
        <v>1.5</v>
      </c>
      <c r="G42" s="29">
        <f t="shared" si="1"/>
        <v>250</v>
      </c>
      <c r="H42" s="29">
        <f t="shared" si="7"/>
        <v>0</v>
      </c>
      <c r="I42" s="29">
        <f t="shared" si="3"/>
        <v>0</v>
      </c>
      <c r="J42" s="30">
        <f t="shared" si="4"/>
        <v>0</v>
      </c>
      <c r="K42" s="34">
        <f t="shared" si="5"/>
        <v>0</v>
      </c>
      <c r="L42" s="32">
        <f t="shared" si="2"/>
        <v>0</v>
      </c>
      <c r="M42" s="63"/>
      <c r="N42" s="64"/>
      <c r="O42" s="64"/>
      <c r="P42" s="64"/>
      <c r="Q42" s="65"/>
      <c r="R42" s="33">
        <f t="shared" si="0"/>
        <v>0</v>
      </c>
      <c r="S42" s="72">
        <f t="shared" si="6"/>
        <v>38776.287858946293</v>
      </c>
      <c r="T42" s="75"/>
      <c r="U42" s="4"/>
    </row>
    <row r="43" spans="1:21" ht="12.75" hidden="1" customHeight="1" x14ac:dyDescent="0.2">
      <c r="A43" s="52"/>
      <c r="B43" s="57"/>
      <c r="C43" s="54"/>
      <c r="D43" s="55"/>
      <c r="E43" s="56"/>
      <c r="F43" s="28">
        <f t="shared" si="1"/>
        <v>1.5</v>
      </c>
      <c r="G43" s="29">
        <f t="shared" si="1"/>
        <v>250</v>
      </c>
      <c r="H43" s="29">
        <f t="shared" si="7"/>
        <v>0</v>
      </c>
      <c r="I43" s="29">
        <f t="shared" si="3"/>
        <v>0</v>
      </c>
      <c r="J43" s="30">
        <f t="shared" si="4"/>
        <v>0</v>
      </c>
      <c r="K43" s="34">
        <f t="shared" si="5"/>
        <v>0</v>
      </c>
      <c r="L43" s="32">
        <f t="shared" si="2"/>
        <v>0</v>
      </c>
      <c r="M43" s="63"/>
      <c r="N43" s="64"/>
      <c r="O43" s="64"/>
      <c r="P43" s="64"/>
      <c r="Q43" s="65"/>
      <c r="R43" s="33">
        <f t="shared" si="0"/>
        <v>0</v>
      </c>
      <c r="S43" s="72">
        <f t="shared" si="6"/>
        <v>38776.287858946293</v>
      </c>
      <c r="T43" s="75"/>
      <c r="U43" s="4"/>
    </row>
    <row r="44" spans="1:21" ht="12.75" hidden="1" customHeight="1" x14ac:dyDescent="0.2">
      <c r="A44" s="52"/>
      <c r="B44" s="57"/>
      <c r="C44" s="54"/>
      <c r="D44" s="55"/>
      <c r="E44" s="56"/>
      <c r="F44" s="28">
        <f t="shared" si="1"/>
        <v>1.5</v>
      </c>
      <c r="G44" s="29">
        <f t="shared" si="1"/>
        <v>250</v>
      </c>
      <c r="H44" s="29">
        <f t="shared" si="7"/>
        <v>0</v>
      </c>
      <c r="I44" s="29">
        <f t="shared" si="3"/>
        <v>0</v>
      </c>
      <c r="J44" s="30">
        <f t="shared" si="4"/>
        <v>0</v>
      </c>
      <c r="K44" s="34">
        <f t="shared" si="5"/>
        <v>0</v>
      </c>
      <c r="L44" s="32">
        <f t="shared" si="2"/>
        <v>0</v>
      </c>
      <c r="M44" s="63"/>
      <c r="N44" s="64"/>
      <c r="O44" s="64"/>
      <c r="P44" s="64"/>
      <c r="Q44" s="65"/>
      <c r="R44" s="33">
        <f t="shared" si="0"/>
        <v>0</v>
      </c>
      <c r="S44" s="72">
        <f>S43+R44</f>
        <v>38776.287858946293</v>
      </c>
      <c r="T44" s="75"/>
      <c r="U44" s="4"/>
    </row>
    <row r="45" spans="1:21" ht="12.75" hidden="1" customHeight="1" x14ac:dyDescent="0.2">
      <c r="A45" s="52"/>
      <c r="B45" s="57"/>
      <c r="C45" s="54"/>
      <c r="D45" s="55"/>
      <c r="E45" s="56"/>
      <c r="F45" s="28">
        <f t="shared" ref="F45:G80" si="8">IF(D45="",D$13,D45)</f>
        <v>1.5</v>
      </c>
      <c r="G45" s="29">
        <f t="shared" si="8"/>
        <v>250</v>
      </c>
      <c r="H45" s="29">
        <f>IF(C45="",Water_Pipe_Size(B45, G45, F45, Pipe_Type, Grade, Temp),C45)</f>
        <v>0</v>
      </c>
      <c r="I45" s="29">
        <f t="shared" ref="I45:I80" si="9">IF(PipeSize=0,0,equ_diam(H45,Pipe_Type,Grade))</f>
        <v>0</v>
      </c>
      <c r="J45" s="30">
        <f>Water_PD(B45, I45, Pipe_Type, Grade, Temp)</f>
        <v>0</v>
      </c>
      <c r="K45" s="34">
        <f>Water_Velocity_circular(B45,I45,Pipe_Type,Grade)</f>
        <v>0</v>
      </c>
      <c r="L45" s="32">
        <f>IF(I45=0,0,Equivalent_length(B45, I45, J45, Pipe_Type, Grade, Temp))</f>
        <v>0</v>
      </c>
      <c r="M45" s="63"/>
      <c r="N45" s="64"/>
      <c r="O45" s="64"/>
      <c r="P45" s="64"/>
      <c r="Q45" s="65"/>
      <c r="R45" s="33">
        <f t="shared" ref="R45:R80" si="10">Length*Pd+k*No_off/2*1000*Velocity^2+Dp</f>
        <v>0</v>
      </c>
      <c r="S45" s="72">
        <f t="shared" si="6"/>
        <v>38776.287858946293</v>
      </c>
      <c r="T45" s="75"/>
      <c r="U45" s="4"/>
    </row>
    <row r="46" spans="1:21" ht="12.75" hidden="1" customHeight="1" x14ac:dyDescent="0.2">
      <c r="A46" s="52"/>
      <c r="B46" s="57"/>
      <c r="C46" s="54"/>
      <c r="D46" s="55"/>
      <c r="E46" s="56"/>
      <c r="F46" s="28">
        <f t="shared" si="8"/>
        <v>1.5</v>
      </c>
      <c r="G46" s="29">
        <f t="shared" si="8"/>
        <v>250</v>
      </c>
      <c r="H46" s="29">
        <f t="shared" ref="H46:H80" si="11">IF(C46="",Water_Pipe_Size(B46, G46, F46, Pipe_Type, Grade, Temp),C46)</f>
        <v>0</v>
      </c>
      <c r="I46" s="29">
        <f t="shared" si="9"/>
        <v>0</v>
      </c>
      <c r="J46" s="30">
        <f t="shared" ref="J46:J80" si="12">Water_PD(B46, I46, Pipe_Type, Grade, Temp)</f>
        <v>0</v>
      </c>
      <c r="K46" s="34">
        <f t="shared" ref="K46:K80" si="13">Water_Velocity_circular(B46,I46,Pipe_Type,Grade)</f>
        <v>0</v>
      </c>
      <c r="L46" s="32">
        <f t="shared" ref="L46:L80" si="14">IF(I46=0,0,Equivalent_length(B46, I46, J46, Pipe_Type, Grade, Temp))</f>
        <v>0</v>
      </c>
      <c r="M46" s="63"/>
      <c r="N46" s="64"/>
      <c r="O46" s="64"/>
      <c r="P46" s="64"/>
      <c r="Q46" s="65"/>
      <c r="R46" s="33">
        <f t="shared" si="10"/>
        <v>0</v>
      </c>
      <c r="S46" s="72">
        <f t="shared" si="6"/>
        <v>38776.287858946293</v>
      </c>
      <c r="T46" s="75"/>
      <c r="U46" s="4"/>
    </row>
    <row r="47" spans="1:21" ht="12.75" hidden="1" customHeight="1" x14ac:dyDescent="0.2">
      <c r="A47" s="52"/>
      <c r="B47" s="57"/>
      <c r="C47" s="54"/>
      <c r="D47" s="55"/>
      <c r="E47" s="56"/>
      <c r="F47" s="28">
        <f t="shared" si="8"/>
        <v>1.5</v>
      </c>
      <c r="G47" s="29">
        <f t="shared" si="8"/>
        <v>250</v>
      </c>
      <c r="H47" s="29">
        <f t="shared" si="11"/>
        <v>0</v>
      </c>
      <c r="I47" s="29">
        <f t="shared" si="9"/>
        <v>0</v>
      </c>
      <c r="J47" s="30">
        <f t="shared" si="12"/>
        <v>0</v>
      </c>
      <c r="K47" s="34">
        <f t="shared" si="13"/>
        <v>0</v>
      </c>
      <c r="L47" s="32">
        <f t="shared" si="14"/>
        <v>0</v>
      </c>
      <c r="M47" s="63"/>
      <c r="N47" s="64"/>
      <c r="O47" s="64"/>
      <c r="P47" s="64"/>
      <c r="Q47" s="65"/>
      <c r="R47" s="33">
        <f t="shared" si="10"/>
        <v>0</v>
      </c>
      <c r="S47" s="72">
        <f t="shared" si="6"/>
        <v>38776.287858946293</v>
      </c>
      <c r="T47" s="75"/>
      <c r="U47" s="4"/>
    </row>
    <row r="48" spans="1:21" ht="12.75" hidden="1" customHeight="1" x14ac:dyDescent="0.2">
      <c r="A48" s="52"/>
      <c r="B48" s="57"/>
      <c r="C48" s="54"/>
      <c r="D48" s="55"/>
      <c r="E48" s="56"/>
      <c r="F48" s="28">
        <f t="shared" si="8"/>
        <v>1.5</v>
      </c>
      <c r="G48" s="29">
        <f t="shared" si="8"/>
        <v>250</v>
      </c>
      <c r="H48" s="29">
        <f t="shared" si="11"/>
        <v>0</v>
      </c>
      <c r="I48" s="29">
        <f t="shared" si="9"/>
        <v>0</v>
      </c>
      <c r="J48" s="30">
        <f t="shared" si="12"/>
        <v>0</v>
      </c>
      <c r="K48" s="34">
        <f t="shared" si="13"/>
        <v>0</v>
      </c>
      <c r="L48" s="32">
        <f t="shared" si="14"/>
        <v>0</v>
      </c>
      <c r="M48" s="63"/>
      <c r="N48" s="64"/>
      <c r="O48" s="64"/>
      <c r="P48" s="64"/>
      <c r="Q48" s="65"/>
      <c r="R48" s="33">
        <f t="shared" si="10"/>
        <v>0</v>
      </c>
      <c r="S48" s="72">
        <f t="shared" si="6"/>
        <v>38776.287858946293</v>
      </c>
      <c r="T48" s="75"/>
      <c r="U48" s="4"/>
    </row>
    <row r="49" spans="1:21" ht="12.75" hidden="1" customHeight="1" x14ac:dyDescent="0.2">
      <c r="A49" s="52"/>
      <c r="B49" s="57"/>
      <c r="C49" s="54"/>
      <c r="D49" s="55"/>
      <c r="E49" s="56"/>
      <c r="F49" s="28">
        <f t="shared" si="8"/>
        <v>1.5</v>
      </c>
      <c r="G49" s="29">
        <f t="shared" si="8"/>
        <v>250</v>
      </c>
      <c r="H49" s="29">
        <f t="shared" si="11"/>
        <v>0</v>
      </c>
      <c r="I49" s="29">
        <f t="shared" si="9"/>
        <v>0</v>
      </c>
      <c r="J49" s="30">
        <f t="shared" si="12"/>
        <v>0</v>
      </c>
      <c r="K49" s="34">
        <f t="shared" si="13"/>
        <v>0</v>
      </c>
      <c r="L49" s="32">
        <f t="shared" si="14"/>
        <v>0</v>
      </c>
      <c r="M49" s="63"/>
      <c r="N49" s="64"/>
      <c r="O49" s="64"/>
      <c r="P49" s="64"/>
      <c r="Q49" s="65"/>
      <c r="R49" s="33">
        <f t="shared" si="10"/>
        <v>0</v>
      </c>
      <c r="S49" s="72">
        <f t="shared" si="6"/>
        <v>38776.287858946293</v>
      </c>
      <c r="T49" s="75"/>
      <c r="U49" s="4"/>
    </row>
    <row r="50" spans="1:21" ht="12.75" hidden="1" customHeight="1" x14ac:dyDescent="0.2">
      <c r="A50" s="52"/>
      <c r="B50" s="57"/>
      <c r="C50" s="54"/>
      <c r="D50" s="55"/>
      <c r="E50" s="56"/>
      <c r="F50" s="28">
        <f t="shared" si="8"/>
        <v>1.5</v>
      </c>
      <c r="G50" s="29">
        <f t="shared" si="8"/>
        <v>250</v>
      </c>
      <c r="H50" s="29">
        <f t="shared" si="11"/>
        <v>0</v>
      </c>
      <c r="I50" s="29">
        <f t="shared" si="9"/>
        <v>0</v>
      </c>
      <c r="J50" s="30">
        <f t="shared" si="12"/>
        <v>0</v>
      </c>
      <c r="K50" s="34">
        <f t="shared" si="13"/>
        <v>0</v>
      </c>
      <c r="L50" s="32">
        <f t="shared" si="14"/>
        <v>0</v>
      </c>
      <c r="M50" s="63"/>
      <c r="N50" s="64"/>
      <c r="O50" s="64"/>
      <c r="P50" s="64"/>
      <c r="Q50" s="65"/>
      <c r="R50" s="33">
        <f t="shared" si="10"/>
        <v>0</v>
      </c>
      <c r="S50" s="72">
        <f t="shared" si="6"/>
        <v>38776.287858946293</v>
      </c>
      <c r="T50" s="75"/>
      <c r="U50" s="4"/>
    </row>
    <row r="51" spans="1:21" ht="12.75" hidden="1" customHeight="1" x14ac:dyDescent="0.2">
      <c r="A51" s="52"/>
      <c r="B51" s="57"/>
      <c r="C51" s="54"/>
      <c r="D51" s="55"/>
      <c r="E51" s="56"/>
      <c r="F51" s="28">
        <f t="shared" si="8"/>
        <v>1.5</v>
      </c>
      <c r="G51" s="29">
        <f t="shared" si="8"/>
        <v>250</v>
      </c>
      <c r="H51" s="29">
        <f t="shared" si="11"/>
        <v>0</v>
      </c>
      <c r="I51" s="29">
        <f t="shared" si="9"/>
        <v>0</v>
      </c>
      <c r="J51" s="30">
        <f t="shared" si="12"/>
        <v>0</v>
      </c>
      <c r="K51" s="34">
        <f t="shared" si="13"/>
        <v>0</v>
      </c>
      <c r="L51" s="32">
        <f t="shared" si="14"/>
        <v>0</v>
      </c>
      <c r="M51" s="63"/>
      <c r="N51" s="64"/>
      <c r="O51" s="64"/>
      <c r="P51" s="64"/>
      <c r="Q51" s="65"/>
      <c r="R51" s="33">
        <f t="shared" si="10"/>
        <v>0</v>
      </c>
      <c r="S51" s="72">
        <f t="shared" si="6"/>
        <v>38776.287858946293</v>
      </c>
      <c r="T51" s="75"/>
      <c r="U51" s="4"/>
    </row>
    <row r="52" spans="1:21" ht="12.75" hidden="1" customHeight="1" x14ac:dyDescent="0.2">
      <c r="A52" s="52"/>
      <c r="B52" s="57"/>
      <c r="C52" s="54"/>
      <c r="D52" s="55"/>
      <c r="E52" s="56"/>
      <c r="F52" s="28">
        <f t="shared" si="8"/>
        <v>1.5</v>
      </c>
      <c r="G52" s="29">
        <f t="shared" si="8"/>
        <v>250</v>
      </c>
      <c r="H52" s="29">
        <f t="shared" si="11"/>
        <v>0</v>
      </c>
      <c r="I52" s="29">
        <f t="shared" si="9"/>
        <v>0</v>
      </c>
      <c r="J52" s="30">
        <f t="shared" si="12"/>
        <v>0</v>
      </c>
      <c r="K52" s="34">
        <f t="shared" si="13"/>
        <v>0</v>
      </c>
      <c r="L52" s="32">
        <f t="shared" si="14"/>
        <v>0</v>
      </c>
      <c r="M52" s="63"/>
      <c r="N52" s="64"/>
      <c r="O52" s="64"/>
      <c r="P52" s="64"/>
      <c r="Q52" s="65"/>
      <c r="R52" s="33">
        <f t="shared" si="10"/>
        <v>0</v>
      </c>
      <c r="S52" s="72">
        <f t="shared" si="6"/>
        <v>38776.287858946293</v>
      </c>
      <c r="T52" s="75"/>
      <c r="U52" s="4"/>
    </row>
    <row r="53" spans="1:21" ht="12.75" hidden="1" customHeight="1" x14ac:dyDescent="0.2">
      <c r="A53" s="52"/>
      <c r="B53" s="57"/>
      <c r="C53" s="54"/>
      <c r="D53" s="55"/>
      <c r="E53" s="56"/>
      <c r="F53" s="28">
        <f t="shared" si="8"/>
        <v>1.5</v>
      </c>
      <c r="G53" s="29">
        <f t="shared" si="8"/>
        <v>250</v>
      </c>
      <c r="H53" s="29">
        <f t="shared" si="11"/>
        <v>0</v>
      </c>
      <c r="I53" s="29">
        <f t="shared" si="9"/>
        <v>0</v>
      </c>
      <c r="J53" s="30">
        <f t="shared" si="12"/>
        <v>0</v>
      </c>
      <c r="K53" s="34">
        <f t="shared" si="13"/>
        <v>0</v>
      </c>
      <c r="L53" s="32">
        <f t="shared" si="14"/>
        <v>0</v>
      </c>
      <c r="M53" s="63"/>
      <c r="N53" s="64"/>
      <c r="O53" s="64"/>
      <c r="P53" s="64"/>
      <c r="Q53" s="65"/>
      <c r="R53" s="33">
        <f t="shared" si="10"/>
        <v>0</v>
      </c>
      <c r="S53" s="72">
        <f t="shared" si="6"/>
        <v>38776.287858946293</v>
      </c>
      <c r="T53" s="75"/>
      <c r="U53" s="4"/>
    </row>
    <row r="54" spans="1:21" ht="12.75" hidden="1" customHeight="1" x14ac:dyDescent="0.2">
      <c r="A54" s="52"/>
      <c r="B54" s="57"/>
      <c r="C54" s="54"/>
      <c r="D54" s="55"/>
      <c r="E54" s="56"/>
      <c r="F54" s="28">
        <f t="shared" si="8"/>
        <v>1.5</v>
      </c>
      <c r="G54" s="29">
        <f t="shared" si="8"/>
        <v>250</v>
      </c>
      <c r="H54" s="29">
        <f t="shared" si="11"/>
        <v>0</v>
      </c>
      <c r="I54" s="29">
        <f t="shared" si="9"/>
        <v>0</v>
      </c>
      <c r="J54" s="30">
        <f t="shared" si="12"/>
        <v>0</v>
      </c>
      <c r="K54" s="34">
        <f t="shared" si="13"/>
        <v>0</v>
      </c>
      <c r="L54" s="32">
        <f t="shared" si="14"/>
        <v>0</v>
      </c>
      <c r="M54" s="63"/>
      <c r="N54" s="64"/>
      <c r="O54" s="64"/>
      <c r="P54" s="64"/>
      <c r="Q54" s="65"/>
      <c r="R54" s="33">
        <f t="shared" si="10"/>
        <v>0</v>
      </c>
      <c r="S54" s="72">
        <f t="shared" si="6"/>
        <v>38776.287858946293</v>
      </c>
      <c r="T54" s="75"/>
      <c r="U54" s="4"/>
    </row>
    <row r="55" spans="1:21" ht="12.75" hidden="1" customHeight="1" x14ac:dyDescent="0.2">
      <c r="A55" s="52"/>
      <c r="B55" s="57"/>
      <c r="C55" s="54"/>
      <c r="D55" s="55"/>
      <c r="E55" s="56"/>
      <c r="F55" s="28">
        <f t="shared" si="8"/>
        <v>1.5</v>
      </c>
      <c r="G55" s="29">
        <f t="shared" si="8"/>
        <v>250</v>
      </c>
      <c r="H55" s="29">
        <f t="shared" si="11"/>
        <v>0</v>
      </c>
      <c r="I55" s="29">
        <f t="shared" si="9"/>
        <v>0</v>
      </c>
      <c r="J55" s="30">
        <f t="shared" si="12"/>
        <v>0</v>
      </c>
      <c r="K55" s="34">
        <f t="shared" si="13"/>
        <v>0</v>
      </c>
      <c r="L55" s="32">
        <f t="shared" si="14"/>
        <v>0</v>
      </c>
      <c r="M55" s="63"/>
      <c r="N55" s="64"/>
      <c r="O55" s="64"/>
      <c r="P55" s="64"/>
      <c r="Q55" s="65"/>
      <c r="R55" s="33">
        <f t="shared" si="10"/>
        <v>0</v>
      </c>
      <c r="S55" s="72">
        <f t="shared" si="6"/>
        <v>38776.287858946293</v>
      </c>
      <c r="T55" s="75"/>
      <c r="U55" s="4"/>
    </row>
    <row r="56" spans="1:21" ht="12.75" hidden="1" customHeight="1" x14ac:dyDescent="0.2">
      <c r="A56" s="52"/>
      <c r="B56" s="57"/>
      <c r="C56" s="54"/>
      <c r="D56" s="55"/>
      <c r="E56" s="56"/>
      <c r="F56" s="28">
        <f t="shared" si="8"/>
        <v>1.5</v>
      </c>
      <c r="G56" s="29">
        <f t="shared" si="8"/>
        <v>250</v>
      </c>
      <c r="H56" s="29">
        <f t="shared" si="11"/>
        <v>0</v>
      </c>
      <c r="I56" s="29">
        <f t="shared" si="9"/>
        <v>0</v>
      </c>
      <c r="J56" s="30">
        <f t="shared" si="12"/>
        <v>0</v>
      </c>
      <c r="K56" s="34">
        <f t="shared" si="13"/>
        <v>0</v>
      </c>
      <c r="L56" s="32">
        <f t="shared" si="14"/>
        <v>0</v>
      </c>
      <c r="M56" s="63"/>
      <c r="N56" s="64"/>
      <c r="O56" s="64"/>
      <c r="P56" s="64"/>
      <c r="Q56" s="65"/>
      <c r="R56" s="33">
        <f t="shared" si="10"/>
        <v>0</v>
      </c>
      <c r="S56" s="72">
        <f t="shared" si="6"/>
        <v>38776.287858946293</v>
      </c>
      <c r="T56" s="75"/>
      <c r="U56" s="4"/>
    </row>
    <row r="57" spans="1:21" ht="12.75" hidden="1" customHeight="1" x14ac:dyDescent="0.2">
      <c r="A57" s="52"/>
      <c r="B57" s="57"/>
      <c r="C57" s="54"/>
      <c r="D57" s="55"/>
      <c r="E57" s="56"/>
      <c r="F57" s="28">
        <f t="shared" si="8"/>
        <v>1.5</v>
      </c>
      <c r="G57" s="29">
        <f t="shared" si="8"/>
        <v>250</v>
      </c>
      <c r="H57" s="29">
        <f t="shared" si="11"/>
        <v>0</v>
      </c>
      <c r="I57" s="29">
        <f t="shared" si="9"/>
        <v>0</v>
      </c>
      <c r="J57" s="30">
        <f t="shared" si="12"/>
        <v>0</v>
      </c>
      <c r="K57" s="34">
        <f t="shared" si="13"/>
        <v>0</v>
      </c>
      <c r="L57" s="32">
        <f t="shared" si="14"/>
        <v>0</v>
      </c>
      <c r="M57" s="63"/>
      <c r="N57" s="64"/>
      <c r="O57" s="64"/>
      <c r="P57" s="64"/>
      <c r="Q57" s="65"/>
      <c r="R57" s="33">
        <f t="shared" si="10"/>
        <v>0</v>
      </c>
      <c r="S57" s="72">
        <f t="shared" si="6"/>
        <v>38776.287858946293</v>
      </c>
      <c r="T57" s="75"/>
      <c r="U57" s="4"/>
    </row>
    <row r="58" spans="1:21" ht="12.75" hidden="1" customHeight="1" x14ac:dyDescent="0.2">
      <c r="A58" s="52"/>
      <c r="B58" s="57"/>
      <c r="C58" s="54"/>
      <c r="D58" s="55"/>
      <c r="E58" s="56"/>
      <c r="F58" s="28">
        <f t="shared" si="8"/>
        <v>1.5</v>
      </c>
      <c r="G58" s="29">
        <f t="shared" si="8"/>
        <v>250</v>
      </c>
      <c r="H58" s="29">
        <f t="shared" si="11"/>
        <v>0</v>
      </c>
      <c r="I58" s="29">
        <f t="shared" si="9"/>
        <v>0</v>
      </c>
      <c r="J58" s="30">
        <f t="shared" si="12"/>
        <v>0</v>
      </c>
      <c r="K58" s="34">
        <f t="shared" si="13"/>
        <v>0</v>
      </c>
      <c r="L58" s="32">
        <f t="shared" si="14"/>
        <v>0</v>
      </c>
      <c r="M58" s="63"/>
      <c r="N58" s="64"/>
      <c r="O58" s="64"/>
      <c r="P58" s="64"/>
      <c r="Q58" s="65"/>
      <c r="R58" s="33">
        <f t="shared" si="10"/>
        <v>0</v>
      </c>
      <c r="S58" s="72">
        <f t="shared" si="6"/>
        <v>38776.287858946293</v>
      </c>
      <c r="T58" s="75"/>
      <c r="U58" s="4"/>
    </row>
    <row r="59" spans="1:21" ht="12.75" hidden="1" customHeight="1" x14ac:dyDescent="0.2">
      <c r="A59" s="52"/>
      <c r="B59" s="57"/>
      <c r="C59" s="54"/>
      <c r="D59" s="55"/>
      <c r="E59" s="56"/>
      <c r="F59" s="28">
        <f t="shared" si="8"/>
        <v>1.5</v>
      </c>
      <c r="G59" s="29">
        <f t="shared" si="8"/>
        <v>250</v>
      </c>
      <c r="H59" s="29">
        <f t="shared" si="11"/>
        <v>0</v>
      </c>
      <c r="I59" s="29">
        <f t="shared" si="9"/>
        <v>0</v>
      </c>
      <c r="J59" s="30">
        <f t="shared" si="12"/>
        <v>0</v>
      </c>
      <c r="K59" s="34">
        <f t="shared" si="13"/>
        <v>0</v>
      </c>
      <c r="L59" s="32">
        <f t="shared" si="14"/>
        <v>0</v>
      </c>
      <c r="M59" s="63"/>
      <c r="N59" s="64"/>
      <c r="O59" s="64"/>
      <c r="P59" s="64"/>
      <c r="Q59" s="65"/>
      <c r="R59" s="33">
        <f t="shared" si="10"/>
        <v>0</v>
      </c>
      <c r="S59" s="72">
        <f t="shared" si="6"/>
        <v>38776.287858946293</v>
      </c>
      <c r="T59" s="75"/>
      <c r="U59" s="4"/>
    </row>
    <row r="60" spans="1:21" ht="12.75" hidden="1" customHeight="1" x14ac:dyDescent="0.2">
      <c r="A60" s="52"/>
      <c r="B60" s="57"/>
      <c r="C60" s="54"/>
      <c r="D60" s="55"/>
      <c r="E60" s="56"/>
      <c r="F60" s="28">
        <f t="shared" si="8"/>
        <v>1.5</v>
      </c>
      <c r="G60" s="29">
        <f t="shared" si="8"/>
        <v>250</v>
      </c>
      <c r="H60" s="29">
        <f t="shared" si="11"/>
        <v>0</v>
      </c>
      <c r="I60" s="29">
        <f t="shared" si="9"/>
        <v>0</v>
      </c>
      <c r="J60" s="30">
        <f t="shared" si="12"/>
        <v>0</v>
      </c>
      <c r="K60" s="34">
        <f t="shared" si="13"/>
        <v>0</v>
      </c>
      <c r="L60" s="32">
        <f t="shared" si="14"/>
        <v>0</v>
      </c>
      <c r="M60" s="63"/>
      <c r="N60" s="64"/>
      <c r="O60" s="64"/>
      <c r="P60" s="64"/>
      <c r="Q60" s="65"/>
      <c r="R60" s="33">
        <f t="shared" si="10"/>
        <v>0</v>
      </c>
      <c r="S60" s="72">
        <f t="shared" si="6"/>
        <v>38776.287858946293</v>
      </c>
      <c r="T60" s="75"/>
      <c r="U60" s="4"/>
    </row>
    <row r="61" spans="1:21" ht="12.75" hidden="1" customHeight="1" x14ac:dyDescent="0.2">
      <c r="A61" s="52"/>
      <c r="B61" s="57"/>
      <c r="C61" s="54"/>
      <c r="D61" s="55"/>
      <c r="E61" s="56"/>
      <c r="F61" s="28">
        <f t="shared" si="8"/>
        <v>1.5</v>
      </c>
      <c r="G61" s="29">
        <f t="shared" si="8"/>
        <v>250</v>
      </c>
      <c r="H61" s="29">
        <f t="shared" si="11"/>
        <v>0</v>
      </c>
      <c r="I61" s="29">
        <f t="shared" si="9"/>
        <v>0</v>
      </c>
      <c r="J61" s="30">
        <f t="shared" si="12"/>
        <v>0</v>
      </c>
      <c r="K61" s="34">
        <f t="shared" si="13"/>
        <v>0</v>
      </c>
      <c r="L61" s="32">
        <f t="shared" si="14"/>
        <v>0</v>
      </c>
      <c r="M61" s="63"/>
      <c r="N61" s="64"/>
      <c r="O61" s="64"/>
      <c r="P61" s="64"/>
      <c r="Q61" s="65"/>
      <c r="R61" s="33">
        <f t="shared" si="10"/>
        <v>0</v>
      </c>
      <c r="S61" s="72">
        <f t="shared" si="6"/>
        <v>38776.287858946293</v>
      </c>
      <c r="T61" s="75"/>
      <c r="U61" s="4"/>
    </row>
    <row r="62" spans="1:21" ht="12.75" hidden="1" customHeight="1" x14ac:dyDescent="0.2">
      <c r="A62" s="52"/>
      <c r="B62" s="57"/>
      <c r="C62" s="54"/>
      <c r="D62" s="55"/>
      <c r="E62" s="56"/>
      <c r="F62" s="28">
        <f t="shared" si="8"/>
        <v>1.5</v>
      </c>
      <c r="G62" s="29">
        <f t="shared" si="8"/>
        <v>250</v>
      </c>
      <c r="H62" s="29">
        <f t="shared" si="11"/>
        <v>0</v>
      </c>
      <c r="I62" s="29">
        <f t="shared" si="9"/>
        <v>0</v>
      </c>
      <c r="J62" s="30">
        <f t="shared" si="12"/>
        <v>0</v>
      </c>
      <c r="K62" s="34">
        <f t="shared" si="13"/>
        <v>0</v>
      </c>
      <c r="L62" s="32">
        <f t="shared" si="14"/>
        <v>0</v>
      </c>
      <c r="M62" s="63"/>
      <c r="N62" s="64"/>
      <c r="O62" s="64"/>
      <c r="P62" s="64"/>
      <c r="Q62" s="65"/>
      <c r="R62" s="33">
        <f t="shared" si="10"/>
        <v>0</v>
      </c>
      <c r="S62" s="72">
        <f t="shared" si="6"/>
        <v>38776.287858946293</v>
      </c>
      <c r="T62" s="75"/>
      <c r="U62" s="4"/>
    </row>
    <row r="63" spans="1:21" ht="12.75" hidden="1" customHeight="1" x14ac:dyDescent="0.2">
      <c r="A63" s="52"/>
      <c r="B63" s="57"/>
      <c r="C63" s="54"/>
      <c r="D63" s="55"/>
      <c r="E63" s="56"/>
      <c r="F63" s="28">
        <f t="shared" si="8"/>
        <v>1.5</v>
      </c>
      <c r="G63" s="29">
        <f t="shared" si="8"/>
        <v>250</v>
      </c>
      <c r="H63" s="29">
        <f t="shared" si="11"/>
        <v>0</v>
      </c>
      <c r="I63" s="29">
        <f t="shared" si="9"/>
        <v>0</v>
      </c>
      <c r="J63" s="30">
        <f t="shared" si="12"/>
        <v>0</v>
      </c>
      <c r="K63" s="34">
        <f t="shared" si="13"/>
        <v>0</v>
      </c>
      <c r="L63" s="32">
        <f t="shared" si="14"/>
        <v>0</v>
      </c>
      <c r="M63" s="63"/>
      <c r="N63" s="64"/>
      <c r="O63" s="64"/>
      <c r="P63" s="64"/>
      <c r="Q63" s="65"/>
      <c r="R63" s="33">
        <f t="shared" si="10"/>
        <v>0</v>
      </c>
      <c r="S63" s="72">
        <f t="shared" si="6"/>
        <v>38776.287858946293</v>
      </c>
      <c r="T63" s="75"/>
      <c r="U63" s="4"/>
    </row>
    <row r="64" spans="1:21" ht="12.75" hidden="1" customHeight="1" x14ac:dyDescent="0.2">
      <c r="A64" s="52"/>
      <c r="B64" s="57"/>
      <c r="C64" s="54"/>
      <c r="D64" s="55"/>
      <c r="E64" s="56"/>
      <c r="F64" s="28">
        <f t="shared" si="8"/>
        <v>1.5</v>
      </c>
      <c r="G64" s="29">
        <f t="shared" si="8"/>
        <v>250</v>
      </c>
      <c r="H64" s="29">
        <f t="shared" si="11"/>
        <v>0</v>
      </c>
      <c r="I64" s="29">
        <f t="shared" si="9"/>
        <v>0</v>
      </c>
      <c r="J64" s="30">
        <f t="shared" si="12"/>
        <v>0</v>
      </c>
      <c r="K64" s="34">
        <f t="shared" si="13"/>
        <v>0</v>
      </c>
      <c r="L64" s="32">
        <f t="shared" si="14"/>
        <v>0</v>
      </c>
      <c r="M64" s="63"/>
      <c r="N64" s="64"/>
      <c r="O64" s="64"/>
      <c r="P64" s="64"/>
      <c r="Q64" s="65"/>
      <c r="R64" s="33">
        <f t="shared" si="10"/>
        <v>0</v>
      </c>
      <c r="S64" s="72">
        <f t="shared" si="6"/>
        <v>38776.287858946293</v>
      </c>
      <c r="T64" s="75"/>
      <c r="U64" s="4"/>
    </row>
    <row r="65" spans="1:21" ht="12.75" hidden="1" customHeight="1" x14ac:dyDescent="0.2">
      <c r="A65" s="52"/>
      <c r="B65" s="57"/>
      <c r="C65" s="54"/>
      <c r="D65" s="55"/>
      <c r="E65" s="56"/>
      <c r="F65" s="28">
        <f t="shared" si="8"/>
        <v>1.5</v>
      </c>
      <c r="G65" s="29">
        <f t="shared" si="8"/>
        <v>250</v>
      </c>
      <c r="H65" s="29">
        <f t="shared" si="11"/>
        <v>0</v>
      </c>
      <c r="I65" s="29">
        <f t="shared" si="9"/>
        <v>0</v>
      </c>
      <c r="J65" s="30">
        <f t="shared" si="12"/>
        <v>0</v>
      </c>
      <c r="K65" s="34">
        <f t="shared" si="13"/>
        <v>0</v>
      </c>
      <c r="L65" s="32">
        <f t="shared" si="14"/>
        <v>0</v>
      </c>
      <c r="M65" s="63"/>
      <c r="N65" s="64"/>
      <c r="O65" s="64"/>
      <c r="P65" s="64"/>
      <c r="Q65" s="65"/>
      <c r="R65" s="33">
        <f t="shared" si="10"/>
        <v>0</v>
      </c>
      <c r="S65" s="72">
        <f t="shared" si="6"/>
        <v>38776.287858946293</v>
      </c>
      <c r="T65" s="75"/>
      <c r="U65" s="4"/>
    </row>
    <row r="66" spans="1:21" ht="12.75" hidden="1" customHeight="1" x14ac:dyDescent="0.2">
      <c r="A66" s="52"/>
      <c r="B66" s="57"/>
      <c r="C66" s="54"/>
      <c r="D66" s="55"/>
      <c r="E66" s="56"/>
      <c r="F66" s="28">
        <f t="shared" si="8"/>
        <v>1.5</v>
      </c>
      <c r="G66" s="29">
        <f t="shared" si="8"/>
        <v>250</v>
      </c>
      <c r="H66" s="29">
        <f t="shared" si="11"/>
        <v>0</v>
      </c>
      <c r="I66" s="29">
        <f t="shared" si="9"/>
        <v>0</v>
      </c>
      <c r="J66" s="30">
        <f t="shared" si="12"/>
        <v>0</v>
      </c>
      <c r="K66" s="34">
        <f t="shared" si="13"/>
        <v>0</v>
      </c>
      <c r="L66" s="32">
        <f t="shared" si="14"/>
        <v>0</v>
      </c>
      <c r="M66" s="63"/>
      <c r="N66" s="64"/>
      <c r="O66" s="64"/>
      <c r="P66" s="64"/>
      <c r="Q66" s="65"/>
      <c r="R66" s="33">
        <f t="shared" si="10"/>
        <v>0</v>
      </c>
      <c r="S66" s="72">
        <f t="shared" si="6"/>
        <v>38776.287858946293</v>
      </c>
      <c r="T66" s="75"/>
      <c r="U66" s="4"/>
    </row>
    <row r="67" spans="1:21" ht="12.75" customHeight="1" x14ac:dyDescent="0.2">
      <c r="A67" s="52"/>
      <c r="B67" s="57"/>
      <c r="C67" s="54"/>
      <c r="D67" s="55"/>
      <c r="E67" s="56"/>
      <c r="F67" s="28">
        <f t="shared" si="8"/>
        <v>1.5</v>
      </c>
      <c r="G67" s="29">
        <f t="shared" si="8"/>
        <v>250</v>
      </c>
      <c r="H67" s="29">
        <f t="shared" si="11"/>
        <v>0</v>
      </c>
      <c r="I67" s="29">
        <f t="shared" si="9"/>
        <v>0</v>
      </c>
      <c r="J67" s="30">
        <f t="shared" si="12"/>
        <v>0</v>
      </c>
      <c r="K67" s="34">
        <f t="shared" si="13"/>
        <v>0</v>
      </c>
      <c r="L67" s="32">
        <f t="shared" si="14"/>
        <v>0</v>
      </c>
      <c r="M67" s="63"/>
      <c r="N67" s="64"/>
      <c r="O67" s="64"/>
      <c r="P67" s="64"/>
      <c r="Q67" s="65">
        <v>50000</v>
      </c>
      <c r="R67" s="33">
        <f t="shared" si="10"/>
        <v>50000</v>
      </c>
      <c r="S67" s="72">
        <f>S66+R67</f>
        <v>88776.287858946293</v>
      </c>
      <c r="T67" s="75" t="s">
        <v>33</v>
      </c>
      <c r="U67" s="4"/>
    </row>
    <row r="68" spans="1:21" ht="12.75" customHeight="1" x14ac:dyDescent="0.2">
      <c r="A68" s="52"/>
      <c r="B68" s="57"/>
      <c r="C68" s="54"/>
      <c r="D68" s="55"/>
      <c r="E68" s="56"/>
      <c r="F68" s="28">
        <f t="shared" si="8"/>
        <v>1.5</v>
      </c>
      <c r="G68" s="29">
        <f t="shared" si="8"/>
        <v>250</v>
      </c>
      <c r="H68" s="29">
        <f t="shared" si="11"/>
        <v>0</v>
      </c>
      <c r="I68" s="29">
        <f t="shared" si="9"/>
        <v>0</v>
      </c>
      <c r="J68" s="30">
        <f t="shared" si="12"/>
        <v>0</v>
      </c>
      <c r="K68" s="34">
        <f t="shared" si="13"/>
        <v>0</v>
      </c>
      <c r="L68" s="32">
        <f t="shared" si="14"/>
        <v>0</v>
      </c>
      <c r="M68" s="63"/>
      <c r="N68" s="64"/>
      <c r="O68" s="64"/>
      <c r="P68" s="64"/>
      <c r="Q68" s="65">
        <v>10000</v>
      </c>
      <c r="R68" s="33">
        <f t="shared" si="10"/>
        <v>10000</v>
      </c>
      <c r="S68" s="72">
        <f t="shared" si="6"/>
        <v>98776.287858946293</v>
      </c>
      <c r="T68" s="75" t="s">
        <v>48</v>
      </c>
      <c r="U68" s="4"/>
    </row>
    <row r="69" spans="1:21" ht="12.75" customHeight="1" x14ac:dyDescent="0.2">
      <c r="A69" s="52"/>
      <c r="B69" s="57"/>
      <c r="C69" s="54"/>
      <c r="D69" s="55"/>
      <c r="E69" s="56"/>
      <c r="F69" s="28">
        <f t="shared" si="8"/>
        <v>1.5</v>
      </c>
      <c r="G69" s="29">
        <f t="shared" si="8"/>
        <v>250</v>
      </c>
      <c r="H69" s="29">
        <f t="shared" si="11"/>
        <v>0</v>
      </c>
      <c r="I69" s="29">
        <f t="shared" si="9"/>
        <v>0</v>
      </c>
      <c r="J69" s="30">
        <f t="shared" si="12"/>
        <v>0</v>
      </c>
      <c r="K69" s="34">
        <f t="shared" si="13"/>
        <v>0</v>
      </c>
      <c r="L69" s="32">
        <f t="shared" si="14"/>
        <v>0</v>
      </c>
      <c r="M69" s="63"/>
      <c r="N69" s="64"/>
      <c r="O69" s="64"/>
      <c r="P69" s="64"/>
      <c r="Q69" s="65"/>
      <c r="R69" s="33">
        <f t="shared" si="10"/>
        <v>0</v>
      </c>
      <c r="S69" s="72">
        <f>S68+R69</f>
        <v>98776.287858946293</v>
      </c>
      <c r="T69" s="75" t="s">
        <v>50</v>
      </c>
      <c r="U69" s="4"/>
    </row>
    <row r="70" spans="1:21" ht="12.75" customHeight="1" x14ac:dyDescent="0.2">
      <c r="A70" s="52"/>
      <c r="B70" s="57"/>
      <c r="C70" s="54"/>
      <c r="D70" s="55"/>
      <c r="E70" s="56"/>
      <c r="F70" s="28">
        <f t="shared" si="8"/>
        <v>1.5</v>
      </c>
      <c r="G70" s="29">
        <f t="shared" si="8"/>
        <v>250</v>
      </c>
      <c r="H70" s="29">
        <f t="shared" si="11"/>
        <v>0</v>
      </c>
      <c r="I70" s="29">
        <f t="shared" si="9"/>
        <v>0</v>
      </c>
      <c r="J70" s="30">
        <f t="shared" si="12"/>
        <v>0</v>
      </c>
      <c r="K70" s="34">
        <f t="shared" si="13"/>
        <v>0</v>
      </c>
      <c r="L70" s="32">
        <f t="shared" si="14"/>
        <v>0</v>
      </c>
      <c r="M70" s="63"/>
      <c r="N70" s="64"/>
      <c r="O70" s="64"/>
      <c r="P70" s="64"/>
      <c r="Q70" s="65">
        <v>10000</v>
      </c>
      <c r="R70" s="33">
        <f t="shared" si="10"/>
        <v>10000</v>
      </c>
      <c r="S70" s="72">
        <f t="shared" si="6"/>
        <v>108776.28785894629</v>
      </c>
      <c r="T70" s="75" t="s">
        <v>51</v>
      </c>
      <c r="U70" s="4"/>
    </row>
    <row r="71" spans="1:21" ht="12.75" customHeight="1" x14ac:dyDescent="0.2">
      <c r="A71" s="52"/>
      <c r="B71" s="57"/>
      <c r="C71" s="54"/>
      <c r="D71" s="55"/>
      <c r="E71" s="56"/>
      <c r="F71" s="28">
        <f t="shared" si="8"/>
        <v>1.5</v>
      </c>
      <c r="G71" s="29">
        <f t="shared" si="8"/>
        <v>250</v>
      </c>
      <c r="H71" s="29">
        <f t="shared" si="11"/>
        <v>0</v>
      </c>
      <c r="I71" s="29">
        <f t="shared" si="9"/>
        <v>0</v>
      </c>
      <c r="J71" s="30">
        <f t="shared" si="12"/>
        <v>0</v>
      </c>
      <c r="K71" s="34">
        <f t="shared" si="13"/>
        <v>0</v>
      </c>
      <c r="L71" s="32">
        <f t="shared" si="14"/>
        <v>0</v>
      </c>
      <c r="M71" s="63"/>
      <c r="N71" s="64"/>
      <c r="O71" s="64"/>
      <c r="P71" s="64"/>
      <c r="Q71" s="65">
        <v>100000</v>
      </c>
      <c r="R71" s="33">
        <f t="shared" si="10"/>
        <v>100000</v>
      </c>
      <c r="S71" s="72">
        <f t="shared" si="6"/>
        <v>208776.28785894631</v>
      </c>
      <c r="T71" s="75" t="s">
        <v>49</v>
      </c>
      <c r="U71" s="4"/>
    </row>
    <row r="72" spans="1:21" ht="12.75" customHeight="1" x14ac:dyDescent="0.2">
      <c r="A72" s="52"/>
      <c r="B72" s="57"/>
      <c r="C72" s="54"/>
      <c r="D72" s="55"/>
      <c r="E72" s="56"/>
      <c r="F72" s="28">
        <f t="shared" si="8"/>
        <v>1.5</v>
      </c>
      <c r="G72" s="29">
        <f t="shared" si="8"/>
        <v>250</v>
      </c>
      <c r="H72" s="29">
        <f t="shared" si="11"/>
        <v>0</v>
      </c>
      <c r="I72" s="29">
        <f t="shared" si="9"/>
        <v>0</v>
      </c>
      <c r="J72" s="30">
        <f t="shared" si="12"/>
        <v>0</v>
      </c>
      <c r="K72" s="34">
        <f t="shared" si="13"/>
        <v>0</v>
      </c>
      <c r="L72" s="32">
        <f t="shared" si="14"/>
        <v>0</v>
      </c>
      <c r="M72" s="63"/>
      <c r="N72" s="64"/>
      <c r="O72" s="64"/>
      <c r="P72" s="64"/>
      <c r="Q72" s="65"/>
      <c r="R72" s="33">
        <f t="shared" si="10"/>
        <v>0</v>
      </c>
      <c r="S72" s="72">
        <f t="shared" si="6"/>
        <v>208776.28785894631</v>
      </c>
      <c r="T72" s="75"/>
      <c r="U72" s="4"/>
    </row>
    <row r="73" spans="1:21" ht="12.75" customHeight="1" x14ac:dyDescent="0.2">
      <c r="A73" s="52"/>
      <c r="B73" s="57"/>
      <c r="C73" s="54"/>
      <c r="D73" s="55"/>
      <c r="E73" s="56"/>
      <c r="F73" s="28">
        <f t="shared" si="8"/>
        <v>1.5</v>
      </c>
      <c r="G73" s="29">
        <f t="shared" si="8"/>
        <v>250</v>
      </c>
      <c r="H73" s="29">
        <f t="shared" si="11"/>
        <v>0</v>
      </c>
      <c r="I73" s="29">
        <f t="shared" si="9"/>
        <v>0</v>
      </c>
      <c r="J73" s="30">
        <f t="shared" si="12"/>
        <v>0</v>
      </c>
      <c r="K73" s="34">
        <f t="shared" si="13"/>
        <v>0</v>
      </c>
      <c r="L73" s="32">
        <f t="shared" si="14"/>
        <v>0</v>
      </c>
      <c r="M73" s="63"/>
      <c r="N73" s="64"/>
      <c r="O73" s="64"/>
      <c r="P73" s="64"/>
      <c r="Q73" s="65"/>
      <c r="R73" s="33">
        <f t="shared" si="10"/>
        <v>0</v>
      </c>
      <c r="S73" s="72">
        <f t="shared" si="6"/>
        <v>208776.28785894631</v>
      </c>
      <c r="T73" s="75"/>
      <c r="U73" s="4"/>
    </row>
    <row r="74" spans="1:21" ht="12.75" customHeight="1" x14ac:dyDescent="0.2">
      <c r="A74" s="52"/>
      <c r="B74" s="57"/>
      <c r="C74" s="54"/>
      <c r="D74" s="55"/>
      <c r="E74" s="56"/>
      <c r="F74" s="28">
        <f t="shared" si="8"/>
        <v>1.5</v>
      </c>
      <c r="G74" s="29">
        <f t="shared" si="8"/>
        <v>250</v>
      </c>
      <c r="H74" s="29">
        <f t="shared" si="11"/>
        <v>0</v>
      </c>
      <c r="I74" s="29">
        <f t="shared" si="9"/>
        <v>0</v>
      </c>
      <c r="J74" s="30">
        <f t="shared" si="12"/>
        <v>0</v>
      </c>
      <c r="K74" s="34">
        <f t="shared" si="13"/>
        <v>0</v>
      </c>
      <c r="L74" s="32">
        <f t="shared" si="14"/>
        <v>0</v>
      </c>
      <c r="M74" s="63"/>
      <c r="N74" s="64"/>
      <c r="O74" s="64"/>
      <c r="P74" s="64"/>
      <c r="Q74" s="65"/>
      <c r="R74" s="33">
        <f t="shared" si="10"/>
        <v>0</v>
      </c>
      <c r="S74" s="72">
        <f t="shared" si="6"/>
        <v>208776.28785894631</v>
      </c>
      <c r="T74" s="75"/>
      <c r="U74" s="4"/>
    </row>
    <row r="75" spans="1:21" ht="12.75" customHeight="1" x14ac:dyDescent="0.2">
      <c r="A75" s="52"/>
      <c r="B75" s="57"/>
      <c r="C75" s="54"/>
      <c r="D75" s="55"/>
      <c r="E75" s="56"/>
      <c r="F75" s="28">
        <f t="shared" si="8"/>
        <v>1.5</v>
      </c>
      <c r="G75" s="29">
        <f t="shared" si="8"/>
        <v>250</v>
      </c>
      <c r="H75" s="29">
        <f t="shared" si="11"/>
        <v>0</v>
      </c>
      <c r="I75" s="29">
        <f t="shared" si="9"/>
        <v>0</v>
      </c>
      <c r="J75" s="30">
        <f t="shared" si="12"/>
        <v>0</v>
      </c>
      <c r="K75" s="34">
        <f t="shared" si="13"/>
        <v>0</v>
      </c>
      <c r="L75" s="32">
        <f t="shared" si="14"/>
        <v>0</v>
      </c>
      <c r="M75" s="63"/>
      <c r="N75" s="64"/>
      <c r="O75" s="64"/>
      <c r="P75" s="64"/>
      <c r="Q75" s="65"/>
      <c r="R75" s="33">
        <f t="shared" si="10"/>
        <v>0</v>
      </c>
      <c r="S75" s="72">
        <f t="shared" si="6"/>
        <v>208776.28785894631</v>
      </c>
      <c r="T75" s="75"/>
      <c r="U75" s="4"/>
    </row>
    <row r="76" spans="1:21" ht="12.75" customHeight="1" x14ac:dyDescent="0.2">
      <c r="A76" s="52"/>
      <c r="B76" s="57"/>
      <c r="C76" s="54"/>
      <c r="D76" s="55"/>
      <c r="E76" s="56"/>
      <c r="F76" s="28">
        <f t="shared" si="8"/>
        <v>1.5</v>
      </c>
      <c r="G76" s="29">
        <f t="shared" si="8"/>
        <v>250</v>
      </c>
      <c r="H76" s="29">
        <f t="shared" si="11"/>
        <v>0</v>
      </c>
      <c r="I76" s="29">
        <f t="shared" si="9"/>
        <v>0</v>
      </c>
      <c r="J76" s="30">
        <f t="shared" si="12"/>
        <v>0</v>
      </c>
      <c r="K76" s="34">
        <f t="shared" si="13"/>
        <v>0</v>
      </c>
      <c r="L76" s="32">
        <f t="shared" si="14"/>
        <v>0</v>
      </c>
      <c r="M76" s="63"/>
      <c r="N76" s="64"/>
      <c r="O76" s="64"/>
      <c r="P76" s="64"/>
      <c r="Q76" s="65"/>
      <c r="R76" s="33">
        <f t="shared" si="10"/>
        <v>0</v>
      </c>
      <c r="S76" s="72">
        <f t="shared" si="6"/>
        <v>208776.28785894631</v>
      </c>
      <c r="T76" s="75"/>
      <c r="U76" s="4"/>
    </row>
    <row r="77" spans="1:21" ht="12.75" customHeight="1" x14ac:dyDescent="0.2">
      <c r="A77" s="52"/>
      <c r="B77" s="57"/>
      <c r="C77" s="54"/>
      <c r="D77" s="55"/>
      <c r="E77" s="56"/>
      <c r="F77" s="28">
        <f t="shared" si="8"/>
        <v>1.5</v>
      </c>
      <c r="G77" s="29">
        <f t="shared" si="8"/>
        <v>250</v>
      </c>
      <c r="H77" s="29">
        <f t="shared" si="11"/>
        <v>0</v>
      </c>
      <c r="I77" s="29">
        <f t="shared" si="9"/>
        <v>0</v>
      </c>
      <c r="J77" s="30">
        <f t="shared" si="12"/>
        <v>0</v>
      </c>
      <c r="K77" s="34">
        <f t="shared" si="13"/>
        <v>0</v>
      </c>
      <c r="L77" s="32">
        <f t="shared" si="14"/>
        <v>0</v>
      </c>
      <c r="M77" s="63"/>
      <c r="N77" s="64"/>
      <c r="O77" s="64"/>
      <c r="P77" s="64"/>
      <c r="Q77" s="65"/>
      <c r="R77" s="33">
        <f t="shared" si="10"/>
        <v>0</v>
      </c>
      <c r="S77" s="72">
        <f t="shared" si="6"/>
        <v>208776.28785894631</v>
      </c>
      <c r="T77" s="75"/>
      <c r="U77" s="4"/>
    </row>
    <row r="78" spans="1:21" ht="12.75" customHeight="1" x14ac:dyDescent="0.2">
      <c r="A78" s="52"/>
      <c r="B78" s="57"/>
      <c r="C78" s="54"/>
      <c r="D78" s="55"/>
      <c r="E78" s="56"/>
      <c r="F78" s="28">
        <f t="shared" si="8"/>
        <v>1.5</v>
      </c>
      <c r="G78" s="29">
        <f t="shared" si="8"/>
        <v>250</v>
      </c>
      <c r="H78" s="29">
        <f t="shared" si="11"/>
        <v>0</v>
      </c>
      <c r="I78" s="29">
        <f t="shared" si="9"/>
        <v>0</v>
      </c>
      <c r="J78" s="30">
        <f t="shared" si="12"/>
        <v>0</v>
      </c>
      <c r="K78" s="34">
        <f t="shared" si="13"/>
        <v>0</v>
      </c>
      <c r="L78" s="32">
        <f t="shared" si="14"/>
        <v>0</v>
      </c>
      <c r="M78" s="63"/>
      <c r="N78" s="64"/>
      <c r="O78" s="64"/>
      <c r="P78" s="64"/>
      <c r="Q78" s="65"/>
      <c r="R78" s="33">
        <f t="shared" si="10"/>
        <v>0</v>
      </c>
      <c r="S78" s="72">
        <f t="shared" si="6"/>
        <v>208776.28785894631</v>
      </c>
      <c r="T78" s="75"/>
      <c r="U78" s="4"/>
    </row>
    <row r="79" spans="1:21" ht="12.75" customHeight="1" x14ac:dyDescent="0.2">
      <c r="A79" s="52"/>
      <c r="B79" s="57"/>
      <c r="C79" s="54"/>
      <c r="D79" s="55"/>
      <c r="E79" s="56"/>
      <c r="F79" s="28">
        <f t="shared" si="8"/>
        <v>1.5</v>
      </c>
      <c r="G79" s="29">
        <f t="shared" si="8"/>
        <v>250</v>
      </c>
      <c r="H79" s="29">
        <f t="shared" si="11"/>
        <v>0</v>
      </c>
      <c r="I79" s="29">
        <f t="shared" si="9"/>
        <v>0</v>
      </c>
      <c r="J79" s="30">
        <f t="shared" si="12"/>
        <v>0</v>
      </c>
      <c r="K79" s="34">
        <f t="shared" si="13"/>
        <v>0</v>
      </c>
      <c r="L79" s="32">
        <f t="shared" si="14"/>
        <v>0</v>
      </c>
      <c r="M79" s="63"/>
      <c r="N79" s="64"/>
      <c r="O79" s="64"/>
      <c r="P79" s="64"/>
      <c r="Q79" s="65"/>
      <c r="R79" s="33">
        <f t="shared" si="10"/>
        <v>0</v>
      </c>
      <c r="S79" s="72">
        <f>S78+R79</f>
        <v>208776.28785894631</v>
      </c>
      <c r="T79" s="76"/>
      <c r="U79" s="4"/>
    </row>
    <row r="80" spans="1:21" ht="12.75" customHeight="1" thickBot="1" x14ac:dyDescent="0.25">
      <c r="A80" s="58"/>
      <c r="B80" s="59"/>
      <c r="C80" s="60"/>
      <c r="D80" s="61"/>
      <c r="E80" s="62"/>
      <c r="F80" s="28">
        <f t="shared" si="8"/>
        <v>1.5</v>
      </c>
      <c r="G80" s="29">
        <f t="shared" si="8"/>
        <v>250</v>
      </c>
      <c r="H80" s="35">
        <f t="shared" si="11"/>
        <v>0</v>
      </c>
      <c r="I80" s="35">
        <f t="shared" si="9"/>
        <v>0</v>
      </c>
      <c r="J80" s="36">
        <f t="shared" si="12"/>
        <v>0</v>
      </c>
      <c r="K80" s="37">
        <f t="shared" si="13"/>
        <v>0</v>
      </c>
      <c r="L80" s="38">
        <f t="shared" si="14"/>
        <v>0</v>
      </c>
      <c r="M80" s="66"/>
      <c r="N80" s="67"/>
      <c r="O80" s="67"/>
      <c r="P80" s="67"/>
      <c r="Q80" s="68"/>
      <c r="R80" s="39">
        <f t="shared" si="10"/>
        <v>0</v>
      </c>
      <c r="S80" s="73">
        <f>S79+R80</f>
        <v>208776.28785894631</v>
      </c>
      <c r="T80" s="77"/>
      <c r="U80" s="4"/>
    </row>
    <row r="81" spans="1:22" ht="12.75" customHeight="1" thickTop="1" x14ac:dyDescent="0.2">
      <c r="A81" s="4"/>
      <c r="B81" s="4"/>
      <c r="C81" s="4"/>
      <c r="D81" s="4"/>
      <c r="E81" s="4"/>
      <c r="F81" s="4"/>
      <c r="G81" s="4"/>
      <c r="H81" s="4"/>
      <c r="I81" s="4"/>
      <c r="J81" s="4"/>
      <c r="K81" s="4"/>
      <c r="L81" s="4"/>
      <c r="M81" s="4"/>
      <c r="N81" s="4"/>
      <c r="O81" s="4"/>
      <c r="P81" s="4"/>
      <c r="Q81" s="4"/>
      <c r="R81" s="4"/>
      <c r="S81" s="40">
        <f>S80/100000</f>
        <v>2.0877628785894631</v>
      </c>
      <c r="T81" s="4" t="s">
        <v>34</v>
      </c>
      <c r="U81" s="4"/>
    </row>
    <row r="82" spans="1:22" ht="12.75" customHeight="1" x14ac:dyDescent="0.2">
      <c r="A82" s="4"/>
      <c r="B82" s="41"/>
      <c r="C82" s="4"/>
      <c r="D82" s="4"/>
      <c r="E82" s="4"/>
      <c r="F82" s="4"/>
      <c r="G82" s="4"/>
      <c r="H82" s="4"/>
      <c r="I82" s="4"/>
      <c r="J82" s="4"/>
      <c r="K82" s="4"/>
      <c r="L82" s="4"/>
      <c r="M82" s="42">
        <f>((3.14*(C15/1000)*(C15/1000))/4)*1000*M15</f>
        <v>785.00000000000011</v>
      </c>
      <c r="N82" s="42" t="s">
        <v>35</v>
      </c>
      <c r="O82" s="42"/>
      <c r="P82" s="4"/>
      <c r="Q82" s="4"/>
      <c r="R82" s="43">
        <v>0.2</v>
      </c>
      <c r="S82" s="44">
        <f>S81*1.2</f>
        <v>2.5053154543073557</v>
      </c>
      <c r="T82" s="4" t="s">
        <v>34</v>
      </c>
      <c r="U82" s="4"/>
    </row>
    <row r="83" spans="1:22" ht="12.75" customHeight="1" x14ac:dyDescent="0.2">
      <c r="A83" s="45"/>
      <c r="B83" s="4"/>
      <c r="C83" s="4"/>
      <c r="D83" s="4"/>
      <c r="E83" s="4"/>
      <c r="F83" s="4"/>
      <c r="G83" s="4"/>
      <c r="H83" s="4"/>
      <c r="I83" s="4"/>
      <c r="J83" s="4"/>
      <c r="K83" s="4"/>
      <c r="L83" s="4"/>
      <c r="M83" s="4"/>
      <c r="N83" s="4"/>
      <c r="O83" s="4"/>
      <c r="P83" s="4"/>
      <c r="Q83" s="4"/>
      <c r="R83" s="4"/>
      <c r="S83" s="4"/>
      <c r="T83" s="4"/>
      <c r="U83" s="4"/>
    </row>
    <row r="84" spans="1:22" ht="12.75" customHeight="1" x14ac:dyDescent="0.2">
      <c r="A84" s="45"/>
      <c r="B84" s="4"/>
      <c r="C84" s="4"/>
      <c r="D84" s="4"/>
      <c r="E84" s="4"/>
      <c r="F84" s="4"/>
      <c r="G84" s="4"/>
      <c r="H84" s="4"/>
      <c r="I84" s="4"/>
      <c r="J84" s="4"/>
      <c r="K84" s="4"/>
      <c r="L84" s="4"/>
      <c r="M84" s="4"/>
      <c r="N84" s="4"/>
      <c r="O84" s="4"/>
      <c r="P84" s="4"/>
      <c r="Q84" s="4"/>
      <c r="R84" s="46" t="s">
        <v>56</v>
      </c>
      <c r="S84" s="4"/>
      <c r="T84" s="4"/>
      <c r="U84" s="4"/>
    </row>
    <row r="85" spans="1:22" ht="12.75" customHeight="1" x14ac:dyDescent="0.2">
      <c r="A85" s="45"/>
      <c r="O85" s="4"/>
      <c r="P85" s="4"/>
      <c r="Q85" s="4"/>
      <c r="R85" s="4"/>
      <c r="S85" s="4"/>
      <c r="T85" s="4"/>
      <c r="U85" s="4"/>
    </row>
    <row r="86" spans="1:22" ht="12.75" customHeight="1" thickBot="1" x14ac:dyDescent="0.25">
      <c r="A86" s="4"/>
      <c r="O86" s="4"/>
      <c r="P86" s="4"/>
      <c r="Q86" s="4"/>
      <c r="R86" s="4"/>
      <c r="S86" s="4"/>
      <c r="T86" s="4"/>
      <c r="U86" s="4"/>
    </row>
    <row r="87" spans="1:22" ht="12.75" customHeight="1" x14ac:dyDescent="0.2">
      <c r="A87" s="4"/>
      <c r="B87" s="78" t="s">
        <v>54</v>
      </c>
      <c r="C87" s="79"/>
      <c r="D87" s="79"/>
      <c r="E87" s="79"/>
      <c r="F87" s="79"/>
      <c r="G87" s="79"/>
      <c r="H87" s="79"/>
      <c r="I87" s="79"/>
      <c r="J87" s="79"/>
      <c r="K87" s="79"/>
      <c r="L87" s="79"/>
      <c r="M87" s="79"/>
      <c r="N87" s="80"/>
      <c r="O87" s="4"/>
      <c r="P87" s="4"/>
      <c r="Q87" s="4"/>
      <c r="R87" s="4"/>
      <c r="S87" s="4"/>
      <c r="T87" s="4"/>
      <c r="U87" s="4"/>
    </row>
    <row r="88" spans="1:22" ht="12.75" customHeight="1" x14ac:dyDescent="0.2">
      <c r="A88" s="4"/>
      <c r="B88" s="81"/>
      <c r="C88" s="82"/>
      <c r="D88" s="4"/>
      <c r="E88" s="4"/>
      <c r="F88" s="4"/>
      <c r="G88" s="4"/>
      <c r="H88" s="4"/>
      <c r="I88" s="4"/>
      <c r="J88" s="4"/>
      <c r="K88" s="4"/>
      <c r="L88" s="4"/>
      <c r="M88" s="4"/>
      <c r="N88" s="83"/>
      <c r="O88" s="4"/>
      <c r="P88" s="4"/>
      <c r="Q88" s="4"/>
      <c r="R88" s="4"/>
      <c r="S88" s="4"/>
      <c r="T88" s="4"/>
      <c r="U88" s="4"/>
    </row>
    <row r="89" spans="1:22" ht="12.75" customHeight="1" x14ac:dyDescent="0.2">
      <c r="A89" s="4"/>
      <c r="B89" s="81"/>
      <c r="C89" s="4" t="s">
        <v>36</v>
      </c>
      <c r="D89" s="4"/>
      <c r="E89" s="4"/>
      <c r="F89" s="4"/>
      <c r="G89" s="4"/>
      <c r="H89" s="4"/>
      <c r="I89" s="4" t="s">
        <v>37</v>
      </c>
      <c r="J89" s="4">
        <v>300</v>
      </c>
      <c r="K89" s="4"/>
      <c r="L89" s="4"/>
      <c r="M89" s="4"/>
      <c r="N89" s="83"/>
      <c r="O89" s="4"/>
      <c r="P89" s="4"/>
      <c r="Q89" s="4"/>
      <c r="R89" s="4"/>
      <c r="S89" s="4"/>
      <c r="T89" s="4"/>
      <c r="U89" s="4"/>
    </row>
    <row r="90" spans="1:22" ht="12.75" customHeight="1" thickBot="1" x14ac:dyDescent="0.25">
      <c r="A90" s="4"/>
      <c r="B90" s="81"/>
      <c r="C90" s="46"/>
      <c r="D90" s="4"/>
      <c r="E90" s="4"/>
      <c r="F90" s="4"/>
      <c r="G90" s="4"/>
      <c r="H90" s="4"/>
      <c r="I90" s="4" t="s">
        <v>38</v>
      </c>
      <c r="J90" s="4">
        <v>12</v>
      </c>
      <c r="K90" s="4" t="s">
        <v>39</v>
      </c>
      <c r="L90" s="4"/>
      <c r="M90" s="4"/>
      <c r="N90" s="83"/>
      <c r="O90" s="4"/>
      <c r="P90" s="4"/>
      <c r="Q90" s="4"/>
      <c r="R90" s="4"/>
      <c r="S90" s="4"/>
      <c r="T90" s="4"/>
      <c r="U90" s="4"/>
    </row>
    <row r="91" spans="1:22" ht="12.75" customHeight="1" thickBot="1" x14ac:dyDescent="0.25">
      <c r="A91" s="4"/>
      <c r="B91" s="81"/>
      <c r="C91" s="4"/>
      <c r="D91" s="4"/>
      <c r="E91" s="4"/>
      <c r="F91" s="4"/>
      <c r="G91" s="4"/>
      <c r="H91" s="4"/>
      <c r="I91" s="4" t="s">
        <v>40</v>
      </c>
      <c r="J91" s="47">
        <f>(J89*J90)/1000</f>
        <v>3.6</v>
      </c>
      <c r="K91" s="4" t="s">
        <v>41</v>
      </c>
      <c r="L91" s="4"/>
      <c r="M91" s="4"/>
      <c r="N91" s="83"/>
      <c r="O91" s="4"/>
      <c r="P91" s="4"/>
      <c r="Q91" s="4"/>
      <c r="R91" s="4"/>
      <c r="S91" s="4"/>
      <c r="T91" s="4"/>
      <c r="U91" s="4"/>
    </row>
    <row r="92" spans="1:22" ht="12.75" customHeight="1" thickBot="1" x14ac:dyDescent="0.25">
      <c r="A92" s="4"/>
      <c r="B92" s="81"/>
      <c r="C92" s="4"/>
      <c r="D92" s="4"/>
      <c r="E92" s="4"/>
      <c r="F92" s="4"/>
      <c r="G92" s="4"/>
      <c r="H92" s="45" t="s">
        <v>42</v>
      </c>
      <c r="I92" s="48">
        <v>0.2</v>
      </c>
      <c r="J92" s="49">
        <f>(J91*(1+I92))</f>
        <v>4.32</v>
      </c>
      <c r="K92" s="4" t="s">
        <v>41</v>
      </c>
      <c r="L92" s="4"/>
      <c r="M92" s="4"/>
      <c r="N92" s="83"/>
      <c r="O92" s="4"/>
      <c r="P92" s="4"/>
      <c r="Q92" s="4"/>
      <c r="R92" s="4"/>
      <c r="S92" s="4"/>
      <c r="T92" s="4"/>
      <c r="U92" s="4"/>
    </row>
    <row r="93" spans="1:22" ht="12.75" customHeight="1" x14ac:dyDescent="0.2">
      <c r="A93" s="4"/>
      <c r="B93" s="81"/>
      <c r="C93" s="46"/>
      <c r="D93" s="4"/>
      <c r="E93" s="4"/>
      <c r="F93" s="4"/>
      <c r="G93" s="4"/>
      <c r="H93" s="45" t="s">
        <v>43</v>
      </c>
      <c r="I93" s="50">
        <v>5</v>
      </c>
      <c r="J93" s="40">
        <f>J92/(4.2*I93)</f>
        <v>0.20571428571428574</v>
      </c>
      <c r="K93" s="4" t="s">
        <v>44</v>
      </c>
      <c r="L93" s="4"/>
      <c r="M93" s="4"/>
      <c r="N93" s="83"/>
      <c r="O93" s="40"/>
      <c r="P93" s="40"/>
      <c r="Q93" s="40"/>
      <c r="R93" s="40"/>
      <c r="S93" s="40"/>
      <c r="T93" s="40"/>
      <c r="U93" s="40"/>
      <c r="V93" s="2"/>
    </row>
    <row r="94" spans="1:22" ht="12.75" customHeight="1" x14ac:dyDescent="0.2">
      <c r="A94" s="4"/>
      <c r="B94" s="81"/>
      <c r="C94" s="4"/>
      <c r="D94" s="4"/>
      <c r="E94" s="4"/>
      <c r="F94" s="4"/>
      <c r="G94" s="4"/>
      <c r="H94" s="45" t="s">
        <v>45</v>
      </c>
      <c r="I94" s="50">
        <v>250</v>
      </c>
      <c r="J94" s="4">
        <f>(J89*I94)/1000</f>
        <v>75</v>
      </c>
      <c r="K94" s="4" t="s">
        <v>46</v>
      </c>
      <c r="L94" s="4"/>
      <c r="M94" s="4"/>
      <c r="N94" s="83"/>
      <c r="O94" s="40"/>
      <c r="P94" s="40"/>
      <c r="Q94" s="40"/>
      <c r="R94" s="40"/>
      <c r="S94" s="40"/>
      <c r="T94" s="40"/>
      <c r="U94" s="40"/>
      <c r="V94" s="2"/>
    </row>
    <row r="95" spans="1:22" ht="12.75" customHeight="1" x14ac:dyDescent="0.2">
      <c r="A95" s="4"/>
      <c r="B95" s="81"/>
      <c r="C95" s="4"/>
      <c r="D95" s="4"/>
      <c r="E95" s="4"/>
      <c r="F95" s="4"/>
      <c r="G95" s="4"/>
      <c r="H95" s="4"/>
      <c r="I95" s="4"/>
      <c r="J95" s="46" t="s">
        <v>47</v>
      </c>
      <c r="K95" s="4"/>
      <c r="L95" s="4"/>
      <c r="M95" s="4"/>
      <c r="N95" s="84"/>
      <c r="O95" s="40"/>
      <c r="P95" s="51"/>
      <c r="Q95" s="40"/>
      <c r="R95" s="40"/>
      <c r="S95" s="40"/>
      <c r="T95" s="40"/>
      <c r="U95" s="40"/>
      <c r="V95" s="2"/>
    </row>
    <row r="96" spans="1:22" ht="12.75" customHeight="1" thickBot="1" x14ac:dyDescent="0.25">
      <c r="B96" s="85"/>
      <c r="C96" s="86"/>
      <c r="D96" s="86"/>
      <c r="E96" s="86"/>
      <c r="F96" s="86"/>
      <c r="G96" s="86"/>
      <c r="H96" s="86"/>
      <c r="I96" s="86"/>
      <c r="J96" s="86"/>
      <c r="K96" s="86"/>
      <c r="L96" s="86"/>
      <c r="M96" s="86"/>
      <c r="N96" s="87"/>
      <c r="O96" s="2"/>
      <c r="P96" s="3"/>
      <c r="Q96" s="2"/>
      <c r="R96" s="2"/>
      <c r="S96" s="2"/>
      <c r="T96" s="2"/>
      <c r="U96" s="2"/>
      <c r="V96" s="2"/>
    </row>
    <row r="97" spans="1:22" ht="12.75" customHeight="1" x14ac:dyDescent="0.2">
      <c r="A97" s="1" t="s">
        <v>55</v>
      </c>
      <c r="N97" s="2"/>
      <c r="O97" s="2"/>
      <c r="P97" s="3"/>
      <c r="Q97" s="2"/>
      <c r="R97" s="2"/>
      <c r="S97" s="2"/>
      <c r="T97" s="2"/>
      <c r="U97" s="2"/>
      <c r="V97" s="2"/>
    </row>
    <row r="98" spans="1:22" ht="12.75" customHeight="1" x14ac:dyDescent="0.2">
      <c r="N98" s="2"/>
      <c r="O98" s="2"/>
      <c r="P98" s="2"/>
      <c r="Q98" s="2"/>
      <c r="R98" s="2"/>
      <c r="S98" s="2"/>
      <c r="T98" s="2"/>
      <c r="U98" s="2"/>
      <c r="V98" s="2"/>
    </row>
    <row r="99" spans="1:22" ht="12.75" customHeight="1" x14ac:dyDescent="0.2">
      <c r="N99" s="2"/>
      <c r="O99" s="2"/>
      <c r="P99" s="2"/>
      <c r="Q99" s="2"/>
      <c r="R99" s="2"/>
      <c r="S99" s="2"/>
      <c r="T99" s="2"/>
      <c r="U99" s="2"/>
      <c r="V99" s="2"/>
    </row>
    <row r="100" spans="1:22" ht="12.75" customHeight="1" x14ac:dyDescent="0.2">
      <c r="N100" s="2"/>
      <c r="O100" s="2"/>
      <c r="P100" s="2"/>
      <c r="Q100" s="2"/>
      <c r="R100" s="2"/>
      <c r="S100" s="2"/>
      <c r="T100" s="2"/>
      <c r="U100" s="2"/>
      <c r="V100" s="2"/>
    </row>
    <row r="101" spans="1:22" ht="12.75" customHeight="1" x14ac:dyDescent="0.2">
      <c r="N101" s="2"/>
      <c r="O101" s="2"/>
      <c r="P101" s="2"/>
      <c r="Q101" s="2"/>
      <c r="R101" s="2"/>
      <c r="S101" s="2"/>
      <c r="T101" s="2"/>
      <c r="U101" s="2"/>
      <c r="V101" s="2"/>
    </row>
    <row r="102" spans="1:22" ht="12.75" customHeight="1" x14ac:dyDescent="0.2">
      <c r="N102" s="2"/>
      <c r="O102" s="2"/>
      <c r="P102" s="2"/>
      <c r="Q102" s="2"/>
      <c r="R102" s="2"/>
      <c r="S102" s="2"/>
      <c r="T102" s="2"/>
      <c r="U102" s="2"/>
      <c r="V102" s="2"/>
    </row>
    <row r="103" spans="1:22" ht="12.75" customHeight="1" x14ac:dyDescent="0.2">
      <c r="N103" s="2"/>
      <c r="O103" s="2"/>
      <c r="P103" s="2"/>
      <c r="Q103" s="2"/>
      <c r="R103" s="2"/>
      <c r="S103" s="2"/>
      <c r="T103" s="2"/>
      <c r="U103" s="2"/>
      <c r="V103" s="2"/>
    </row>
    <row r="104" spans="1:22" ht="12.75" customHeight="1" x14ac:dyDescent="0.2">
      <c r="N104" s="2"/>
      <c r="O104" s="2"/>
      <c r="P104" s="2"/>
      <c r="Q104" s="2"/>
      <c r="R104" s="2"/>
      <c r="S104" s="2"/>
      <c r="T104" s="2"/>
      <c r="U104" s="2"/>
      <c r="V104" s="2"/>
    </row>
    <row r="105" spans="1:22" ht="12.75" customHeight="1" x14ac:dyDescent="0.2">
      <c r="N105" s="2"/>
      <c r="O105" s="2"/>
      <c r="P105" s="2"/>
      <c r="Q105" s="2"/>
      <c r="R105" s="2"/>
      <c r="S105" s="2"/>
      <c r="T105" s="2"/>
      <c r="U105" s="2"/>
      <c r="V105" s="2"/>
    </row>
    <row r="106" spans="1:22" ht="12.75" customHeight="1" x14ac:dyDescent="0.2">
      <c r="N106" s="2"/>
      <c r="O106" s="2"/>
      <c r="P106" s="2"/>
      <c r="Q106" s="2"/>
      <c r="R106" s="2"/>
      <c r="S106" s="2"/>
      <c r="T106" s="2"/>
      <c r="U106" s="2"/>
      <c r="V106" s="2"/>
    </row>
    <row r="107" spans="1:22" ht="12.75" customHeight="1" x14ac:dyDescent="0.2">
      <c r="N107" s="2"/>
      <c r="O107" s="2"/>
      <c r="P107" s="2"/>
      <c r="Q107" s="2"/>
      <c r="R107" s="2"/>
      <c r="S107" s="2"/>
      <c r="T107" s="2"/>
      <c r="U107" s="2"/>
      <c r="V107" s="2"/>
    </row>
  </sheetData>
  <mergeCells count="36">
    <mergeCell ref="A8:C8"/>
    <mergeCell ref="D8:J8"/>
    <mergeCell ref="L8:M8"/>
    <mergeCell ref="A6:C6"/>
    <mergeCell ref="D6:J6"/>
    <mergeCell ref="A7:C7"/>
    <mergeCell ref="D7:J7"/>
    <mergeCell ref="L7:M7"/>
    <mergeCell ref="A9:C9"/>
    <mergeCell ref="D9:J9"/>
    <mergeCell ref="L9:M9"/>
    <mergeCell ref="A10:C10"/>
    <mergeCell ref="D10:J10"/>
    <mergeCell ref="L10:M10"/>
    <mergeCell ref="P12:P13"/>
    <mergeCell ref="A11:E11"/>
    <mergeCell ref="H11:L11"/>
    <mergeCell ref="M11:Q11"/>
    <mergeCell ref="R11:S11"/>
    <mergeCell ref="A12:A13"/>
    <mergeCell ref="B12:B13"/>
    <mergeCell ref="C12:C13"/>
    <mergeCell ref="H12:H13"/>
    <mergeCell ref="I12:I13"/>
    <mergeCell ref="J12:J13"/>
    <mergeCell ref="K12:K13"/>
    <mergeCell ref="L12:L13"/>
    <mergeCell ref="M12:M13"/>
    <mergeCell ref="N12:N13"/>
    <mergeCell ref="O12:O13"/>
    <mergeCell ref="Q12:Q13"/>
    <mergeCell ref="R12:R13"/>
    <mergeCell ref="S12:S13"/>
    <mergeCell ref="X2:Y9"/>
    <mergeCell ref="T1:T5"/>
    <mergeCell ref="T12:T13"/>
  </mergeCells>
  <conditionalFormatting sqref="J47:J81 J14:J44">
    <cfRule type="cellIs" dxfId="0" priority="1" stopIfTrue="1" operator="greaterThan">
      <formula>G14</formula>
    </cfRule>
  </conditionalFormatting>
  <pageMargins left="0.59055118110236227" right="0.59055118110236227" top="0.59055118110236227" bottom="0.59055118110236227" header="0.31496062992125984" footer="0.31496062992125984"/>
  <pageSetup paperSize="9" scale="68" orientation="landscape" r:id="rId1"/>
  <headerFooter alignWithMargins="0">
    <oddHeader>&amp;L&amp;"Arial,Bold"Pipe Sizing / Pump Sizing Calculation C1</oddHeader>
    <oddFooter>&amp;RPage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Group Box 1">
              <controlPr defaultSize="0" autoFill="0" autoPict="0">
                <anchor moveWithCells="1">
                  <from>
                    <xdr:col>13</xdr:col>
                    <xdr:colOff>304800</xdr:colOff>
                    <xdr:row>5</xdr:row>
                    <xdr:rowOff>85725</xdr:rowOff>
                  </from>
                  <to>
                    <xdr:col>14</xdr:col>
                    <xdr:colOff>542925</xdr:colOff>
                    <xdr:row>9</xdr:row>
                    <xdr:rowOff>76200</xdr:rowOff>
                  </to>
                </anchor>
              </controlPr>
            </control>
          </mc:Choice>
        </mc:AlternateContent>
        <mc:AlternateContent xmlns:mc="http://schemas.openxmlformats.org/markup-compatibility/2006">
          <mc:Choice Requires="x14">
            <control shapeId="14338" r:id="rId5" name="option11">
              <controlPr defaultSize="0" autoFill="0" autoLine="0" autoPict="0" macro="[0]!option11_Click">
                <anchor moveWithCells="1">
                  <from>
                    <xdr:col>13</xdr:col>
                    <xdr:colOff>466725</xdr:colOff>
                    <xdr:row>5</xdr:row>
                    <xdr:rowOff>200025</xdr:rowOff>
                  </from>
                  <to>
                    <xdr:col>14</xdr:col>
                    <xdr:colOff>447675</xdr:colOff>
                    <xdr:row>7</xdr:row>
                    <xdr:rowOff>0</xdr:rowOff>
                  </to>
                </anchor>
              </controlPr>
            </control>
          </mc:Choice>
        </mc:AlternateContent>
        <mc:AlternateContent xmlns:mc="http://schemas.openxmlformats.org/markup-compatibility/2006">
          <mc:Choice Requires="x14">
            <control shapeId="14339" r:id="rId6" name="option12">
              <controlPr defaultSize="0" autoFill="0" autoLine="0" autoPict="0" macro="[0]!Module2.option12_Click">
                <anchor moveWithCells="1">
                  <from>
                    <xdr:col>13</xdr:col>
                    <xdr:colOff>466725</xdr:colOff>
                    <xdr:row>6</xdr:row>
                    <xdr:rowOff>228600</xdr:rowOff>
                  </from>
                  <to>
                    <xdr:col>14</xdr:col>
                    <xdr:colOff>466725</xdr:colOff>
                    <xdr:row>8</xdr:row>
                    <xdr:rowOff>28575</xdr:rowOff>
                  </to>
                </anchor>
              </controlPr>
            </control>
          </mc:Choice>
        </mc:AlternateContent>
        <mc:AlternateContent xmlns:mc="http://schemas.openxmlformats.org/markup-compatibility/2006">
          <mc:Choice Requires="x14">
            <control shapeId="14340" r:id="rId7" name="option13">
              <controlPr defaultSize="0" autoFill="0" autoLine="0" autoPict="0" macro="[0]!option13_Click">
                <anchor moveWithCells="1">
                  <from>
                    <xdr:col>13</xdr:col>
                    <xdr:colOff>466725</xdr:colOff>
                    <xdr:row>8</xdr:row>
                    <xdr:rowOff>9525</xdr:rowOff>
                  </from>
                  <to>
                    <xdr:col>14</xdr:col>
                    <xdr:colOff>466725</xdr:colOff>
                    <xdr:row>9</xdr:row>
                    <xdr:rowOff>47625</xdr:rowOff>
                  </to>
                </anchor>
              </controlPr>
            </control>
          </mc:Choice>
        </mc:AlternateContent>
        <mc:AlternateContent xmlns:mc="http://schemas.openxmlformats.org/markup-compatibility/2006">
          <mc:Choice Requires="x14">
            <control shapeId="14341" r:id="rId8" name="Group Box 5">
              <controlPr defaultSize="0" autoFill="0" autoPict="0">
                <anchor moveWithCells="1">
                  <from>
                    <xdr:col>14</xdr:col>
                    <xdr:colOff>600075</xdr:colOff>
                    <xdr:row>5</xdr:row>
                    <xdr:rowOff>85725</xdr:rowOff>
                  </from>
                  <to>
                    <xdr:col>16</xdr:col>
                    <xdr:colOff>161925</xdr:colOff>
                    <xdr:row>9</xdr:row>
                    <xdr:rowOff>76200</xdr:rowOff>
                  </to>
                </anchor>
              </controlPr>
            </control>
          </mc:Choice>
        </mc:AlternateContent>
        <mc:AlternateContent xmlns:mc="http://schemas.openxmlformats.org/markup-compatibility/2006">
          <mc:Choice Requires="x14">
            <control shapeId="14342" r:id="rId9" name="option21">
              <controlPr defaultSize="0" autoFill="0" autoLine="0" autoPict="0">
                <anchor moveWithCells="1">
                  <from>
                    <xdr:col>14</xdr:col>
                    <xdr:colOff>676275</xdr:colOff>
                    <xdr:row>5</xdr:row>
                    <xdr:rowOff>200025</xdr:rowOff>
                  </from>
                  <to>
                    <xdr:col>16</xdr:col>
                    <xdr:colOff>57150</xdr:colOff>
                    <xdr:row>7</xdr:row>
                    <xdr:rowOff>0</xdr:rowOff>
                  </to>
                </anchor>
              </controlPr>
            </control>
          </mc:Choice>
        </mc:AlternateContent>
        <mc:AlternateContent xmlns:mc="http://schemas.openxmlformats.org/markup-compatibility/2006">
          <mc:Choice Requires="x14">
            <control shapeId="14343" r:id="rId10" name="option22">
              <controlPr defaultSize="0" autoFill="0" autoLine="0" autoPict="0">
                <anchor moveWithCells="1">
                  <from>
                    <xdr:col>14</xdr:col>
                    <xdr:colOff>676275</xdr:colOff>
                    <xdr:row>6</xdr:row>
                    <xdr:rowOff>228600</xdr:rowOff>
                  </from>
                  <to>
                    <xdr:col>16</xdr:col>
                    <xdr:colOff>76200</xdr:colOff>
                    <xdr:row>8</xdr:row>
                    <xdr:rowOff>28575</xdr:rowOff>
                  </to>
                </anchor>
              </controlPr>
            </control>
          </mc:Choice>
        </mc:AlternateContent>
        <mc:AlternateContent xmlns:mc="http://schemas.openxmlformats.org/markup-compatibility/2006">
          <mc:Choice Requires="x14">
            <control shapeId="14344" r:id="rId11" name="option23">
              <controlPr defaultSize="0" autoFill="0" autoLine="0" autoPict="0">
                <anchor moveWithCells="1">
                  <from>
                    <xdr:col>14</xdr:col>
                    <xdr:colOff>676275</xdr:colOff>
                    <xdr:row>8</xdr:row>
                    <xdr:rowOff>9525</xdr:rowOff>
                  </from>
                  <to>
                    <xdr:col>16</xdr:col>
                    <xdr:colOff>76200</xdr:colOff>
                    <xdr:row>9</xdr:row>
                    <xdr:rowOff>47625</xdr:rowOff>
                  </to>
                </anchor>
              </controlPr>
            </control>
          </mc:Choice>
        </mc:AlternateContent>
        <mc:AlternateContent xmlns:mc="http://schemas.openxmlformats.org/markup-compatibility/2006">
          <mc:Choice Requires="x14">
            <control shapeId="14345" r:id="rId12" name="Group Box 9">
              <controlPr defaultSize="0" autoFill="0" autoPict="0" altText="WaterTemp.">
                <anchor moveWithCells="1">
                  <from>
                    <xdr:col>16</xdr:col>
                    <xdr:colOff>219075</xdr:colOff>
                    <xdr:row>5</xdr:row>
                    <xdr:rowOff>85725</xdr:rowOff>
                  </from>
                  <to>
                    <xdr:col>17</xdr:col>
                    <xdr:colOff>514350</xdr:colOff>
                    <xdr:row>9</xdr:row>
                    <xdr:rowOff>76200</xdr:rowOff>
                  </to>
                </anchor>
              </controlPr>
            </control>
          </mc:Choice>
        </mc:AlternateContent>
        <mc:AlternateContent xmlns:mc="http://schemas.openxmlformats.org/markup-compatibility/2006">
          <mc:Choice Requires="x14">
            <control shapeId="14346" r:id="rId13" name="option31">
              <controlPr defaultSize="0" autoFill="0" autoLine="0" autoPict="0">
                <anchor moveWithCells="1">
                  <from>
                    <xdr:col>16</xdr:col>
                    <xdr:colOff>438150</xdr:colOff>
                    <xdr:row>5</xdr:row>
                    <xdr:rowOff>200025</xdr:rowOff>
                  </from>
                  <to>
                    <xdr:col>17</xdr:col>
                    <xdr:colOff>504825</xdr:colOff>
                    <xdr:row>7</xdr:row>
                    <xdr:rowOff>0</xdr:rowOff>
                  </to>
                </anchor>
              </controlPr>
            </control>
          </mc:Choice>
        </mc:AlternateContent>
        <mc:AlternateContent xmlns:mc="http://schemas.openxmlformats.org/markup-compatibility/2006">
          <mc:Choice Requires="x14">
            <control shapeId="14347" r:id="rId14" name="option32">
              <controlPr defaultSize="0" autoFill="0" autoLine="0" autoPict="0">
                <anchor moveWithCells="1">
                  <from>
                    <xdr:col>16</xdr:col>
                    <xdr:colOff>438150</xdr:colOff>
                    <xdr:row>7</xdr:row>
                    <xdr:rowOff>0</xdr:rowOff>
                  </from>
                  <to>
                    <xdr:col>17</xdr:col>
                    <xdr:colOff>504825</xdr:colOff>
                    <xdr:row>8</xdr:row>
                    <xdr:rowOff>28575</xdr:rowOff>
                  </to>
                </anchor>
              </controlPr>
            </control>
          </mc:Choice>
        </mc:AlternateContent>
        <mc:AlternateContent xmlns:mc="http://schemas.openxmlformats.org/markup-compatibility/2006">
          <mc:Choice Requires="x14">
            <control shapeId="14348" r:id="rId15" name="option33">
              <controlPr defaultSize="0" autoFill="0" autoLine="0" autoPict="0">
                <anchor moveWithCells="1">
                  <from>
                    <xdr:col>16</xdr:col>
                    <xdr:colOff>438150</xdr:colOff>
                    <xdr:row>8</xdr:row>
                    <xdr:rowOff>9525</xdr:rowOff>
                  </from>
                  <to>
                    <xdr:col>17</xdr:col>
                    <xdr:colOff>504825</xdr:colOff>
                    <xdr:row>9</xdr:row>
                    <xdr:rowOff>47625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602292AB956749AB9C07AF01C808F9" ma:contentTypeVersion="16" ma:contentTypeDescription="Create a new document." ma:contentTypeScope="" ma:versionID="4086f2386d1ad140127a4356c269a753">
  <xsd:schema xmlns:xsd="http://www.w3.org/2001/XMLSchema" xmlns:xs="http://www.w3.org/2001/XMLSchema" xmlns:p="http://schemas.microsoft.com/office/2006/metadata/properties" xmlns:ns2="5b4cc71f-4036-4581-85c7-a4481d742ec8" xmlns:ns3="95e576bc-9f64-4b26-b4d8-385686323516" targetNamespace="http://schemas.microsoft.com/office/2006/metadata/properties" ma:root="true" ma:fieldsID="d11583ff8fc4bfc515b54c1d527b21dd" ns2:_="" ns3:_="">
    <xsd:import namespace="5b4cc71f-4036-4581-85c7-a4481d742ec8"/>
    <xsd:import namespace="95e576bc-9f64-4b26-b4d8-38568632351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ObjectDetectorVersion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b4cc71f-4036-4581-85c7-a4481d742ec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709e456-5b94-4878-aa1d-29a5f62fa0c5"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MediaLengthInSeconds" ma:index="23"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95e576bc-9f64-4b26-b4d8-38568632351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d2579d81-cf07-481f-90d4-97df996dfe5e}" ma:internalName="TaxCatchAll" ma:showField="CatchAllData" ma:web="95e576bc-9f64-4b26-b4d8-38568632351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LongProperties xmlns="http://schemas.microsoft.com/office/2006/metadata/longProperti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b4cc71f-4036-4581-85c7-a4481d742ec8">
      <Terms xmlns="http://schemas.microsoft.com/office/infopath/2007/PartnerControls"/>
    </lcf76f155ced4ddcb4097134ff3c332f>
    <TaxCatchAll xmlns="95e576bc-9f64-4b26-b4d8-385686323516" xsi:nil="true"/>
    <SharedWithUsers xmlns="95e576bc-9f64-4b26-b4d8-385686323516">
      <UserInfo>
        <DisplayName/>
        <AccountId xsi:nil="true"/>
        <AccountType/>
      </UserInfo>
    </SharedWithUser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8D65E03-0940-4FD2-BCE0-0B699F08D2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b4cc71f-4036-4581-85c7-a4481d742ec8"/>
    <ds:schemaRef ds:uri="95e576bc-9f64-4b26-b4d8-38568632351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83DBBA-8B80-4163-BFB9-9577DD7DB2BC}">
  <ds:schemaRefs>
    <ds:schemaRef ds:uri="http://schemas.microsoft.com/office/2006/metadata/longProperties"/>
  </ds:schemaRefs>
</ds:datastoreItem>
</file>

<file path=customXml/itemProps3.xml><?xml version="1.0" encoding="utf-8"?>
<ds:datastoreItem xmlns:ds="http://schemas.openxmlformats.org/officeDocument/2006/customXml" ds:itemID="{BA6CDBF5-7465-48AC-8425-0115BAB674C4}">
  <ds:schemaRefs>
    <ds:schemaRef ds:uri="http://schemas.microsoft.com/office/2006/metadata/properties"/>
    <ds:schemaRef ds:uri="http://purl.org/dc/terms/"/>
    <ds:schemaRef ds:uri="f958eb6a-8018-439d-a122-07974d7873c0"/>
    <ds:schemaRef ds:uri="http://purl.org/dc/dcmitype/"/>
    <ds:schemaRef ds:uri="http://schemas.microsoft.com/office/2006/documentManagement/types"/>
    <ds:schemaRef ds:uri="http://purl.org/dc/elements/1.1/"/>
    <ds:schemaRef ds:uri="http://schemas.openxmlformats.org/package/2006/metadata/core-properties"/>
    <ds:schemaRef ds:uri="http://schemas.microsoft.com/office/infopath/2007/PartnerControls"/>
    <ds:schemaRef ds:uri="e7f41548-b147-4677-b5c1-649140998ffd"/>
    <ds:schemaRef ds:uri="http://www.w3.org/XML/1998/namespace"/>
    <ds:schemaRef ds:uri="5b4cc71f-4036-4581-85c7-a4481d742ec8"/>
    <ds:schemaRef ds:uri="95e576bc-9f64-4b26-b4d8-385686323516"/>
  </ds:schemaRefs>
</ds:datastoreItem>
</file>

<file path=customXml/itemProps4.xml><?xml version="1.0" encoding="utf-8"?>
<ds:datastoreItem xmlns:ds="http://schemas.openxmlformats.org/officeDocument/2006/customXml" ds:itemID="{98007265-A5A7-4D61-B98D-B804555182E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15</vt:i4>
      </vt:variant>
    </vt:vector>
  </HeadingPairs>
  <TitlesOfParts>
    <vt:vector size="16" baseType="lpstr">
      <vt:lpstr>System Ref (3)</vt:lpstr>
      <vt:lpstr>'System Ref (3)'!Dp</vt:lpstr>
      <vt:lpstr>'System Ref (3)'!flow</vt:lpstr>
      <vt:lpstr>'System Ref (3)'!Grade</vt:lpstr>
      <vt:lpstr>'System Ref (3)'!k</vt:lpstr>
      <vt:lpstr>'System Ref (3)'!ks</vt:lpstr>
      <vt:lpstr>'System Ref (3)'!le</vt:lpstr>
      <vt:lpstr>'System Ref (3)'!Length</vt:lpstr>
      <vt:lpstr>'System Ref (3)'!No_off</vt:lpstr>
      <vt:lpstr>'System Ref (3)'!Pd</vt:lpstr>
      <vt:lpstr>'System Ref (3)'!Pipe_Type</vt:lpstr>
      <vt:lpstr>'System Ref (3)'!PipeSize</vt:lpstr>
      <vt:lpstr>'System Ref (3)'!Print_Area</vt:lpstr>
      <vt:lpstr>'System Ref (3)'!Print_Titles</vt:lpstr>
      <vt:lpstr>'System Ref (3)'!Temp</vt:lpstr>
      <vt:lpstr>'System Ref (3)'!Velocity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Pipe and Pump Sizing</dc:title>
  <dc:subject/>
  <dc:creator>The Engineering Business Academy</dc:creator>
  <cp:keywords/>
  <dc:description/>
  <cp:lastModifiedBy>The Engineering Business Academy</cp:lastModifiedBy>
  <cp:revision/>
  <cp:lastPrinted>2023-12-15T09:04:01Z</cp:lastPrinted>
  <dcterms:created xsi:type="dcterms:W3CDTF">2000-01-26T18:43:32Z</dcterms:created>
  <dcterms:modified xsi:type="dcterms:W3CDTF">2026-06-23T13:31:08Z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Status">
    <vt:lpwstr>Published</vt:lpwstr>
  </property>
  <property fmtid="{D5CDD505-2E9C-101B-9397-08002B2CF9AE}" pid="3" name="_Revision">
    <vt:lpwstr/>
  </property>
  <property fmtid="{D5CDD505-2E9C-101B-9397-08002B2CF9AE}" pid="4" name="lcf76f155ced4ddcb4097134ff3c332f">
    <vt:lpwstr/>
  </property>
  <property fmtid="{D5CDD505-2E9C-101B-9397-08002B2CF9AE}" pid="5" name="TaxCatchAll">
    <vt:lpwstr/>
  </property>
  <property fmtid="{D5CDD505-2E9C-101B-9397-08002B2CF9AE}" pid="6" name="MediaServiceImageTags">
    <vt:lpwstr/>
  </property>
  <property fmtid="{D5CDD505-2E9C-101B-9397-08002B2CF9AE}" pid="7" name="ContentTypeId">
    <vt:lpwstr>0x01010001602292AB956749AB9C07AF01C808F9</vt:lpwstr>
  </property>
  <property fmtid="{D5CDD505-2E9C-101B-9397-08002B2CF9AE}" pid="8" name="Order">
    <vt:r8>195600</vt:r8>
  </property>
  <property fmtid="{D5CDD505-2E9C-101B-9397-08002B2CF9AE}" pid="9" name="xd_Signature">
    <vt:bool>false</vt:bool>
  </property>
  <property fmtid="{D5CDD505-2E9C-101B-9397-08002B2CF9AE}" pid="10" name="xd_ProgID">
    <vt:lpwstr/>
  </property>
  <property fmtid="{D5CDD505-2E9C-101B-9397-08002B2CF9AE}" pid="11" name="_SourceUrl">
    <vt:lpwstr/>
  </property>
  <property fmtid="{D5CDD505-2E9C-101B-9397-08002B2CF9AE}" pid="12" name="_SharedFileIndex">
    <vt:lpwstr/>
  </property>
  <property fmtid="{D5CDD505-2E9C-101B-9397-08002B2CF9AE}" pid="13" name="ComplianceAssetId">
    <vt:lpwstr/>
  </property>
  <property fmtid="{D5CDD505-2E9C-101B-9397-08002B2CF9AE}" pid="14" name="TemplateUrl">
    <vt:lpwstr/>
  </property>
  <property fmtid="{D5CDD505-2E9C-101B-9397-08002B2CF9AE}" pid="15" name="_ExtendedDescription">
    <vt:lpwstr/>
  </property>
  <property fmtid="{D5CDD505-2E9C-101B-9397-08002B2CF9AE}" pid="16" name="TriggerFlowInfo">
    <vt:lpwstr/>
  </property>
</Properties>
</file>
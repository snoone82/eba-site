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5" documentId="8_{3F60EE67-FEF1-4A2C-A284-483418E83189}" xr6:coauthVersionLast="47" xr6:coauthVersionMax="47" xr10:uidLastSave="{C1B14D7B-938F-41EE-BE2D-41460104410A}"/>
  <bookViews>
    <workbookView xWindow="12045" yWindow="4065" windowWidth="24360" windowHeight="15345" xr2:uid="{00000000-000D-0000-FFFF-FFFF00000000}"/>
  </bookViews>
  <sheets>
    <sheet name="Sheet2" sheetId="2" r:id="rId1"/>
    <sheet name="Sheet1" sheetId="1" r:id="rId2"/>
  </sheets>
  <definedNames>
    <definedName name="_xlnm.Print_Area" localSheetId="0">Sheet2!$A$1:$N$26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F15" i="1"/>
  <c r="J14" i="2"/>
  <c r="J13" i="2"/>
  <c r="J16" i="2"/>
  <c r="J15" i="2"/>
  <c r="J11" i="2"/>
  <c r="J10" i="2"/>
  <c r="J19" i="2" l="1"/>
  <c r="J21" i="2" s="1"/>
  <c r="J23" i="2" s="1"/>
  <c r="F16" i="1" l="1"/>
  <c r="F14" i="1"/>
  <c r="F18" i="1" l="1"/>
  <c r="F19" i="1" s="1"/>
</calcChain>
</file>

<file path=xl/sharedStrings.xml><?xml version="1.0" encoding="utf-8"?>
<sst xmlns="http://schemas.openxmlformats.org/spreadsheetml/2006/main" count="49" uniqueCount="36">
  <si>
    <t>Key Integrated Services Ltd
Unit 2 Bollin Court, Mill Lane
Lymm, Cheshire, WA13 9SX
TEL: 01925 759948  FAX: 01925 758400</t>
  </si>
  <si>
    <t>Project No.</t>
  </si>
  <si>
    <t>Q####</t>
  </si>
  <si>
    <t>Project</t>
  </si>
  <si>
    <t>Title</t>
  </si>
  <si>
    <t>Booster Pump Calculations</t>
  </si>
  <si>
    <t>Schedule No.</t>
  </si>
  <si>
    <t>CAL-05</t>
  </si>
  <si>
    <t>Revision</t>
  </si>
  <si>
    <t>P1</t>
  </si>
  <si>
    <t>Date</t>
  </si>
  <si>
    <t>????</t>
  </si>
  <si>
    <t>Booster Pump Sizing</t>
  </si>
  <si>
    <t>m</t>
  </si>
  <si>
    <t>%</t>
  </si>
  <si>
    <t>Bar</t>
  </si>
  <si>
    <t>Height of system (m)</t>
  </si>
  <si>
    <t>Index run (m) (+30% fittings)</t>
  </si>
  <si>
    <t xml:space="preserve">Working pressure </t>
  </si>
  <si>
    <t>Total</t>
  </si>
  <si>
    <t>Flow rate add total loading units for hot &amp; cold water</t>
  </si>
  <si>
    <t>Item</t>
  </si>
  <si>
    <t>Sheet</t>
  </si>
  <si>
    <t>Ref</t>
  </si>
  <si>
    <t>Length (m)</t>
  </si>
  <si>
    <t>Pressure Drop
(Pa/m or Pa)</t>
  </si>
  <si>
    <t>Total Pressure
(KPa)</t>
  </si>
  <si>
    <t>Notes</t>
  </si>
  <si>
    <t>10m Head = 100kPa = 1Bar</t>
  </si>
  <si>
    <t>Kpa</t>
  </si>
  <si>
    <t>(+20%)</t>
  </si>
  <si>
    <t>1Bar</t>
  </si>
  <si>
    <t>(*400pa/m, 0.006Bar/m, 0.6Bar/100m)</t>
  </si>
  <si>
    <t>11bends</t>
  </si>
  <si>
    <t>*Equiv Length 0.3 x 100 = 3</t>
  </si>
  <si>
    <t>IP 02-05-13-5302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</si>
</sst>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</font>
    <font>
      <sz val="9"/>
      <color theme="1"/>
      <name val="Arial"/>
    </font>
    <font>
      <b/>
      <sz val="9"/>
      <name val="Arial"/>
    </font>
    <font>
      <sz val="9"/>
      <name val="Arial"/>
    </font>
    <font>
      <b/>
      <u/>
      <sz val="9"/>
      <name val="Arial"/>
    </font>
    <font>
      <b/>
      <u/>
      <sz val="9"/>
      <color theme="1"/>
      <name val="Arial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9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/>
    <xf numFmtId="0" fontId="6" fillId="2" borderId="10" xfId="0" applyFont="1" applyFill="1" applyBorder="1"/>
    <xf numFmtId="0" fontId="0" fillId="2" borderId="10" xfId="0" applyFill="1" applyBorder="1"/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7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2" fontId="7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0" fillId="0" borderId="0" xfId="0" applyFont="1"/>
    <xf numFmtId="0" fontId="11" fillId="0" borderId="3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4" borderId="20" xfId="0" applyFont="1" applyFill="1" applyBorder="1"/>
    <xf numFmtId="0" fontId="11" fillId="0" borderId="19" xfId="0" applyFont="1" applyBorder="1"/>
    <xf numFmtId="0" fontId="11" fillId="0" borderId="24" xfId="0" applyFont="1" applyBorder="1"/>
    <xf numFmtId="0" fontId="11" fillId="4" borderId="19" xfId="0" applyFont="1" applyFill="1" applyBorder="1"/>
    <xf numFmtId="0" fontId="13" fillId="0" borderId="0" xfId="0" applyFont="1"/>
    <xf numFmtId="0" fontId="11" fillId="4" borderId="33" xfId="0" applyFont="1" applyFill="1" applyBorder="1"/>
    <xf numFmtId="0" fontId="11" fillId="0" borderId="26" xfId="0" applyFont="1" applyBorder="1"/>
    <xf numFmtId="0" fontId="11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9" fontId="11" fillId="0" borderId="0" xfId="0" applyNumberFormat="1" applyFont="1"/>
    <xf numFmtId="9" fontId="15" fillId="0" borderId="0" xfId="0" applyNumberFormat="1" applyFont="1"/>
    <xf numFmtId="0" fontId="15" fillId="0" borderId="0" xfId="0" applyFont="1"/>
    <xf numFmtId="0" fontId="8" fillId="2" borderId="10" xfId="0" applyFont="1" applyFill="1" applyBorder="1"/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left"/>
    </xf>
    <xf numFmtId="0" fontId="0" fillId="2" borderId="11" xfId="0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5" fillId="2" borderId="16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2" borderId="16" xfId="0" applyFill="1" applyBorder="1"/>
    <xf numFmtId="0" fontId="7" fillId="2" borderId="16" xfId="0" applyFont="1" applyFill="1" applyBorder="1"/>
    <xf numFmtId="2" fontId="7" fillId="2" borderId="17" xfId="0" applyNumberFormat="1" applyFont="1" applyFill="1" applyBorder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5" borderId="38" xfId="0" applyFont="1" applyFill="1" applyBorder="1" applyAlignment="1">
      <alignment horizontal="center"/>
    </xf>
    <xf numFmtId="2" fontId="20" fillId="5" borderId="38" xfId="0" applyNumberFormat="1" applyFont="1" applyFill="1" applyBorder="1" applyAlignment="1">
      <alignment horizontal="center"/>
    </xf>
    <xf numFmtId="164" fontId="20" fillId="5" borderId="38" xfId="0" applyNumberFormat="1" applyFont="1" applyFill="1" applyBorder="1" applyAlignment="1">
      <alignment horizontal="center"/>
    </xf>
    <xf numFmtId="0" fontId="6" fillId="2" borderId="19" xfId="0" applyFont="1" applyFill="1" applyBorder="1"/>
    <xf numFmtId="0" fontId="6" fillId="2" borderId="19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7" fillId="0" borderId="37" xfId="0" applyFont="1" applyBorder="1"/>
    <xf numFmtId="0" fontId="7" fillId="0" borderId="37" xfId="0" applyFont="1" applyBorder="1" applyAlignment="1">
      <alignment horizontal="center" wrapText="1"/>
    </xf>
    <xf numFmtId="1" fontId="7" fillId="0" borderId="37" xfId="0" applyNumberFormat="1" applyFont="1" applyBorder="1" applyAlignment="1">
      <alignment horizontal="center"/>
    </xf>
    <xf numFmtId="165" fontId="7" fillId="0" borderId="37" xfId="0" applyNumberFormat="1" applyFont="1" applyBorder="1" applyAlignment="1">
      <alignment horizontal="center"/>
    </xf>
    <xf numFmtId="0" fontId="16" fillId="0" borderId="37" xfId="0" applyFont="1" applyBorder="1" applyAlignment="1">
      <alignment horizontal="center" wrapText="1"/>
    </xf>
    <xf numFmtId="165" fontId="19" fillId="0" borderId="37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17" fillId="5" borderId="0" xfId="0" applyNumberFormat="1" applyFont="1" applyFill="1" applyAlignment="1">
      <alignment horizontal="center"/>
    </xf>
    <xf numFmtId="0" fontId="16" fillId="3" borderId="21" xfId="0" applyFont="1" applyFill="1" applyBorder="1" applyAlignment="1">
      <alignment horizontal="center" wrapText="1"/>
    </xf>
    <xf numFmtId="0" fontId="16" fillId="3" borderId="39" xfId="0" applyFont="1" applyFill="1" applyBorder="1" applyAlignment="1">
      <alignment horizontal="center" wrapText="1"/>
    </xf>
    <xf numFmtId="0" fontId="16" fillId="3" borderId="39" xfId="0" applyFont="1" applyFill="1" applyBorder="1" applyAlignment="1">
      <alignment horizontal="center"/>
    </xf>
    <xf numFmtId="0" fontId="17" fillId="3" borderId="34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left"/>
    </xf>
    <xf numFmtId="2" fontId="17" fillId="5" borderId="35" xfId="0" applyNumberFormat="1" applyFont="1" applyFill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3" borderId="23" xfId="0" applyFont="1" applyFill="1" applyBorder="1"/>
    <xf numFmtId="0" fontId="7" fillId="0" borderId="24" xfId="0" applyFont="1" applyBorder="1"/>
    <xf numFmtId="0" fontId="7" fillId="0" borderId="27" xfId="0" applyFont="1" applyBorder="1"/>
    <xf numFmtId="0" fontId="7" fillId="0" borderId="25" xfId="0" applyFont="1" applyBorder="1" applyAlignment="1">
      <alignment horizontal="left"/>
    </xf>
    <xf numFmtId="0" fontId="7" fillId="0" borderId="40" xfId="0" applyFont="1" applyBorder="1"/>
    <xf numFmtId="165" fontId="19" fillId="0" borderId="40" xfId="0" applyNumberFormat="1" applyFont="1" applyBorder="1" applyAlignment="1">
      <alignment horizontal="center"/>
    </xf>
    <xf numFmtId="165" fontId="7" fillId="0" borderId="40" xfId="0" applyNumberFormat="1" applyFont="1" applyBorder="1" applyAlignment="1">
      <alignment horizontal="center"/>
    </xf>
    <xf numFmtId="2" fontId="17" fillId="5" borderId="36" xfId="0" applyNumberFormat="1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37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0" fillId="3" borderId="19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11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169488</xdr:colOff>
      <xdr:row>1</xdr:row>
      <xdr:rowOff>78441</xdr:rowOff>
    </xdr:from>
    <xdr:to>
      <xdr:col>1</xdr:col>
      <xdr:colOff>1281113</xdr:colOff>
      <xdr:row>3</xdr:row>
      <xdr:rowOff>140634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F5A05-163B-490D-BA12-2C73482A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9488" y="268941"/>
          <a:ext cx="1772772" cy="44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11</xdr:col>
      <xdr:colOff>269821</xdr:colOff>
      <xdr:row>64</xdr:row>
      <xdr:rowOff>10484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CD0A2-3441-35AE-1A23-E50985A4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6550"/>
          <a:ext cx="10317015" cy="6868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5</xdr:col>
      <xdr:colOff>488223</xdr:colOff>
      <xdr:row>98</xdr:row>
      <xdr:rowOff>124693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D72B42-C974-9699-6B73-8D0E18ECE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25550"/>
          <a:ext cx="5506218" cy="6220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152400</xdr:rowOff>
    </xdr:from>
    <xdr:to>
      <xdr:col>1</xdr:col>
      <xdr:colOff>860051</xdr:colOff>
      <xdr:row>4</xdr:row>
      <xdr:rowOff>104215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3A7ED-3CBC-4D77-899A-98F7F1EC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14325"/>
          <a:ext cx="1984001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CEE8-401D-4763-936C-CD9BC05CF9F9}">
  <dimension ref="A1:L27"/>
  <sheetViews>
    <sheetView tabSelected="1" view="pageBreakPreview" topLeftCell="A9" zoomScale="85" zoomScaleNormal="100" zoomScaleSheetLayoutView="85" workbookViewId="0">
      <selection activeCell="A26" sqref="A26"/>
    </sheetView>
  </sheetViews>
  <sheetFormatPr defaultRowHeight="15" x14ac:dyDescent="0.25"/>
  <cols>
    <col min="1" max="1" width="9.85546875" customWidth="1"/>
    <col min="2" max="2" width="22.7109375" customWidth="1"/>
    <col min="3" max="3" width="13.85546875" customWidth="1"/>
    <col min="5" max="5" width="19.5703125" customWidth="1"/>
    <col min="10" max="10" width="29.7109375" customWidth="1"/>
    <col min="12" max="12" width="21.85546875" customWidth="1"/>
  </cols>
  <sheetData>
    <row r="1" spans="1:12" x14ac:dyDescent="0.25">
      <c r="A1" s="25"/>
      <c r="B1" s="26"/>
      <c r="C1" s="56" t="s">
        <v>1</v>
      </c>
      <c r="D1" s="72"/>
      <c r="E1" s="13"/>
      <c r="F1" s="15"/>
      <c r="G1" s="14"/>
      <c r="H1" s="14"/>
      <c r="I1" s="14"/>
      <c r="J1" s="58"/>
      <c r="L1" s="100"/>
    </row>
    <row r="2" spans="1:12" x14ac:dyDescent="0.25">
      <c r="A2" s="25"/>
      <c r="B2" s="26"/>
      <c r="C2" s="57" t="s">
        <v>3</v>
      </c>
      <c r="D2" s="73"/>
      <c r="E2" s="18"/>
      <c r="F2" s="15"/>
      <c r="G2" s="14"/>
      <c r="H2" s="14"/>
      <c r="I2" s="14"/>
      <c r="J2" s="58"/>
      <c r="L2" s="101"/>
    </row>
    <row r="3" spans="1:12" x14ac:dyDescent="0.25">
      <c r="A3" s="25"/>
      <c r="B3" s="26"/>
      <c r="C3" s="57" t="s">
        <v>4</v>
      </c>
      <c r="D3" s="73"/>
      <c r="E3" s="18"/>
      <c r="F3" s="15"/>
      <c r="G3" s="14"/>
      <c r="H3" s="14"/>
      <c r="I3" s="14"/>
      <c r="J3" s="58"/>
      <c r="L3" s="101"/>
    </row>
    <row r="4" spans="1:12" x14ac:dyDescent="0.25">
      <c r="A4" s="25"/>
      <c r="B4" s="26"/>
      <c r="C4" s="57" t="s">
        <v>6</v>
      </c>
      <c r="D4" s="73"/>
      <c r="E4" s="18"/>
      <c r="F4" s="15"/>
      <c r="G4" s="14"/>
      <c r="H4" s="14"/>
      <c r="I4" s="59"/>
      <c r="J4" s="60"/>
      <c r="K4" s="19"/>
      <c r="L4" s="101"/>
    </row>
    <row r="5" spans="1:12" x14ac:dyDescent="0.25">
      <c r="A5" s="25"/>
      <c r="B5" s="26"/>
      <c r="C5" s="57" t="s">
        <v>8</v>
      </c>
      <c r="D5" s="73"/>
      <c r="E5" s="18"/>
      <c r="F5" s="15"/>
      <c r="G5" s="14"/>
      <c r="H5" s="14"/>
      <c r="I5" s="59"/>
      <c r="J5" s="60"/>
      <c r="K5" s="19"/>
      <c r="L5" s="101"/>
    </row>
    <row r="6" spans="1:12" x14ac:dyDescent="0.25">
      <c r="A6" s="25"/>
      <c r="B6" s="26"/>
      <c r="C6" s="57" t="s">
        <v>10</v>
      </c>
      <c r="D6" s="73"/>
      <c r="E6" s="18"/>
      <c r="F6" s="15"/>
      <c r="G6" s="14"/>
      <c r="H6" s="14"/>
      <c r="I6" s="59"/>
      <c r="J6" s="60"/>
      <c r="K6" s="19"/>
      <c r="L6" s="101"/>
    </row>
    <row r="7" spans="1:12" ht="15.75" thickBot="1" x14ac:dyDescent="0.3">
      <c r="A7" s="27"/>
      <c r="B7" s="28"/>
      <c r="C7" s="61" t="s">
        <v>22</v>
      </c>
      <c r="D7" s="74"/>
      <c r="E7" s="62"/>
      <c r="F7" s="20"/>
      <c r="G7" s="63"/>
      <c r="H7" s="63"/>
      <c r="I7" s="64"/>
      <c r="J7" s="65"/>
      <c r="K7" s="19"/>
      <c r="L7" s="102"/>
    </row>
    <row r="8" spans="1:12" ht="15.75" thickBot="1" x14ac:dyDescent="0.3">
      <c r="A8" s="66"/>
      <c r="B8" s="66"/>
      <c r="C8" s="66"/>
      <c r="D8" s="66"/>
      <c r="E8" s="66"/>
      <c r="F8" s="66"/>
      <c r="G8" s="66"/>
      <c r="H8" s="66"/>
      <c r="I8" s="19"/>
      <c r="J8" s="22"/>
      <c r="K8" s="19"/>
      <c r="L8" s="19"/>
    </row>
    <row r="9" spans="1:12" ht="26.25" x14ac:dyDescent="0.25">
      <c r="A9" s="83" t="s">
        <v>23</v>
      </c>
      <c r="B9" s="84" t="s">
        <v>21</v>
      </c>
      <c r="C9" s="85" t="s">
        <v>27</v>
      </c>
      <c r="D9" s="98" t="s">
        <v>24</v>
      </c>
      <c r="E9" s="98"/>
      <c r="F9" s="84"/>
      <c r="G9" s="99" t="s">
        <v>25</v>
      </c>
      <c r="H9" s="98"/>
      <c r="I9" s="84"/>
      <c r="J9" s="86" t="s">
        <v>26</v>
      </c>
      <c r="K9" s="19"/>
      <c r="L9" s="90" t="s">
        <v>27</v>
      </c>
    </row>
    <row r="10" spans="1:12" x14ac:dyDescent="0.25">
      <c r="A10" s="87"/>
      <c r="B10" s="75"/>
      <c r="C10" s="76"/>
      <c r="D10" s="103"/>
      <c r="E10" s="103"/>
      <c r="F10" s="77"/>
      <c r="G10" s="103"/>
      <c r="H10" s="103"/>
      <c r="I10" s="77"/>
      <c r="J10" s="88">
        <f>SUM(D10*G10)/1000</f>
        <v>0</v>
      </c>
      <c r="K10" s="19"/>
      <c r="L10" s="91" t="s">
        <v>28</v>
      </c>
    </row>
    <row r="11" spans="1:12" x14ac:dyDescent="0.25">
      <c r="A11" s="87"/>
      <c r="B11" s="75"/>
      <c r="C11" s="76"/>
      <c r="D11" s="103"/>
      <c r="E11" s="103"/>
      <c r="F11" s="77"/>
      <c r="G11" s="103"/>
      <c r="H11" s="103"/>
      <c r="I11" s="77"/>
      <c r="J11" s="88">
        <f>SUM(D11*G11)/1000</f>
        <v>0</v>
      </c>
      <c r="K11" s="19"/>
      <c r="L11" s="91"/>
    </row>
    <row r="12" spans="1:12" x14ac:dyDescent="0.25">
      <c r="A12" s="87"/>
      <c r="B12" s="75"/>
      <c r="C12" s="76"/>
      <c r="D12" s="103"/>
      <c r="E12" s="103"/>
      <c r="F12" s="77"/>
      <c r="G12" s="103"/>
      <c r="H12" s="103"/>
      <c r="I12" s="77"/>
      <c r="J12" s="88">
        <f>SUM(D12*G12)</f>
        <v>0</v>
      </c>
      <c r="K12" s="19"/>
      <c r="L12" s="91" t="s">
        <v>34</v>
      </c>
    </row>
    <row r="13" spans="1:12" x14ac:dyDescent="0.25">
      <c r="A13" s="87"/>
      <c r="B13" s="75"/>
      <c r="C13" s="76"/>
      <c r="D13" s="103"/>
      <c r="E13" s="103"/>
      <c r="F13" s="77"/>
      <c r="G13" s="103"/>
      <c r="H13" s="103"/>
      <c r="I13" s="77"/>
      <c r="J13" s="88">
        <f>SUM(D13*G13)/1000</f>
        <v>0</v>
      </c>
      <c r="K13" s="19"/>
      <c r="L13" s="91"/>
    </row>
    <row r="14" spans="1:12" x14ac:dyDescent="0.25">
      <c r="A14" s="87"/>
      <c r="B14" s="75"/>
      <c r="C14" s="76"/>
      <c r="D14" s="103"/>
      <c r="E14" s="103"/>
      <c r="F14" s="77"/>
      <c r="G14" s="103"/>
      <c r="H14" s="103"/>
      <c r="I14" s="77"/>
      <c r="J14" s="88">
        <f t="shared" ref="J14" si="0">SUM(D14*G14)/1000</f>
        <v>0</v>
      </c>
      <c r="K14" s="19"/>
      <c r="L14" s="91"/>
    </row>
    <row r="15" spans="1:12" x14ac:dyDescent="0.25">
      <c r="A15" s="87"/>
      <c r="B15" s="75"/>
      <c r="C15" s="76"/>
      <c r="D15" s="103"/>
      <c r="E15" s="103"/>
      <c r="F15" s="78"/>
      <c r="G15" s="103"/>
      <c r="H15" s="103"/>
      <c r="I15" s="78"/>
      <c r="J15" s="88">
        <f t="shared" ref="J15:J16" si="1">SUM(D15*G15)/1000</f>
        <v>0</v>
      </c>
      <c r="K15" s="19"/>
      <c r="L15" s="91"/>
    </row>
    <row r="16" spans="1:12" x14ac:dyDescent="0.25">
      <c r="A16" s="87"/>
      <c r="B16" s="75"/>
      <c r="C16" s="76"/>
      <c r="D16" s="103"/>
      <c r="E16" s="103"/>
      <c r="F16" s="78"/>
      <c r="G16" s="103"/>
      <c r="H16" s="103"/>
      <c r="I16" s="78"/>
      <c r="J16" s="88">
        <f t="shared" si="1"/>
        <v>0</v>
      </c>
      <c r="K16" s="19"/>
      <c r="L16" s="91" t="s">
        <v>31</v>
      </c>
    </row>
    <row r="17" spans="1:12" x14ac:dyDescent="0.25">
      <c r="A17" s="87"/>
      <c r="B17" s="75"/>
      <c r="C17" s="79"/>
      <c r="D17" s="103"/>
      <c r="E17" s="103"/>
      <c r="F17" s="80"/>
      <c r="G17" s="103"/>
      <c r="H17" s="103"/>
      <c r="I17" s="78"/>
      <c r="J17" s="88"/>
      <c r="K17" s="19"/>
      <c r="L17" s="91"/>
    </row>
    <row r="18" spans="1:12" ht="15.75" thickBot="1" x14ac:dyDescent="0.3">
      <c r="A18" s="93"/>
      <c r="B18" s="94"/>
      <c r="C18" s="89"/>
      <c r="D18" s="104"/>
      <c r="E18" s="104"/>
      <c r="F18" s="95"/>
      <c r="G18" s="104"/>
      <c r="H18" s="104"/>
      <c r="I18" s="96"/>
      <c r="J18" s="97"/>
      <c r="K18" s="19"/>
      <c r="L18" s="92"/>
    </row>
    <row r="19" spans="1:12" x14ac:dyDescent="0.25">
      <c r="B19" s="19"/>
      <c r="C19" s="67"/>
      <c r="D19" s="67"/>
      <c r="E19" s="67"/>
      <c r="F19" s="81"/>
      <c r="G19" s="81"/>
      <c r="H19" s="81"/>
      <c r="I19" s="81"/>
      <c r="J19" s="82">
        <f>SUM(J10:J18)</f>
        <v>0</v>
      </c>
      <c r="K19" s="19"/>
      <c r="L19" s="7" t="s">
        <v>29</v>
      </c>
    </row>
    <row r="20" spans="1:12" x14ac:dyDescent="0.25">
      <c r="B20" s="19"/>
      <c r="C20" s="67"/>
      <c r="D20" s="67"/>
      <c r="E20" s="67"/>
      <c r="F20" s="67"/>
      <c r="G20" s="67"/>
      <c r="H20" s="67"/>
      <c r="I20" s="67"/>
      <c r="J20" s="68"/>
      <c r="K20" s="19"/>
      <c r="L20" s="19"/>
    </row>
    <row r="21" spans="1:12" ht="15.75" thickBot="1" x14ac:dyDescent="0.3">
      <c r="C21" s="2"/>
      <c r="D21" s="2"/>
      <c r="E21" s="2"/>
      <c r="F21" s="2"/>
      <c r="G21" s="2"/>
      <c r="H21" s="2"/>
      <c r="I21" s="69" t="s">
        <v>30</v>
      </c>
      <c r="J21" s="70">
        <f>SUM(J19)*1.2</f>
        <v>0</v>
      </c>
      <c r="L21" s="7" t="s">
        <v>29</v>
      </c>
    </row>
    <row r="22" spans="1:12" ht="15.75" thickTop="1" x14ac:dyDescent="0.25">
      <c r="L22" s="7"/>
    </row>
    <row r="23" spans="1:12" ht="15.75" thickBot="1" x14ac:dyDescent="0.3">
      <c r="I23" s="69" t="s">
        <v>30</v>
      </c>
      <c r="J23" s="71">
        <f>SUM(J21/100)</f>
        <v>0</v>
      </c>
      <c r="L23" s="7" t="s">
        <v>15</v>
      </c>
    </row>
    <row r="24" spans="1:12" ht="15.75" thickTop="1" x14ac:dyDescent="0.25"/>
    <row r="26" spans="1:12" x14ac:dyDescent="0.25">
      <c r="A26" t="s">
        <v>35</v>
      </c>
    </row>
    <row r="27" spans="1:12" x14ac:dyDescent="0.25">
      <c r="B27" t="s">
        <v>33</v>
      </c>
    </row>
  </sheetData>
  <mergeCells count="21">
    <mergeCell ref="D11:E11"/>
    <mergeCell ref="G11:H11"/>
    <mergeCell ref="D18:E18"/>
    <mergeCell ref="G18:H18"/>
    <mergeCell ref="D15:E15"/>
    <mergeCell ref="G15:H15"/>
    <mergeCell ref="D16:E16"/>
    <mergeCell ref="G16:H16"/>
    <mergeCell ref="D12:E12"/>
    <mergeCell ref="G12:H12"/>
    <mergeCell ref="D13:E13"/>
    <mergeCell ref="G13:H13"/>
    <mergeCell ref="D14:E14"/>
    <mergeCell ref="G14:H14"/>
    <mergeCell ref="D17:E17"/>
    <mergeCell ref="G17:H17"/>
    <mergeCell ref="D9:E9"/>
    <mergeCell ref="G9:H9"/>
    <mergeCell ref="L1:L7"/>
    <mergeCell ref="D10:E10"/>
    <mergeCell ref="G10:H10"/>
  </mergeCells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3"/>
  <sheetViews>
    <sheetView workbookViewId="0">
      <selection activeCell="I24" sqref="I24"/>
    </sheetView>
  </sheetViews>
  <sheetFormatPr defaultRowHeight="15" x14ac:dyDescent="0.25"/>
  <cols>
    <col min="1" max="1" width="18" customWidth="1"/>
    <col min="2" max="2" width="14.42578125" customWidth="1"/>
    <col min="3" max="3" width="20.42578125" customWidth="1"/>
    <col min="6" max="6" width="10.42578125" customWidth="1"/>
    <col min="7" max="7" width="15.7109375" customWidth="1"/>
    <col min="10" max="10" width="18.5703125" customWidth="1"/>
  </cols>
  <sheetData>
    <row r="1" spans="1:20" ht="12.75" customHeight="1" x14ac:dyDescent="0.25">
      <c r="A1" s="23"/>
      <c r="B1" s="24"/>
      <c r="C1" s="9"/>
      <c r="D1" s="10"/>
      <c r="E1" s="10"/>
      <c r="F1" s="10"/>
      <c r="G1" s="10"/>
      <c r="H1" s="10"/>
      <c r="I1" s="11"/>
      <c r="J1" s="100" t="s">
        <v>0</v>
      </c>
    </row>
    <row r="2" spans="1:20" ht="12.75" customHeight="1" x14ac:dyDescent="0.25">
      <c r="A2" s="25"/>
      <c r="B2" s="26"/>
      <c r="C2" s="12" t="s">
        <v>1</v>
      </c>
      <c r="D2" s="13" t="s">
        <v>2</v>
      </c>
      <c r="E2" s="53"/>
      <c r="F2" s="14"/>
      <c r="G2" s="15"/>
      <c r="H2" s="15"/>
      <c r="I2" s="16"/>
      <c r="J2" s="111"/>
    </row>
    <row r="3" spans="1:20" ht="12.75" customHeight="1" x14ac:dyDescent="0.25">
      <c r="A3" s="25"/>
      <c r="B3" s="26"/>
      <c r="C3" s="17" t="s">
        <v>3</v>
      </c>
      <c r="D3" s="18"/>
      <c r="E3" s="53"/>
      <c r="F3" s="14"/>
      <c r="G3" s="15"/>
      <c r="H3" s="15"/>
      <c r="I3" s="16"/>
      <c r="J3" s="111"/>
    </row>
    <row r="4" spans="1:20" ht="12.75" customHeight="1" x14ac:dyDescent="0.25">
      <c r="A4" s="25"/>
      <c r="B4" s="26"/>
      <c r="C4" s="17" t="s">
        <v>4</v>
      </c>
      <c r="D4" s="18" t="s">
        <v>5</v>
      </c>
      <c r="E4" s="53"/>
      <c r="F4" s="14"/>
      <c r="G4" s="15"/>
      <c r="H4" s="15"/>
      <c r="I4" s="16"/>
      <c r="J4" s="111"/>
    </row>
    <row r="5" spans="1:20" ht="12.75" customHeight="1" x14ac:dyDescent="0.25">
      <c r="A5" s="25"/>
      <c r="B5" s="26"/>
      <c r="C5" s="17" t="s">
        <v>6</v>
      </c>
      <c r="D5" s="18" t="s">
        <v>7</v>
      </c>
      <c r="E5" s="53"/>
      <c r="F5" s="14"/>
      <c r="G5" s="15"/>
      <c r="H5" s="15"/>
      <c r="I5" s="16"/>
      <c r="J5" s="111"/>
      <c r="K5" s="19"/>
      <c r="L5" s="19"/>
      <c r="M5" s="19"/>
      <c r="N5" s="19"/>
      <c r="O5" s="19"/>
      <c r="P5" s="19"/>
    </row>
    <row r="6" spans="1:20" ht="12.75" customHeight="1" x14ac:dyDescent="0.25">
      <c r="A6" s="25"/>
      <c r="B6" s="26"/>
      <c r="C6" s="17" t="s">
        <v>8</v>
      </c>
      <c r="D6" s="18" t="s">
        <v>9</v>
      </c>
      <c r="E6" s="53"/>
      <c r="F6" s="14"/>
      <c r="G6" s="15"/>
      <c r="H6" s="15"/>
      <c r="I6" s="16"/>
      <c r="J6" s="111"/>
      <c r="K6" s="19"/>
      <c r="L6" s="19"/>
      <c r="M6" s="19"/>
      <c r="N6" s="19"/>
      <c r="O6" s="19"/>
      <c r="P6" s="19"/>
    </row>
    <row r="7" spans="1:20" ht="12.75" customHeight="1" x14ac:dyDescent="0.25">
      <c r="A7" s="25"/>
      <c r="B7" s="26"/>
      <c r="C7" s="17" t="s">
        <v>10</v>
      </c>
      <c r="D7" s="18" t="s">
        <v>11</v>
      </c>
      <c r="E7" s="53"/>
      <c r="F7" s="14"/>
      <c r="G7" s="15"/>
      <c r="H7" s="15"/>
      <c r="I7" s="16"/>
      <c r="J7" s="111"/>
      <c r="K7" s="19"/>
      <c r="L7" s="19"/>
      <c r="M7" s="19"/>
      <c r="N7" s="19"/>
      <c r="O7" s="19"/>
      <c r="P7" s="19"/>
    </row>
    <row r="8" spans="1:20" ht="12.75" customHeight="1" x14ac:dyDescent="0.25">
      <c r="A8" s="27"/>
      <c r="B8" s="28"/>
      <c r="C8" s="54"/>
      <c r="D8" s="55"/>
      <c r="E8" s="55"/>
      <c r="F8" s="20"/>
      <c r="G8" s="20"/>
      <c r="H8" s="20"/>
      <c r="I8" s="21"/>
      <c r="J8" s="112"/>
      <c r="K8" s="22"/>
      <c r="L8" s="19"/>
      <c r="M8" s="19"/>
      <c r="N8" s="22"/>
      <c r="O8" s="22"/>
      <c r="P8" s="19"/>
    </row>
    <row r="10" spans="1:20" ht="21" customHeight="1" x14ac:dyDescent="0.25">
      <c r="A10" s="109" t="s">
        <v>12</v>
      </c>
      <c r="B10" s="110"/>
      <c r="C10" s="110"/>
      <c r="D10" s="110"/>
      <c r="E10" s="29"/>
      <c r="F10" s="30"/>
      <c r="G10" s="30"/>
      <c r="H10" s="30"/>
      <c r="I10" s="30"/>
      <c r="J10" s="30"/>
      <c r="K10" s="1"/>
      <c r="L10" s="1"/>
      <c r="M10" s="1"/>
      <c r="N10" s="1"/>
      <c r="O10" s="1"/>
      <c r="P10" s="1"/>
      <c r="Q10" s="1"/>
      <c r="R10" s="1"/>
      <c r="S10" s="2"/>
      <c r="T10" s="2"/>
    </row>
    <row r="11" spans="1:20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20" x14ac:dyDescent="0.25">
      <c r="A12" s="32"/>
      <c r="B12" s="31"/>
      <c r="C12" s="31"/>
      <c r="D12" s="33"/>
      <c r="E12" s="31"/>
      <c r="F12" s="31"/>
      <c r="G12" s="31"/>
      <c r="H12" s="31"/>
      <c r="I12" s="31"/>
      <c r="J12" s="31"/>
    </row>
    <row r="13" spans="1:20" x14ac:dyDescent="0.25">
      <c r="A13" s="34"/>
      <c r="B13" s="113"/>
      <c r="C13" s="114"/>
      <c r="D13" s="35" t="s">
        <v>13</v>
      </c>
      <c r="E13" s="36" t="s">
        <v>14</v>
      </c>
      <c r="F13" s="37" t="s">
        <v>15</v>
      </c>
      <c r="G13" s="31"/>
      <c r="H13" s="31"/>
      <c r="I13" s="31"/>
      <c r="J13" s="31"/>
    </row>
    <row r="14" spans="1:20" x14ac:dyDescent="0.25">
      <c r="A14" s="34"/>
      <c r="B14" s="105" t="s">
        <v>16</v>
      </c>
      <c r="C14" s="106"/>
      <c r="D14" s="38">
        <v>10</v>
      </c>
      <c r="E14" s="39"/>
      <c r="F14" s="40">
        <f>SUM(D14*0.1)</f>
        <v>1</v>
      </c>
      <c r="G14" s="31"/>
      <c r="H14" s="31"/>
      <c r="I14" s="31"/>
      <c r="J14" s="31"/>
    </row>
    <row r="15" spans="1:20" x14ac:dyDescent="0.25">
      <c r="A15" s="31"/>
      <c r="B15" s="105" t="s">
        <v>17</v>
      </c>
      <c r="C15" s="106"/>
      <c r="D15" s="38">
        <v>500</v>
      </c>
      <c r="E15" s="41">
        <v>30</v>
      </c>
      <c r="F15" s="40">
        <f>SUM(D15*0.004)*((E15+100)/100)</f>
        <v>2.6</v>
      </c>
      <c r="G15" s="42" t="s">
        <v>32</v>
      </c>
      <c r="H15" s="31"/>
      <c r="I15" s="31"/>
      <c r="J15" s="31"/>
    </row>
    <row r="16" spans="1:20" x14ac:dyDescent="0.25">
      <c r="A16" s="31"/>
      <c r="B16" s="107" t="s">
        <v>18</v>
      </c>
      <c r="C16" s="108"/>
      <c r="D16" s="43">
        <v>1</v>
      </c>
      <c r="E16" s="44"/>
      <c r="F16" s="45">
        <f>SUM(D16)</f>
        <v>1</v>
      </c>
      <c r="G16" s="31"/>
      <c r="H16" s="31"/>
      <c r="I16" s="31"/>
      <c r="J16" s="31"/>
    </row>
    <row r="17" spans="1:10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spans="1:10" x14ac:dyDescent="0.25">
      <c r="A18" s="31"/>
      <c r="B18" s="31"/>
      <c r="C18" s="31"/>
      <c r="D18" s="31"/>
      <c r="E18" s="46" t="s">
        <v>19</v>
      </c>
      <c r="F18" s="46">
        <f>SUM(F14:F17)</f>
        <v>4.5999999999999996</v>
      </c>
      <c r="G18" s="46" t="s">
        <v>15</v>
      </c>
      <c r="H18" s="31"/>
      <c r="I18" s="31"/>
      <c r="J18" s="31"/>
    </row>
    <row r="19" spans="1:10" x14ac:dyDescent="0.25">
      <c r="A19" s="31"/>
      <c r="B19" s="31"/>
      <c r="C19" s="31"/>
      <c r="D19" s="31"/>
      <c r="E19" s="47" t="s">
        <v>19</v>
      </c>
      <c r="F19" s="48">
        <f>SUM(F18*1.2)</f>
        <v>5.52</v>
      </c>
      <c r="G19" s="49" t="s">
        <v>15</v>
      </c>
      <c r="H19" s="50"/>
      <c r="I19" s="31"/>
      <c r="J19" s="31"/>
    </row>
    <row r="20" spans="1:1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spans="1:10" x14ac:dyDescent="0.25">
      <c r="A21" s="31"/>
      <c r="B21" s="42" t="s">
        <v>20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25">
      <c r="A22" s="31"/>
      <c r="B22" s="31"/>
      <c r="C22" s="31"/>
      <c r="D22" s="51"/>
      <c r="E22" s="52"/>
      <c r="F22" s="31"/>
      <c r="G22" s="31"/>
      <c r="H22" s="31"/>
      <c r="I22" s="31"/>
      <c r="J22" s="31"/>
    </row>
    <row r="25" spans="1:10" x14ac:dyDescent="0.25">
      <c r="A25" s="6"/>
    </row>
    <row r="28" spans="1:10" x14ac:dyDescent="0.25">
      <c r="A28" s="6"/>
      <c r="B28" s="1"/>
      <c r="C28" s="1"/>
      <c r="D28" s="1"/>
      <c r="E28" s="1"/>
    </row>
    <row r="30" spans="1:10" x14ac:dyDescent="0.25">
      <c r="C30" s="2"/>
    </row>
    <row r="31" spans="1:10" x14ac:dyDescent="0.25">
      <c r="C31" s="2"/>
    </row>
    <row r="32" spans="1:10" x14ac:dyDescent="0.25">
      <c r="C32" s="2"/>
    </row>
    <row r="33" spans="1:5" x14ac:dyDescent="0.25">
      <c r="C33" s="2"/>
    </row>
    <row r="34" spans="1:5" x14ac:dyDescent="0.25">
      <c r="C34" s="2"/>
    </row>
    <row r="35" spans="1:5" x14ac:dyDescent="0.25">
      <c r="C35" s="2"/>
    </row>
    <row r="36" spans="1:5" x14ac:dyDescent="0.25">
      <c r="C36" s="2"/>
    </row>
    <row r="37" spans="1:5" x14ac:dyDescent="0.25">
      <c r="A37" s="3"/>
    </row>
    <row r="39" spans="1:5" x14ac:dyDescent="0.25">
      <c r="D39" s="4"/>
      <c r="E39" s="5"/>
    </row>
    <row r="42" spans="1:5" x14ac:dyDescent="0.25">
      <c r="A42" s="6"/>
      <c r="B42" s="1"/>
      <c r="C42" s="1"/>
      <c r="D42" s="1"/>
      <c r="E42" s="1"/>
    </row>
    <row r="44" spans="1:5" x14ac:dyDescent="0.25">
      <c r="A44" s="7"/>
    </row>
    <row r="45" spans="1:5" x14ac:dyDescent="0.25">
      <c r="C45" s="2"/>
    </row>
    <row r="46" spans="1:5" x14ac:dyDescent="0.25">
      <c r="C46" s="2"/>
    </row>
    <row r="47" spans="1:5" x14ac:dyDescent="0.25">
      <c r="C47" s="2"/>
    </row>
    <row r="48" spans="1:5" x14ac:dyDescent="0.25">
      <c r="C48" s="2"/>
    </row>
    <row r="49" spans="1:5" x14ac:dyDescent="0.25">
      <c r="C49" s="2"/>
    </row>
    <row r="50" spans="1:5" x14ac:dyDescent="0.25">
      <c r="C50" s="2"/>
    </row>
    <row r="51" spans="1:5" x14ac:dyDescent="0.25">
      <c r="A51" s="7"/>
      <c r="C51" s="2"/>
    </row>
    <row r="52" spans="1:5" x14ac:dyDescent="0.25">
      <c r="C52" s="2"/>
    </row>
    <row r="53" spans="1:5" x14ac:dyDescent="0.25">
      <c r="C53" s="2"/>
    </row>
    <row r="54" spans="1:5" x14ac:dyDescent="0.25">
      <c r="C54" s="2"/>
    </row>
    <row r="55" spans="1:5" x14ac:dyDescent="0.25">
      <c r="C55" s="2"/>
    </row>
    <row r="56" spans="1:5" x14ac:dyDescent="0.25">
      <c r="C56" s="2"/>
    </row>
    <row r="57" spans="1:5" x14ac:dyDescent="0.25">
      <c r="A57" s="3"/>
    </row>
    <row r="59" spans="1:5" x14ac:dyDescent="0.25">
      <c r="D59" s="4"/>
      <c r="E59" s="5"/>
    </row>
    <row r="62" spans="1:5" x14ac:dyDescent="0.25">
      <c r="A62" s="6"/>
      <c r="B62" s="1"/>
      <c r="C62" s="1"/>
      <c r="D62" s="1"/>
      <c r="E62" s="1"/>
    </row>
    <row r="64" spans="1:5" x14ac:dyDescent="0.25">
      <c r="C64" s="2"/>
    </row>
    <row r="65" spans="1:5" x14ac:dyDescent="0.25">
      <c r="C65" s="2"/>
    </row>
    <row r="66" spans="1:5" x14ac:dyDescent="0.25">
      <c r="C66" s="2"/>
    </row>
    <row r="67" spans="1:5" x14ac:dyDescent="0.25">
      <c r="C67" s="2"/>
    </row>
    <row r="68" spans="1:5" x14ac:dyDescent="0.25">
      <c r="C68" s="2"/>
    </row>
    <row r="69" spans="1:5" x14ac:dyDescent="0.25">
      <c r="C69" s="2"/>
    </row>
    <row r="70" spans="1:5" x14ac:dyDescent="0.25">
      <c r="A70" s="3"/>
    </row>
    <row r="72" spans="1:5" x14ac:dyDescent="0.25">
      <c r="D72" s="4"/>
      <c r="E72" s="5"/>
    </row>
    <row r="75" spans="1:5" x14ac:dyDescent="0.25">
      <c r="A75" s="6"/>
      <c r="B75" s="1"/>
      <c r="C75" s="1"/>
      <c r="D75" s="1"/>
      <c r="E75" s="1"/>
    </row>
    <row r="77" spans="1:5" x14ac:dyDescent="0.25">
      <c r="C77" s="2"/>
    </row>
    <row r="78" spans="1:5" x14ac:dyDescent="0.25">
      <c r="C78" s="2"/>
    </row>
    <row r="79" spans="1:5" x14ac:dyDescent="0.25">
      <c r="C79" s="2"/>
    </row>
    <row r="80" spans="1:5" x14ac:dyDescent="0.25">
      <c r="C80" s="2"/>
    </row>
    <row r="81" spans="1:5" x14ac:dyDescent="0.25">
      <c r="C81" s="2"/>
    </row>
    <row r="82" spans="1:5" x14ac:dyDescent="0.25">
      <c r="C82" s="2"/>
    </row>
    <row r="83" spans="1:5" x14ac:dyDescent="0.25">
      <c r="A83" s="3"/>
    </row>
    <row r="85" spans="1:5" x14ac:dyDescent="0.25">
      <c r="D85" s="4"/>
      <c r="E85" s="5"/>
    </row>
    <row r="88" spans="1:5" x14ac:dyDescent="0.25">
      <c r="A88" s="6"/>
      <c r="B88" s="1"/>
      <c r="C88" s="1"/>
      <c r="D88" s="1"/>
      <c r="E88" s="1"/>
    </row>
    <row r="90" spans="1:5" x14ac:dyDescent="0.25">
      <c r="C90" s="2"/>
    </row>
    <row r="91" spans="1:5" x14ac:dyDescent="0.25">
      <c r="C91" s="2"/>
    </row>
    <row r="92" spans="1:5" x14ac:dyDescent="0.25">
      <c r="C92" s="2"/>
    </row>
    <row r="93" spans="1:5" x14ac:dyDescent="0.25">
      <c r="C93" s="2"/>
    </row>
    <row r="94" spans="1:5" x14ac:dyDescent="0.25">
      <c r="C94" s="2"/>
    </row>
    <row r="95" spans="1:5" x14ac:dyDescent="0.25">
      <c r="C95" s="2"/>
    </row>
    <row r="96" spans="1:5" x14ac:dyDescent="0.25">
      <c r="A96" s="3"/>
    </row>
    <row r="98" spans="1:5" x14ac:dyDescent="0.25">
      <c r="D98" s="4"/>
      <c r="E98" s="5"/>
    </row>
    <row r="101" spans="1:5" x14ac:dyDescent="0.25">
      <c r="A101" s="6"/>
      <c r="B101" s="1"/>
      <c r="C101" s="1"/>
      <c r="D101" s="1"/>
      <c r="E101" s="1"/>
    </row>
    <row r="103" spans="1:5" x14ac:dyDescent="0.25">
      <c r="C103" s="2"/>
    </row>
    <row r="104" spans="1:5" x14ac:dyDescent="0.25">
      <c r="C104" s="2"/>
    </row>
    <row r="105" spans="1:5" x14ac:dyDescent="0.25">
      <c r="C105" s="2"/>
    </row>
    <row r="106" spans="1:5" x14ac:dyDescent="0.25">
      <c r="C106" s="2"/>
    </row>
    <row r="107" spans="1:5" x14ac:dyDescent="0.25">
      <c r="C107" s="2"/>
    </row>
    <row r="108" spans="1:5" x14ac:dyDescent="0.25">
      <c r="C108" s="2"/>
    </row>
    <row r="109" spans="1:5" x14ac:dyDescent="0.25">
      <c r="A109" s="3"/>
    </row>
    <row r="111" spans="1:5" x14ac:dyDescent="0.25">
      <c r="D111" s="4"/>
      <c r="E111" s="5"/>
    </row>
    <row r="114" spans="1:5" x14ac:dyDescent="0.25">
      <c r="A114" s="6"/>
      <c r="B114" s="1"/>
      <c r="C114" s="1"/>
      <c r="D114" s="1"/>
      <c r="E114" s="1"/>
    </row>
    <row r="116" spans="1:5" x14ac:dyDescent="0.25">
      <c r="C116" s="2"/>
    </row>
    <row r="117" spans="1:5" x14ac:dyDescent="0.25">
      <c r="C117" s="2"/>
    </row>
    <row r="118" spans="1:5" x14ac:dyDescent="0.25">
      <c r="C118" s="2"/>
    </row>
    <row r="119" spans="1:5" x14ac:dyDescent="0.25">
      <c r="C119" s="2"/>
    </row>
    <row r="120" spans="1:5" x14ac:dyDescent="0.25">
      <c r="C120" s="2"/>
    </row>
    <row r="121" spans="1:5" x14ac:dyDescent="0.25">
      <c r="C121" s="2"/>
    </row>
    <row r="122" spans="1:5" x14ac:dyDescent="0.25">
      <c r="A122" s="3"/>
    </row>
    <row r="124" spans="1:5" x14ac:dyDescent="0.25">
      <c r="D124" s="4"/>
      <c r="E124" s="5"/>
    </row>
    <row r="127" spans="1:5" x14ac:dyDescent="0.25">
      <c r="A127" s="6"/>
      <c r="B127" s="1"/>
      <c r="C127" s="1"/>
      <c r="D127" s="1"/>
      <c r="E127" s="1"/>
    </row>
    <row r="129" spans="1:6" x14ac:dyDescent="0.25">
      <c r="C129" s="2"/>
    </row>
    <row r="130" spans="1:6" x14ac:dyDescent="0.25">
      <c r="C130" s="2"/>
    </row>
    <row r="131" spans="1:6" x14ac:dyDescent="0.25">
      <c r="C131" s="2"/>
    </row>
    <row r="132" spans="1:6" x14ac:dyDescent="0.25">
      <c r="C132" s="2"/>
    </row>
    <row r="133" spans="1:6" x14ac:dyDescent="0.25">
      <c r="C133" s="2"/>
    </row>
    <row r="134" spans="1:6" x14ac:dyDescent="0.25">
      <c r="C134" s="2"/>
    </row>
    <row r="135" spans="1:6" x14ac:dyDescent="0.25">
      <c r="A135" s="3"/>
    </row>
    <row r="137" spans="1:6" x14ac:dyDescent="0.25">
      <c r="D137" s="4"/>
      <c r="E137" s="5"/>
    </row>
    <row r="140" spans="1:6" x14ac:dyDescent="0.25">
      <c r="A140" s="6"/>
      <c r="B140" s="1"/>
      <c r="C140" s="1"/>
      <c r="D140" s="1"/>
      <c r="E140" s="1"/>
    </row>
    <row r="142" spans="1:6" x14ac:dyDescent="0.25">
      <c r="C142" s="2"/>
    </row>
    <row r="143" spans="1:6" x14ac:dyDescent="0.25">
      <c r="C143" s="2"/>
    </row>
    <row r="144" spans="1:6" x14ac:dyDescent="0.25">
      <c r="C144" s="2"/>
      <c r="F144" s="8"/>
    </row>
    <row r="145" spans="1:5" x14ac:dyDescent="0.25">
      <c r="C145" s="2"/>
    </row>
    <row r="146" spans="1:5" x14ac:dyDescent="0.25">
      <c r="C146" s="2"/>
    </row>
    <row r="147" spans="1:5" x14ac:dyDescent="0.25">
      <c r="C147" s="2"/>
    </row>
    <row r="148" spans="1:5" x14ac:dyDescent="0.25">
      <c r="A148" s="3"/>
    </row>
    <row r="150" spans="1:5" x14ac:dyDescent="0.25">
      <c r="D150" s="4"/>
      <c r="E150" s="5"/>
    </row>
    <row r="153" spans="1:5" x14ac:dyDescent="0.25">
      <c r="A153" s="6"/>
      <c r="B153" s="1"/>
      <c r="C153" s="1"/>
      <c r="D153" s="1"/>
      <c r="E153" s="1"/>
    </row>
    <row r="155" spans="1:5" x14ac:dyDescent="0.25">
      <c r="C155" s="2"/>
    </row>
    <row r="156" spans="1:5" x14ac:dyDescent="0.25">
      <c r="C156" s="2"/>
    </row>
    <row r="157" spans="1:5" x14ac:dyDescent="0.25">
      <c r="C157" s="2"/>
    </row>
    <row r="158" spans="1:5" x14ac:dyDescent="0.25">
      <c r="C158" s="2"/>
    </row>
    <row r="159" spans="1:5" x14ac:dyDescent="0.25">
      <c r="C159" s="2"/>
    </row>
    <row r="160" spans="1:5" x14ac:dyDescent="0.25">
      <c r="C160" s="2"/>
    </row>
    <row r="161" spans="1:5" x14ac:dyDescent="0.25">
      <c r="A161" s="3"/>
    </row>
    <row r="163" spans="1:5" x14ac:dyDescent="0.25">
      <c r="D163" s="4"/>
      <c r="E163" s="5"/>
    </row>
  </sheetData>
  <mergeCells count="6">
    <mergeCell ref="B15:C15"/>
    <mergeCell ref="B16:C16"/>
    <mergeCell ref="A10:D10"/>
    <mergeCell ref="J1:J8"/>
    <mergeCell ref="B13:C13"/>
    <mergeCell ref="B14:C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e576bc-9f64-4b26-b4d8-385686323516" xsi:nil="true"/>
    <lcf76f155ced4ddcb4097134ff3c332f xmlns="5b4cc71f-4036-4581-85c7-a4481d742ec8">
      <Terms xmlns="http://schemas.microsoft.com/office/infopath/2007/PartnerControls"/>
    </lcf76f155ced4ddcb4097134ff3c332f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94F9C1-E309-4F51-B2E2-618948121F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E5ADF4-8193-4752-A273-F277A0E980A5}">
  <ds:schemaRefs>
    <ds:schemaRef ds:uri="http://schemas.microsoft.com/office/2006/metadata/properties"/>
    <ds:schemaRef ds:uri="http://schemas.microsoft.com/office/infopath/2007/PartnerControls"/>
    <ds:schemaRef ds:uri="ad65be2e-f78a-4e94-a005-02b71c0d7fcb"/>
    <ds:schemaRef ds:uri="f958eb6a-8018-439d-a122-07974d7873c0"/>
    <ds:schemaRef ds:uri="95e576bc-9f64-4b26-b4d8-385686323516"/>
    <ds:schemaRef ds:uri="5b4cc71f-4036-4581-85c7-a4481d742ec8"/>
  </ds:schemaRefs>
</ds:datastoreItem>
</file>

<file path=customXml/itemProps3.xml><?xml version="1.0" encoding="utf-8"?>
<ds:datastoreItem xmlns:ds="http://schemas.openxmlformats.org/officeDocument/2006/customXml" ds:itemID="{D8ACE7EF-80F1-47DB-92C9-BE0CAECC8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Thomas</dc:creator>
  <cp:keywords/>
  <dc:description/>
  <cp:lastModifiedBy>kat neale</cp:lastModifiedBy>
  <cp:revision/>
  <dcterms:created xsi:type="dcterms:W3CDTF">2018-11-05T10:49:47Z</dcterms:created>
  <dcterms:modified xsi:type="dcterms:W3CDTF">2026-06-23T13:27:23Z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
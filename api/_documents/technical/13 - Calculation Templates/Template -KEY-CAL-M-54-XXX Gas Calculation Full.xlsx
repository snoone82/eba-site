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90" documentId="8_{37E616D9-4C8F-491B-8A41-FEE1EA3614AE}" xr6:coauthVersionLast="47" xr6:coauthVersionMax="47" xr10:uidLastSave="{B256DFC5-05AF-472F-9816-00B24DE965AD}"/>
  <bookViews>
    <workbookView xWindow="12045" yWindow="4065" windowWidth="24360" windowHeight="15345" xr2:uid="{00000000-000D-0000-FFFF-FFFF00000000}"/>
  </bookViews>
  <sheets>
    <sheet name="UH03" sheetId="4" r:id="rId1"/>
  </sheets>
  <definedNames>
    <definedName name="_xlnm.Print_Area" localSheetId="0">'UH03'!$A$1:$R$32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4" l="1"/>
  <c r="H24" i="4"/>
  <c r="P25" i="4" l="1"/>
  <c r="P26" i="4" s="1"/>
</calcChain>
</file>

<file path=xl/sharedStrings.xml><?xml version="1.0" encoding="utf-8"?>
<sst xmlns="http://schemas.openxmlformats.org/spreadsheetml/2006/main" count="47" uniqueCount="41">
  <si>
    <t>Project No.</t>
  </si>
  <si>
    <t>Project</t>
  </si>
  <si>
    <t>Title</t>
  </si>
  <si>
    <t>Schedule No.</t>
  </si>
  <si>
    <t>Revision</t>
  </si>
  <si>
    <t>Date</t>
  </si>
  <si>
    <t>Sheet</t>
  </si>
  <si>
    <t>Gas Pipe Size Calcuations for Sykes Seafood</t>
  </si>
  <si>
    <t>Tender based on 80dia Steel Pipework</t>
  </si>
  <si>
    <t>Inlet Pressure</t>
  </si>
  <si>
    <t xml:space="preserve">mbar </t>
  </si>
  <si>
    <t>assumed from existing connection</t>
  </si>
  <si>
    <t>Solenoid Valve Allowance</t>
  </si>
  <si>
    <t>mbar</t>
  </si>
  <si>
    <t>Max Pressure Loss</t>
  </si>
  <si>
    <t>100Pa</t>
  </si>
  <si>
    <t>Allowance for Tee</t>
  </si>
  <si>
    <t>Min pressure at AHU</t>
  </si>
  <si>
    <t>for Reference only - 1mbar used for Calculation</t>
  </si>
  <si>
    <t>Method 2 - Allowance of  pipework  fittings</t>
  </si>
  <si>
    <t>Section</t>
  </si>
  <si>
    <t>KW</t>
  </si>
  <si>
    <t>Flow (m3/hr)</t>
  </si>
  <si>
    <t>Flow (m3/s)</t>
  </si>
  <si>
    <t>Size (mm)</t>
  </si>
  <si>
    <t>Pa/m</t>
  </si>
  <si>
    <t>length (m)</t>
  </si>
  <si>
    <t>Elbows Eq Length</t>
  </si>
  <si>
    <t>No.</t>
  </si>
  <si>
    <t>Length</t>
  </si>
  <si>
    <t>Valve Eq Length</t>
  </si>
  <si>
    <t>Total Length</t>
  </si>
  <si>
    <t>PD</t>
  </si>
  <si>
    <t>Total</t>
  </si>
  <si>
    <t>Design Allowance</t>
  </si>
  <si>
    <t>Pa (&lt;100pa Rqd)</t>
  </si>
  <si>
    <t>Higher pressure than 21mbar avaialble onsite, however 1mbar has been allowed for sizing purposed</t>
  </si>
  <si>
    <t>No solenoid value curently allowed for on project; however allowance of 0.2mbar included in calc.</t>
  </si>
  <si>
    <t>Heavy Grade Steel used for pressure loss calcs</t>
  </si>
  <si>
    <t>Within the design allowance???</t>
  </si>
  <si>
    <t>IP 02-05-13-5402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</si>
</sst>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6100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4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4" fillId="4" borderId="8" xfId="0" applyFont="1" applyFill="1" applyBorder="1" applyAlignment="1">
      <alignment horizontal="center" vertical="center" wrapText="1"/>
    </xf>
    <xf numFmtId="0" fontId="0" fillId="4" borderId="9" xfId="0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4" fillId="4" borderId="10" xfId="0" applyFont="1" applyFill="1" applyBorder="1" applyAlignment="1">
      <alignment horizontal="center" vertical="center" wrapText="1"/>
    </xf>
    <xf numFmtId="0" fontId="0" fillId="4" borderId="10" xfId="0" applyFill="1" applyBorder="1"/>
    <xf numFmtId="2" fontId="7" fillId="4" borderId="10" xfId="0" applyNumberFormat="1" applyFont="1" applyFill="1" applyBorder="1"/>
    <xf numFmtId="0" fontId="7" fillId="4" borderId="10" xfId="0" applyFont="1" applyFill="1" applyBorder="1"/>
    <xf numFmtId="2" fontId="7" fillId="4" borderId="11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9" fillId="0" borderId="0" xfId="0" applyFont="1"/>
    <xf numFmtId="0" fontId="9" fillId="0" borderId="1" xfId="0" applyFont="1" applyBorder="1"/>
    <xf numFmtId="0" fontId="12" fillId="0" borderId="0" xfId="1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4" xfId="0" applyFont="1" applyBorder="1" applyAlignment="1">
      <alignment horizontal="center" vertical="center" wrapText="1"/>
    </xf>
    <xf numFmtId="0" fontId="9" fillId="2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9" fillId="0" borderId="5" xfId="0" applyFont="1" applyBorder="1"/>
    <xf numFmtId="0" fontId="9" fillId="0" borderId="4" xfId="0" applyFont="1" applyBorder="1"/>
    <xf numFmtId="2" fontId="9" fillId="0" borderId="1" xfId="0" applyNumberFormat="1" applyFont="1" applyBorder="1"/>
    <xf numFmtId="0" fontId="12" fillId="3" borderId="1" xfId="1" applyFont="1" applyBorder="1"/>
    <xf numFmtId="0" fontId="0" fillId="0" borderId="17" xfId="0" applyBorder="1"/>
    <xf numFmtId="0" fontId="1" fillId="0" borderId="0" xfId="0" applyFont="1"/>
    <xf numFmtId="0" fontId="0" fillId="0" borderId="15" xfId="0" applyBorder="1"/>
    <xf numFmtId="0" fontId="8" fillId="0" borderId="14" xfId="0" applyFont="1" applyBorder="1"/>
    <xf numFmtId="0" fontId="10" fillId="0" borderId="0" xfId="0" applyFont="1"/>
    <xf numFmtId="0" fontId="9" fillId="0" borderId="15" xfId="0" applyFont="1" applyBorder="1"/>
    <xf numFmtId="0" fontId="9" fillId="0" borderId="14" xfId="0" applyFont="1" applyBorder="1"/>
    <xf numFmtId="0" fontId="11" fillId="0" borderId="0" xfId="0" applyFont="1"/>
    <xf numFmtId="0" fontId="8" fillId="0" borderId="0" xfId="0" applyFont="1"/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/>
    <xf numFmtId="9" fontId="9" fillId="0" borderId="0" xfId="0" applyNumberFormat="1" applyFont="1"/>
    <xf numFmtId="2" fontId="9" fillId="0" borderId="0" xfId="0" applyNumberFormat="1" applyFont="1"/>
    <xf numFmtId="0" fontId="0" fillId="0" borderId="14" xfId="0" applyBorder="1"/>
    <xf numFmtId="0" fontId="0" fillId="0" borderId="16" xfId="0" applyBorder="1"/>
    <xf numFmtId="0" fontId="0" fillId="0" borderId="21" xfId="0" applyBorder="1"/>
    <xf numFmtId="0" fontId="6" fillId="4" borderId="23" xfId="0" applyFont="1" applyFill="1" applyBorder="1"/>
    <xf numFmtId="0" fontId="6" fillId="4" borderId="3" xfId="0" applyFont="1" applyFill="1" applyBorder="1" applyAlignment="1">
      <alignment horizontal="left"/>
    </xf>
    <xf numFmtId="14" fontId="6" fillId="4" borderId="3" xfId="0" applyNumberFormat="1" applyFont="1" applyFill="1" applyBorder="1" applyAlignment="1">
      <alignment horizontal="left"/>
    </xf>
    <xf numFmtId="0" fontId="6" fillId="4" borderId="24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17" xfId="0" applyBorder="1" applyAlignment="1">
      <alignment wrapText="1"/>
    </xf>
    <xf numFmtId="0" fontId="14" fillId="0" borderId="0" xfId="0" applyFont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0" xfId="0" applyFont="1" applyAlignment="1">
      <alignment wrapText="1"/>
    </xf>
    <xf numFmtId="0" fontId="9" fillId="0" borderId="22" xfId="0" applyFont="1" applyBorder="1" applyAlignment="1">
      <alignment horizontal="right"/>
    </xf>
    <xf numFmtId="0" fontId="0" fillId="0" borderId="22" xfId="0" applyBorder="1" applyAlignment="1">
      <alignment horizontal="right"/>
    </xf>
    <xf numFmtId="0" fontId="5" fillId="4" borderId="18" xfId="0" applyFont="1" applyFill="1" applyBorder="1" applyAlignment="1">
      <alignment horizontal="left"/>
    </xf>
    <xf numFmtId="0" fontId="0" fillId="0" borderId="8" xfId="0" applyBorder="1"/>
    <xf numFmtId="0" fontId="5" fillId="4" borderId="16" xfId="0" applyFont="1" applyFill="1" applyBorder="1" applyAlignment="1">
      <alignment horizontal="left"/>
    </xf>
    <xf numFmtId="0" fontId="0" fillId="0" borderId="21" xfId="0" applyBorder="1"/>
    <xf numFmtId="0" fontId="5" fillId="4" borderId="12" xfId="0" applyFont="1" applyFill="1" applyBorder="1"/>
    <xf numFmtId="0" fontId="0" fillId="0" borderId="19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231120</xdr:colOff>
      <xdr:row>1</xdr:row>
      <xdr:rowOff>38100</xdr:rowOff>
    </xdr:from>
    <xdr:to>
      <xdr:col>1</xdr:col>
      <xdr:colOff>1371880</xdr:colOff>
      <xdr:row>3</xdr:row>
      <xdr:rowOff>94690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5CCBB-BE43-499B-8A6D-C90AA904D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1120" y="228600"/>
          <a:ext cx="175036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6BC7-A7D8-45FE-AE32-8C205671DFC7}">
  <sheetPr>
    <pageSetUpPr fitToPage="1"/>
  </sheetPr>
  <dimension ref="A1:S32"/>
  <sheetViews>
    <sheetView tabSelected="1" view="pageBreakPreview" zoomScaleNormal="100" zoomScaleSheetLayoutView="100" workbookViewId="0">
      <selection activeCell="L22" sqref="L22"/>
    </sheetView>
  </sheetViews>
  <sheetFormatPr defaultRowHeight="15" x14ac:dyDescent="0.25"/>
  <cols>
    <col min="2" max="2" width="24.5703125" customWidth="1"/>
    <col min="3" max="3" width="6" bestFit="1" customWidth="1"/>
    <col min="5" max="5" width="10.140625" bestFit="1" customWidth="1"/>
    <col min="7" max="7" width="6.85546875" customWidth="1"/>
    <col min="10" max="10" width="12.42578125" customWidth="1"/>
    <col min="11" max="11" width="7" bestFit="1" customWidth="1"/>
    <col min="13" max="13" width="6.28515625" customWidth="1"/>
    <col min="14" max="14" width="7" bestFit="1" customWidth="1"/>
    <col min="15" max="15" width="11.7109375" customWidth="1"/>
    <col min="17" max="17" width="6.7109375" customWidth="1"/>
    <col min="18" max="18" width="11" customWidth="1"/>
  </cols>
  <sheetData>
    <row r="1" spans="1:19" x14ac:dyDescent="0.25">
      <c r="A1" s="14"/>
      <c r="B1" s="15"/>
      <c r="C1" s="72" t="s">
        <v>0</v>
      </c>
      <c r="D1" s="73"/>
      <c r="E1" s="50"/>
      <c r="F1" s="2"/>
      <c r="G1" s="1"/>
      <c r="H1" s="1"/>
      <c r="I1" s="1"/>
      <c r="J1" s="2"/>
      <c r="K1" s="2"/>
      <c r="L1" s="2"/>
      <c r="M1" s="2"/>
      <c r="N1" s="2"/>
      <c r="O1" s="3"/>
      <c r="P1" s="54"/>
      <c r="Q1" s="55"/>
      <c r="R1" s="56"/>
    </row>
    <row r="2" spans="1:19" x14ac:dyDescent="0.25">
      <c r="A2" s="16"/>
      <c r="B2" s="17"/>
      <c r="C2" s="68" t="s">
        <v>1</v>
      </c>
      <c r="D2" s="69"/>
      <c r="E2" s="51"/>
      <c r="F2" s="4"/>
      <c r="G2" s="5"/>
      <c r="H2" s="5"/>
      <c r="I2" s="5"/>
      <c r="J2" s="4"/>
      <c r="K2" s="4"/>
      <c r="L2" s="4"/>
      <c r="M2" s="4"/>
      <c r="N2" s="4"/>
      <c r="O2" s="6"/>
      <c r="P2" s="57"/>
      <c r="Q2" s="58"/>
      <c r="R2" s="59"/>
    </row>
    <row r="3" spans="1:19" x14ac:dyDescent="0.25">
      <c r="A3" s="16"/>
      <c r="B3" s="17"/>
      <c r="C3" s="68" t="s">
        <v>2</v>
      </c>
      <c r="D3" s="69"/>
      <c r="E3" s="51"/>
      <c r="F3" s="4"/>
      <c r="G3" s="5"/>
      <c r="H3" s="5"/>
      <c r="I3" s="5"/>
      <c r="J3" s="4"/>
      <c r="K3" s="4"/>
      <c r="L3" s="4"/>
      <c r="M3" s="4"/>
      <c r="N3" s="4"/>
      <c r="O3" s="6"/>
      <c r="P3" s="57"/>
      <c r="Q3" s="58"/>
      <c r="R3" s="59"/>
    </row>
    <row r="4" spans="1:19" x14ac:dyDescent="0.25">
      <c r="A4" s="16"/>
      <c r="B4" s="17"/>
      <c r="C4" s="68" t="s">
        <v>3</v>
      </c>
      <c r="D4" s="69"/>
      <c r="E4" s="51"/>
      <c r="F4" s="4"/>
      <c r="G4" s="5"/>
      <c r="H4" s="5"/>
      <c r="I4" s="5"/>
      <c r="J4" s="4"/>
      <c r="K4" s="7"/>
      <c r="L4" s="7"/>
      <c r="M4" s="7"/>
      <c r="N4" s="7"/>
      <c r="O4" s="8"/>
      <c r="P4" s="57"/>
      <c r="Q4" s="58"/>
      <c r="R4" s="59"/>
    </row>
    <row r="5" spans="1:19" x14ac:dyDescent="0.25">
      <c r="A5" s="16"/>
      <c r="B5" s="17"/>
      <c r="C5" s="68" t="s">
        <v>4</v>
      </c>
      <c r="D5" s="69"/>
      <c r="E5" s="51"/>
      <c r="F5" s="4"/>
      <c r="G5" s="5"/>
      <c r="H5" s="5"/>
      <c r="I5" s="5"/>
      <c r="J5" s="4"/>
      <c r="K5" s="7"/>
      <c r="L5" s="7"/>
      <c r="M5" s="7"/>
      <c r="N5" s="7"/>
      <c r="O5" s="8"/>
      <c r="P5" s="57"/>
      <c r="Q5" s="58"/>
      <c r="R5" s="59"/>
    </row>
    <row r="6" spans="1:19" x14ac:dyDescent="0.25">
      <c r="A6" s="16"/>
      <c r="B6" s="17"/>
      <c r="C6" s="68" t="s">
        <v>5</v>
      </c>
      <c r="D6" s="69"/>
      <c r="E6" s="52"/>
      <c r="F6" s="4"/>
      <c r="G6" s="5"/>
      <c r="H6" s="5"/>
      <c r="I6" s="5"/>
      <c r="J6" s="4"/>
      <c r="K6" s="7"/>
      <c r="L6" s="7"/>
      <c r="M6" s="7"/>
      <c r="N6" s="7"/>
      <c r="O6" s="8"/>
      <c r="P6" s="57"/>
      <c r="Q6" s="58"/>
      <c r="R6" s="59"/>
    </row>
    <row r="7" spans="1:19" ht="15.75" thickBot="1" x14ac:dyDescent="0.3">
      <c r="A7" s="18"/>
      <c r="B7" s="19"/>
      <c r="C7" s="70" t="s">
        <v>6</v>
      </c>
      <c r="D7" s="71"/>
      <c r="E7" s="53"/>
      <c r="F7" s="9"/>
      <c r="G7" s="9"/>
      <c r="H7" s="9"/>
      <c r="I7" s="9"/>
      <c r="J7" s="10"/>
      <c r="K7" s="11"/>
      <c r="L7" s="12"/>
      <c r="M7" s="12"/>
      <c r="N7" s="11"/>
      <c r="O7" s="13"/>
      <c r="P7" s="60"/>
      <c r="Q7" s="61"/>
      <c r="R7" s="62"/>
    </row>
    <row r="8" spans="1:19" x14ac:dyDescent="0.25">
      <c r="A8" s="16"/>
      <c r="B8" s="35"/>
      <c r="O8" s="35"/>
      <c r="R8" s="36"/>
    </row>
    <row r="9" spans="1:19" x14ac:dyDescent="0.25">
      <c r="A9" s="37" t="s">
        <v>7</v>
      </c>
      <c r="B9" s="20"/>
      <c r="C9" s="20"/>
      <c r="D9" s="20"/>
      <c r="E9" s="38" t="s">
        <v>8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39"/>
      <c r="S9" s="20"/>
    </row>
    <row r="10" spans="1:19" x14ac:dyDescent="0.25">
      <c r="A10" s="4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39"/>
      <c r="S10" s="20"/>
    </row>
    <row r="11" spans="1:19" x14ac:dyDescent="0.25">
      <c r="A11" s="40" t="s">
        <v>9</v>
      </c>
      <c r="B11" s="20"/>
      <c r="C11" s="21">
        <v>21</v>
      </c>
      <c r="D11" s="20" t="s">
        <v>10</v>
      </c>
      <c r="E11" s="20" t="s">
        <v>11</v>
      </c>
      <c r="F11" s="20"/>
      <c r="G11" s="20"/>
      <c r="H11" s="20"/>
      <c r="I11" s="20" t="s">
        <v>12</v>
      </c>
      <c r="J11" s="20"/>
      <c r="K11" s="21">
        <v>0.2</v>
      </c>
      <c r="L11" s="20" t="s">
        <v>13</v>
      </c>
      <c r="M11" s="20"/>
      <c r="N11" s="20"/>
      <c r="O11" s="20"/>
      <c r="P11" s="20"/>
      <c r="Q11" s="20"/>
      <c r="R11" s="39"/>
      <c r="S11" s="20"/>
    </row>
    <row r="12" spans="1:19" x14ac:dyDescent="0.25">
      <c r="A12" s="40" t="s">
        <v>14</v>
      </c>
      <c r="B12" s="20"/>
      <c r="C12" s="21">
        <v>1</v>
      </c>
      <c r="D12" s="20" t="s">
        <v>13</v>
      </c>
      <c r="E12" s="41" t="s">
        <v>15</v>
      </c>
      <c r="F12" s="20"/>
      <c r="G12" s="20"/>
      <c r="H12" s="20"/>
      <c r="I12" s="20" t="s">
        <v>16</v>
      </c>
      <c r="J12" s="20"/>
      <c r="K12" s="21">
        <v>0.1</v>
      </c>
      <c r="L12" s="20" t="s">
        <v>13</v>
      </c>
      <c r="M12" s="20"/>
      <c r="N12" s="20"/>
      <c r="O12" s="20"/>
      <c r="P12" s="20"/>
      <c r="Q12" s="20"/>
      <c r="R12" s="39"/>
      <c r="S12" s="20"/>
    </row>
    <row r="13" spans="1:19" x14ac:dyDescent="0.25">
      <c r="A13" s="40" t="s">
        <v>17</v>
      </c>
      <c r="B13" s="20"/>
      <c r="C13" s="21">
        <v>18</v>
      </c>
      <c r="D13" s="20" t="s">
        <v>10</v>
      </c>
      <c r="E13" s="20" t="s">
        <v>18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9"/>
      <c r="S13" s="20"/>
    </row>
    <row r="14" spans="1:19" x14ac:dyDescent="0.25">
      <c r="A14" s="37" t="s">
        <v>19</v>
      </c>
      <c r="B14" s="20"/>
      <c r="C14" s="20"/>
      <c r="D14" s="20"/>
      <c r="E14" s="20"/>
      <c r="F14" s="20"/>
      <c r="G14" s="20"/>
      <c r="H14" s="20"/>
      <c r="I14" s="42"/>
      <c r="J14" s="22"/>
      <c r="K14" s="22"/>
      <c r="L14" s="42"/>
      <c r="M14" s="20"/>
      <c r="N14" s="20"/>
      <c r="O14" s="20"/>
      <c r="P14" s="20"/>
      <c r="Q14" s="20"/>
      <c r="R14" s="39"/>
      <c r="S14" s="20"/>
    </row>
    <row r="15" spans="1:19" x14ac:dyDescent="0.25">
      <c r="A15" s="4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9"/>
      <c r="S15" s="20"/>
    </row>
    <row r="16" spans="1:19" ht="24" x14ac:dyDescent="0.25">
      <c r="A16" s="43" t="s">
        <v>20</v>
      </c>
      <c r="B16" s="23"/>
      <c r="C16" s="23" t="s">
        <v>21</v>
      </c>
      <c r="D16" s="23" t="s">
        <v>22</v>
      </c>
      <c r="E16" s="23" t="s">
        <v>23</v>
      </c>
      <c r="F16" s="23" t="s">
        <v>24</v>
      </c>
      <c r="G16" s="23" t="s">
        <v>25</v>
      </c>
      <c r="H16" s="23" t="s">
        <v>26</v>
      </c>
      <c r="I16" s="23" t="s">
        <v>27</v>
      </c>
      <c r="J16" s="23" t="s">
        <v>28</v>
      </c>
      <c r="K16" s="23" t="s">
        <v>29</v>
      </c>
      <c r="L16" s="23" t="s">
        <v>30</v>
      </c>
      <c r="M16" s="23" t="s">
        <v>28</v>
      </c>
      <c r="N16" s="24" t="s">
        <v>29</v>
      </c>
      <c r="O16" s="25" t="s">
        <v>31</v>
      </c>
      <c r="P16" s="26" t="s">
        <v>32</v>
      </c>
      <c r="Q16" s="20"/>
      <c r="R16" s="39"/>
      <c r="S16" s="20"/>
    </row>
    <row r="17" spans="1:19" x14ac:dyDescent="0.25">
      <c r="A17" s="44"/>
      <c r="B17" s="21"/>
      <c r="C17" s="21"/>
      <c r="D17" s="27"/>
      <c r="E17" s="21"/>
      <c r="F17" s="28"/>
      <c r="G17" s="21"/>
      <c r="H17" s="21"/>
      <c r="I17" s="21"/>
      <c r="J17" s="21"/>
      <c r="K17" s="21"/>
      <c r="L17" s="21"/>
      <c r="M17" s="21"/>
      <c r="N17" s="29"/>
      <c r="O17" s="30"/>
      <c r="P17" s="31"/>
      <c r="Q17" s="20"/>
      <c r="R17" s="39"/>
      <c r="S17" s="20"/>
    </row>
    <row r="18" spans="1:19" x14ac:dyDescent="0.25">
      <c r="A18" s="44"/>
      <c r="B18" s="21"/>
      <c r="C18" s="21"/>
      <c r="D18" s="27"/>
      <c r="E18" s="21"/>
      <c r="F18" s="28"/>
      <c r="G18" s="21"/>
      <c r="H18" s="21"/>
      <c r="I18" s="21"/>
      <c r="J18" s="21"/>
      <c r="K18" s="21"/>
      <c r="L18" s="21"/>
      <c r="M18" s="21"/>
      <c r="N18" s="29"/>
      <c r="O18" s="30"/>
      <c r="P18" s="31"/>
      <c r="Q18" s="20"/>
      <c r="R18" s="39"/>
      <c r="S18" s="20"/>
    </row>
    <row r="19" spans="1:19" x14ac:dyDescent="0.25">
      <c r="A19" s="44"/>
      <c r="B19" s="21"/>
      <c r="C19" s="21"/>
      <c r="D19" s="27"/>
      <c r="E19" s="21"/>
      <c r="F19" s="28"/>
      <c r="G19" s="21"/>
      <c r="H19" s="21"/>
      <c r="I19" s="21"/>
      <c r="J19" s="21"/>
      <c r="K19" s="21"/>
      <c r="L19" s="21"/>
      <c r="M19" s="21"/>
      <c r="N19" s="29"/>
      <c r="O19" s="30"/>
      <c r="P19" s="31"/>
      <c r="Q19" s="20"/>
      <c r="R19" s="39"/>
      <c r="S19" s="20"/>
    </row>
    <row r="20" spans="1:19" x14ac:dyDescent="0.25">
      <c r="A20" s="44"/>
      <c r="B20" s="21"/>
      <c r="C20" s="21"/>
      <c r="D20" s="27"/>
      <c r="E20" s="21"/>
      <c r="F20" s="28"/>
      <c r="G20" s="21"/>
      <c r="H20" s="21"/>
      <c r="I20" s="21"/>
      <c r="J20" s="21"/>
      <c r="K20" s="21"/>
      <c r="L20" s="21"/>
      <c r="M20" s="21"/>
      <c r="N20" s="29"/>
      <c r="O20" s="30"/>
      <c r="P20" s="31"/>
      <c r="Q20" s="20"/>
      <c r="R20" s="39"/>
      <c r="S20" s="20"/>
    </row>
    <row r="21" spans="1:19" x14ac:dyDescent="0.25">
      <c r="A21" s="44"/>
      <c r="B21" s="21"/>
      <c r="C21" s="21"/>
      <c r="D21" s="27"/>
      <c r="E21" s="21"/>
      <c r="F21" s="28"/>
      <c r="G21" s="21"/>
      <c r="H21" s="21"/>
      <c r="I21" s="21"/>
      <c r="J21" s="21"/>
      <c r="K21" s="21"/>
      <c r="L21" s="21"/>
      <c r="M21" s="21"/>
      <c r="N21" s="29"/>
      <c r="O21" s="30"/>
      <c r="P21" s="21"/>
      <c r="Q21" s="20"/>
      <c r="R21" s="39"/>
      <c r="S21" s="20"/>
    </row>
    <row r="22" spans="1:19" x14ac:dyDescent="0.25">
      <c r="A22" s="44"/>
      <c r="B22" s="21"/>
      <c r="C22" s="21"/>
      <c r="D22" s="27"/>
      <c r="E22" s="21"/>
      <c r="F22" s="28"/>
      <c r="G22" s="21"/>
      <c r="H22" s="21"/>
      <c r="I22" s="21"/>
      <c r="J22" s="21"/>
      <c r="K22" s="21"/>
      <c r="L22" s="21"/>
      <c r="M22" s="21"/>
      <c r="N22" s="29"/>
      <c r="O22" s="30"/>
      <c r="P22" s="21"/>
      <c r="Q22" s="20"/>
      <c r="R22" s="39"/>
      <c r="S22" s="20"/>
    </row>
    <row r="23" spans="1:19" x14ac:dyDescent="0.25">
      <c r="A23" s="44"/>
      <c r="B23" s="21"/>
      <c r="C23" s="21"/>
      <c r="D23" s="27"/>
      <c r="E23" s="21"/>
      <c r="F23" s="28"/>
      <c r="G23" s="21"/>
      <c r="H23" s="21"/>
      <c r="I23" s="21"/>
      <c r="J23" s="21"/>
      <c r="K23" s="21"/>
      <c r="L23" s="21"/>
      <c r="M23" s="21"/>
      <c r="N23" s="29"/>
      <c r="O23" s="30"/>
      <c r="P23" s="31"/>
      <c r="Q23" s="20"/>
      <c r="R23" s="39"/>
      <c r="S23" s="20"/>
    </row>
    <row r="24" spans="1:19" x14ac:dyDescent="0.25">
      <c r="A24" s="44"/>
      <c r="B24" s="21"/>
      <c r="C24" s="21"/>
      <c r="D24" s="21"/>
      <c r="E24" s="21"/>
      <c r="F24" s="21"/>
      <c r="G24" s="21" t="s">
        <v>33</v>
      </c>
      <c r="H24" s="21">
        <f>SUM(H17:H23)</f>
        <v>0</v>
      </c>
      <c r="I24" s="21"/>
      <c r="J24" s="21">
        <f>SUM(J17:J23)</f>
        <v>0</v>
      </c>
      <c r="K24" s="21"/>
      <c r="L24" s="21"/>
      <c r="M24" s="21"/>
      <c r="N24" s="29"/>
      <c r="O24" s="30"/>
      <c r="P24" s="31"/>
      <c r="Q24" s="20"/>
      <c r="R24" s="39"/>
      <c r="S24" s="20"/>
    </row>
    <row r="25" spans="1:19" x14ac:dyDescent="0.25">
      <c r="A25" s="40"/>
      <c r="B25" s="20"/>
      <c r="C25" s="20"/>
      <c r="D25" s="20"/>
      <c r="E25" s="20"/>
      <c r="F25" s="20"/>
      <c r="G25" s="20"/>
      <c r="H25" s="20"/>
      <c r="I25" s="45"/>
      <c r="J25" s="46"/>
      <c r="K25" s="46"/>
      <c r="L25" s="66" t="s">
        <v>34</v>
      </c>
      <c r="M25" s="67"/>
      <c r="N25" s="67"/>
      <c r="O25" s="45">
        <v>0.1</v>
      </c>
      <c r="P25" s="32">
        <f>SUM(P17:P24)*O25</f>
        <v>0</v>
      </c>
      <c r="Q25" s="20"/>
      <c r="R25" s="39"/>
      <c r="S25" s="20"/>
    </row>
    <row r="26" spans="1:19" x14ac:dyDescent="0.25">
      <c r="A26" s="40"/>
      <c r="B26" s="20"/>
      <c r="C26" s="20"/>
      <c r="D26" s="20"/>
      <c r="E26" s="20"/>
      <c r="F26" s="20"/>
      <c r="G26" s="20"/>
      <c r="H26" s="20"/>
      <c r="I26" s="42"/>
      <c r="J26" s="22"/>
      <c r="K26" s="22"/>
      <c r="L26" s="42"/>
      <c r="M26" s="20"/>
      <c r="N26" s="20"/>
      <c r="O26" s="42" t="s">
        <v>33</v>
      </c>
      <c r="P26" s="33">
        <f>SUM(P17:P25)</f>
        <v>0</v>
      </c>
      <c r="Q26" s="42" t="s">
        <v>35</v>
      </c>
      <c r="R26" s="39"/>
      <c r="S26" s="20"/>
    </row>
    <row r="27" spans="1:19" x14ac:dyDescent="0.25">
      <c r="A27" s="40" t="s">
        <v>36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63" t="s">
        <v>39</v>
      </c>
      <c r="R27" s="64"/>
      <c r="S27" s="20"/>
    </row>
    <row r="28" spans="1:19" x14ac:dyDescent="0.25">
      <c r="A28" s="40" t="s">
        <v>37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65"/>
      <c r="R28" s="64"/>
      <c r="S28" s="20"/>
    </row>
    <row r="29" spans="1:19" x14ac:dyDescent="0.25">
      <c r="A29" s="40" t="s">
        <v>38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39"/>
      <c r="S29" s="20"/>
    </row>
    <row r="30" spans="1:19" x14ac:dyDescent="0.25">
      <c r="A30" s="47"/>
      <c r="R30" s="36"/>
    </row>
    <row r="31" spans="1:19" x14ac:dyDescent="0.25">
      <c r="A31" s="47"/>
      <c r="R31" s="36"/>
    </row>
    <row r="32" spans="1:19" ht="15.75" thickBot="1" x14ac:dyDescent="0.3">
      <c r="A32" s="48" t="s">
        <v>40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34"/>
    </row>
  </sheetData>
  <mergeCells count="10">
    <mergeCell ref="P1:R7"/>
    <mergeCell ref="Q27:R28"/>
    <mergeCell ref="L25:N25"/>
    <mergeCell ref="C6:D6"/>
    <mergeCell ref="C7:D7"/>
    <mergeCell ref="C1:D1"/>
    <mergeCell ref="C2:D2"/>
    <mergeCell ref="C3:D3"/>
    <mergeCell ref="C4:D4"/>
    <mergeCell ref="C5:D5"/>
  </mergeCells>
  <phoneticPr fontId="3" type="noConversion"/>
  <pageMargins left="0.25" right="0.25" top="0.75" bottom="0.75" header="0.3" footer="0.3"/>
  <pageSetup paperSize="8" scale="8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C1C6396-5292-4305-B182-EE2E7B395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CE870-49CC-4D66-9ED1-DD65F7FAA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CFD84F-FE07-427A-B26B-A1D763CF274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UH03</vt:lpstr>
      <vt:lpstr>'UH03'!Print_Area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Thomas</dc:creator>
  <cp:keywords/>
  <dc:description/>
  <cp:lastModifiedBy>kat neale</cp:lastModifiedBy>
  <cp:revision/>
  <dcterms:created xsi:type="dcterms:W3CDTF">2018-09-07T08:33:26Z</dcterms:created>
  <dcterms:modified xsi:type="dcterms:W3CDTF">2026-06-23T13:31:40Z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2387800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
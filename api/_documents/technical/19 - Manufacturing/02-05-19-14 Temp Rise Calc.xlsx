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9 - Manufacturing/"/>
    </mc:Choice>
  </mc:AlternateContent>
  <xr:revisionPtr revIDLastSave="46" documentId="8_{1E9374A2-ADCE-44C3-807A-750FB37E0F0E}" xr6:coauthVersionLast="47" xr6:coauthVersionMax="47" xr10:uidLastSave="{70236EF5-95EC-4CBC-9571-E91116B0023D}"/>
  <bookViews>
    <workbookView xWindow="-120" yWindow="-120" windowWidth="51840" windowHeight="21120" tabRatio="710" activeTab="1" xr2:uid="{00000000-000D-0000-FFFF-FFFF00000000}"/>
  </bookViews>
  <sheets>
    <sheet name="TBC Version 1 Introduction" sheetId="4" r:id="rId1"/>
    <sheet name="Watt Losses" sheetId="12" r:id="rId2"/>
    <sheet name="Calc Sheet" sheetId="2" r:id="rId3"/>
    <sheet name="Table I" sheetId="13" r:id="rId4"/>
  </sheets>
  <definedNames>
    <definedName name="_xlnm.Print_Area" localSheetId="2">'Calc Sheet'!$A$2:$N$56</definedName>
    <definedName name="_xlnm.Print_Area" localSheetId="1">'Watt Losses'!$A$2:$G$87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12" l="1"/>
  <c r="E16" i="2"/>
  <c r="G15" i="2"/>
  <c r="E15" i="2"/>
  <c r="H15" i="2" s="1"/>
  <c r="L15" i="2" s="1"/>
  <c r="E19" i="2"/>
  <c r="G19" i="2"/>
  <c r="G16" i="2"/>
  <c r="E17" i="2"/>
  <c r="G17" i="2"/>
  <c r="E18" i="2"/>
  <c r="G18" i="2"/>
  <c r="H19" i="2" l="1"/>
  <c r="L19" i="2" s="1"/>
  <c r="H16" i="2"/>
  <c r="L16" i="2" s="1"/>
  <c r="H18" i="2"/>
  <c r="L18" i="2" s="1"/>
  <c r="H17" i="2"/>
  <c r="L17" i="2" s="1"/>
  <c r="L20" i="2" l="1"/>
  <c r="L38" i="2" s="1"/>
  <c r="L39" i="2" s="1"/>
  <c r="L41" i="2" s="1"/>
  <c r="L24" i="2" l="1"/>
</calcChain>
</file>

<file path=xl/sharedStrings.xml><?xml version="1.0" encoding="utf-8"?>
<sst xmlns="http://schemas.openxmlformats.org/spreadsheetml/2006/main" count="79" uniqueCount="60">
  <si>
    <t>Document Reference: 02-05-19-14 | Version 1.0 | This document is uncontrolled when printed. Refer to SharePoint for the latest version.</t>
  </si>
  <si>
    <t>Calculation of Power Losses of Components Within Enclosure</t>
  </si>
  <si>
    <t>Project No:</t>
  </si>
  <si>
    <t>Client/Order No:</t>
  </si>
  <si>
    <t>Calculation No:</t>
  </si>
  <si>
    <t>Project:</t>
  </si>
  <si>
    <t>Issue:</t>
  </si>
  <si>
    <t>Date:</t>
  </si>
  <si>
    <t>Item Number</t>
  </si>
  <si>
    <t>Device ID</t>
  </si>
  <si>
    <t>Part Number</t>
  </si>
  <si>
    <t>Item Description</t>
  </si>
  <si>
    <t>Power Losses Each</t>
  </si>
  <si>
    <t>Total:</t>
  </si>
  <si>
    <t>Calculated By:</t>
  </si>
  <si>
    <t>Signed:</t>
  </si>
  <si>
    <t>Approved By:</t>
  </si>
  <si>
    <t>Calculation of Temperature Rise of Air Inside Enclosure</t>
  </si>
  <si>
    <t>Compartment / Enclosure Reference:</t>
  </si>
  <si>
    <t xml:space="preserve">Compartment / Enclosure Dimensions: </t>
  </si>
  <si>
    <t>Height</t>
  </si>
  <si>
    <t>mm</t>
  </si>
  <si>
    <t>Width</t>
  </si>
  <si>
    <t>Depth</t>
  </si>
  <si>
    <t>Efffective Cooling Surface</t>
  </si>
  <si>
    <t>Dimensions</t>
  </si>
  <si>
    <t>Ao</t>
  </si>
  <si>
    <t xml:space="preserve">Surface Factor b 
</t>
  </si>
  <si>
    <t>Ao X b</t>
  </si>
  <si>
    <t>(m x m)</t>
  </si>
  <si>
    <t>m</t>
  </si>
  <si>
    <t>according to Table I</t>
  </si>
  <si>
    <t>Top</t>
  </si>
  <si>
    <t>x</t>
  </si>
  <si>
    <t>Front</t>
  </si>
  <si>
    <t>Rear</t>
  </si>
  <si>
    <t>Left-Hand Side</t>
  </si>
  <si>
    <t>Right-Hand Side</t>
  </si>
  <si>
    <t xml:space="preserve">Ae: Effective Cooling Surface = S(Ao X b) = </t>
  </si>
  <si>
    <t>Enlcosure Temperature Rise Calculation</t>
  </si>
  <si>
    <t>P: Power Dissipate Within Enlcosure By Components (W)</t>
  </si>
  <si>
    <t>K: Heat exchange coefficient (W/m2 K )</t>
  </si>
  <si>
    <t xml:space="preserve">      Temperature Rise Within Enlcosure (K)</t>
  </si>
  <si>
    <t xml:space="preserve">
</t>
  </si>
  <si>
    <t>Required Air Flow Calculation
(If Necessary)</t>
  </si>
  <si>
    <t xml:space="preserve">      Maxium Permitted Temperature Rise (degC)</t>
  </si>
  <si>
    <t>Pe: Amount of Heat Enclosure Can Dissipate (W)</t>
  </si>
  <si>
    <t>Qv: Amount of Watts to be Remove By Forced Venilation (W)</t>
  </si>
  <si>
    <t xml:space="preserve">f: Constant (m3 K/Wh) </t>
  </si>
  <si>
    <t>V: Required Air Flow  (m3/h)</t>
  </si>
  <si>
    <t>Conclusion
The following fan and filter combination is required to meet the above criteria.</t>
  </si>
  <si>
    <t>SURFACE FACTOR TABLE 1</t>
  </si>
  <si>
    <t>Type of Installation</t>
  </si>
  <si>
    <t>Surface Factor b</t>
  </si>
  <si>
    <t>Exposed Top Surface</t>
  </si>
  <si>
    <t>Covered Top Surface</t>
  </si>
  <si>
    <t>Exposed Side Surfaces eg Front, Rear &amp; Side Walls</t>
  </si>
  <si>
    <t>Coverd Side Surfaces</t>
  </si>
  <si>
    <t>Floor Surface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</si>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</sst>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Arial"/>
      <family val="2"/>
    </font>
    <font>
      <sz val="12"/>
      <name val="Tahoma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7" fillId="0" borderId="6" xfId="0" applyFont="1" applyBorder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0" fillId="0" borderId="10" xfId="0" applyBorder="1" applyAlignment="1">
      <alignment horizontal="center"/>
    </xf>
    <xf numFmtId="0" fontId="3" fillId="0" borderId="23" xfId="0" applyFont="1" applyBorder="1"/>
    <xf numFmtId="0" fontId="3" fillId="0" borderId="1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0" fontId="7" fillId="0" borderId="6" xfId="0" applyFont="1" applyBorder="1" applyAlignment="1">
      <alignment horizontal="left" vertical="top" wrapText="1"/>
    </xf>
    <xf numFmtId="14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10" fillId="0" borderId="0" xfId="0" applyFont="1"/>
    <xf numFmtId="0" fontId="6" fillId="0" borderId="29" xfId="0" applyFont="1" applyBorder="1" applyAlignment="1">
      <alignment vertical="center" wrapText="1"/>
    </xf>
    <xf numFmtId="15" fontId="3" fillId="0" borderId="29" xfId="0" applyNumberFormat="1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7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5" fillId="4" borderId="43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4" borderId="44" xfId="0" applyFont="1" applyFill="1" applyBorder="1" applyAlignment="1">
      <alignment horizontal="left" vertical="center" wrapText="1"/>
    </xf>
    <xf numFmtId="0" fontId="2" fillId="4" borderId="45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22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top" wrapText="1"/>
    </xf>
    <xf numFmtId="0" fontId="0" fillId="0" borderId="31" xfId="0" applyBorder="1"/>
    <xf numFmtId="0" fontId="0" fillId="0" borderId="35" xfId="0" applyBorder="1"/>
    <xf numFmtId="0" fontId="0" fillId="0" borderId="36" xfId="0" applyBorder="1"/>
    <xf numFmtId="0" fontId="0" fillId="0" borderId="0" xfId="0"/>
    <xf numFmtId="0" fontId="0" fillId="0" borderId="1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7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164" fontId="6" fillId="0" borderId="41" xfId="0" applyNumberFormat="1" applyFont="1" applyBorder="1" applyAlignment="1">
      <alignment horizontal="center" vertical="center" wrapText="1"/>
    </xf>
    <xf numFmtId="164" fontId="6" fillId="0" borderId="4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2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0" fillId="0" borderId="31" xfId="0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0" fillId="0" borderId="39" xfId="0" applyBorder="1" applyAlignment="1" applyProtection="1">
      <alignment horizontal="left" vertical="top" wrapText="1"/>
      <protection locked="0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5" fontId="0" fillId="0" borderId="6" xfId="0" applyNumberFormat="1" applyBorder="1" applyAlignment="1">
      <alignment horizontal="left" vertical="center" wrapText="1"/>
    </xf>
    <xf numFmtId="15" fontId="3" fillId="0" borderId="6" xfId="0" applyNumberFormat="1" applyFont="1" applyBorder="1" applyAlignment="1">
      <alignment horizontal="left" vertical="center" wrapText="1"/>
    </xf>
    <xf numFmtId="0" fontId="7" fillId="2" borderId="34" xfId="0" applyFont="1" applyFill="1" applyBorder="1" applyAlignment="1" applyProtection="1">
      <alignment horizontal="left" vertical="center" wrapText="1"/>
      <protection locked="0"/>
    </xf>
    <xf numFmtId="0" fontId="7" fillId="2" borderId="25" xfId="0" applyFont="1" applyFill="1" applyBorder="1" applyAlignment="1" applyProtection="1">
      <alignment horizontal="left" vertical="center" wrapText="1"/>
      <protection locked="0"/>
    </xf>
    <xf numFmtId="0" fontId="7" fillId="2" borderId="26" xfId="0" applyFont="1" applyFill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>
      <alignment horizontal="left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0</xdr:row>
          <xdr:rowOff>142875</xdr:rowOff>
        </xdr:from>
        <xdr:to>
          <xdr:col>12</xdr:col>
          <xdr:colOff>104775</xdr:colOff>
          <xdr:row>32</xdr:row>
          <xdr:rowOff>104775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31</xdr:row>
          <xdr:rowOff>152400</xdr:rowOff>
        </xdr:from>
        <xdr:to>
          <xdr:col>12</xdr:col>
          <xdr:colOff>104775</xdr:colOff>
          <xdr:row>63</xdr:row>
          <xdr:rowOff>104775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838200</xdr:colOff>
      <xdr:row>1</xdr:row>
      <xdr:rowOff>80542</xdr:rowOff>
    </xdr:from>
    <xdr:to>
      <xdr:col>6</xdr:col>
      <xdr:colOff>1162050</xdr:colOff>
      <xdr:row>1</xdr:row>
      <xdr:rowOff>452857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438EF-659A-74E1-40B4-810B5DDA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03024" y="271042"/>
          <a:ext cx="1489261" cy="372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21</xdr:row>
      <xdr:rowOff>0</xdr:rowOff>
    </xdr:from>
    <xdr:to>
      <xdr:col>1</xdr:col>
      <xdr:colOff>57150</xdr:colOff>
      <xdr:row>21</xdr:row>
      <xdr:rowOff>171450</xdr:rowOff>
    </xdr:to>
    <xdr:sp macro="" textlink="">
      <xdr:nvSpPr>
        <xdr:cNvPr id="1897" name="Text Box 35">
          <a:extLst>
            <a:ext uri="{FF2B5EF4-FFF2-40B4-BE49-F238E27FC236}">
              <a16:creationId xmlns:a16="http://schemas.microsoft.com/office/drawing/2014/main" id="{00000000-0008-0000-0200-000069070000}"/>
            </a:ext>
          </a:extLst>
        </xdr:cNvPr>
        <xdr:cNvSpPr txBox="1">
          <a:spLocks noChangeArrowheads="1"/>
        </xdr:cNvSpPr>
      </xdr:nvSpPr>
      <xdr:spPr bwMode="auto">
        <a:xfrm>
          <a:off x="495300" y="4362450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114300</xdr:colOff>
      <xdr:row>13</xdr:row>
      <xdr:rowOff>76200</xdr:rowOff>
    </xdr:from>
    <xdr:ext cx="75533" cy="159801"/>
    <xdr:sp macro="" textlink="">
      <xdr:nvSpPr>
        <xdr:cNvPr id="1069" name="Text Box 45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 txBox="1">
          <a:spLocks noChangeArrowheads="1"/>
        </xdr:cNvSpPr>
      </xdr:nvSpPr>
      <xdr:spPr bwMode="auto">
        <a:xfrm>
          <a:off x="3943350" y="2962275"/>
          <a:ext cx="7553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0</xdr:colOff>
      <xdr:row>23</xdr:row>
      <xdr:rowOff>66675</xdr:rowOff>
    </xdr:from>
    <xdr:ext cx="361950" cy="142875"/>
    <xdr:sp macro="" textlink="">
      <xdr:nvSpPr>
        <xdr:cNvPr id="35" name="Text Box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019175" y="4733925"/>
          <a:ext cx="36195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Symbol"/>
            </a:rPr>
            <a:t>DT 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2</xdr:col>
      <xdr:colOff>0</xdr:colOff>
      <xdr:row>36</xdr:row>
      <xdr:rowOff>66675</xdr:rowOff>
    </xdr:from>
    <xdr:ext cx="361950" cy="142875"/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019175" y="7153275"/>
          <a:ext cx="36195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Symbol"/>
            </a:rPr>
            <a:t>DT 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24</xdr:row>
          <xdr:rowOff>85725</xdr:rowOff>
        </xdr:from>
        <xdr:to>
          <xdr:col>10</xdr:col>
          <xdr:colOff>628650</xdr:colOff>
          <xdr:row>34</xdr:row>
          <xdr:rowOff>152400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2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438150</xdr:colOff>
      <xdr:row>1</xdr:row>
      <xdr:rowOff>109537</xdr:rowOff>
    </xdr:from>
    <xdr:to>
      <xdr:col>13</xdr:col>
      <xdr:colOff>142875</xdr:colOff>
      <xdr:row>1</xdr:row>
      <xdr:rowOff>481012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5A828-930B-CFE9-6901-DEB4DC7823FB}"/>
            </a:ext>
            <a:ext uri="{147F2762-F138-4A5C-976F-8EAC2B608ADB}">
              <a16:predDERef xmlns:a16="http://schemas.microsoft.com/office/drawing/2014/main" pred="{00000000-0008-0000-02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81675" y="300037"/>
          <a:ext cx="14859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2.doc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zoomScaleSheetLayoutView="100" workbookViewId="0">
      <selection activeCell="P44" sqref="P44"/>
    </sheetView>
  </sheetViews>
  <sheetFormatPr defaultRowHeight="12.75" x14ac:dyDescent="0.2"/>
  <sheetData/>
  <phoneticPr fontId="0" type="noConversion"/>
  <pageMargins left="0.75" right="0.75" top="1" bottom="1" header="0.5" footer="0.5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1265" r:id="rId4">
          <objectPr defaultSize="0" autoPict="0" r:id="rId5">
            <anchor moveWithCells="1">
              <from>
                <xdr:col>0</xdr:col>
                <xdr:colOff>371475</xdr:colOff>
                <xdr:row>0</xdr:row>
                <xdr:rowOff>142875</xdr:rowOff>
              </from>
              <to>
                <xdr:col>12</xdr:col>
                <xdr:colOff>104775</xdr:colOff>
                <xdr:row>32</xdr:row>
                <xdr:rowOff>104775</xdr:rowOff>
              </to>
            </anchor>
          </objectPr>
        </oleObject>
      </mc:Choice>
      <mc:Fallback>
        <oleObject progId="Word.Document.8" shapeId="11265" r:id="rId4"/>
      </mc:Fallback>
    </mc:AlternateContent>
    <mc:AlternateContent xmlns:mc="http://schemas.openxmlformats.org/markup-compatibility/2006">
      <mc:Choice Requires="x14">
        <oleObject progId="Word.Document.8" shapeId="11266" r:id="rId6">
          <objectPr defaultSize="0" autoPict="0" r:id="rId7">
            <anchor moveWithCells="1">
              <from>
                <xdr:col>0</xdr:col>
                <xdr:colOff>371475</xdr:colOff>
                <xdr:row>31</xdr:row>
                <xdr:rowOff>152400</xdr:rowOff>
              </from>
              <to>
                <xdr:col>12</xdr:col>
                <xdr:colOff>104775</xdr:colOff>
                <xdr:row>63</xdr:row>
                <xdr:rowOff>104775</xdr:rowOff>
              </to>
            </anchor>
          </objectPr>
        </oleObject>
      </mc:Choice>
      <mc:Fallback>
        <oleObject progId="Word.Document.8" shapeId="1126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tabSelected="1" zoomScale="85" zoomScaleNormal="85" zoomScaleSheetLayoutView="55" workbookViewId="0">
      <pane ySplit="9" topLeftCell="A33" activePane="bottomLeft" state="frozen"/>
      <selection pane="bottomLeft" activeCell="A2" sqref="A2:G2"/>
    </sheetView>
  </sheetViews>
  <sheetFormatPr defaultRowHeight="12.75" x14ac:dyDescent="0.2"/>
  <cols>
    <col min="1" max="1" width="13.85546875" customWidth="1"/>
    <col min="2" max="2" width="13" customWidth="1"/>
    <col min="3" max="3" width="12.42578125" customWidth="1"/>
    <col min="4" max="4" width="24.42578125" customWidth="1"/>
    <col min="5" max="5" width="51.42578125" customWidth="1"/>
    <col min="6" max="6" width="17.42578125" customWidth="1"/>
    <col min="7" max="7" width="18.5703125" customWidth="1"/>
  </cols>
  <sheetData>
    <row r="1" spans="1:9" ht="15" x14ac:dyDescent="0.25">
      <c r="A1" s="48" t="s">
        <v>0</v>
      </c>
    </row>
    <row r="2" spans="1:9" s="2" customFormat="1" ht="45.75" customHeight="1" x14ac:dyDescent="0.2">
      <c r="A2" s="63" t="s">
        <v>1</v>
      </c>
      <c r="B2" s="63"/>
      <c r="C2" s="63"/>
      <c r="D2" s="63"/>
      <c r="E2" s="63"/>
      <c r="F2" s="63"/>
      <c r="G2" s="63"/>
    </row>
    <row r="3" spans="1:9" s="2" customFormat="1" ht="22.5" customHeight="1" x14ac:dyDescent="0.2">
      <c r="A3" s="49" t="s">
        <v>2</v>
      </c>
      <c r="B3" s="54"/>
      <c r="C3" s="54"/>
      <c r="D3" s="49" t="s">
        <v>3</v>
      </c>
      <c r="E3" s="50"/>
      <c r="F3" s="49" t="s">
        <v>4</v>
      </c>
      <c r="G3" s="51"/>
      <c r="H3" s="6"/>
      <c r="I3" s="6"/>
    </row>
    <row r="4" spans="1:9" s="2" customFormat="1" ht="22.5" customHeight="1" x14ac:dyDescent="0.2">
      <c r="A4" s="55" t="s">
        <v>5</v>
      </c>
      <c r="B4" s="57"/>
      <c r="C4" s="58"/>
      <c r="D4" s="58"/>
      <c r="E4" s="59"/>
      <c r="F4" s="18" t="s">
        <v>6</v>
      </c>
      <c r="G4" s="19"/>
      <c r="H4" s="6"/>
      <c r="I4" s="6"/>
    </row>
    <row r="5" spans="1:9" s="2" customFormat="1" ht="22.5" customHeight="1" x14ac:dyDescent="0.2">
      <c r="A5" s="56"/>
      <c r="B5" s="60"/>
      <c r="C5" s="61"/>
      <c r="D5" s="61"/>
      <c r="E5" s="62"/>
      <c r="F5" s="18" t="s">
        <v>7</v>
      </c>
      <c r="G5" s="46"/>
      <c r="H5" s="6"/>
      <c r="I5" s="6"/>
    </row>
    <row r="6" spans="1:9" s="2" customFormat="1" ht="15" customHeight="1" x14ac:dyDescent="0.2">
      <c r="B6" s="5"/>
      <c r="C6" s="5"/>
      <c r="G6" s="6"/>
      <c r="H6" s="6"/>
      <c r="I6" s="6"/>
    </row>
    <row r="7" spans="1:9" s="2" customFormat="1" ht="15" customHeight="1" x14ac:dyDescent="0.2">
      <c r="A7" s="66"/>
      <c r="B7" s="67"/>
      <c r="C7" s="67"/>
      <c r="D7" s="67"/>
      <c r="E7" s="67"/>
      <c r="F7" s="67"/>
      <c r="G7" s="67"/>
      <c r="H7" s="6"/>
      <c r="I7" s="6"/>
    </row>
    <row r="8" spans="1:9" ht="15" customHeight="1" x14ac:dyDescent="0.2"/>
    <row r="9" spans="1:9" ht="25.5" x14ac:dyDescent="0.2">
      <c r="A9" s="7"/>
      <c r="B9" s="8" t="s">
        <v>8</v>
      </c>
      <c r="C9" s="9" t="s">
        <v>9</v>
      </c>
      <c r="D9" s="8" t="s">
        <v>10</v>
      </c>
      <c r="E9" s="8" t="s">
        <v>11</v>
      </c>
      <c r="F9" s="9" t="s">
        <v>12</v>
      </c>
    </row>
    <row r="10" spans="1:9" x14ac:dyDescent="0.2">
      <c r="A10" s="10"/>
      <c r="B10" s="11"/>
      <c r="C10" s="47"/>
      <c r="D10" s="45"/>
      <c r="E10" s="45"/>
      <c r="F10" s="47"/>
    </row>
    <row r="11" spans="1:9" x14ac:dyDescent="0.2">
      <c r="A11" s="10"/>
      <c r="B11" s="11"/>
      <c r="C11" s="47"/>
      <c r="D11" s="45"/>
      <c r="E11" s="45"/>
      <c r="F11" s="47"/>
    </row>
    <row r="12" spans="1:9" x14ac:dyDescent="0.2">
      <c r="A12" s="10"/>
      <c r="B12" s="11"/>
      <c r="C12" s="47"/>
      <c r="D12" s="45"/>
      <c r="E12" s="45"/>
      <c r="F12" s="47"/>
    </row>
    <row r="13" spans="1:9" x14ac:dyDescent="0.2">
      <c r="A13" s="10"/>
      <c r="B13" s="11"/>
      <c r="C13" s="47"/>
      <c r="D13" s="45"/>
      <c r="E13" s="45"/>
      <c r="F13" s="47"/>
    </row>
    <row r="14" spans="1:9" x14ac:dyDescent="0.2">
      <c r="A14" s="10"/>
      <c r="B14" s="11"/>
      <c r="C14" s="47"/>
      <c r="D14" s="45"/>
      <c r="E14" s="45"/>
      <c r="F14" s="47"/>
    </row>
    <row r="15" spans="1:9" x14ac:dyDescent="0.2">
      <c r="A15" s="10"/>
      <c r="B15" s="11"/>
      <c r="C15" s="47"/>
      <c r="D15" s="45"/>
      <c r="E15" s="45"/>
      <c r="F15" s="47"/>
    </row>
    <row r="16" spans="1:9" x14ac:dyDescent="0.2">
      <c r="A16" s="10"/>
      <c r="B16" s="11"/>
      <c r="C16" s="47"/>
      <c r="D16" s="45"/>
      <c r="E16" s="45"/>
      <c r="F16" s="47"/>
    </row>
    <row r="17" spans="1:6" x14ac:dyDescent="0.2">
      <c r="A17" s="10"/>
      <c r="B17" s="11"/>
      <c r="C17" s="47"/>
      <c r="D17" s="45"/>
      <c r="E17" s="45"/>
      <c r="F17" s="47"/>
    </row>
    <row r="18" spans="1:6" x14ac:dyDescent="0.2">
      <c r="A18" s="10"/>
      <c r="B18" s="11"/>
      <c r="C18" s="47"/>
      <c r="D18" s="45"/>
      <c r="E18" s="45"/>
      <c r="F18" s="47"/>
    </row>
    <row r="19" spans="1:6" x14ac:dyDescent="0.2">
      <c r="A19" s="10"/>
      <c r="B19" s="11"/>
      <c r="C19" s="47"/>
      <c r="D19" s="45"/>
      <c r="E19" s="45"/>
      <c r="F19" s="47"/>
    </row>
    <row r="20" spans="1:6" x14ac:dyDescent="0.2">
      <c r="A20" s="10"/>
      <c r="B20" s="11"/>
      <c r="C20" s="47"/>
      <c r="D20" s="45"/>
      <c r="E20" s="45"/>
      <c r="F20" s="47"/>
    </row>
    <row r="21" spans="1:6" x14ac:dyDescent="0.2">
      <c r="A21" s="10"/>
      <c r="B21" s="11"/>
      <c r="C21" s="47"/>
      <c r="D21" s="45"/>
      <c r="E21" s="45"/>
      <c r="F21" s="47"/>
    </row>
    <row r="22" spans="1:6" x14ac:dyDescent="0.2">
      <c r="A22" s="10"/>
      <c r="B22" s="11"/>
      <c r="C22" s="47"/>
      <c r="D22" s="45"/>
      <c r="E22" s="45"/>
      <c r="F22" s="47"/>
    </row>
    <row r="23" spans="1:6" x14ac:dyDescent="0.2">
      <c r="A23" s="10"/>
      <c r="B23" s="11"/>
      <c r="C23" s="47"/>
      <c r="D23" s="45"/>
      <c r="E23" s="45"/>
      <c r="F23" s="47"/>
    </row>
    <row r="24" spans="1:6" x14ac:dyDescent="0.2">
      <c r="A24" s="10"/>
      <c r="B24" s="11"/>
      <c r="C24" s="47"/>
      <c r="D24" s="45"/>
      <c r="E24" s="45"/>
      <c r="F24" s="47"/>
    </row>
    <row r="25" spans="1:6" x14ac:dyDescent="0.2">
      <c r="A25" s="10"/>
      <c r="B25" s="11"/>
      <c r="C25" s="47"/>
      <c r="D25" s="45"/>
      <c r="E25" s="45"/>
      <c r="F25" s="47"/>
    </row>
    <row r="26" spans="1:6" x14ac:dyDescent="0.2">
      <c r="A26" s="10"/>
      <c r="B26" s="11"/>
      <c r="C26" s="47"/>
      <c r="D26" s="45"/>
      <c r="E26" s="45"/>
      <c r="F26" s="47"/>
    </row>
    <row r="27" spans="1:6" x14ac:dyDescent="0.2">
      <c r="A27" s="10"/>
      <c r="B27" s="11"/>
      <c r="C27" s="47"/>
      <c r="D27" s="45"/>
      <c r="E27" s="45"/>
      <c r="F27" s="47"/>
    </row>
    <row r="28" spans="1:6" x14ac:dyDescent="0.2">
      <c r="A28" s="10"/>
      <c r="B28" s="11"/>
      <c r="C28" s="47"/>
      <c r="D28" s="45"/>
      <c r="E28" s="45"/>
      <c r="F28" s="47"/>
    </row>
    <row r="29" spans="1:6" x14ac:dyDescent="0.2">
      <c r="A29" s="10"/>
      <c r="B29" s="11"/>
      <c r="C29" s="47"/>
      <c r="D29" s="45"/>
      <c r="E29" s="45"/>
      <c r="F29" s="47"/>
    </row>
    <row r="30" spans="1:6" x14ac:dyDescent="0.2">
      <c r="A30" s="10"/>
      <c r="B30" s="11"/>
      <c r="C30" s="47"/>
      <c r="D30" s="45"/>
      <c r="E30" s="45"/>
      <c r="F30" s="47"/>
    </row>
    <row r="31" spans="1:6" x14ac:dyDescent="0.2">
      <c r="A31" s="10"/>
      <c r="B31" s="11"/>
      <c r="C31" s="47"/>
      <c r="D31" s="45"/>
      <c r="E31" s="45"/>
      <c r="F31" s="47"/>
    </row>
    <row r="32" spans="1:6" x14ac:dyDescent="0.2">
      <c r="A32" s="10"/>
      <c r="B32" s="11"/>
      <c r="C32" s="47"/>
      <c r="D32" s="45"/>
      <c r="E32" s="45"/>
      <c r="F32" s="47"/>
    </row>
    <row r="33" spans="1:6" x14ac:dyDescent="0.2">
      <c r="A33" s="10"/>
      <c r="B33" s="11"/>
      <c r="C33" s="47"/>
      <c r="D33" s="45"/>
      <c r="E33" s="45"/>
      <c r="F33" s="47"/>
    </row>
    <row r="34" spans="1:6" x14ac:dyDescent="0.2">
      <c r="A34" s="10"/>
      <c r="B34" s="11"/>
      <c r="C34" s="47"/>
      <c r="D34" s="45"/>
      <c r="E34" s="45"/>
      <c r="F34" s="47"/>
    </row>
    <row r="35" spans="1:6" x14ac:dyDescent="0.2">
      <c r="A35" s="10"/>
      <c r="B35" s="11"/>
      <c r="C35" s="47"/>
      <c r="D35" s="45"/>
      <c r="E35" s="45"/>
      <c r="F35" s="47"/>
    </row>
    <row r="36" spans="1:6" x14ac:dyDescent="0.2">
      <c r="A36" s="10"/>
      <c r="B36" s="11"/>
      <c r="C36" s="47"/>
      <c r="D36" s="45"/>
      <c r="E36" s="45"/>
      <c r="F36" s="47"/>
    </row>
    <row r="37" spans="1:6" x14ac:dyDescent="0.2">
      <c r="A37" s="10"/>
      <c r="B37" s="11"/>
      <c r="C37" s="47"/>
      <c r="D37" s="45"/>
      <c r="E37" s="45"/>
      <c r="F37" s="47"/>
    </row>
    <row r="38" spans="1:6" x14ac:dyDescent="0.2">
      <c r="A38" s="10"/>
      <c r="B38" s="11"/>
      <c r="C38" s="47"/>
      <c r="D38" s="45"/>
      <c r="E38" s="45"/>
      <c r="F38" s="47"/>
    </row>
    <row r="39" spans="1:6" x14ac:dyDescent="0.2">
      <c r="A39" s="10"/>
      <c r="B39" s="11"/>
      <c r="C39" s="47"/>
      <c r="D39" s="45"/>
      <c r="E39" s="45"/>
      <c r="F39" s="47"/>
    </row>
    <row r="40" spans="1:6" x14ac:dyDescent="0.2">
      <c r="A40" s="10"/>
      <c r="B40" s="11"/>
      <c r="C40" s="47"/>
      <c r="D40" s="45"/>
      <c r="E40" s="45"/>
      <c r="F40" s="47"/>
    </row>
    <row r="41" spans="1:6" x14ac:dyDescent="0.2">
      <c r="A41" s="10"/>
      <c r="B41" s="11"/>
      <c r="C41" s="47"/>
      <c r="D41" s="45"/>
      <c r="E41" s="45"/>
      <c r="F41" s="47"/>
    </row>
    <row r="42" spans="1:6" x14ac:dyDescent="0.2">
      <c r="A42" s="10"/>
      <c r="B42" s="11"/>
      <c r="C42" s="47"/>
      <c r="D42" s="45"/>
      <c r="E42" s="45"/>
      <c r="F42" s="47"/>
    </row>
    <row r="43" spans="1:6" x14ac:dyDescent="0.2">
      <c r="A43" s="10"/>
      <c r="B43" s="11"/>
      <c r="C43" s="47"/>
      <c r="D43" s="45"/>
      <c r="E43" s="45"/>
      <c r="F43" s="47"/>
    </row>
    <row r="44" spans="1:6" x14ac:dyDescent="0.2">
      <c r="A44" s="10"/>
      <c r="B44" s="11"/>
      <c r="C44" s="47"/>
      <c r="D44" s="45"/>
      <c r="E44" s="45"/>
      <c r="F44" s="47"/>
    </row>
    <row r="45" spans="1:6" x14ac:dyDescent="0.2">
      <c r="A45" s="10"/>
      <c r="B45" s="11"/>
      <c r="C45" s="47"/>
      <c r="D45" s="45"/>
      <c r="E45" s="45"/>
      <c r="F45" s="47"/>
    </row>
    <row r="46" spans="1:6" x14ac:dyDescent="0.2">
      <c r="A46" s="10"/>
      <c r="B46" s="11"/>
      <c r="C46" s="47"/>
      <c r="D46" s="45"/>
      <c r="E46" s="45"/>
      <c r="F46" s="47"/>
    </row>
    <row r="47" spans="1:6" x14ac:dyDescent="0.2">
      <c r="A47" s="10"/>
      <c r="B47" s="11"/>
      <c r="C47" s="47"/>
      <c r="D47" s="45"/>
      <c r="E47" s="45"/>
      <c r="F47" s="47"/>
    </row>
    <row r="48" spans="1:6" x14ac:dyDescent="0.2">
      <c r="A48" s="10"/>
      <c r="B48" s="11"/>
      <c r="C48" s="47"/>
      <c r="D48" s="45"/>
      <c r="E48" s="45"/>
      <c r="F48" s="47"/>
    </row>
    <row r="49" spans="1:6" x14ac:dyDescent="0.2">
      <c r="A49" s="10"/>
      <c r="B49" s="11"/>
      <c r="C49" s="47"/>
      <c r="D49" s="45"/>
      <c r="E49" s="45"/>
      <c r="F49" s="47"/>
    </row>
    <row r="50" spans="1:6" x14ac:dyDescent="0.2">
      <c r="A50" s="10"/>
      <c r="B50" s="11"/>
      <c r="C50" s="47"/>
      <c r="D50" s="45"/>
      <c r="E50" s="45"/>
      <c r="F50" s="47"/>
    </row>
    <row r="51" spans="1:6" x14ac:dyDescent="0.2">
      <c r="A51" s="10"/>
      <c r="B51" s="11"/>
      <c r="C51" s="47"/>
      <c r="D51" s="45"/>
      <c r="E51" s="45"/>
      <c r="F51" s="47"/>
    </row>
    <row r="52" spans="1:6" x14ac:dyDescent="0.2">
      <c r="A52" s="10"/>
      <c r="B52" s="11"/>
      <c r="C52" s="47"/>
      <c r="D52" s="45"/>
      <c r="E52" s="45"/>
      <c r="F52" s="47"/>
    </row>
    <row r="53" spans="1:6" x14ac:dyDescent="0.2">
      <c r="A53" s="10"/>
      <c r="B53" s="11"/>
      <c r="C53" s="47"/>
      <c r="D53" s="45"/>
      <c r="E53" s="45"/>
      <c r="F53" s="47"/>
    </row>
    <row r="54" spans="1:6" x14ac:dyDescent="0.2">
      <c r="A54" s="10"/>
      <c r="B54" s="11"/>
      <c r="C54" s="47"/>
      <c r="D54" s="45"/>
      <c r="E54" s="45"/>
      <c r="F54" s="47"/>
    </row>
    <row r="55" spans="1:6" x14ac:dyDescent="0.2">
      <c r="A55" s="10"/>
      <c r="B55" s="11"/>
      <c r="C55" s="47"/>
      <c r="D55" s="45"/>
      <c r="E55" s="45"/>
      <c r="F55" s="47"/>
    </row>
    <row r="56" spans="1:6" x14ac:dyDescent="0.2">
      <c r="A56" s="10"/>
      <c r="B56" s="11"/>
      <c r="C56" s="47"/>
      <c r="D56" s="45"/>
      <c r="E56" s="45"/>
      <c r="F56" s="47"/>
    </row>
    <row r="57" spans="1:6" x14ac:dyDescent="0.2">
      <c r="A57" s="10"/>
      <c r="B57" s="11"/>
      <c r="C57" s="47"/>
      <c r="D57" s="45"/>
      <c r="E57" s="45"/>
      <c r="F57" s="47"/>
    </row>
    <row r="58" spans="1:6" x14ac:dyDescent="0.2">
      <c r="A58" s="10"/>
      <c r="B58" s="11"/>
      <c r="C58" s="47"/>
      <c r="D58" s="45"/>
      <c r="E58" s="45"/>
      <c r="F58" s="47"/>
    </row>
    <row r="59" spans="1:6" x14ac:dyDescent="0.2">
      <c r="A59" s="10"/>
      <c r="B59" s="11"/>
      <c r="C59" s="47"/>
      <c r="D59" s="45"/>
      <c r="E59" s="45"/>
      <c r="F59" s="47"/>
    </row>
    <row r="60" spans="1:6" x14ac:dyDescent="0.2">
      <c r="A60" s="10"/>
      <c r="B60" s="11"/>
      <c r="C60" s="47"/>
      <c r="D60" s="45"/>
      <c r="E60" s="45"/>
      <c r="F60" s="47"/>
    </row>
    <row r="61" spans="1:6" x14ac:dyDescent="0.2">
      <c r="A61" s="10"/>
      <c r="B61" s="11"/>
      <c r="C61" s="47"/>
      <c r="D61" s="45"/>
      <c r="E61" s="45"/>
      <c r="F61" s="47"/>
    </row>
    <row r="62" spans="1:6" x14ac:dyDescent="0.2">
      <c r="A62" s="10"/>
      <c r="B62" s="11"/>
      <c r="C62" s="47"/>
      <c r="D62" s="45"/>
      <c r="E62" s="45"/>
      <c r="F62" s="47"/>
    </row>
    <row r="63" spans="1:6" x14ac:dyDescent="0.2">
      <c r="A63" s="10"/>
      <c r="B63" s="11"/>
      <c r="C63" s="47"/>
      <c r="D63" s="45"/>
      <c r="E63" s="45"/>
      <c r="F63" s="47"/>
    </row>
    <row r="64" spans="1:6" x14ac:dyDescent="0.2">
      <c r="A64" s="10"/>
      <c r="B64" s="11"/>
      <c r="C64" s="47"/>
      <c r="D64" s="45"/>
      <c r="E64" s="45"/>
      <c r="F64" s="47"/>
    </row>
    <row r="65" spans="1:6" x14ac:dyDescent="0.2">
      <c r="A65" s="10"/>
      <c r="B65" s="11"/>
      <c r="C65" s="47"/>
      <c r="D65" s="45"/>
      <c r="E65" s="45"/>
      <c r="F65" s="47"/>
    </row>
    <row r="66" spans="1:6" x14ac:dyDescent="0.2">
      <c r="A66" s="10"/>
      <c r="B66" s="11"/>
      <c r="C66" s="47"/>
      <c r="D66" s="45"/>
      <c r="E66" s="45"/>
      <c r="F66" s="47"/>
    </row>
    <row r="67" spans="1:6" x14ac:dyDescent="0.2">
      <c r="A67" s="10"/>
      <c r="B67" s="11"/>
      <c r="C67" s="47"/>
      <c r="D67" s="45"/>
      <c r="E67" s="45"/>
      <c r="F67" s="47"/>
    </row>
    <row r="68" spans="1:6" x14ac:dyDescent="0.2">
      <c r="A68" s="10"/>
      <c r="B68" s="11"/>
      <c r="C68" s="47"/>
      <c r="D68" s="45"/>
      <c r="E68" s="45"/>
      <c r="F68" s="47"/>
    </row>
    <row r="69" spans="1:6" x14ac:dyDescent="0.2">
      <c r="A69" s="10"/>
      <c r="B69" s="11"/>
      <c r="C69" s="47"/>
      <c r="D69" s="45"/>
      <c r="E69" s="45"/>
      <c r="F69" s="47"/>
    </row>
    <row r="70" spans="1:6" x14ac:dyDescent="0.2">
      <c r="A70" s="10"/>
      <c r="B70" s="11"/>
      <c r="C70" s="47"/>
      <c r="D70" s="45"/>
      <c r="E70" s="45"/>
      <c r="F70" s="47"/>
    </row>
    <row r="71" spans="1:6" x14ac:dyDescent="0.2">
      <c r="A71" s="10"/>
      <c r="B71" s="11"/>
      <c r="C71" s="47"/>
      <c r="D71" s="45"/>
      <c r="E71" s="45"/>
      <c r="F71" s="47"/>
    </row>
    <row r="72" spans="1:6" x14ac:dyDescent="0.2">
      <c r="A72" s="10"/>
      <c r="B72" s="11"/>
      <c r="C72" s="47"/>
      <c r="D72" s="45"/>
      <c r="E72" s="45"/>
      <c r="F72" s="47"/>
    </row>
    <row r="73" spans="1:6" x14ac:dyDescent="0.2">
      <c r="A73" s="10"/>
      <c r="B73" s="11"/>
      <c r="C73" s="47"/>
      <c r="D73" s="45"/>
      <c r="E73" s="45"/>
      <c r="F73" s="47"/>
    </row>
    <row r="74" spans="1:6" x14ac:dyDescent="0.2">
      <c r="A74" s="10"/>
      <c r="B74" s="11"/>
      <c r="C74" s="47"/>
      <c r="D74" s="45"/>
      <c r="E74" s="45"/>
      <c r="F74" s="47"/>
    </row>
    <row r="75" spans="1:6" x14ac:dyDescent="0.2">
      <c r="A75" s="10"/>
      <c r="B75" s="11"/>
      <c r="C75" s="12"/>
      <c r="D75" s="11"/>
      <c r="E75" s="13"/>
      <c r="F75" s="14"/>
    </row>
    <row r="76" spans="1:6" x14ac:dyDescent="0.2">
      <c r="A76" s="10"/>
      <c r="B76" s="11"/>
      <c r="C76" s="12"/>
      <c r="D76" s="11"/>
      <c r="E76" s="13"/>
      <c r="F76" s="14"/>
    </row>
    <row r="77" spans="1:6" x14ac:dyDescent="0.2">
      <c r="A77" s="10"/>
      <c r="B77" s="11"/>
      <c r="C77" s="12"/>
      <c r="D77" s="11"/>
      <c r="E77" s="13"/>
      <c r="F77" s="14"/>
    </row>
    <row r="78" spans="1:6" ht="13.5" thickBot="1" x14ac:dyDescent="0.25">
      <c r="A78" s="10"/>
      <c r="B78" s="11"/>
      <c r="C78" s="12"/>
      <c r="D78" s="11"/>
      <c r="E78" s="13"/>
      <c r="F78" s="14"/>
    </row>
    <row r="79" spans="1:6" ht="18.75" thickBot="1" x14ac:dyDescent="0.25">
      <c r="A79" s="15"/>
      <c r="B79" s="1"/>
      <c r="C79" s="2"/>
      <c r="D79" s="2"/>
      <c r="E79" s="16" t="s">
        <v>13</v>
      </c>
      <c r="F79" s="17">
        <f>SUM(F10:F78)</f>
        <v>0</v>
      </c>
    </row>
    <row r="80" spans="1:6" ht="15" customHeight="1" x14ac:dyDescent="0.2">
      <c r="B80" s="15"/>
      <c r="C80" s="15"/>
      <c r="D80" s="15"/>
    </row>
    <row r="81" spans="1:6" ht="13.5" thickBot="1" x14ac:dyDescent="0.25"/>
    <row r="82" spans="1:6" ht="22.5" customHeight="1" x14ac:dyDescent="0.2">
      <c r="A82" s="3"/>
      <c r="B82" s="52" t="s">
        <v>14</v>
      </c>
      <c r="C82" s="64"/>
      <c r="D82" s="65"/>
      <c r="E82" s="65" t="s">
        <v>15</v>
      </c>
      <c r="F82" s="69"/>
    </row>
    <row r="83" spans="1:6" ht="22.5" customHeight="1" thickBot="1" x14ac:dyDescent="0.25">
      <c r="A83" s="3"/>
      <c r="B83" s="53" t="s">
        <v>16</v>
      </c>
      <c r="C83" s="68"/>
      <c r="D83" s="68"/>
      <c r="E83" s="68" t="s">
        <v>15</v>
      </c>
      <c r="F83" s="70"/>
    </row>
  </sheetData>
  <mergeCells count="10">
    <mergeCell ref="C83:D83"/>
    <mergeCell ref="E82:F82"/>
    <mergeCell ref="E83:F83"/>
    <mergeCell ref="C7:G7"/>
    <mergeCell ref="B3:C3"/>
    <mergeCell ref="A4:A5"/>
    <mergeCell ref="B4:E5"/>
    <mergeCell ref="A2:G2"/>
    <mergeCell ref="C82:D82"/>
    <mergeCell ref="A7:B7"/>
  </mergeCells>
  <phoneticPr fontId="0" type="noConversion"/>
  <pageMargins left="0.22" right="0.27" top="0.68" bottom="1" header="0.5" footer="0.5"/>
  <pageSetup paperSize="9" scale="65" orientation="portrait" r:id="rId1"/>
  <headerFooter alignWithMargins="0">
    <oddFooter>&amp;CCalculation of Power Losses of 
Components Within Enclosure&amp;RPage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V54"/>
  <sheetViews>
    <sheetView topLeftCell="A9" zoomScaleNormal="100" zoomScaleSheetLayoutView="100" workbookViewId="0">
      <selection activeCell="J2" sqref="J2:N2"/>
    </sheetView>
  </sheetViews>
  <sheetFormatPr defaultColWidth="9.140625" defaultRowHeight="12.75" x14ac:dyDescent="0.2"/>
  <cols>
    <col min="1" max="1" width="10.7109375" style="2" customWidth="1"/>
    <col min="2" max="2" width="11" style="2" customWidth="1"/>
    <col min="3" max="3" width="12.7109375" style="2" customWidth="1"/>
    <col min="4" max="4" width="11.28515625" style="2" customWidth="1"/>
    <col min="5" max="5" width="6.5703125" style="2" customWidth="1"/>
    <col min="6" max="6" width="2.5703125" style="2" customWidth="1"/>
    <col min="7" max="8" width="6.5703125" style="2" customWidth="1"/>
    <col min="9" max="9" width="8.5703125" style="2" customWidth="1"/>
    <col min="10" max="10" width="3.5703125" style="2" customWidth="1"/>
    <col min="11" max="11" width="11.5703125" style="2" customWidth="1"/>
    <col min="12" max="12" width="4.5703125" style="2" customWidth="1"/>
    <col min="13" max="13" width="10.5703125" style="2" customWidth="1"/>
    <col min="14" max="14" width="3.5703125" style="2" customWidth="1"/>
    <col min="15" max="16" width="9.140625" style="2"/>
    <col min="17" max="18" width="12.5703125" style="2" customWidth="1"/>
    <col min="19" max="19" width="2.85546875" style="2" customWidth="1"/>
    <col min="20" max="16384" width="9.140625" style="2"/>
  </cols>
  <sheetData>
    <row r="1" spans="1:14" ht="15" x14ac:dyDescent="0.25">
      <c r="A1" s="48" t="s">
        <v>0</v>
      </c>
    </row>
    <row r="2" spans="1:14" ht="48" customHeight="1" x14ac:dyDescent="0.2">
      <c r="A2" s="71" t="s">
        <v>17</v>
      </c>
      <c r="B2" s="72"/>
      <c r="C2" s="72"/>
      <c r="D2" s="72"/>
      <c r="E2" s="72"/>
      <c r="F2" s="72"/>
      <c r="G2" s="72"/>
      <c r="H2" s="72"/>
      <c r="I2" s="72"/>
      <c r="J2" s="86"/>
      <c r="K2" s="86"/>
      <c r="L2" s="86"/>
      <c r="M2" s="86"/>
      <c r="N2" s="87"/>
    </row>
    <row r="3" spans="1:14" ht="22.7" customHeight="1" x14ac:dyDescent="0.2">
      <c r="A3" s="144" t="s">
        <v>2</v>
      </c>
      <c r="B3" s="144"/>
      <c r="C3" s="54"/>
      <c r="D3" s="54"/>
      <c r="E3" s="145" t="s">
        <v>3</v>
      </c>
      <c r="F3" s="145"/>
      <c r="G3" s="145"/>
      <c r="H3" s="73"/>
      <c r="I3" s="74"/>
      <c r="J3" s="145" t="s">
        <v>4</v>
      </c>
      <c r="K3" s="145"/>
      <c r="L3" s="146"/>
      <c r="M3" s="147"/>
      <c r="N3" s="147"/>
    </row>
    <row r="4" spans="1:14" ht="22.7" customHeight="1" x14ac:dyDescent="0.2">
      <c r="A4" s="143" t="s">
        <v>5</v>
      </c>
      <c r="B4" s="143"/>
      <c r="C4" s="75"/>
      <c r="D4" s="139"/>
      <c r="E4" s="139"/>
      <c r="F4" s="139"/>
      <c r="G4" s="139"/>
      <c r="H4" s="139"/>
      <c r="I4" s="139"/>
      <c r="J4" s="142" t="s">
        <v>6</v>
      </c>
      <c r="K4" s="142"/>
      <c r="L4" s="149"/>
      <c r="M4" s="149"/>
      <c r="N4" s="149"/>
    </row>
    <row r="5" spans="1:14" ht="22.7" customHeight="1" x14ac:dyDescent="0.2">
      <c r="A5" s="143"/>
      <c r="B5" s="143"/>
      <c r="C5" s="139"/>
      <c r="D5" s="139"/>
      <c r="E5" s="139"/>
      <c r="F5" s="139"/>
      <c r="G5" s="139"/>
      <c r="H5" s="139"/>
      <c r="I5" s="139"/>
      <c r="J5" s="142" t="s">
        <v>7</v>
      </c>
      <c r="K5" s="142"/>
      <c r="L5" s="148"/>
      <c r="M5" s="148"/>
      <c r="N5" s="148"/>
    </row>
    <row r="7" spans="1:14" ht="10.35" customHeight="1" thickBot="1" x14ac:dyDescent="0.25"/>
    <row r="8" spans="1:14" ht="28.5" customHeight="1" x14ac:dyDescent="0.2">
      <c r="A8" s="22"/>
      <c r="B8" s="84" t="s">
        <v>18</v>
      </c>
      <c r="C8" s="85"/>
      <c r="D8" s="150"/>
      <c r="E8" s="151"/>
      <c r="F8" s="151"/>
      <c r="G8" s="151"/>
      <c r="H8" s="151"/>
      <c r="I8" s="152"/>
      <c r="J8" s="23"/>
      <c r="K8" s="23"/>
      <c r="L8" s="23"/>
      <c r="M8" s="23"/>
    </row>
    <row r="9" spans="1:14" ht="12.75" customHeight="1" x14ac:dyDescent="0.2">
      <c r="A9" s="22"/>
      <c r="B9" s="138" t="s">
        <v>19</v>
      </c>
      <c r="C9" s="122"/>
      <c r="D9" s="24" t="s">
        <v>20</v>
      </c>
      <c r="E9" s="135">
        <v>1800</v>
      </c>
      <c r="F9" s="135"/>
      <c r="G9" s="135"/>
      <c r="H9" s="135"/>
      <c r="I9" s="25" t="s">
        <v>21</v>
      </c>
      <c r="J9" s="22"/>
      <c r="K9" s="23"/>
      <c r="L9" s="23"/>
      <c r="M9" s="23"/>
    </row>
    <row r="10" spans="1:14" ht="12.75" customHeight="1" x14ac:dyDescent="0.2">
      <c r="A10" s="22"/>
      <c r="B10" s="138"/>
      <c r="C10" s="122"/>
      <c r="D10" s="24" t="s">
        <v>22</v>
      </c>
      <c r="E10" s="135">
        <v>600</v>
      </c>
      <c r="F10" s="135"/>
      <c r="G10" s="135"/>
      <c r="H10" s="135"/>
      <c r="I10" s="25" t="s">
        <v>21</v>
      </c>
      <c r="J10" s="22"/>
      <c r="K10" s="23"/>
      <c r="L10" s="23"/>
      <c r="M10" s="23"/>
    </row>
    <row r="11" spans="1:14" ht="12.75" customHeight="1" thickBot="1" x14ac:dyDescent="0.25">
      <c r="A11" s="22"/>
      <c r="B11" s="107"/>
      <c r="C11" s="108"/>
      <c r="D11" s="26" t="s">
        <v>23</v>
      </c>
      <c r="E11" s="136">
        <v>600</v>
      </c>
      <c r="F11" s="136"/>
      <c r="G11" s="136"/>
      <c r="H11" s="136"/>
      <c r="I11" s="27" t="s">
        <v>21</v>
      </c>
      <c r="J11" s="22"/>
      <c r="K11" s="22"/>
      <c r="L11" s="23"/>
      <c r="M11" s="23"/>
    </row>
    <row r="12" spans="1:14" ht="10.35" customHeight="1" thickBo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4" s="1" customFormat="1" ht="21.75" customHeight="1" x14ac:dyDescent="0.2">
      <c r="A13" s="28"/>
      <c r="B13" s="91" t="s">
        <v>24</v>
      </c>
      <c r="C13" s="29"/>
      <c r="D13" s="30"/>
      <c r="E13" s="103" t="s">
        <v>25</v>
      </c>
      <c r="F13" s="103"/>
      <c r="G13" s="103"/>
      <c r="H13" s="103" t="s">
        <v>26</v>
      </c>
      <c r="I13" s="103"/>
      <c r="J13" s="103" t="s">
        <v>27</v>
      </c>
      <c r="K13" s="103"/>
      <c r="L13" s="103" t="s">
        <v>28</v>
      </c>
      <c r="M13" s="137"/>
    </row>
    <row r="14" spans="1:14" s="1" customFormat="1" ht="27.75" customHeight="1" x14ac:dyDescent="0.2">
      <c r="A14" s="28"/>
      <c r="B14" s="92"/>
      <c r="C14" s="31"/>
      <c r="D14" s="32"/>
      <c r="E14" s="121" t="s">
        <v>29</v>
      </c>
      <c r="F14" s="121"/>
      <c r="G14" s="121"/>
      <c r="H14" s="121" t="s">
        <v>30</v>
      </c>
      <c r="I14" s="121"/>
      <c r="J14" s="121" t="s">
        <v>31</v>
      </c>
      <c r="K14" s="121"/>
      <c r="L14" s="20"/>
      <c r="M14" s="33"/>
    </row>
    <row r="15" spans="1:14" x14ac:dyDescent="0.2">
      <c r="A15" s="22"/>
      <c r="B15" s="92"/>
      <c r="C15" s="122" t="s">
        <v>32</v>
      </c>
      <c r="D15" s="122"/>
      <c r="E15" s="20">
        <f>E10/1000</f>
        <v>0.6</v>
      </c>
      <c r="F15" s="21" t="s">
        <v>33</v>
      </c>
      <c r="G15" s="34">
        <f>E11/1000</f>
        <v>0.6</v>
      </c>
      <c r="H15" s="82">
        <f>E15*G15</f>
        <v>0.36</v>
      </c>
      <c r="I15" s="82"/>
      <c r="J15" s="80">
        <v>0.7</v>
      </c>
      <c r="K15" s="81"/>
      <c r="L15" s="82">
        <f>H15*J15</f>
        <v>0.252</v>
      </c>
      <c r="M15" s="83"/>
    </row>
    <row r="16" spans="1:14" x14ac:dyDescent="0.2">
      <c r="A16" s="22"/>
      <c r="B16" s="92"/>
      <c r="C16" s="122" t="s">
        <v>34</v>
      </c>
      <c r="D16" s="122"/>
      <c r="E16" s="20">
        <f>E9/1000</f>
        <v>1.8</v>
      </c>
      <c r="F16" s="21" t="s">
        <v>33</v>
      </c>
      <c r="G16" s="34">
        <f>E10/1000</f>
        <v>0.6</v>
      </c>
      <c r="H16" s="82">
        <f>E16*G16</f>
        <v>1.08</v>
      </c>
      <c r="I16" s="82"/>
      <c r="J16" s="80">
        <v>0.9</v>
      </c>
      <c r="K16" s="81"/>
      <c r="L16" s="82">
        <f>H16*J16</f>
        <v>0.97200000000000009</v>
      </c>
      <c r="M16" s="83"/>
    </row>
    <row r="17" spans="1:22" x14ac:dyDescent="0.2">
      <c r="A17" s="22"/>
      <c r="B17" s="92"/>
      <c r="C17" s="122" t="s">
        <v>35</v>
      </c>
      <c r="D17" s="122"/>
      <c r="E17" s="20">
        <f>E9/1000</f>
        <v>1.8</v>
      </c>
      <c r="F17" s="21" t="s">
        <v>33</v>
      </c>
      <c r="G17" s="34">
        <f>E10/1000</f>
        <v>0.6</v>
      </c>
      <c r="H17" s="82">
        <f>E17*G17</f>
        <v>1.08</v>
      </c>
      <c r="I17" s="82"/>
      <c r="J17" s="80">
        <v>0.5</v>
      </c>
      <c r="K17" s="81"/>
      <c r="L17" s="82">
        <f>H17*J17</f>
        <v>0.54</v>
      </c>
      <c r="M17" s="83"/>
    </row>
    <row r="18" spans="1:22" x14ac:dyDescent="0.2">
      <c r="A18" s="22"/>
      <c r="B18" s="92"/>
      <c r="C18" s="122" t="s">
        <v>36</v>
      </c>
      <c r="D18" s="122"/>
      <c r="E18" s="20">
        <f>E9/1000</f>
        <v>1.8</v>
      </c>
      <c r="F18" s="21" t="s">
        <v>33</v>
      </c>
      <c r="G18" s="34">
        <f>E11/1000</f>
        <v>0.6</v>
      </c>
      <c r="H18" s="82">
        <f>E18*G18</f>
        <v>1.08</v>
      </c>
      <c r="I18" s="82"/>
      <c r="J18" s="80">
        <v>0.5</v>
      </c>
      <c r="K18" s="81"/>
      <c r="L18" s="82">
        <f>H18*J18</f>
        <v>0.54</v>
      </c>
      <c r="M18" s="83"/>
    </row>
    <row r="19" spans="1:22" ht="13.5" thickBot="1" x14ac:dyDescent="0.25">
      <c r="A19" s="22"/>
      <c r="B19" s="92"/>
      <c r="C19" s="122" t="s">
        <v>37</v>
      </c>
      <c r="D19" s="122"/>
      <c r="E19" s="20">
        <f>E9/1000</f>
        <v>1.8</v>
      </c>
      <c r="F19" s="21" t="s">
        <v>33</v>
      </c>
      <c r="G19" s="34">
        <f>E11/1000</f>
        <v>0.6</v>
      </c>
      <c r="H19" s="82">
        <f>E19*G19</f>
        <v>1.08</v>
      </c>
      <c r="I19" s="82"/>
      <c r="J19" s="80">
        <v>0.5</v>
      </c>
      <c r="K19" s="81"/>
      <c r="L19" s="82">
        <f>H19*J19</f>
        <v>0.54</v>
      </c>
      <c r="M19" s="83"/>
    </row>
    <row r="20" spans="1:22" ht="14.25" thickTop="1" thickBot="1" x14ac:dyDescent="0.25">
      <c r="A20" s="22"/>
      <c r="B20" s="107"/>
      <c r="C20" s="108" t="s">
        <v>38</v>
      </c>
      <c r="D20" s="108"/>
      <c r="E20" s="108"/>
      <c r="F20" s="108"/>
      <c r="G20" s="108"/>
      <c r="H20" s="108"/>
      <c r="I20" s="108"/>
      <c r="J20" s="108"/>
      <c r="K20" s="109"/>
      <c r="L20" s="110">
        <f>SUM(L15:M19)</f>
        <v>2.8440000000000003</v>
      </c>
      <c r="M20" s="111"/>
    </row>
    <row r="21" spans="1:22" ht="10.35" customHeight="1" thickBo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22" ht="24.95" customHeight="1" x14ac:dyDescent="0.2">
      <c r="A22" s="22"/>
      <c r="B22" s="91" t="s">
        <v>39</v>
      </c>
      <c r="C22" s="153" t="s">
        <v>40</v>
      </c>
      <c r="D22" s="153"/>
      <c r="E22" s="153"/>
      <c r="F22" s="153"/>
      <c r="G22" s="153"/>
      <c r="H22" s="153"/>
      <c r="I22" s="153"/>
      <c r="J22" s="153"/>
      <c r="K22" s="153"/>
      <c r="L22" s="154">
        <v>200</v>
      </c>
      <c r="M22" s="155"/>
    </row>
    <row r="23" spans="1:22" ht="24.95" customHeight="1" x14ac:dyDescent="0.2">
      <c r="A23" s="22"/>
      <c r="B23" s="92"/>
      <c r="C23" s="134" t="s">
        <v>41</v>
      </c>
      <c r="D23" s="134"/>
      <c r="E23" s="134"/>
      <c r="F23" s="134"/>
      <c r="G23" s="134"/>
      <c r="H23" s="134"/>
      <c r="I23" s="134"/>
      <c r="J23" s="134"/>
      <c r="K23" s="134"/>
      <c r="L23" s="140">
        <v>5.5</v>
      </c>
      <c r="M23" s="141"/>
    </row>
    <row r="24" spans="1:22" ht="24.95" customHeight="1" x14ac:dyDescent="0.2">
      <c r="A24" s="22"/>
      <c r="B24" s="92"/>
      <c r="C24" s="88" t="s">
        <v>42</v>
      </c>
      <c r="D24" s="88"/>
      <c r="E24" s="88"/>
      <c r="F24" s="88"/>
      <c r="G24" s="88"/>
      <c r="H24" s="88"/>
      <c r="I24" s="88"/>
      <c r="J24" s="88"/>
      <c r="K24" s="88"/>
      <c r="L24" s="89">
        <f>L22/(L20*L23)</f>
        <v>12.786088735455824</v>
      </c>
      <c r="M24" s="90"/>
    </row>
    <row r="25" spans="1:22" ht="24.95" customHeight="1" x14ac:dyDescent="0.2">
      <c r="A25" s="22"/>
      <c r="B25" s="92"/>
      <c r="C25" s="94" t="s">
        <v>43</v>
      </c>
      <c r="D25" s="95"/>
      <c r="E25" s="95"/>
      <c r="F25" s="95"/>
      <c r="G25" s="95"/>
      <c r="H25" s="95"/>
      <c r="I25" s="95"/>
      <c r="J25" s="95"/>
      <c r="K25" s="95"/>
      <c r="L25" s="95"/>
      <c r="M25" s="96"/>
    </row>
    <row r="26" spans="1:22" x14ac:dyDescent="0.2">
      <c r="A26" s="22"/>
      <c r="B26" s="92"/>
      <c r="C26" s="97"/>
      <c r="D26" s="98"/>
      <c r="E26" s="98"/>
      <c r="F26" s="98"/>
      <c r="G26" s="98"/>
      <c r="H26" s="98"/>
      <c r="I26" s="98"/>
      <c r="J26" s="98"/>
      <c r="K26" s="98"/>
      <c r="L26" s="98"/>
      <c r="M26" s="99"/>
      <c r="Q26" s="4"/>
      <c r="R26" s="4"/>
      <c r="S26" s="4"/>
      <c r="V26" s="4"/>
    </row>
    <row r="27" spans="1:22" x14ac:dyDescent="0.2">
      <c r="A27" s="22"/>
      <c r="B27" s="92"/>
      <c r="C27" s="97"/>
      <c r="D27" s="98"/>
      <c r="E27" s="98"/>
      <c r="F27" s="98"/>
      <c r="G27" s="98"/>
      <c r="H27" s="98"/>
      <c r="I27" s="98"/>
      <c r="J27" s="98"/>
      <c r="K27" s="98"/>
      <c r="L27" s="98"/>
      <c r="M27" s="99"/>
      <c r="Q27" s="4"/>
      <c r="R27" s="4"/>
      <c r="S27" s="4"/>
      <c r="V27" s="4"/>
    </row>
    <row r="28" spans="1:22" x14ac:dyDescent="0.2">
      <c r="A28" s="22"/>
      <c r="B28" s="92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1:22" x14ac:dyDescent="0.2">
      <c r="A29" s="22"/>
      <c r="B29" s="92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9"/>
    </row>
    <row r="30" spans="1:22" x14ac:dyDescent="0.2">
      <c r="B30" s="92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9"/>
      <c r="R30" s="44"/>
    </row>
    <row r="31" spans="1:22" x14ac:dyDescent="0.2">
      <c r="B31" s="92"/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9"/>
    </row>
    <row r="32" spans="1:22" x14ac:dyDescent="0.2">
      <c r="B32" s="92"/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9"/>
    </row>
    <row r="33" spans="2:13" x14ac:dyDescent="0.2">
      <c r="B33" s="92"/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9"/>
    </row>
    <row r="34" spans="2:13" x14ac:dyDescent="0.2">
      <c r="B34" s="92"/>
      <c r="C34" s="97"/>
      <c r="D34" s="98"/>
      <c r="E34" s="98"/>
      <c r="F34" s="98"/>
      <c r="G34" s="98"/>
      <c r="H34" s="98"/>
      <c r="I34" s="98"/>
      <c r="J34" s="98"/>
      <c r="K34" s="98"/>
      <c r="L34" s="98"/>
      <c r="M34" s="99"/>
    </row>
    <row r="35" spans="2:13" ht="13.5" thickBot="1" x14ac:dyDescent="0.25">
      <c r="B35" s="93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2"/>
    </row>
    <row r="36" spans="2:13" ht="13.5" thickBot="1" x14ac:dyDescent="0.25"/>
    <row r="37" spans="2:13" ht="24.75" customHeight="1" x14ac:dyDescent="0.2">
      <c r="B37" s="114" t="s">
        <v>44</v>
      </c>
      <c r="C37" s="117" t="s">
        <v>45</v>
      </c>
      <c r="D37" s="117"/>
      <c r="E37" s="117"/>
      <c r="F37" s="117"/>
      <c r="G37" s="117"/>
      <c r="H37" s="117"/>
      <c r="I37" s="117"/>
      <c r="J37" s="117"/>
      <c r="K37" s="117"/>
      <c r="L37" s="76">
        <v>10</v>
      </c>
      <c r="M37" s="77"/>
    </row>
    <row r="38" spans="2:13" ht="24.75" customHeight="1" x14ac:dyDescent="0.2">
      <c r="B38" s="115"/>
      <c r="C38" s="75" t="s">
        <v>46</v>
      </c>
      <c r="D38" s="75"/>
      <c r="E38" s="75"/>
      <c r="F38" s="75"/>
      <c r="G38" s="75"/>
      <c r="H38" s="75"/>
      <c r="I38" s="75"/>
      <c r="J38" s="75"/>
      <c r="K38" s="75"/>
      <c r="L38" s="132">
        <f>L37*L20*L23</f>
        <v>156.42000000000002</v>
      </c>
      <c r="M38" s="133"/>
    </row>
    <row r="39" spans="2:13" ht="24.75" customHeight="1" x14ac:dyDescent="0.2">
      <c r="B39" s="115"/>
      <c r="C39" s="75" t="s">
        <v>47</v>
      </c>
      <c r="D39" s="75"/>
      <c r="E39" s="75"/>
      <c r="F39" s="75"/>
      <c r="G39" s="75"/>
      <c r="H39" s="75"/>
      <c r="I39" s="75"/>
      <c r="J39" s="75"/>
      <c r="K39" s="75"/>
      <c r="L39" s="132">
        <f>L22-L38</f>
        <v>43.579999999999984</v>
      </c>
      <c r="M39" s="133"/>
    </row>
    <row r="40" spans="2:13" x14ac:dyDescent="0.2">
      <c r="B40" s="115"/>
      <c r="C40" s="75" t="s">
        <v>48</v>
      </c>
      <c r="D40" s="75"/>
      <c r="E40" s="75"/>
      <c r="F40" s="75"/>
      <c r="G40" s="75"/>
      <c r="H40" s="75"/>
      <c r="I40" s="75"/>
      <c r="J40" s="75"/>
      <c r="K40" s="75"/>
      <c r="L40" s="112">
        <v>3.1</v>
      </c>
      <c r="M40" s="113"/>
    </row>
    <row r="41" spans="2:13" ht="24.75" customHeight="1" x14ac:dyDescent="0.2">
      <c r="B41" s="115"/>
      <c r="C41" s="75" t="s">
        <v>49</v>
      </c>
      <c r="D41" s="75"/>
      <c r="E41" s="75"/>
      <c r="F41" s="75"/>
      <c r="G41" s="75"/>
      <c r="H41" s="75"/>
      <c r="I41" s="75"/>
      <c r="J41" s="75"/>
      <c r="K41" s="75"/>
      <c r="L41" s="78">
        <f>L40*(L39/L37)</f>
        <v>13.509799999999997</v>
      </c>
      <c r="M41" s="79"/>
    </row>
    <row r="42" spans="2:13" x14ac:dyDescent="0.2">
      <c r="B42" s="115"/>
      <c r="C42" s="123" t="s">
        <v>50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5"/>
    </row>
    <row r="43" spans="2:13" x14ac:dyDescent="0.2">
      <c r="B43" s="115"/>
      <c r="C43" s="126"/>
      <c r="D43" s="127"/>
      <c r="E43" s="127"/>
      <c r="F43" s="127"/>
      <c r="G43" s="127"/>
      <c r="H43" s="127"/>
      <c r="I43" s="127"/>
      <c r="J43" s="127"/>
      <c r="K43" s="127"/>
      <c r="L43" s="127"/>
      <c r="M43" s="128"/>
    </row>
    <row r="44" spans="2:13" x14ac:dyDescent="0.2">
      <c r="B44" s="115"/>
      <c r="C44" s="126"/>
      <c r="D44" s="127"/>
      <c r="E44" s="127"/>
      <c r="F44" s="127"/>
      <c r="G44" s="127"/>
      <c r="H44" s="127"/>
      <c r="I44" s="127"/>
      <c r="J44" s="127"/>
      <c r="K44" s="127"/>
      <c r="L44" s="127"/>
      <c r="M44" s="128"/>
    </row>
    <row r="45" spans="2:13" x14ac:dyDescent="0.2">
      <c r="B45" s="115"/>
      <c r="C45" s="126"/>
      <c r="D45" s="127"/>
      <c r="E45" s="127"/>
      <c r="F45" s="127"/>
      <c r="G45" s="127"/>
      <c r="H45" s="127"/>
      <c r="I45" s="127"/>
      <c r="J45" s="127"/>
      <c r="K45" s="127"/>
      <c r="L45" s="127"/>
      <c r="M45" s="128"/>
    </row>
    <row r="46" spans="2:13" x14ac:dyDescent="0.2">
      <c r="B46" s="115"/>
      <c r="C46" s="126"/>
      <c r="D46" s="127"/>
      <c r="E46" s="127"/>
      <c r="F46" s="127"/>
      <c r="G46" s="127"/>
      <c r="H46" s="127"/>
      <c r="I46" s="127"/>
      <c r="J46" s="127"/>
      <c r="K46" s="127"/>
      <c r="L46" s="127"/>
      <c r="M46" s="128"/>
    </row>
    <row r="47" spans="2:13" x14ac:dyDescent="0.2">
      <c r="B47" s="115"/>
      <c r="C47" s="126"/>
      <c r="D47" s="127"/>
      <c r="E47" s="127"/>
      <c r="F47" s="127"/>
      <c r="G47" s="127"/>
      <c r="H47" s="127"/>
      <c r="I47" s="127"/>
      <c r="J47" s="127"/>
      <c r="K47" s="127"/>
      <c r="L47" s="127"/>
      <c r="M47" s="128"/>
    </row>
    <row r="48" spans="2:13" x14ac:dyDescent="0.2">
      <c r="B48" s="115"/>
      <c r="C48" s="126"/>
      <c r="D48" s="127"/>
      <c r="E48" s="127"/>
      <c r="F48" s="127"/>
      <c r="G48" s="127"/>
      <c r="H48" s="127"/>
      <c r="I48" s="127"/>
      <c r="J48" s="127"/>
      <c r="K48" s="127"/>
      <c r="L48" s="127"/>
      <c r="M48" s="128"/>
    </row>
    <row r="49" spans="2:13" x14ac:dyDescent="0.2">
      <c r="B49" s="115"/>
      <c r="C49" s="126"/>
      <c r="D49" s="127"/>
      <c r="E49" s="127"/>
      <c r="F49" s="127"/>
      <c r="G49" s="127"/>
      <c r="H49" s="127"/>
      <c r="I49" s="127"/>
      <c r="J49" s="127"/>
      <c r="K49" s="127"/>
      <c r="L49" s="127"/>
      <c r="M49" s="128"/>
    </row>
    <row r="50" spans="2:13" x14ac:dyDescent="0.2">
      <c r="B50" s="115"/>
      <c r="C50" s="126"/>
      <c r="D50" s="127"/>
      <c r="E50" s="127"/>
      <c r="F50" s="127"/>
      <c r="G50" s="127"/>
      <c r="H50" s="127"/>
      <c r="I50" s="127"/>
      <c r="J50" s="127"/>
      <c r="K50" s="127"/>
      <c r="L50" s="127"/>
      <c r="M50" s="128"/>
    </row>
    <row r="51" spans="2:13" ht="13.5" thickBot="1" x14ac:dyDescent="0.25">
      <c r="B51" s="116"/>
      <c r="C51" s="129"/>
      <c r="D51" s="130"/>
      <c r="E51" s="130"/>
      <c r="F51" s="130"/>
      <c r="G51" s="130"/>
      <c r="H51" s="130"/>
      <c r="I51" s="130"/>
      <c r="J51" s="130"/>
      <c r="K51" s="130"/>
      <c r="L51" s="130"/>
      <c r="M51" s="131"/>
    </row>
    <row r="52" spans="2:13" ht="13.5" thickBot="1" x14ac:dyDescent="0.25"/>
    <row r="53" spans="2:13" ht="24.75" customHeight="1" x14ac:dyDescent="0.2">
      <c r="B53" s="118" t="s">
        <v>14</v>
      </c>
      <c r="C53" s="117"/>
      <c r="D53" s="119"/>
      <c r="E53" s="119"/>
      <c r="F53" s="119"/>
      <c r="G53" s="119"/>
      <c r="H53" s="119"/>
      <c r="I53" s="35" t="s">
        <v>15</v>
      </c>
      <c r="J53" s="119"/>
      <c r="K53" s="119"/>
      <c r="L53" s="119"/>
      <c r="M53" s="120"/>
    </row>
    <row r="54" spans="2:13" ht="24.75" customHeight="1" thickBot="1" x14ac:dyDescent="0.25">
      <c r="B54" s="104" t="s">
        <v>16</v>
      </c>
      <c r="C54" s="105"/>
      <c r="D54" s="105"/>
      <c r="E54" s="105"/>
      <c r="F54" s="105"/>
      <c r="G54" s="105"/>
      <c r="H54" s="105"/>
      <c r="I54" s="36" t="s">
        <v>15</v>
      </c>
      <c r="J54" s="105"/>
      <c r="K54" s="105"/>
      <c r="L54" s="105"/>
      <c r="M54" s="106"/>
    </row>
  </sheetData>
  <mergeCells count="76">
    <mergeCell ref="C4:I5"/>
    <mergeCell ref="L23:M23"/>
    <mergeCell ref="J4:K4"/>
    <mergeCell ref="A4:B5"/>
    <mergeCell ref="A3:B3"/>
    <mergeCell ref="C3:D3"/>
    <mergeCell ref="J3:K3"/>
    <mergeCell ref="L3:N3"/>
    <mergeCell ref="J5:K5"/>
    <mergeCell ref="L5:N5"/>
    <mergeCell ref="L4:N4"/>
    <mergeCell ref="E3:G3"/>
    <mergeCell ref="D8:I8"/>
    <mergeCell ref="C22:K22"/>
    <mergeCell ref="L22:M22"/>
    <mergeCell ref="L18:M18"/>
    <mergeCell ref="L17:M17"/>
    <mergeCell ref="E9:H9"/>
    <mergeCell ref="E10:H10"/>
    <mergeCell ref="E11:H11"/>
    <mergeCell ref="C19:D19"/>
    <mergeCell ref="J14:K14"/>
    <mergeCell ref="L13:M13"/>
    <mergeCell ref="J13:K13"/>
    <mergeCell ref="J15:K15"/>
    <mergeCell ref="B9:C11"/>
    <mergeCell ref="C15:D15"/>
    <mergeCell ref="C16:D16"/>
    <mergeCell ref="D53:H53"/>
    <mergeCell ref="J53:M53"/>
    <mergeCell ref="H19:I19"/>
    <mergeCell ref="E13:G13"/>
    <mergeCell ref="E14:G14"/>
    <mergeCell ref="H14:I14"/>
    <mergeCell ref="H15:I15"/>
    <mergeCell ref="H16:I16"/>
    <mergeCell ref="H17:I17"/>
    <mergeCell ref="C17:D17"/>
    <mergeCell ref="C18:D18"/>
    <mergeCell ref="L15:M15"/>
    <mergeCell ref="C42:M51"/>
    <mergeCell ref="L39:M39"/>
    <mergeCell ref="L38:M38"/>
    <mergeCell ref="C23:K23"/>
    <mergeCell ref="B54:C54"/>
    <mergeCell ref="D54:H54"/>
    <mergeCell ref="J54:M54"/>
    <mergeCell ref="B13:B20"/>
    <mergeCell ref="C20:K20"/>
    <mergeCell ref="L20:M20"/>
    <mergeCell ref="J18:K18"/>
    <mergeCell ref="J19:K19"/>
    <mergeCell ref="L40:M40"/>
    <mergeCell ref="B37:B51"/>
    <mergeCell ref="C37:K37"/>
    <mergeCell ref="C38:K38"/>
    <mergeCell ref="C39:K39"/>
    <mergeCell ref="C40:K40"/>
    <mergeCell ref="J16:K16"/>
    <mergeCell ref="B53:C53"/>
    <mergeCell ref="A2:I2"/>
    <mergeCell ref="H3:I3"/>
    <mergeCell ref="C41:K41"/>
    <mergeCell ref="L37:M37"/>
    <mergeCell ref="L41:M41"/>
    <mergeCell ref="J17:K17"/>
    <mergeCell ref="L19:M19"/>
    <mergeCell ref="B8:C8"/>
    <mergeCell ref="J2:N2"/>
    <mergeCell ref="C24:K24"/>
    <mergeCell ref="L24:M24"/>
    <mergeCell ref="B22:B35"/>
    <mergeCell ref="C25:M35"/>
    <mergeCell ref="H18:I18"/>
    <mergeCell ref="H13:I13"/>
    <mergeCell ref="L16:M16"/>
  </mergeCells>
  <phoneticPr fontId="0" type="noConversion"/>
  <pageMargins left="0.75" right="0.44" top="0.59" bottom="1.01" header="0.41" footer="0.5"/>
  <pageSetup paperSize="9" scale="76" orientation="portrait" r:id="rId1"/>
  <headerFooter alignWithMargins="0">
    <oddFooter>&amp;CCalculation of Temperature
 Rise of Air Inside Enclosure&amp;RPage &amp;P of &amp;N</oddFooter>
  </headerFooter>
  <rowBreaks count="1" manualBreakCount="1">
    <brk id="60" max="1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1711" r:id="rId4">
          <objectPr defaultSize="0" r:id="rId5">
            <anchor moveWithCells="1">
              <from>
                <xdr:col>1</xdr:col>
                <xdr:colOff>561975</xdr:colOff>
                <xdr:row>24</xdr:row>
                <xdr:rowOff>85725</xdr:rowOff>
              </from>
              <to>
                <xdr:col>10</xdr:col>
                <xdr:colOff>628650</xdr:colOff>
                <xdr:row>34</xdr:row>
                <xdr:rowOff>152400</xdr:rowOff>
              </to>
            </anchor>
          </objectPr>
        </oleObject>
      </mc:Choice>
      <mc:Fallback>
        <oleObject progId="Word.Document.8" shapeId="171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2.75" x14ac:dyDescent="0.2"/>
  <cols>
    <col min="1" max="1" width="47.42578125" customWidth="1"/>
    <col min="2" max="2" width="14.85546875" bestFit="1" customWidth="1"/>
  </cols>
  <sheetData>
    <row r="1" spans="1:2" ht="15" x14ac:dyDescent="0.25">
      <c r="A1" s="48" t="s">
        <v>0</v>
      </c>
    </row>
    <row r="2" spans="1:2" ht="16.5" thickBot="1" x14ac:dyDescent="0.25">
      <c r="A2" s="43" t="s">
        <v>51</v>
      </c>
    </row>
    <row r="3" spans="1:2" x14ac:dyDescent="0.2">
      <c r="A3" s="37" t="s">
        <v>52</v>
      </c>
      <c r="B3" s="38" t="s">
        <v>53</v>
      </c>
    </row>
    <row r="4" spans="1:2" x14ac:dyDescent="0.2">
      <c r="A4" s="39" t="s">
        <v>54</v>
      </c>
      <c r="B4" s="40">
        <v>1.4</v>
      </c>
    </row>
    <row r="5" spans="1:2" x14ac:dyDescent="0.2">
      <c r="A5" s="39" t="s">
        <v>55</v>
      </c>
      <c r="B5" s="40">
        <v>0.7</v>
      </c>
    </row>
    <row r="6" spans="1:2" x14ac:dyDescent="0.2">
      <c r="A6" s="39" t="s">
        <v>56</v>
      </c>
      <c r="B6" s="40">
        <v>0.9</v>
      </c>
    </row>
    <row r="7" spans="1:2" x14ac:dyDescent="0.2">
      <c r="A7" s="39" t="s">
        <v>57</v>
      </c>
      <c r="B7" s="40">
        <v>0.5</v>
      </c>
    </row>
    <row r="8" spans="1:2" ht="13.5" thickBot="1" x14ac:dyDescent="0.25">
      <c r="A8" s="41" t="s">
        <v>58</v>
      </c>
      <c r="B8" s="42" t="s">
        <v>59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458BD-5A1E-4EC8-AA71-A248B7AFF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F56B48-3139-4016-91C8-90C1AE2F0B9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566498A-9C4A-4107-9E7D-F9B3DD8574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TBC Version 1 Introduction</vt:lpstr>
      <vt:lpstr>Watt Losses</vt:lpstr>
      <vt:lpstr>Calc Sheet</vt:lpstr>
      <vt:lpstr>Table I</vt:lpstr>
      <vt:lpstr>'Calc Sheet'!Print_Area</vt:lpstr>
      <vt:lpstr>'Watt Losses'!Print_Area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 form Temperature Rise Calculation</dc:title>
  <dc:subject/>
  <dc:creator>Michael A Chatterton</dc:creator>
  <cp:keywords/>
  <dc:description/>
  <cp:lastModifiedBy>kat neale</cp:lastModifiedBy>
  <cp:revision/>
  <dcterms:created xsi:type="dcterms:W3CDTF">2001-11-30T12:02:22Z</dcterms:created>
  <dcterms:modified xsi:type="dcterms:W3CDTF">2026-06-23T15:09:45Z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Process Owner">
    <vt:lpwstr>1160;#Paul Meadows|c9503086-daaa-4cff-96d2-d90208ef4291</vt:lpwstr>
  </property>
  <property fmtid="{D5CDD505-2E9C-101B-9397-08002B2CF9AE}" pid="4" name="Document Owner">
    <vt:lpwstr>1161;#Paul Meadows|23e15d7e-2816-4406-baf0-081cd8125689</vt:lpwstr>
  </property>
  <property fmtid="{D5CDD505-2E9C-101B-9397-08002B2CF9AE}" pid="5" name="Document Category">
    <vt:lpwstr>600;#Form|b53af096-56bf-4577-a54c-04c531fceb42</vt:lpwstr>
  </property>
  <property fmtid="{D5CDD505-2E9C-101B-9397-08002B2CF9AE}" pid="6" name="Document Group">
    <vt:lpwstr>991;#11 Design Documentation|efcd5cc5-3a05-4ced-9548-a916c3bce134</vt:lpwstr>
  </property>
  <property fmtid="{D5CDD505-2E9C-101B-9397-08002B2CF9AE}" pid="7" name="Process Area">
    <vt:lpwstr>603;#Engineering And Design|a1fbfb23-12de-4080-b909-9599c18de309</vt:lpwstr>
  </property>
  <property fmtid="{D5CDD505-2E9C-101B-9397-08002B2CF9AE}" pid="8" name="Additional Process Areas">
    <vt:lpwstr/>
  </property>
  <property fmtid="{D5CDD505-2E9C-101B-9397-08002B2CF9AE}" pid="9" name="Project_x0020_Category">
    <vt:lpwstr/>
  </property>
  <property fmtid="{D5CDD505-2E9C-101B-9397-08002B2CF9AE}" pid="10" name="Doc_x0020_Category">
    <vt:lpwstr/>
  </property>
  <property fmtid="{D5CDD505-2E9C-101B-9397-08002B2CF9AE}" pid="11" name="Doc Type">
    <vt:lpwstr>588;#Form|55a5ab31-e435-4661-8fea-fb4e6784658a</vt:lpwstr>
  </property>
  <property fmtid="{D5CDD505-2E9C-101B-9397-08002B2CF9AE}" pid="12" name="Doc Category">
    <vt:lpwstr/>
  </property>
  <property fmtid="{D5CDD505-2E9C-101B-9397-08002B2CF9AE}" pid="13" name="Project Category">
    <vt:lpwstr/>
  </property>
  <property fmtid="{D5CDD505-2E9C-101B-9397-08002B2CF9AE}" pid="14" name="Order">
    <vt:r8>386900</vt:r8>
  </property>
  <property fmtid="{D5CDD505-2E9C-101B-9397-08002B2CF9AE}" pid="15" name="ComplianceAssetId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  <property fmtid="{D5CDD505-2E9C-101B-9397-08002B2CF9AE}" pid="19" name="xd_Signature">
    <vt:bool>false</vt:bool>
  </property>
  <property fmtid="{D5CDD505-2E9C-101B-9397-08002B2CF9AE}" pid="20" name="xd_ProgID">
    <vt:lpwstr/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TemplateUrl">
    <vt:lpwstr/>
  </property>
</Properties>
</file>
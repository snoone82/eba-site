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5aa362f49c77008/Desktop/Kat Work/KeyIS/05 - Technical/19 - Manufacturing/"/>
    </mc:Choice>
  </mc:AlternateContent>
  <xr:revisionPtr revIDLastSave="174" documentId="13_ncr:1_{C8B4921A-27E9-465C-B746-621460B3E40F}" xr6:coauthVersionLast="47" xr6:coauthVersionMax="47" xr10:uidLastSave="{AE357F1F-3496-4B8D-8B4E-BF857E0DB70B}"/>
  <bookViews>
    <workbookView xWindow="-120" yWindow="-120" windowWidth="51840" windowHeight="21120" tabRatio="0" xr2:uid="{00000000-000D-0000-FFFF-FFFF00000000}"/>
  </bookViews>
  <sheets>
    <sheet name="TEC-ENG-FOR-0029" sheetId="1" r:id="rId1"/>
    <sheet name="F1-2 Labels" sheetId="4" r:id="rId2"/>
    <sheet name="F3-4 Labels" sheetId="3" r:id="rId3"/>
    <sheet name="TCE Data" sheetId="2" r:id="rId4"/>
    <sheet name="MS Data" sheetId="5" r:id="rId5"/>
  </sheets>
  <functionGroups builtInGroupCount="19"/>
  <definedNames>
    <definedName name="Ipk">'TCE Data'!$H$5:$I$10</definedName>
    <definedName name="_xlnm.Print_Area" localSheetId="1">'F1-2 Labels'!$B$2:$AH$58</definedName>
    <definedName name="_xlnm.Print_Area" localSheetId="2">'F3-4 Labels'!$B$2:$AH$57</definedName>
    <definedName name="_xlnm.Print_Area" localSheetId="4">'MS Data'!$B$2:$H$206</definedName>
    <definedName name="_xlnm.Print_Area" localSheetId="3">'TCE Data'!$B$2:$X$37</definedName>
    <definedName name="_xlnm.Print_Area" localSheetId="0">'TEC-ENG-FOR-0029'!$B$2:$L$74</definedName>
    <definedName name="TABLE_A">'MS Data'!$B$5:$E$206</definedName>
  </definedNames>
  <calcPr calcId="191028"/>
  <webPublishing vml="1" allowPng="1" targetScreenSize="1024x768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7" i="4" l="1"/>
  <c r="P17" i="4"/>
  <c r="G32" i="5"/>
  <c r="K26" i="1" s="1"/>
  <c r="G28" i="5" l="1"/>
  <c r="I71" i="1" s="1"/>
  <c r="G29" i="5"/>
  <c r="K66" i="1" s="1"/>
  <c r="G30" i="5"/>
  <c r="K67" i="1" s="1"/>
  <c r="G31" i="5"/>
  <c r="K68" i="1" s="1"/>
  <c r="F24" i="1"/>
  <c r="G27" i="5"/>
  <c r="I70" i="1" s="1"/>
  <c r="U46" i="3" l="1"/>
  <c r="G26" i="5" l="1"/>
  <c r="I69" i="1" s="1"/>
  <c r="G16" i="5"/>
  <c r="J37" i="1" l="1"/>
  <c r="K37" i="1"/>
  <c r="G25" i="5"/>
  <c r="I68" i="1" s="1"/>
  <c r="G24" i="5"/>
  <c r="G23" i="5"/>
  <c r="G22" i="5"/>
  <c r="G21" i="5"/>
  <c r="G20" i="5"/>
  <c r="G19" i="5"/>
  <c r="G18" i="5"/>
  <c r="G17" i="5"/>
  <c r="G15" i="5"/>
  <c r="G14" i="5"/>
  <c r="G13" i="5"/>
  <c r="G12" i="5"/>
  <c r="G11" i="5"/>
  <c r="G10" i="5"/>
  <c r="G9" i="5"/>
  <c r="G8" i="5"/>
  <c r="G7" i="5"/>
  <c r="G6" i="5"/>
  <c r="K22" i="1" s="1"/>
  <c r="G5" i="5"/>
  <c r="J21" i="1" s="1"/>
  <c r="K30" i="1" l="1"/>
  <c r="J30" i="1"/>
  <c r="K27" i="1"/>
  <c r="J27" i="1"/>
  <c r="K28" i="1"/>
  <c r="J28" i="1"/>
  <c r="K29" i="1"/>
  <c r="J29" i="1"/>
  <c r="K31" i="1"/>
  <c r="J31" i="1"/>
  <c r="I66" i="1"/>
  <c r="I67" i="1"/>
  <c r="K36" i="1"/>
  <c r="J36" i="1"/>
  <c r="K38" i="1"/>
  <c r="J38" i="1"/>
  <c r="K39" i="1"/>
  <c r="J39" i="1"/>
  <c r="K40" i="1"/>
  <c r="J40" i="1"/>
  <c r="K41" i="1"/>
  <c r="J41" i="1"/>
  <c r="K42" i="1"/>
  <c r="J42" i="1"/>
  <c r="K43" i="1"/>
  <c r="J43" i="1"/>
  <c r="K24" i="1"/>
  <c r="J24" i="1"/>
  <c r="K23" i="1"/>
  <c r="J23" i="1"/>
  <c r="K35" i="1"/>
  <c r="J35" i="1"/>
  <c r="J22" i="1"/>
  <c r="K21" i="1"/>
  <c r="U43" i="4"/>
  <c r="U42" i="4"/>
  <c r="U47" i="4"/>
  <c r="U46" i="4"/>
  <c r="U45" i="4"/>
  <c r="U44" i="4"/>
  <c r="G29" i="4"/>
  <c r="G24" i="4"/>
  <c r="G28" i="3"/>
  <c r="G23" i="3"/>
  <c r="W17" i="3"/>
  <c r="P17" i="3"/>
  <c r="U51" i="3"/>
  <c r="U50" i="3" l="1"/>
  <c r="U49" i="3"/>
  <c r="W48" i="3"/>
  <c r="U48" i="3"/>
  <c r="U47" i="3"/>
  <c r="U45" i="3"/>
  <c r="U44" i="3"/>
  <c r="U43" i="3"/>
  <c r="U42" i="3"/>
  <c r="U41" i="3"/>
  <c r="D6" i="2" l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Neil Williams</author>
  </authors>
  <commentList>
    <comment ref="R3" authorId="0" shapeId="0" xr:uid="{2FCC6897-0924-4FA2-9E3A-B68C23B2F256}">
      <text>
        <r>
          <rPr>
            <b/>
            <sz val="12"/>
            <color indexed="81"/>
            <rFont val="Tahoma"/>
            <family val="2"/>
          </rPr>
          <t xml:space="preserve">Action: 
Select suitable enclosure and print only one set as required and include in LV Production File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0" shapeId="0" xr:uid="{066D7760-0B22-436A-8581-8698D0AE2E31}">
      <text>
        <r>
          <rPr>
            <sz val="9"/>
            <color indexed="81"/>
            <rFont val="Tahoma"/>
            <family val="2"/>
          </rPr>
          <t xml:space="preserve">As expected completion date
</t>
        </r>
      </text>
    </comment>
    <comment ref="H7" authorId="0" shapeId="0" xr:uid="{7940E072-7E1E-44D7-B081-76BE5CACA913}">
      <text>
        <r>
          <rPr>
            <sz val="9"/>
            <color indexed="81"/>
            <rFont val="Tahoma"/>
            <family val="2"/>
          </rPr>
          <t xml:space="preserve">In-line with the above manufactured  date and contract as applicable
</t>
        </r>
      </text>
    </comment>
    <comment ref="H11" authorId="0" shapeId="0" xr:uid="{53B9BFE4-55F6-4AC9-81BE-35F7F46571CB}">
      <text>
        <r>
          <rPr>
            <b/>
            <sz val="12"/>
            <color indexed="81"/>
            <rFont val="Tahoma"/>
            <family val="2"/>
          </rPr>
          <t>Action:
Select required manufacturing specification from drop down list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4" authorId="0" shapeId="0" xr:uid="{07B500E6-8277-4BD8-A9C2-A6C6DA7354AC}">
      <text>
        <r>
          <rPr>
            <b/>
            <sz val="12"/>
            <color indexed="81"/>
            <rFont val="Tahoma"/>
            <family val="2"/>
          </rPr>
          <t>Action:
Select all necessary details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<sst xmlns="http://schemas.openxmlformats.org/spreadsheetml/2006/main" count="1155" uniqueCount="601">
  <si>
    <t xml:space="preserve">
LV Assembly Main Labels</t>
  </si>
  <si>
    <t>Project Ref.</t>
  </si>
  <si>
    <r>
      <t xml:space="preserve">Project Title:
</t>
    </r>
    <r>
      <rPr>
        <sz val="14"/>
        <color rgb="FFFF0000"/>
        <rFont val="Arial"/>
        <family val="2"/>
      </rPr>
      <t>(Title Label)</t>
    </r>
  </si>
  <si>
    <t>Manufactured Date</t>
  </si>
  <si>
    <t>Warranty Expiry Date (As applicable)</t>
  </si>
  <si>
    <t>Technical, Constructional &amp; Environmental Data:</t>
  </si>
  <si>
    <t>Manufacturing Specification Data:</t>
  </si>
  <si>
    <t>BS EN 61439-2 - Power switchgear and controlgear assemblies</t>
  </si>
  <si>
    <t>B G E N  T E C H N O L O G Y</t>
  </si>
  <si>
    <t>Interface characteristic and service conditions (Clauses 5&amp;7)</t>
  </si>
  <si>
    <t>Low-voltage conductors [&lt;1kVAC &amp; &lt;1.5kVDC]</t>
  </si>
  <si>
    <t>Description</t>
  </si>
  <si>
    <t>Note</t>
  </si>
  <si>
    <t>Detail</t>
  </si>
  <si>
    <t>Rating \ Function</t>
  </si>
  <si>
    <t>Circuit type or function \ ident</t>
  </si>
  <si>
    <t>Min c.s.a. (mm²)*</t>
  </si>
  <si>
    <t>Colour*</t>
  </si>
  <si>
    <t>Supply conductor arrangement</t>
  </si>
  <si>
    <t>BS 7671</t>
  </si>
  <si>
    <t>N/A</t>
  </si>
  <si>
    <t>400VAC</t>
  </si>
  <si>
    <t>Phase (L1)</t>
  </si>
  <si>
    <t>Brown</t>
  </si>
  <si>
    <t>System earthing type</t>
  </si>
  <si>
    <t>Phase (L2)</t>
  </si>
  <si>
    <t>Black</t>
  </si>
  <si>
    <t>EMC classification</t>
  </si>
  <si>
    <t>IEC TR 61000-2-5</t>
  </si>
  <si>
    <t>A</t>
  </si>
  <si>
    <t>Phase (L3)</t>
  </si>
  <si>
    <t>Grey</t>
  </si>
  <si>
    <t xml:space="preserve">Rated current </t>
  </si>
  <si>
    <t>InA</t>
  </si>
  <si>
    <t>Neutral (N)</t>
  </si>
  <si>
    <t>Blue</t>
  </si>
  <si>
    <t>Rated current (Circuits of the Assembly)</t>
  </si>
  <si>
    <t>Inc / Ing</t>
  </si>
  <si>
    <t>As drawings</t>
  </si>
  <si>
    <t>230VAC</t>
  </si>
  <si>
    <t>Phase (L)</t>
  </si>
  <si>
    <t>Rated diversity factor (Nominal)</t>
  </si>
  <si>
    <t>RDF</t>
  </si>
  <si>
    <t>Prospective short-circuit current (at incoming terminals)</t>
  </si>
  <si>
    <t>Icp</t>
  </si>
  <si>
    <t>110VAC</t>
  </si>
  <si>
    <t>Power</t>
  </si>
  <si>
    <t>Rated short-time withstand current</t>
  </si>
  <si>
    <t>Icw</t>
  </si>
  <si>
    <t>Control</t>
  </si>
  <si>
    <t>Rated conditional short-circuit current</t>
  </si>
  <si>
    <t>Icc</t>
  </si>
  <si>
    <t>110VDC</t>
  </si>
  <si>
    <t>Rated peak withstand current</t>
  </si>
  <si>
    <t>Ipk</t>
  </si>
  <si>
    <t>Rated voltage</t>
  </si>
  <si>
    <t>Un</t>
  </si>
  <si>
    <t>Earth</t>
  </si>
  <si>
    <t>Protective</t>
  </si>
  <si>
    <t>Green/Yellow</t>
  </si>
  <si>
    <t>Rated insulation voltage</t>
  </si>
  <si>
    <t>Ui</t>
  </si>
  <si>
    <t>500V</t>
  </si>
  <si>
    <t>Functional</t>
  </si>
  <si>
    <t>As Detailed</t>
  </si>
  <si>
    <t>Rated impulse withstand voltage (At incoming terminals)</t>
  </si>
  <si>
    <t>Uimp</t>
  </si>
  <si>
    <t>8kV</t>
  </si>
  <si>
    <t>Current Transformer</t>
  </si>
  <si>
    <t>Measuring \ Instrument</t>
  </si>
  <si>
    <t>Rated frequency</t>
  </si>
  <si>
    <t>fn</t>
  </si>
  <si>
    <t>50Hz</t>
  </si>
  <si>
    <t>Volt Free</t>
  </si>
  <si>
    <t>Degree of protection of enclosure</t>
  </si>
  <si>
    <t>IP Code</t>
  </si>
  <si>
    <t>Telemetry</t>
  </si>
  <si>
    <t>Communications</t>
  </si>
  <si>
    <t>Intended for use by</t>
  </si>
  <si>
    <t>Persons</t>
  </si>
  <si>
    <t>Skilled</t>
  </si>
  <si>
    <t>Intrinsically Safe</t>
  </si>
  <si>
    <t>Control (Ex Area)</t>
  </si>
  <si>
    <t>Type of co-ordination of equipment</t>
  </si>
  <si>
    <t>BS EN 60947-1</t>
  </si>
  <si>
    <t>Inter-compartment</t>
  </si>
  <si>
    <t>LV Assembly (Internal)</t>
  </si>
  <si>
    <t>Mechanical impact protection</t>
  </si>
  <si>
    <t>IK Code</t>
  </si>
  <si>
    <t>Installation method</t>
  </si>
  <si>
    <t>-</t>
  </si>
  <si>
    <t>Stationary</t>
  </si>
  <si>
    <t>Extra low-voltage conductors [&lt;50VAC &amp; &lt;120VDC]</t>
  </si>
  <si>
    <t>Location type</t>
  </si>
  <si>
    <t>Indoor</t>
  </si>
  <si>
    <t>Rating</t>
  </si>
  <si>
    <t>Circuit type \ ident</t>
  </si>
  <si>
    <t>Colour</t>
  </si>
  <si>
    <t>Ambient air temp. limits</t>
  </si>
  <si>
    <t>°C</t>
  </si>
  <si>
    <t>-5/+40</t>
  </si>
  <si>
    <t>48VAC</t>
  </si>
  <si>
    <t>Ambient air temp. average</t>
  </si>
  <si>
    <t>Relative humidity</t>
  </si>
  <si>
    <t>%</t>
  </si>
  <si>
    <t>48VDC</t>
  </si>
  <si>
    <t>Pollution degree</t>
  </si>
  <si>
    <t>Macro Environ.</t>
  </si>
  <si>
    <t>External conductor type</t>
  </si>
  <si>
    <t>Al/Cu</t>
  </si>
  <si>
    <t>Cu</t>
  </si>
  <si>
    <t>24VAC</t>
  </si>
  <si>
    <t>Arc-fault containment classification</t>
  </si>
  <si>
    <t>IEC TR 61641</t>
  </si>
  <si>
    <t>On-shore / off-shore</t>
  </si>
  <si>
    <t>Installation</t>
  </si>
  <si>
    <t>On-shore</t>
  </si>
  <si>
    <t>24VDC</t>
  </si>
  <si>
    <t>Altitude</t>
  </si>
  <si>
    <t>&lt;2000M</t>
  </si>
  <si>
    <t>Form of internal separation (Annex NA)</t>
  </si>
  <si>
    <t>Form</t>
  </si>
  <si>
    <t>0-10VDC \ 0-20mA</t>
  </si>
  <si>
    <t>Control (Analogue)</t>
  </si>
  <si>
    <t>Type of construction (Annex NA)</t>
  </si>
  <si>
    <t>Type</t>
  </si>
  <si>
    <t>Access to manually operated devices</t>
  </si>
  <si>
    <t>Authorised</t>
  </si>
  <si>
    <t>Fieldbus network conductors to BS EN 50174-1</t>
  </si>
  <si>
    <t>External design type</t>
  </si>
  <si>
    <t>Protocol</t>
  </si>
  <si>
    <t>Circuit</t>
  </si>
  <si>
    <t>Fixed or removable parts</t>
  </si>
  <si>
    <t>ProfiBUS DP</t>
  </si>
  <si>
    <t>LV Assembly network, Sensors &amp; actuators</t>
  </si>
  <si>
    <t>Fast Connect 
Standard Bus</t>
  </si>
  <si>
    <t>Violet sheath</t>
  </si>
  <si>
    <t>Cable entry</t>
  </si>
  <si>
    <t>Red/Green cores</t>
  </si>
  <si>
    <t>Cable exit</t>
  </si>
  <si>
    <t>ProfiBUS PA</t>
  </si>
  <si>
    <t>Field measurement equipment</t>
  </si>
  <si>
    <t>Orange sheath
Red/Green cores</t>
  </si>
  <si>
    <t>General access</t>
  </si>
  <si>
    <t>Overall dimensions</t>
  </si>
  <si>
    <t>ProfiBUS PA
(Intrinsically Safe)</t>
  </si>
  <si>
    <t>Fast Connect</t>
  </si>
  <si>
    <t>Light blue sheath</t>
  </si>
  <si>
    <t>External colour</t>
  </si>
  <si>
    <t>Optical fibre connections to BS ISO / IEC 11801 Series</t>
  </si>
  <si>
    <t>Type (Colour)</t>
  </si>
  <si>
    <t>Ethernet LAN</t>
  </si>
  <si>
    <t>Multimode 50µm</t>
  </si>
  <si>
    <t>OM4+</t>
  </si>
  <si>
    <t>Violet</t>
  </si>
  <si>
    <t>Laser optimised</t>
  </si>
  <si>
    <t>OM3, OM4</t>
  </si>
  <si>
    <t>Aqua</t>
  </si>
  <si>
    <t>Multimode 50µm &amp; 62.5µm   Laser optimised</t>
  </si>
  <si>
    <t>OM1, OM2</t>
  </si>
  <si>
    <t>Orange</t>
  </si>
  <si>
    <t>Single-mode</t>
  </si>
  <si>
    <t>OS1, OS2</t>
  </si>
  <si>
    <t>Yellow</t>
  </si>
  <si>
    <t>Outside plant</t>
  </si>
  <si>
    <t>OSP</t>
  </si>
  <si>
    <t>Indoor/Outdoor</t>
  </si>
  <si>
    <t>I/O</t>
  </si>
  <si>
    <t>Signalling and indication devices to BS EN 60073</t>
  </si>
  <si>
    <t>Available</t>
  </si>
  <si>
    <t>Start</t>
  </si>
  <si>
    <t>Running</t>
  </si>
  <si>
    <t>Stop</t>
  </si>
  <si>
    <t>Stopped</t>
  </si>
  <si>
    <t>Reset</t>
  </si>
  <si>
    <t>Tripped</t>
  </si>
  <si>
    <t>Fault</t>
  </si>
  <si>
    <t>Inhibited</t>
  </si>
  <si>
    <t>*Unless otherwise stated, e.g. detailed on corresponding drawing(s)</t>
  </si>
  <si>
    <t>Back</t>
  </si>
  <si>
    <t xml:space="preserve">LV Assembly: Form 1 &amp; 2 Enclosure Main Labels </t>
  </si>
  <si>
    <t>Manufacturers Label</t>
  </si>
  <si>
    <t>QTY</t>
  </si>
  <si>
    <t>24mm</t>
  </si>
  <si>
    <t>o</t>
  </si>
  <si>
    <t xml:space="preserve">Project Ref:  </t>
  </si>
  <si>
    <t>MFD:</t>
  </si>
  <si>
    <t>80mm</t>
  </si>
  <si>
    <t>Title Label</t>
  </si>
  <si>
    <t>45mm</t>
  </si>
  <si>
    <t>120mm</t>
  </si>
  <si>
    <t>Construction Label</t>
  </si>
  <si>
    <t>CONSTRUCTION DETAILS</t>
  </si>
  <si>
    <t>SUPPLY ARRANGEMENT</t>
  </si>
  <si>
    <t>SYSTEM EARTHING TYPE</t>
  </si>
  <si>
    <t>RATED VOLTAGE (Un)</t>
  </si>
  <si>
    <t>RATED FREQUENCY (f)</t>
  </si>
  <si>
    <t>RATED ASSEMBLY CURRENT (InA)</t>
  </si>
  <si>
    <t>WARRANTY EXPIRES</t>
  </si>
  <si>
    <t xml:space="preserve">MANUFACTURED IN COMPLIANCE WITH </t>
  </si>
  <si>
    <t>BS EN 61439-2</t>
  </si>
  <si>
    <t>LV Assembly: Form 3 &amp; 4 Enclosure Main Labels</t>
  </si>
  <si>
    <t>54mm</t>
  </si>
  <si>
    <t>RATED SHORT-CIRCUIT CURRENT (Icw)</t>
  </si>
  <si>
    <t>DEGREE OF PROTECTION (IP CODE)</t>
  </si>
  <si>
    <t>FORM OF  SEPARATION \ TYPE</t>
  </si>
  <si>
    <t>\</t>
  </si>
  <si>
    <t>POLLUTION DEGREE</t>
  </si>
  <si>
    <t>EXTERNAL COLOUR</t>
  </si>
  <si>
    <t>MANUFACTURED IN COMPLIANCE WITH</t>
  </si>
  <si>
    <t>160mm</t>
  </si>
  <si>
    <t>Technical, Constructional &amp; Environmental Data</t>
  </si>
  <si>
    <t>Rated currents</t>
  </si>
  <si>
    <t>Rated voltages</t>
  </si>
  <si>
    <t>f</t>
  </si>
  <si>
    <t>External design</t>
  </si>
  <si>
    <t>Cable Entry</t>
  </si>
  <si>
    <t>Cable Exit</t>
  </si>
  <si>
    <t>Access</t>
  </si>
  <si>
    <t>External paint colour</t>
  </si>
  <si>
    <t>Manufacturing Specification</t>
  </si>
  <si>
    <t>TN-S</t>
  </si>
  <si>
    <t>6300A</t>
  </si>
  <si>
    <t>1.5kA</t>
  </si>
  <si>
    <t>25kA</t>
  </si>
  <si>
    <t>25kA 1s</t>
  </si>
  <si>
    <t>52.5kA</t>
  </si>
  <si>
    <t>12VDC</t>
  </si>
  <si>
    <t>250V</t>
  </si>
  <si>
    <t>2.5kV</t>
  </si>
  <si>
    <t>2X</t>
  </si>
  <si>
    <t>Cubicle</t>
  </si>
  <si>
    <t>Top</t>
  </si>
  <si>
    <t>Front</t>
  </si>
  <si>
    <t>TN-C</t>
  </si>
  <si>
    <t>4000A</t>
  </si>
  <si>
    <t>3kA</t>
  </si>
  <si>
    <t>36kA</t>
  </si>
  <si>
    <t>36kA 1s</t>
  </si>
  <si>
    <t>75.6kA</t>
  </si>
  <si>
    <t>6kV</t>
  </si>
  <si>
    <t>60Hz</t>
  </si>
  <si>
    <t>2a</t>
  </si>
  <si>
    <t>Multi-cubicle</t>
  </si>
  <si>
    <t>Bottom</t>
  </si>
  <si>
    <t>Rear</t>
  </si>
  <si>
    <t>TN-C-S</t>
  </si>
  <si>
    <t>3200A</t>
  </si>
  <si>
    <t>4.5kA</t>
  </si>
  <si>
    <t>50kA</t>
  </si>
  <si>
    <t>50kA 1s</t>
  </si>
  <si>
    <t>105kA</t>
  </si>
  <si>
    <t>30VDC</t>
  </si>
  <si>
    <t>690V</t>
  </si>
  <si>
    <t>2b</t>
  </si>
  <si>
    <t>Wall-mounted</t>
  </si>
  <si>
    <t>Side</t>
  </si>
  <si>
    <t>S E V E R N  T R E N T  W A T E R</t>
  </si>
  <si>
    <t>TT</t>
  </si>
  <si>
    <t>2500A</t>
  </si>
  <si>
    <t>6kA</t>
  </si>
  <si>
    <t>80kA</t>
  </si>
  <si>
    <t>80kA 1s</t>
  </si>
  <si>
    <t>176kA</t>
  </si>
  <si>
    <t>800V</t>
  </si>
  <si>
    <t>12kV</t>
  </si>
  <si>
    <t>3a</t>
  </si>
  <si>
    <t>Desk</t>
  </si>
  <si>
    <t>S C O T T I S H  W A T E R</t>
  </si>
  <si>
    <t>IT</t>
  </si>
  <si>
    <t>2000A</t>
  </si>
  <si>
    <t>10kA</t>
  </si>
  <si>
    <t>100kA</t>
  </si>
  <si>
    <t>100kA 1s</t>
  </si>
  <si>
    <t>220kA</t>
  </si>
  <si>
    <t>1kV</t>
  </si>
  <si>
    <t>3b</t>
  </si>
  <si>
    <t>T H A M E S  W A T E R</t>
  </si>
  <si>
    <t>Unknown</t>
  </si>
  <si>
    <t>1600A</t>
  </si>
  <si>
    <t>15kA</t>
  </si>
  <si>
    <t>4a</t>
  </si>
  <si>
    <t>U N I T E D  U T I L I T I E S</t>
  </si>
  <si>
    <t>1250A</t>
  </si>
  <si>
    <t>20kA</t>
  </si>
  <si>
    <t>Al</t>
  </si>
  <si>
    <t>4b</t>
  </si>
  <si>
    <t>N A T I O N A L  G R I D</t>
  </si>
  <si>
    <t>1000A</t>
  </si>
  <si>
    <t>C L I E N T  S P E C I F I C</t>
  </si>
  <si>
    <t>800A</t>
  </si>
  <si>
    <t>415VAC</t>
  </si>
  <si>
    <t>630A</t>
  </si>
  <si>
    <t>690VAC</t>
  </si>
  <si>
    <t>500A</t>
  </si>
  <si>
    <t>1Ph. 2-Wire</t>
  </si>
  <si>
    <t>400A</t>
  </si>
  <si>
    <t>1Ph. 3-Wire</t>
  </si>
  <si>
    <t>315A</t>
  </si>
  <si>
    <t>2Ph. 3-Wire</t>
  </si>
  <si>
    <t>300A</t>
  </si>
  <si>
    <t>Pollution degree (Macro Environment)</t>
  </si>
  <si>
    <t>3Ph. 3-Wire</t>
  </si>
  <si>
    <t>250A</t>
  </si>
  <si>
    <t>Fixed</t>
  </si>
  <si>
    <t>No pollution</t>
  </si>
  <si>
    <t>3Ph. 4-Wire</t>
  </si>
  <si>
    <t>225A</t>
  </si>
  <si>
    <t>Removable</t>
  </si>
  <si>
    <t>Non-conductive pollution</t>
  </si>
  <si>
    <t>200A</t>
  </si>
  <si>
    <t>Both</t>
  </si>
  <si>
    <t>Conductive pollution</t>
  </si>
  <si>
    <t>160A</t>
  </si>
  <si>
    <t>Continuous conductivity</t>
  </si>
  <si>
    <t>125A</t>
  </si>
  <si>
    <t>Off-shore</t>
  </si>
  <si>
    <t>100A</t>
  </si>
  <si>
    <t>63A</t>
  </si>
  <si>
    <t>Outdoor</t>
  </si>
  <si>
    <t>32A</t>
  </si>
  <si>
    <t>16A</t>
  </si>
  <si>
    <t>Movable</t>
  </si>
  <si>
    <t>10A</t>
  </si>
  <si>
    <t>6A</t>
  </si>
  <si>
    <t>Ordinary</t>
  </si>
  <si>
    <t>5A</t>
  </si>
  <si>
    <t>I</t>
  </si>
  <si>
    <t>4A</t>
  </si>
  <si>
    <t>2A</t>
  </si>
  <si>
    <t>B</t>
  </si>
  <si>
    <t>Instructed</t>
  </si>
  <si>
    <t>Manufacturing Specification Data</t>
  </si>
  <si>
    <t>Table A</t>
  </si>
  <si>
    <t>VLOOKUP Ref:</t>
  </si>
  <si>
    <t>CONCAT Ref.</t>
  </si>
  <si>
    <t>Data Entry</t>
  </si>
  <si>
    <t>Minimum c.s.a.</t>
  </si>
  <si>
    <t>B G E N  T E C H N O L O G Y1</t>
  </si>
  <si>
    <t>110VAC Power</t>
  </si>
  <si>
    <t>Red (L), Red, (N)</t>
  </si>
  <si>
    <t>B G E N  T E C H N O L O G Y2</t>
  </si>
  <si>
    <t>110VAC Control</t>
  </si>
  <si>
    <t>B G E N  T E C H N O L O G Y3</t>
  </si>
  <si>
    <t>110VDC Power</t>
  </si>
  <si>
    <t>B G E N  T E C H N O L O G Y4</t>
  </si>
  <si>
    <t>110VDC Control</t>
  </si>
  <si>
    <t>B G E N  T E C H N O L O G Y5</t>
  </si>
  <si>
    <t>B G E N  T E C H N O L O G Y6</t>
  </si>
  <si>
    <t>Volt-free</t>
  </si>
  <si>
    <t>B G E N  T E C H N O L O G Y7</t>
  </si>
  <si>
    <t>White</t>
  </si>
  <si>
    <t>B G E N  T E C H N O L O G Y8</t>
  </si>
  <si>
    <t>Light blue</t>
  </si>
  <si>
    <t>B G E N  T E C H N O L O G Y9</t>
  </si>
  <si>
    <t>Grey Sheath White Cores</t>
  </si>
  <si>
    <t>B G E N  T E C H N O L O G Y10</t>
  </si>
  <si>
    <t>48VAC Power</t>
  </si>
  <si>
    <t>Violet (L), Violet (N)</t>
  </si>
  <si>
    <t>B G E N  T E C H N O L O G Y11</t>
  </si>
  <si>
    <t>48VAC Control</t>
  </si>
  <si>
    <t>B G E N  T E C H N O L O G Y12</t>
  </si>
  <si>
    <t>48VDC Power</t>
  </si>
  <si>
    <t>B G E N  T E C H N O L O G Y13</t>
  </si>
  <si>
    <t>48VDC Control</t>
  </si>
  <si>
    <t>B G E N  T E C H N O L O G Y14</t>
  </si>
  <si>
    <t>24VAC Power</t>
  </si>
  <si>
    <t>B G E N  T E C H N O L O G Y15</t>
  </si>
  <si>
    <t>24VAC Control</t>
  </si>
  <si>
    <t>B G E N  T E C H N O L O G Y16</t>
  </si>
  <si>
    <t>24VDC Power</t>
  </si>
  <si>
    <t>Pink (24V) Pink (0V)</t>
  </si>
  <si>
    <t>B G E N  T E C H N O L O G Y17</t>
  </si>
  <si>
    <t>24VDC Control</t>
  </si>
  <si>
    <t>B G E N  T E C H N O L O G Y18</t>
  </si>
  <si>
    <t>0-10VDC \ 4-20mA</t>
  </si>
  <si>
    <t>Red (+ve) Blue (-ve)</t>
  </si>
  <si>
    <t>B G E N  T E C H N O L O G Y19</t>
  </si>
  <si>
    <t>Available Lamp</t>
  </si>
  <si>
    <t>Lamp (White)</t>
  </si>
  <si>
    <t>B G E N  T E C H N O L O G Y20</t>
  </si>
  <si>
    <t>Running Lamp</t>
  </si>
  <si>
    <t>Lamp (Green)</t>
  </si>
  <si>
    <t>B G E N  T E C H N O L O G Y21</t>
  </si>
  <si>
    <t>Stopped Lamp</t>
  </si>
  <si>
    <t>B G E N  T E C H N O L O G Y22</t>
  </si>
  <si>
    <t>Tripped Lamp</t>
  </si>
  <si>
    <t>Lamp (Amber)</t>
  </si>
  <si>
    <t>B G E N  T E C H N O L O G Y23</t>
  </si>
  <si>
    <t>Fault Lamp</t>
  </si>
  <si>
    <t>B G E N  T E C H N O L O G Y24</t>
  </si>
  <si>
    <t>Inhibited Lamp</t>
  </si>
  <si>
    <t>B G E N  T E C H N O L O G Y25</t>
  </si>
  <si>
    <t>Start Pushbutton</t>
  </si>
  <si>
    <t>Pushbutton (Green)</t>
  </si>
  <si>
    <t>B G E N  T E C H N O L O G Y26</t>
  </si>
  <si>
    <t>Stop Pushbutton</t>
  </si>
  <si>
    <t>Pushbutton (Red)</t>
  </si>
  <si>
    <t>B G E N  T E C H N O L O G Y27</t>
  </si>
  <si>
    <t>Reset Pushbutton</t>
  </si>
  <si>
    <t>Pushbutton (Black)</t>
  </si>
  <si>
    <t>B G E N  T E C H N O L O G Y28</t>
  </si>
  <si>
    <t>Functional Earth</t>
  </si>
  <si>
    <t>Green</t>
  </si>
  <si>
    <t>S E V E R N  T R E N T  W A T E R1</t>
  </si>
  <si>
    <t>S E V E R N  T R E N T  W A T E R2</t>
  </si>
  <si>
    <t>S E V E R N  T R E N T  W A T E R3</t>
  </si>
  <si>
    <t>S E V E R N  T R E N T  W A T E R4</t>
  </si>
  <si>
    <t>S E V E R N  T R E N T  W A T E R5</t>
  </si>
  <si>
    <t>S E V E R N  T R E N T  W A T E R6</t>
  </si>
  <si>
    <t>S E V E R N  T R E N T  W A T E R7</t>
  </si>
  <si>
    <t>S E V E R N  T R E N T  W A T E R8</t>
  </si>
  <si>
    <t>S E V E R N  T R E N T  W A T E R9</t>
  </si>
  <si>
    <t>S E V E R N  T R E N T  W A T E R10</t>
  </si>
  <si>
    <t>S E V E R N  T R E N T  W A T E R11</t>
  </si>
  <si>
    <t>S E V E R N  T R E N T  W A T E R12</t>
  </si>
  <si>
    <t>S E V E R N  T R E N T  W A T E R13</t>
  </si>
  <si>
    <t>S E V E R N  T R E N T  W A T E R14</t>
  </si>
  <si>
    <t>S E V E R N  T R E N T  W A T E R15</t>
  </si>
  <si>
    <t>S E V E R N  T R E N T  W A T E R16</t>
  </si>
  <si>
    <t>S E V E R N  T R E N T  W A T E R17</t>
  </si>
  <si>
    <t>S E V E R N  T R E N T  W A T E R18</t>
  </si>
  <si>
    <t>S E V E R N  T R E N T  W A T E R19</t>
  </si>
  <si>
    <t>S E V E R N  T R E N T  W A T E R20</t>
  </si>
  <si>
    <t>S E V E R N  T R E N T  W A T E R21</t>
  </si>
  <si>
    <t>S E V E R N  T R E N T  W A T E R22</t>
  </si>
  <si>
    <t>S E V E R N  T R E N T  W A T E R23</t>
  </si>
  <si>
    <t>S E V E R N  T R E N T  W A T E R24</t>
  </si>
  <si>
    <t>S E V E R N  T R E N T  W A T E R25</t>
  </si>
  <si>
    <t>S E V E R N  T R E N T  W A T E R26</t>
  </si>
  <si>
    <t>S E V E R N  T R E N T  W A T E R27</t>
  </si>
  <si>
    <t>S E V E R N  T R E N T  W A T E R28</t>
  </si>
  <si>
    <t>S C O T T I S H  W A T E R1</t>
  </si>
  <si>
    <t>Red (L), Blue (N)</t>
  </si>
  <si>
    <t>S C O T T I S H  W A T E R2</t>
  </si>
  <si>
    <t>S C O T T I S H  W A T E R3</t>
  </si>
  <si>
    <t>S C O T T I S H  W A T E R4</t>
  </si>
  <si>
    <t>S C O T T I S H  W A T E R5</t>
  </si>
  <si>
    <t>S C O T T I S H  W A T E R6</t>
  </si>
  <si>
    <t>Red</t>
  </si>
  <si>
    <t>S C O T T I S H  W A T E R7</t>
  </si>
  <si>
    <t>Pink</t>
  </si>
  <si>
    <t>S C O T T I S H  W A T E R8</t>
  </si>
  <si>
    <t>Light Blue</t>
  </si>
  <si>
    <t>S C O T T I S H  W A T E R9</t>
  </si>
  <si>
    <t>S C O T T I S H  W A T E R10</t>
  </si>
  <si>
    <t>S C O T T I S H  W A T E R11</t>
  </si>
  <si>
    <t>S C O T T I S H  W A T E R12</t>
  </si>
  <si>
    <t>S C O T T I S H  W A T E R13</t>
  </si>
  <si>
    <t>S C O T T I S H  W A T E R14</t>
  </si>
  <si>
    <t>Yellow (L), Blue (N)</t>
  </si>
  <si>
    <t>S C O T T I S H  W A T E R15</t>
  </si>
  <si>
    <t>S C O T T I S H  W A T E R16</t>
  </si>
  <si>
    <t>Yellow (24V), Blue (0V)</t>
  </si>
  <si>
    <t>S C O T T I S H  W A T E R17</t>
  </si>
  <si>
    <t>S C O T T I S H  W A T E R18</t>
  </si>
  <si>
    <t>White (+ve) Blue (-ve)</t>
  </si>
  <si>
    <t>S C O T T I S H  W A T E R19</t>
  </si>
  <si>
    <t>S C O T T I S H  W A T E R20</t>
  </si>
  <si>
    <t>S C O T T I S H  W A T E R21</t>
  </si>
  <si>
    <t>S C O T T I S H  W A T E R22</t>
  </si>
  <si>
    <t>S C O T T I S H  W A T E R23</t>
  </si>
  <si>
    <t>S C O T T I S H  W A T E R24</t>
  </si>
  <si>
    <t>S C O T T I S H  W A T E R25</t>
  </si>
  <si>
    <t>S C O T T I S H  W A T E R26</t>
  </si>
  <si>
    <t>S C O T T I S H  W A T E R27</t>
  </si>
  <si>
    <t>S C O T T I S H  W A T E R28</t>
  </si>
  <si>
    <t>T H A M E S  W A T E R1</t>
  </si>
  <si>
    <t>T H A M E S  W A T E R2</t>
  </si>
  <si>
    <t>T H A M E S  W A T E R3</t>
  </si>
  <si>
    <t>T H A M E S  W A T E R4</t>
  </si>
  <si>
    <t>T H A M E S  W A T E R5</t>
  </si>
  <si>
    <t>T H A M E S  W A T E R6</t>
  </si>
  <si>
    <t>According to voltage</t>
  </si>
  <si>
    <t>T H A M E S  W A T E R7</t>
  </si>
  <si>
    <t>T H A M E S  W A T E R8</t>
  </si>
  <si>
    <t>T H A M E S  W A T E R9</t>
  </si>
  <si>
    <t>T H A M E S  W A T E R10</t>
  </si>
  <si>
    <t>T H A M E S  W A T E R11</t>
  </si>
  <si>
    <t>T H A M E S  W A T E R12</t>
  </si>
  <si>
    <t>T H A M E S  W A T E R13</t>
  </si>
  <si>
    <t>T H A M E S  W A T E R14</t>
  </si>
  <si>
    <t>Yellow (L), Yellow (N)</t>
  </si>
  <si>
    <t>T H A M E S  W A T E R15</t>
  </si>
  <si>
    <t>T H A M E S  W A T E R16</t>
  </si>
  <si>
    <t>Yellow (24V), Yellow (0V)</t>
  </si>
  <si>
    <t>T H A M E S  W A T E R17</t>
  </si>
  <si>
    <t>T H A M E S  W A T E R18</t>
  </si>
  <si>
    <t>T H A M E S  W A T E R19</t>
  </si>
  <si>
    <t>T H A M E S  W A T E R20</t>
  </si>
  <si>
    <t>T H A M E S  W A T E R21</t>
  </si>
  <si>
    <t>T H A M E S  W A T E R22</t>
  </si>
  <si>
    <t>T H A M E S  W A T E R23</t>
  </si>
  <si>
    <t>T H A M E S  W A T E R24</t>
  </si>
  <si>
    <t>T H A M E S  W A T E R25</t>
  </si>
  <si>
    <t>T H A M E S  W A T E R26</t>
  </si>
  <si>
    <t>T H A M E S  W A T E R27</t>
  </si>
  <si>
    <t>Pushbutton (Blue)</t>
  </si>
  <si>
    <t>T H A M E S  W A T E R28</t>
  </si>
  <si>
    <t>U N I T E D  U T I L I T I E S1</t>
  </si>
  <si>
    <t>U N I T E D  U T I L I T I E S2</t>
  </si>
  <si>
    <t>U N I T E D  U T I L I T I E S3</t>
  </si>
  <si>
    <t>U N I T E D  U T I L I T I E S4</t>
  </si>
  <si>
    <t>U N I T E D  U T I L I T I E S5</t>
  </si>
  <si>
    <t>U N I T E D  U T I L I T I E S6</t>
  </si>
  <si>
    <t>U N I T E D  U T I L I T I E S7</t>
  </si>
  <si>
    <t>U N I T E D  U T I L I T I E S8</t>
  </si>
  <si>
    <t>U N I T E D  U T I L I T I E S9</t>
  </si>
  <si>
    <t>U N I T E D  U T I L I T I E S10</t>
  </si>
  <si>
    <t>U N I T E D  U T I L I T I E S11</t>
  </si>
  <si>
    <t>U N I T E D  U T I L I T I E S12</t>
  </si>
  <si>
    <t>U N I T E D  U T I L I T I E S13</t>
  </si>
  <si>
    <t>U N I T E D  U T I L I T I E S14</t>
  </si>
  <si>
    <t>U N I T E D  U T I L I T I E S15</t>
  </si>
  <si>
    <t>U N I T E D  U T I L I T I E S16</t>
  </si>
  <si>
    <t>U N I T E D  U T I L I T I E S17</t>
  </si>
  <si>
    <t>U N I T E D  U T I L I T I E S18</t>
  </si>
  <si>
    <t>U N I T E D  U T I L I T I E S19</t>
  </si>
  <si>
    <t>U N I T E D  U T I L I T I E S20</t>
  </si>
  <si>
    <t>Lamp (Red)</t>
  </si>
  <si>
    <t>U N I T E D  U T I L I T I E S21</t>
  </si>
  <si>
    <t>U N I T E D  U T I L I T I E S22</t>
  </si>
  <si>
    <t>U N I T E D  U T I L I T I E S23</t>
  </si>
  <si>
    <t>U N I T E D  U T I L I T I E S24</t>
  </si>
  <si>
    <t>U N I T E D  U T I L I T I E S25</t>
  </si>
  <si>
    <t>U N I T E D  U T I L I T I E S26</t>
  </si>
  <si>
    <t>U N I T E D  U T I L I T I E S27</t>
  </si>
  <si>
    <t>U N I T E D  U T I L I T I E S28</t>
  </si>
  <si>
    <t>N A T I O N A L  G R I D1</t>
  </si>
  <si>
    <t>Brown (L1), Black (L2) [CTE]</t>
  </si>
  <si>
    <t>N A T I O N A L  G R I D2</t>
  </si>
  <si>
    <t>White (L), White (N)</t>
  </si>
  <si>
    <t>N A T I O N A L  G R I D3</t>
  </si>
  <si>
    <t>Brown (+ve), Grey (-ve)</t>
  </si>
  <si>
    <t>N A T I O N A L  G R I D4</t>
  </si>
  <si>
    <t>White (110V), White (0V)</t>
  </si>
  <si>
    <t>N A T I O N A L  G R I D5</t>
  </si>
  <si>
    <t>N A T I O N A L  G R I D6</t>
  </si>
  <si>
    <t>N A T I O N A L  G R I D7</t>
  </si>
  <si>
    <t>N A T I O N A L  G R I D8</t>
  </si>
  <si>
    <t>N A T I O N A L  G R I D9</t>
  </si>
  <si>
    <t>N A T I O N A L  G R I D10</t>
  </si>
  <si>
    <t>N A T I O N A L  G R I D11</t>
  </si>
  <si>
    <t>N A T I O N A L  G R I D12</t>
  </si>
  <si>
    <t>Blue (+ve), Grey (-ve)</t>
  </si>
  <si>
    <t>N A T I O N A L  G R I D13</t>
  </si>
  <si>
    <t>N A T I O N A L  G R I D14</t>
  </si>
  <si>
    <t>N A T I O N A L  G R I D15</t>
  </si>
  <si>
    <t>N A T I O N A L  G R I D16</t>
  </si>
  <si>
    <t>N A T I O N A L  G R I D17</t>
  </si>
  <si>
    <t>N A T I O N A L  G R I D18</t>
  </si>
  <si>
    <t>N A T I O N A L  G R I D19</t>
  </si>
  <si>
    <t>N A T I O N A L  G R I D20</t>
  </si>
  <si>
    <t>N A T I O N A L  G R I D21</t>
  </si>
  <si>
    <t>N A T I O N A L  G R I D22</t>
  </si>
  <si>
    <t>N A T I O N A L  G R I D23</t>
  </si>
  <si>
    <t>N A T I O N A L  G R I D24</t>
  </si>
  <si>
    <t>N A T I O N A L  G R I D25</t>
  </si>
  <si>
    <t>N A T I O N A L  G R I D26</t>
  </si>
  <si>
    <t>N A T I O N A L  G R I D27</t>
  </si>
  <si>
    <t>N A T I O N A L  G R I D28</t>
  </si>
  <si>
    <t>Cream</t>
  </si>
  <si>
    <t>C L I E N T  S P E C I F I C1</t>
  </si>
  <si>
    <t>As Client Spec.</t>
  </si>
  <si>
    <t>C L I E N T  S P E C I F I C2</t>
  </si>
  <si>
    <t>C L I E N T  S P E C I F I C3</t>
  </si>
  <si>
    <t>C L I E N T  S P E C I F I C4</t>
  </si>
  <si>
    <t>C L I E N T  S P E C I F I C5</t>
  </si>
  <si>
    <t>C L I E N T  S P E C I F I C6</t>
  </si>
  <si>
    <t>C L I E N T  S P E C I F I C7</t>
  </si>
  <si>
    <t>C L I E N T  S P E C I F I C8</t>
  </si>
  <si>
    <t>C L I E N T  S P E C I F I C9</t>
  </si>
  <si>
    <t>C L I E N T  S P E C I F I C10</t>
  </si>
  <si>
    <t>C L I E N T  S P E C I F I C11</t>
  </si>
  <si>
    <t>C L I E N T  S P E C I F I C12</t>
  </si>
  <si>
    <t>C L I E N T  S P E C I F I C13</t>
  </si>
  <si>
    <t>C L I E N T  S P E C I F I C14</t>
  </si>
  <si>
    <t>C L I E N T  S P E C I F I C15</t>
  </si>
  <si>
    <t>C L I E N T  S P E C I F I C16</t>
  </si>
  <si>
    <t>C L I E N T  S P E C I F I C17</t>
  </si>
  <si>
    <t>C L I E N T  S P E C I F I C18</t>
  </si>
  <si>
    <t>C L I E N T  S P E C I F I C19</t>
  </si>
  <si>
    <t>C L I E N T  S P E C I F I C20</t>
  </si>
  <si>
    <t>C L I E N T  S P E C I F I C21</t>
  </si>
  <si>
    <t>C L I E N T  S P E C I F I C22</t>
  </si>
  <si>
    <t>C L I E N T  S P E C I F I C23</t>
  </si>
  <si>
    <t>C L I E N T  S P E C I F I C24</t>
  </si>
  <si>
    <t>C L I E N T  S P E C I F I C25</t>
  </si>
  <si>
    <t>C L I E N T  S P E C I F I C26</t>
  </si>
  <si>
    <t>C L I E N T  S P E C I F I C27</t>
  </si>
  <si>
    <t>C L I E N T  S P E C I F I C28</t>
  </si>
  <si>
    <t>C12345</t>
  </si>
  <si>
    <t>XYZ Treament Works</t>
  </si>
  <si>
    <t>Example No1 MCC</t>
  </si>
  <si>
    <t>(e.g. JAN. 2027)</t>
  </si>
  <si>
    <t>BS4800</t>
  </si>
  <si>
    <t>(e.g. JAN. 2028)</t>
  </si>
  <si>
    <t>LV Assembly Specification</t>
  </si>
  <si>
    <t>ADDRESS</t>
  </si>
  <si>
    <t>COMPANY</t>
  </si>
  <si>
    <t>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</si>
</sst>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/mm/yyyy;@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b/>
      <sz val="12"/>
      <color theme="0"/>
      <name val="Arial"/>
      <family val="2"/>
    </font>
    <font>
      <sz val="12"/>
      <name val="Arial"/>
      <family val="2"/>
    </font>
    <font>
      <b/>
      <sz val="24"/>
      <color theme="1"/>
      <name val="Arial"/>
      <family val="2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9"/>
      <color rgb="FF006680"/>
      <name val="Arial"/>
      <family val="2"/>
    </font>
    <font>
      <b/>
      <sz val="28"/>
      <color theme="1"/>
      <name val="Arial"/>
      <family val="2"/>
    </font>
    <font>
      <sz val="11"/>
      <color rgb="FF006680"/>
      <name val="Arial"/>
      <family val="2"/>
    </font>
    <font>
      <sz val="12"/>
      <color rgb="FF006680"/>
      <name val="Arial"/>
      <family val="2"/>
    </font>
    <font>
      <sz val="11"/>
      <color theme="1" tint="0.34998626667073579"/>
      <name val="Arial"/>
      <family val="2"/>
    </font>
    <font>
      <u/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b/>
      <u/>
      <sz val="10"/>
      <color theme="1"/>
      <name val="Arial"/>
      <family val="2"/>
    </font>
    <font>
      <sz val="9"/>
      <color indexed="81"/>
      <name val="Tahoma"/>
      <family val="2"/>
    </font>
    <font>
      <b/>
      <sz val="14"/>
      <color rgb="FFFF0000"/>
      <name val="Arial"/>
      <family val="2"/>
    </font>
    <font>
      <b/>
      <sz val="12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26"/>
      <color theme="1"/>
      <name val="Arial"/>
      <family val="2"/>
    </font>
    <font>
      <sz val="11"/>
      <name val="Calibri"/>
      <family val="2"/>
      <scheme val="minor"/>
    </font>
    <font>
      <b/>
      <sz val="12"/>
      <color indexed="81"/>
      <name val="Tahoma"/>
      <family val="2"/>
    </font>
    <font>
      <sz val="14"/>
      <color rgb="FFFF0000"/>
      <name val="Arial"/>
      <family val="2"/>
    </font>
    <font>
      <b/>
      <sz val="16"/>
      <color rgb="FF000000"/>
      <name val="Calibri"/>
      <family val="2"/>
    </font>
    <font>
      <b/>
      <sz val="19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10.5"/>
      <name val="Arial"/>
      <family val="2"/>
    </font>
    <font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CFB9"/>
        <bgColor indexed="64"/>
      </patternFill>
    </fill>
    <fill>
      <patternFill patternType="solid">
        <fgColor rgb="FF0066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/>
    <xf numFmtId="0" fontId="2" fillId="0" borderId="0" xfId="0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2" borderId="1" xfId="0" applyFont="1" applyFill="1" applyBorder="1" applyAlignment="1">
      <alignment horizontal="center"/>
    </xf>
    <xf numFmtId="164" fontId="6" fillId="2" borderId="1" xfId="0" applyNumberFormat="1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2" borderId="7" xfId="0" applyFont="1" applyFill="1" applyBorder="1" applyAlignment="1">
      <alignment horizontal="center" vertical="top"/>
    </xf>
    <xf numFmtId="0" fontId="6" fillId="6" borderId="1" xfId="0" applyFont="1" applyFill="1" applyBorder="1" applyAlignment="1">
      <alignment horizontal="center"/>
    </xf>
    <xf numFmtId="0" fontId="0" fillId="3" borderId="0" xfId="0" applyFill="1"/>
    <xf numFmtId="0" fontId="13" fillId="2" borderId="10" xfId="0" applyFont="1" applyFill="1" applyBorder="1"/>
    <xf numFmtId="0" fontId="0" fillId="2" borderId="12" xfId="0" applyFill="1" applyBorder="1"/>
    <xf numFmtId="0" fontId="0" fillId="2" borderId="13" xfId="0" applyFill="1" applyBorder="1"/>
    <xf numFmtId="0" fontId="13" fillId="2" borderId="15" xfId="0" applyFont="1" applyFill="1" applyBorder="1"/>
    <xf numFmtId="0" fontId="13" fillId="2" borderId="15" xfId="0" applyFont="1" applyFill="1" applyBorder="1" applyAlignment="1">
      <alignment horizontal="left"/>
    </xf>
    <xf numFmtId="0" fontId="10" fillId="6" borderId="7" xfId="0" applyFont="1" applyFill="1" applyBorder="1" applyAlignment="1">
      <alignment horizontal="center" vertical="center"/>
    </xf>
    <xf numFmtId="0" fontId="10" fillId="6" borderId="1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2" borderId="0" xfId="0" applyFill="1"/>
    <xf numFmtId="0" fontId="7" fillId="0" borderId="1" xfId="0" applyFont="1" applyBorder="1" applyAlignment="1">
      <alignment horizontal="left" vertical="center" indent="1"/>
    </xf>
    <xf numFmtId="0" fontId="6" fillId="6" borderId="1" xfId="0" applyFont="1" applyFill="1" applyBorder="1" applyAlignment="1">
      <alignment horizontal="left" indent="1"/>
    </xf>
    <xf numFmtId="0" fontId="6" fillId="2" borderId="1" xfId="0" applyFont="1" applyFill="1" applyBorder="1" applyAlignment="1">
      <alignment horizontal="left" vertical="center" indent="1"/>
    </xf>
    <xf numFmtId="0" fontId="6" fillId="2" borderId="8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17" fillId="3" borderId="0" xfId="1" applyFill="1" applyAlignment="1">
      <alignment horizontal="center" vertic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23" fillId="3" borderId="0" xfId="0" applyFont="1" applyFill="1"/>
    <xf numFmtId="0" fontId="4" fillId="3" borderId="0" xfId="0" applyFont="1" applyFill="1"/>
    <xf numFmtId="0" fontId="24" fillId="3" borderId="0" xfId="0" applyFont="1" applyFill="1" applyProtection="1">
      <protection locked="0"/>
    </xf>
    <xf numFmtId="0" fontId="13" fillId="2" borderId="0" xfId="0" applyFont="1" applyFill="1"/>
    <xf numFmtId="0" fontId="0" fillId="2" borderId="0" xfId="0" applyFill="1" applyAlignment="1">
      <alignment horizontal="left"/>
    </xf>
    <xf numFmtId="0" fontId="13" fillId="2" borderId="0" xfId="0" applyFont="1" applyFill="1" applyAlignment="1">
      <alignment horizontal="left"/>
    </xf>
    <xf numFmtId="14" fontId="14" fillId="2" borderId="0" xfId="0" applyNumberFormat="1" applyFont="1" applyFill="1"/>
    <xf numFmtId="0" fontId="0" fillId="3" borderId="10" xfId="0" applyFill="1" applyBorder="1"/>
    <xf numFmtId="0" fontId="11" fillId="0" borderId="0" xfId="0" applyFont="1"/>
    <xf numFmtId="0" fontId="6" fillId="2" borderId="2" xfId="0" applyFont="1" applyFill="1" applyBorder="1" applyAlignment="1">
      <alignment horizontal="left" indent="1"/>
    </xf>
    <xf numFmtId="0" fontId="6" fillId="2" borderId="4" xfId="0" applyFont="1" applyFill="1" applyBorder="1" applyAlignment="1">
      <alignment horizontal="left" indent="1"/>
    </xf>
    <xf numFmtId="0" fontId="0" fillId="2" borderId="15" xfId="0" applyFill="1" applyBorder="1"/>
    <xf numFmtId="0" fontId="13" fillId="3" borderId="0" xfId="0" applyFont="1" applyFill="1"/>
    <xf numFmtId="0" fontId="13" fillId="3" borderId="0" xfId="0" applyFont="1" applyFill="1" applyAlignment="1">
      <alignment horizontal="left"/>
    </xf>
    <xf numFmtId="0" fontId="0" fillId="3" borderId="10" xfId="0" applyFill="1" applyBorder="1" applyAlignment="1">
      <alignment vertical="center" textRotation="90"/>
    </xf>
    <xf numFmtId="0" fontId="0" fillId="3" borderId="0" xfId="0" applyFill="1" applyAlignment="1">
      <alignment vertical="center" textRotation="90"/>
    </xf>
    <xf numFmtId="0" fontId="13" fillId="3" borderId="1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 textRotation="90"/>
    </xf>
    <xf numFmtId="0" fontId="0" fillId="2" borderId="12" xfId="0" applyFill="1" applyBorder="1" applyAlignment="1">
      <alignment horizontal="center" vertical="center" wrapText="1"/>
    </xf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28" fillId="2" borderId="1" xfId="0" applyFont="1" applyFill="1" applyBorder="1" applyAlignment="1" applyProtection="1">
      <alignment horizontal="center"/>
      <protection locked="0"/>
    </xf>
    <xf numFmtId="0" fontId="28" fillId="2" borderId="1" xfId="0" applyFont="1" applyFill="1" applyBorder="1" applyAlignment="1">
      <alignment horizontal="center"/>
    </xf>
    <xf numFmtId="0" fontId="28" fillId="2" borderId="1" xfId="0" applyFont="1" applyFill="1" applyBorder="1" applyAlignment="1" applyProtection="1">
      <alignment horizontal="center" vertical="center"/>
      <protection locked="0"/>
    </xf>
    <xf numFmtId="0" fontId="19" fillId="2" borderId="9" xfId="0" applyFont="1" applyFill="1" applyBorder="1" applyAlignment="1">
      <alignment horizontal="center" vertical="center" wrapText="1"/>
    </xf>
    <xf numFmtId="0" fontId="19" fillId="2" borderId="12" xfId="0" applyFont="1" applyFill="1" applyBorder="1" applyAlignment="1">
      <alignment horizontal="center" vertical="center" wrapText="1"/>
    </xf>
    <xf numFmtId="0" fontId="19" fillId="2" borderId="14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left" vertical="center" indent="1"/>
    </xf>
    <xf numFmtId="0" fontId="14" fillId="2" borderId="0" xfId="0" applyFont="1" applyFill="1" applyAlignment="1">
      <alignment horizontal="left"/>
    </xf>
    <xf numFmtId="0" fontId="6" fillId="2" borderId="7" xfId="0" applyFont="1" applyFill="1" applyBorder="1" applyAlignment="1">
      <alignment horizontal="left" wrapText="1" indent="1"/>
    </xf>
    <xf numFmtId="0" fontId="6" fillId="2" borderId="7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left" vertical="center" indent="1"/>
    </xf>
    <xf numFmtId="164" fontId="6" fillId="2" borderId="7" xfId="0" applyNumberFormat="1" applyFont="1" applyFill="1" applyBorder="1" applyAlignment="1">
      <alignment horizontal="center"/>
    </xf>
    <xf numFmtId="164" fontId="6" fillId="2" borderId="18" xfId="0" applyNumberFormat="1" applyFont="1" applyFill="1" applyBorder="1" applyAlignment="1">
      <alignment horizontal="center"/>
    </xf>
    <xf numFmtId="0" fontId="6" fillId="2" borderId="7" xfId="0" applyFont="1" applyFill="1" applyBorder="1" applyAlignment="1">
      <alignment horizontal="left" indent="1"/>
    </xf>
    <xf numFmtId="0" fontId="6" fillId="2" borderId="18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left" indent="1"/>
    </xf>
    <xf numFmtId="0" fontId="6" fillId="2" borderId="19" xfId="0" applyFont="1" applyFill="1" applyBorder="1" applyAlignment="1">
      <alignment horizontal="left" indent="1"/>
    </xf>
    <xf numFmtId="0" fontId="6" fillId="2" borderId="19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 indent="1"/>
    </xf>
    <xf numFmtId="0" fontId="0" fillId="0" borderId="3" xfId="0" applyBorder="1"/>
    <xf numFmtId="0" fontId="6" fillId="0" borderId="1" xfId="0" applyFont="1" applyBorder="1" applyAlignment="1">
      <alignment horizontal="left" indent="1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6" fillId="0" borderId="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left" indent="1"/>
    </xf>
    <xf numFmtId="0" fontId="28" fillId="2" borderId="1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 applyAlignment="1">
      <alignment horizontal="center" vertical="center"/>
    </xf>
    <xf numFmtId="0" fontId="0" fillId="3" borderId="0" xfId="0" applyFill="1" applyAlignment="1">
      <alignment horizontal="left"/>
    </xf>
    <xf numFmtId="0" fontId="24" fillId="0" borderId="0" xfId="0" applyFont="1" applyAlignment="1">
      <alignment horizontal="left"/>
    </xf>
    <xf numFmtId="0" fontId="4" fillId="3" borderId="0" xfId="0" applyFont="1" applyFill="1" applyAlignment="1">
      <alignment horizontal="left"/>
    </xf>
    <xf numFmtId="164" fontId="6" fillId="0" borderId="13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0" fontId="15" fillId="2" borderId="0" xfId="0" applyFont="1" applyFill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6" fillId="2" borderId="5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left" indent="1"/>
    </xf>
    <xf numFmtId="0" fontId="10" fillId="4" borderId="3" xfId="0" applyFont="1" applyFill="1" applyBorder="1" applyAlignment="1">
      <alignment horizontal="left" indent="1"/>
    </xf>
    <xf numFmtId="0" fontId="10" fillId="4" borderId="4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left" vertical="center" wrapText="1" indent="1"/>
    </xf>
    <xf numFmtId="0" fontId="6" fillId="2" borderId="5" xfId="0" applyFont="1" applyFill="1" applyBorder="1" applyAlignment="1">
      <alignment horizontal="left" vertical="center" indent="1"/>
    </xf>
    <xf numFmtId="0" fontId="6" fillId="2" borderId="7" xfId="0" applyFont="1" applyFill="1" applyBorder="1" applyAlignment="1">
      <alignment horizontal="left" vertical="center" indent="1"/>
    </xf>
    <xf numFmtId="0" fontId="6" fillId="2" borderId="17" xfId="0" applyFont="1" applyFill="1" applyBorder="1" applyAlignment="1">
      <alignment horizontal="left" vertical="center" wrapText="1" indent="1"/>
    </xf>
    <xf numFmtId="0" fontId="0" fillId="0" borderId="3" xfId="0" applyBorder="1" applyAlignment="1">
      <alignment horizontal="right" indent="1"/>
    </xf>
    <xf numFmtId="0" fontId="6" fillId="2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15" fillId="2" borderId="0" xfId="0" applyFont="1" applyFill="1"/>
    <xf numFmtId="49" fontId="28" fillId="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left"/>
    </xf>
    <xf numFmtId="0" fontId="6" fillId="2" borderId="17" xfId="0" applyFont="1" applyFill="1" applyBorder="1" applyAlignment="1">
      <alignment horizontal="left" vertical="center" indent="1"/>
    </xf>
    <xf numFmtId="0" fontId="15" fillId="2" borderId="0" xfId="0" applyFont="1" applyFill="1" applyAlignment="1">
      <alignment horizontal="left"/>
    </xf>
    <xf numFmtId="0" fontId="13" fillId="2" borderId="9" xfId="0" applyFont="1" applyFill="1" applyBorder="1"/>
    <xf numFmtId="0" fontId="13" fillId="2" borderId="12" xfId="0" applyFont="1" applyFill="1" applyBorder="1"/>
    <xf numFmtId="0" fontId="13" fillId="2" borderId="13" xfId="0" applyFont="1" applyFill="1" applyBorder="1"/>
    <xf numFmtId="0" fontId="13" fillId="2" borderId="12" xfId="0" applyFont="1" applyFill="1" applyBorder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3" fillId="2" borderId="13" xfId="0" applyFont="1" applyFill="1" applyBorder="1" applyAlignment="1">
      <alignment horizontal="center" vertical="center"/>
    </xf>
    <xf numFmtId="0" fontId="20" fillId="2" borderId="0" xfId="0" applyFont="1" applyFill="1"/>
    <xf numFmtId="0" fontId="22" fillId="2" borderId="0" xfId="0" applyFont="1" applyFill="1"/>
    <xf numFmtId="0" fontId="13" fillId="2" borderId="14" xfId="0" applyFont="1" applyFill="1" applyBorder="1"/>
    <xf numFmtId="0" fontId="13" fillId="2" borderId="16" xfId="0" applyFont="1" applyFill="1" applyBorder="1"/>
    <xf numFmtId="164" fontId="6" fillId="0" borderId="5" xfId="0" applyNumberFormat="1" applyFont="1" applyBorder="1" applyAlignment="1">
      <alignment horizontal="center"/>
    </xf>
    <xf numFmtId="164" fontId="6" fillId="0" borderId="8" xfId="0" applyNumberFormat="1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31" fillId="0" borderId="1" xfId="0" applyFont="1" applyBorder="1" applyAlignment="1">
      <alignment horizontal="left"/>
    </xf>
    <xf numFmtId="0" fontId="31" fillId="0" borderId="1" xfId="0" applyFont="1" applyBorder="1"/>
    <xf numFmtId="164" fontId="0" fillId="0" borderId="4" xfId="0" applyNumberFormat="1" applyBorder="1" applyAlignment="1">
      <alignment horizontal="left"/>
    </xf>
    <xf numFmtId="49" fontId="28" fillId="2" borderId="1" xfId="0" applyNumberFormat="1" applyFont="1" applyFill="1" applyBorder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36" fillId="2" borderId="0" xfId="0" applyFont="1" applyFill="1"/>
    <xf numFmtId="0" fontId="31" fillId="2" borderId="0" xfId="0" applyFont="1" applyFill="1"/>
    <xf numFmtId="0" fontId="38" fillId="2" borderId="0" xfId="0" applyFont="1" applyFill="1" applyAlignment="1">
      <alignment horizontal="right" vertical="center"/>
    </xf>
    <xf numFmtId="0" fontId="36" fillId="2" borderId="0" xfId="0" applyFont="1" applyFill="1" applyAlignment="1">
      <alignment vertical="center"/>
    </xf>
    <xf numFmtId="0" fontId="37" fillId="2" borderId="9" xfId="0" applyFont="1" applyFill="1" applyBorder="1"/>
    <xf numFmtId="0" fontId="36" fillId="2" borderId="10" xfId="0" applyFont="1" applyFill="1" applyBorder="1"/>
    <xf numFmtId="0" fontId="37" fillId="2" borderId="12" xfId="0" applyFont="1" applyFill="1" applyBorder="1"/>
    <xf numFmtId="0" fontId="31" fillId="2" borderId="12" xfId="0" applyFont="1" applyFill="1" applyBorder="1"/>
    <xf numFmtId="0" fontId="36" fillId="2" borderId="12" xfId="0" applyFont="1" applyFill="1" applyBorder="1" applyAlignment="1">
      <alignment vertical="center"/>
    </xf>
    <xf numFmtId="0" fontId="36" fillId="2" borderId="14" xfId="0" applyFont="1" applyFill="1" applyBorder="1"/>
    <xf numFmtId="0" fontId="36" fillId="2" borderId="15" xfId="0" applyFont="1" applyFill="1" applyBorder="1"/>
    <xf numFmtId="0" fontId="13" fillId="2" borderId="11" xfId="0" applyFont="1" applyFill="1" applyBorder="1"/>
    <xf numFmtId="0" fontId="35" fillId="2" borderId="0" xfId="0" applyFont="1" applyFill="1" applyAlignment="1">
      <alignment vertical="center"/>
    </xf>
    <xf numFmtId="0" fontId="10" fillId="2" borderId="0" xfId="0" applyFont="1" applyFill="1" applyAlignment="1">
      <alignment horizontal="right"/>
    </xf>
    <xf numFmtId="0" fontId="13" fillId="2" borderId="13" xfId="0" applyFont="1" applyFill="1" applyBorder="1" applyAlignment="1">
      <alignment vertical="center"/>
    </xf>
    <xf numFmtId="0" fontId="0" fillId="2" borderId="16" xfId="0" applyFill="1" applyBorder="1"/>
    <xf numFmtId="0" fontId="39" fillId="2" borderId="0" xfId="1" applyFont="1" applyFill="1" applyBorder="1" applyAlignment="1">
      <alignment horizontal="right" vertical="center"/>
    </xf>
    <xf numFmtId="49" fontId="36" fillId="2" borderId="15" xfId="0" applyNumberFormat="1" applyFont="1" applyFill="1" applyBorder="1" applyAlignment="1">
      <alignment horizontal="right"/>
    </xf>
    <xf numFmtId="0" fontId="18" fillId="2" borderId="0" xfId="0" applyFont="1" applyFill="1" applyAlignment="1">
      <alignment vertical="center"/>
    </xf>
    <xf numFmtId="0" fontId="21" fillId="2" borderId="0" xfId="0" applyFont="1" applyFill="1" applyAlignment="1">
      <alignment horizontal="right"/>
    </xf>
    <xf numFmtId="0" fontId="11" fillId="0" borderId="0" xfId="0" applyFont="1" applyAlignment="1">
      <alignment horizontal="left" vertical="center"/>
    </xf>
    <xf numFmtId="0" fontId="6" fillId="0" borderId="0" xfId="0" applyFont="1" applyAlignment="1">
      <alignment horizontal="right" indent="1"/>
    </xf>
    <xf numFmtId="0" fontId="6" fillId="2" borderId="2" xfId="0" applyFont="1" applyFill="1" applyBorder="1" applyAlignment="1">
      <alignment horizontal="left" indent="1"/>
    </xf>
    <xf numFmtId="0" fontId="6" fillId="2" borderId="4" xfId="0" applyFont="1" applyFill="1" applyBorder="1" applyAlignment="1">
      <alignment horizontal="left" indent="1"/>
    </xf>
    <xf numFmtId="0" fontId="6" fillId="2" borderId="2" xfId="0" applyFont="1" applyFill="1" applyBorder="1" applyAlignment="1">
      <alignment horizontal="left" vertical="center" indent="1"/>
    </xf>
    <xf numFmtId="0" fontId="6" fillId="2" borderId="3" xfId="0" applyFont="1" applyFill="1" applyBorder="1" applyAlignment="1">
      <alignment horizontal="left" vertical="center" indent="1"/>
    </xf>
    <xf numFmtId="0" fontId="6" fillId="2" borderId="4" xfId="0" applyFont="1" applyFill="1" applyBorder="1" applyAlignment="1">
      <alignment horizontal="left" vertical="center" indent="1"/>
    </xf>
    <xf numFmtId="0" fontId="27" fillId="2" borderId="2" xfId="0" applyFont="1" applyFill="1" applyBorder="1" applyAlignment="1" applyProtection="1">
      <alignment horizontal="left" vertical="center" indent="1"/>
      <protection locked="0"/>
    </xf>
    <xf numFmtId="0" fontId="27" fillId="2" borderId="3" xfId="0" applyFont="1" applyFill="1" applyBorder="1" applyAlignment="1" applyProtection="1">
      <alignment horizontal="left" vertical="center" indent="1"/>
      <protection locked="0"/>
    </xf>
    <xf numFmtId="0" fontId="27" fillId="2" borderId="4" xfId="0" applyFont="1" applyFill="1" applyBorder="1" applyAlignment="1" applyProtection="1">
      <alignment horizontal="left" vertical="center" indent="1"/>
      <protection locked="0"/>
    </xf>
    <xf numFmtId="0" fontId="7" fillId="2" borderId="5" xfId="0" applyFont="1" applyFill="1" applyBorder="1" applyAlignment="1">
      <alignment horizontal="left" vertical="center" wrapText="1" indent="1"/>
    </xf>
    <xf numFmtId="0" fontId="7" fillId="2" borderId="7" xfId="0" applyFont="1" applyFill="1" applyBorder="1" applyAlignment="1">
      <alignment horizontal="left" vertical="center" indent="1"/>
    </xf>
    <xf numFmtId="0" fontId="27" fillId="0" borderId="2" xfId="0" applyFont="1" applyBorder="1" applyAlignment="1" applyProtection="1">
      <alignment horizontal="left" vertical="center" indent="1"/>
      <protection locked="0"/>
    </xf>
    <xf numFmtId="0" fontId="27" fillId="0" borderId="3" xfId="0" applyFont="1" applyBorder="1" applyAlignment="1" applyProtection="1">
      <alignment horizontal="left" vertical="center" indent="1"/>
      <protection locked="0"/>
    </xf>
    <xf numFmtId="0" fontId="27" fillId="0" borderId="4" xfId="0" applyFont="1" applyBorder="1" applyAlignment="1" applyProtection="1">
      <alignment horizontal="left" vertical="center" indent="1"/>
      <protection locked="0"/>
    </xf>
    <xf numFmtId="0" fontId="16" fillId="3" borderId="2" xfId="0" applyFont="1" applyFill="1" applyBorder="1" applyAlignment="1">
      <alignment horizontal="left" vertical="center" indent="1"/>
    </xf>
    <xf numFmtId="0" fontId="16" fillId="3" borderId="3" xfId="0" applyFont="1" applyFill="1" applyBorder="1" applyAlignment="1">
      <alignment horizontal="left" vertical="center" indent="1"/>
    </xf>
    <xf numFmtId="0" fontId="16" fillId="3" borderId="4" xfId="0" applyFont="1" applyFill="1" applyBorder="1" applyAlignment="1">
      <alignment horizontal="left" vertical="center" indent="1"/>
    </xf>
    <xf numFmtId="0" fontId="9" fillId="5" borderId="2" xfId="0" applyFont="1" applyFill="1" applyBorder="1" applyAlignment="1">
      <alignment horizontal="left" vertical="center" indent="1"/>
    </xf>
    <xf numFmtId="0" fontId="9" fillId="5" borderId="3" xfId="0" applyFont="1" applyFill="1" applyBorder="1" applyAlignment="1">
      <alignment horizontal="left" vertical="center" indent="1"/>
    </xf>
    <xf numFmtId="0" fontId="9" fillId="5" borderId="4" xfId="0" applyFont="1" applyFill="1" applyBorder="1" applyAlignment="1">
      <alignment horizontal="left" vertical="center" indent="1"/>
    </xf>
    <xf numFmtId="0" fontId="6" fillId="2" borderId="5" xfId="0" applyFont="1" applyFill="1" applyBorder="1" applyAlignment="1">
      <alignment horizontal="left" vertical="center" indent="1"/>
    </xf>
    <xf numFmtId="0" fontId="6" fillId="2" borderId="7" xfId="0" applyFont="1" applyFill="1" applyBorder="1" applyAlignment="1">
      <alignment horizontal="left" vertical="center" indent="1"/>
    </xf>
    <xf numFmtId="0" fontId="9" fillId="5" borderId="2" xfId="0" applyFont="1" applyFill="1" applyBorder="1" applyAlignment="1" applyProtection="1">
      <alignment horizontal="left" vertical="center" indent="1"/>
      <protection locked="0"/>
    </xf>
    <xf numFmtId="0" fontId="9" fillId="5" borderId="3" xfId="0" applyFont="1" applyFill="1" applyBorder="1" applyAlignment="1" applyProtection="1">
      <alignment horizontal="left" vertical="center" indent="1"/>
      <protection locked="0"/>
    </xf>
    <xf numFmtId="0" fontId="9" fillId="5" borderId="4" xfId="0" applyFont="1" applyFill="1" applyBorder="1" applyAlignment="1" applyProtection="1">
      <alignment horizontal="left" vertical="center" indent="1"/>
      <protection locked="0"/>
    </xf>
    <xf numFmtId="0" fontId="10" fillId="4" borderId="1" xfId="0" applyFont="1" applyFill="1" applyBorder="1" applyAlignment="1">
      <alignment horizontal="left" indent="1"/>
    </xf>
    <xf numFmtId="0" fontId="10" fillId="4" borderId="2" xfId="0" applyFont="1" applyFill="1" applyBorder="1" applyAlignment="1">
      <alignment horizontal="left" vertical="center" indent="1"/>
    </xf>
    <xf numFmtId="0" fontId="10" fillId="4" borderId="3" xfId="0" applyFont="1" applyFill="1" applyBorder="1" applyAlignment="1">
      <alignment horizontal="left" vertical="center" indent="1"/>
    </xf>
    <xf numFmtId="0" fontId="10" fillId="4" borderId="4" xfId="0" applyFont="1" applyFill="1" applyBorder="1" applyAlignment="1">
      <alignment horizontal="left" vertical="center" indent="1"/>
    </xf>
    <xf numFmtId="0" fontId="6" fillId="2" borderId="6" xfId="0" applyFont="1" applyFill="1" applyBorder="1" applyAlignment="1">
      <alignment horizontal="left" vertical="center" indent="1"/>
    </xf>
    <xf numFmtId="0" fontId="10" fillId="6" borderId="2" xfId="0" applyFont="1" applyFill="1" applyBorder="1" applyAlignment="1">
      <alignment horizontal="left" vertical="center" indent="1"/>
    </xf>
    <xf numFmtId="0" fontId="10" fillId="6" borderId="4" xfId="0" applyFont="1" applyFill="1" applyBorder="1" applyAlignment="1">
      <alignment horizontal="left" vertical="center" indent="1"/>
    </xf>
    <xf numFmtId="0" fontId="29" fillId="0" borderId="0" xfId="0" applyFont="1" applyAlignment="1">
      <alignment horizontal="left" vertical="center" wrapText="1" indent="1"/>
    </xf>
    <xf numFmtId="0" fontId="6" fillId="2" borderId="5" xfId="0" applyFont="1" applyFill="1" applyBorder="1" applyAlignment="1">
      <alignment horizontal="left" vertical="center" wrapText="1" indent="1"/>
    </xf>
    <xf numFmtId="0" fontId="6" fillId="2" borderId="7" xfId="0" applyFont="1" applyFill="1" applyBorder="1" applyAlignment="1">
      <alignment horizontal="left" vertical="center" wrapText="1" indent="1"/>
    </xf>
    <xf numFmtId="0" fontId="6" fillId="2" borderId="5" xfId="0" applyFont="1" applyFill="1" applyBorder="1" applyAlignment="1">
      <alignment horizontal="center" wrapText="1"/>
    </xf>
    <xf numFmtId="0" fontId="6" fillId="2" borderId="7" xfId="0" applyFont="1" applyFill="1" applyBorder="1" applyAlignment="1">
      <alignment horizontal="center"/>
    </xf>
    <xf numFmtId="0" fontId="5" fillId="0" borderId="0" xfId="0" applyFont="1" applyAlignment="1">
      <alignment horizontal="center" vertical="top" wrapText="1"/>
    </xf>
    <xf numFmtId="0" fontId="5" fillId="0" borderId="0" xfId="0" applyFont="1" applyAlignment="1">
      <alignment horizontal="center" vertical="top"/>
    </xf>
    <xf numFmtId="0" fontId="6" fillId="2" borderId="5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textRotation="90"/>
    </xf>
    <xf numFmtId="0" fontId="0" fillId="3" borderId="0" xfId="0" applyFill="1" applyAlignment="1">
      <alignment horizontal="center" vertical="center" textRotation="90"/>
    </xf>
    <xf numFmtId="0" fontId="25" fillId="2" borderId="10" xfId="0" applyFont="1" applyFill="1" applyBorder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17" fillId="3" borderId="0" xfId="1" applyFill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left" vertical="center"/>
    </xf>
    <xf numFmtId="0" fontId="0" fillId="3" borderId="15" xfId="0" applyFill="1" applyBorder="1" applyAlignment="1">
      <alignment horizontal="center" vertical="center" textRotation="90"/>
    </xf>
    <xf numFmtId="0" fontId="30" fillId="2" borderId="10" xfId="0" applyFont="1" applyFill="1" applyBorder="1" applyAlignment="1">
      <alignment horizontal="center" wrapText="1"/>
    </xf>
    <xf numFmtId="0" fontId="30" fillId="2" borderId="0" xfId="0" applyFont="1" applyFill="1" applyAlignment="1">
      <alignment horizontal="center" wrapText="1"/>
    </xf>
    <xf numFmtId="0" fontId="30" fillId="2" borderId="0" xfId="0" applyFont="1" applyFill="1" applyAlignment="1">
      <alignment horizontal="center" vertical="top" wrapText="1"/>
    </xf>
    <xf numFmtId="0" fontId="30" fillId="2" borderId="15" xfId="0" applyFont="1" applyFill="1" applyBorder="1" applyAlignment="1">
      <alignment horizontal="center" vertical="top" wrapText="1"/>
    </xf>
    <xf numFmtId="0" fontId="0" fillId="3" borderId="12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3" xfId="0" applyFill="1" applyBorder="1" applyAlignment="1">
      <alignment horizontal="center"/>
    </xf>
    <xf numFmtId="0" fontId="0" fillId="2" borderId="11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165" fontId="22" fillId="2" borderId="0" xfId="0" applyNumberFormat="1" applyFont="1" applyFill="1" applyAlignment="1">
      <alignment horizontal="left"/>
    </xf>
    <xf numFmtId="14" fontId="14" fillId="2" borderId="0" xfId="0" applyNumberFormat="1" applyFont="1" applyFill="1" applyAlignment="1">
      <alignment horizontal="left"/>
    </xf>
    <xf numFmtId="0" fontId="0" fillId="2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0" fillId="2" borderId="9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15" fillId="2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36" fillId="7" borderId="0" xfId="0" applyFont="1" applyFill="1"/>
    <xf numFmtId="0" fontId="31" fillId="7" borderId="0" xfId="0" applyFont="1" applyFill="1"/>
    <xf numFmtId="0" fontId="37" fillId="7" borderId="12" xfId="0" applyFont="1" applyFill="1" applyBorder="1"/>
    <xf numFmtId="0" fontId="31" fillId="7" borderId="12" xfId="0" applyFont="1" applyFill="1" applyBorder="1"/>
    <xf numFmtId="0" fontId="36" fillId="7" borderId="12" xfId="0" applyFont="1" applyFill="1" applyBorder="1" applyAlignment="1">
      <alignment vertical="center"/>
    </xf>
    <xf numFmtId="0" fontId="36" fillId="7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  <color rgb="FF00CFB9"/>
      <color rgb="FF006680"/>
      <color rgb="FF006666"/>
      <color rgb="FF336699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2</xdr:row>
          <xdr:rowOff>133350</xdr:rowOff>
        </xdr:from>
        <xdr:to>
          <xdr:col>17</xdr:col>
          <xdr:colOff>0</xdr:colOff>
          <xdr:row>3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 1 or 2 Enclosure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3</xdr:row>
          <xdr:rowOff>133350</xdr:rowOff>
        </xdr:from>
        <xdr:to>
          <xdr:col>17</xdr:col>
          <xdr:colOff>19050</xdr:colOff>
          <xdr:row>5</xdr:row>
          <xdr:rowOff>304800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 3 or 4 Enclosure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1218640</xdr:colOff>
      <xdr:row>2</xdr:row>
      <xdr:rowOff>132861</xdr:rowOff>
    </xdr:from>
    <xdr:to>
      <xdr:col>10</xdr:col>
      <xdr:colOff>1978585</xdr:colOff>
      <xdr:row>2</xdr:row>
      <xdr:rowOff>711551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E94E6F-9887-4907-A5DF-08363ACF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58750" y="511060"/>
          <a:ext cx="2314761" cy="5786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150957</xdr:colOff>
      <xdr:row>10</xdr:row>
      <xdr:rowOff>81338</xdr:rowOff>
    </xdr:from>
    <xdr:to>
      <xdr:col>10</xdr:col>
      <xdr:colOff>150957</xdr:colOff>
      <xdr:row>13</xdr:row>
      <xdr:rowOff>179531</xdr:rowOff>
    </xdr:to>
    <xdr:pic>
      <xdr:nvPicPr>
        <xdr:cNvPr id="13" name="Picture 12" descr="Shape&#10;&#10;Description automatically generated with medium confidence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5684" y="2072929"/>
          <a:ext cx="969818" cy="631882"/>
        </a:xfrm>
        <a:prstGeom prst="rect">
          <a:avLst/>
        </a:prstGeom>
      </xdr:spPr>
    </xdr:pic>
    <xdr:clientData/>
  </xdr:twoCellAnchor>
  <xdr:twoCellAnchor editAs="oneCell">
    <xdr:from>
      <xdr:col>32</xdr:col>
      <xdr:colOff>262187</xdr:colOff>
      <xdr:row>2</xdr:row>
      <xdr:rowOff>39408</xdr:rowOff>
    </xdr:from>
    <xdr:to>
      <xdr:col>33</xdr:col>
      <xdr:colOff>396490</xdr:colOff>
      <xdr:row>2</xdr:row>
      <xdr:rowOff>220188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BBF0EA8-0191-4226-86F6-4C68FD167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53982" y="420408"/>
          <a:ext cx="723122" cy="180780"/>
        </a:xfrm>
        <a:prstGeom prst="rect">
          <a:avLst/>
        </a:prstGeom>
      </xdr:spPr>
    </xdr:pic>
    <xdr:clientData/>
  </xdr:twoCellAnchor>
  <xdr:twoCellAnchor editAs="oneCell">
    <xdr:from>
      <xdr:col>10</xdr:col>
      <xdr:colOff>98137</xdr:colOff>
      <xdr:row>11</xdr:row>
      <xdr:rowOff>58536</xdr:rowOff>
    </xdr:from>
    <xdr:to>
      <xdr:col>17</xdr:col>
      <xdr:colOff>44090</xdr:colOff>
      <xdr:row>13</xdr:row>
      <xdr:rowOff>60178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7397E6-1125-4427-8DA1-0A5D09730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62910" y="2309900"/>
          <a:ext cx="1461294" cy="3653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144694</xdr:colOff>
      <xdr:row>10</xdr:row>
      <xdr:rowOff>128360</xdr:rowOff>
    </xdr:from>
    <xdr:to>
      <xdr:col>10</xdr:col>
      <xdr:colOff>144694</xdr:colOff>
      <xdr:row>13</xdr:row>
      <xdr:rowOff>131893</xdr:rowOff>
    </xdr:to>
    <xdr:pic>
      <xdr:nvPicPr>
        <xdr:cNvPr id="5" name="Picture 4" descr="Shape&#10;&#10;Description automatically generated with medium confidenc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800" y="2136942"/>
          <a:ext cx="936738" cy="638533"/>
        </a:xfrm>
        <a:prstGeom prst="rect">
          <a:avLst/>
        </a:prstGeom>
      </xdr:spPr>
    </xdr:pic>
    <xdr:clientData/>
  </xdr:twoCellAnchor>
  <xdr:twoCellAnchor editAs="oneCell">
    <xdr:from>
      <xdr:col>32</xdr:col>
      <xdr:colOff>324420</xdr:colOff>
      <xdr:row>1</xdr:row>
      <xdr:rowOff>170192</xdr:rowOff>
    </xdr:from>
    <xdr:to>
      <xdr:col>33</xdr:col>
      <xdr:colOff>447384</xdr:colOff>
      <xdr:row>2</xdr:row>
      <xdr:rowOff>158712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8214239-CF40-42DD-AC6F-86220B69E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03994" y="359341"/>
          <a:ext cx="710677" cy="177669"/>
        </a:xfrm>
        <a:prstGeom prst="rect">
          <a:avLst/>
        </a:prstGeom>
      </xdr:spPr>
    </xdr:pic>
    <xdr:clientData/>
  </xdr:twoCellAnchor>
  <xdr:twoCellAnchor editAs="oneCell">
    <xdr:from>
      <xdr:col>11</xdr:col>
      <xdr:colOff>45433</xdr:colOff>
      <xdr:row>11</xdr:row>
      <xdr:rowOff>29808</xdr:rowOff>
    </xdr:from>
    <xdr:to>
      <xdr:col>18</xdr:col>
      <xdr:colOff>26882</xdr:colOff>
      <xdr:row>12</xdr:row>
      <xdr:rowOff>214319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79688D0-7233-352D-EC23-B8B3770BE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23305" y="2259063"/>
          <a:ext cx="1494641" cy="3736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B297EF5-E2F8-48B3-8AB8-3D943A27AC08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C1:Y74"/>
  <sheetViews>
    <sheetView showGridLines="0" tabSelected="1" view="pageBreakPreview" zoomScale="68" zoomScaleNormal="80" zoomScaleSheetLayoutView="80" workbookViewId="0"/>
  </sheetViews>
  <sheetFormatPr defaultRowHeight="15" x14ac:dyDescent="0.25"/>
  <cols>
    <col min="1" max="2" width="3.28515625" customWidth="1"/>
    <col min="3" max="3" width="20.7109375" style="1" customWidth="1"/>
    <col min="4" max="4" width="45.7109375" style="1" customWidth="1"/>
    <col min="5" max="5" width="20.7109375" style="1" customWidth="1"/>
    <col min="6" max="6" width="18.28515625" style="1" customWidth="1"/>
    <col min="7" max="7" width="3.28515625" style="1" customWidth="1"/>
    <col min="8" max="8" width="25.7109375" style="1" customWidth="1"/>
    <col min="9" max="9" width="33.28515625" style="1" customWidth="1"/>
    <col min="10" max="10" width="23.28515625" customWidth="1"/>
    <col min="11" max="11" width="30.7109375" customWidth="1"/>
    <col min="12" max="12" width="3.28515625" customWidth="1"/>
    <col min="18" max="19" width="3.7109375" customWidth="1"/>
  </cols>
  <sheetData>
    <row r="1" spans="3:25" x14ac:dyDescent="0.25">
      <c r="N1" s="209" t="s">
        <v>0</v>
      </c>
      <c r="O1" s="210"/>
      <c r="P1" s="210"/>
      <c r="Q1" s="210"/>
    </row>
    <row r="2" spans="3:25" ht="14.45" customHeight="1" x14ac:dyDescent="0.4">
      <c r="C2" s="54"/>
      <c r="D2" s="54"/>
      <c r="E2" s="54"/>
      <c r="F2" s="54"/>
      <c r="N2" s="210"/>
      <c r="O2" s="210"/>
      <c r="P2" s="210"/>
      <c r="Q2" s="210"/>
      <c r="T2" s="204"/>
      <c r="U2" s="204"/>
      <c r="V2" s="204"/>
      <c r="W2" s="204"/>
      <c r="X2" s="204"/>
      <c r="Y2" s="204"/>
    </row>
    <row r="3" spans="3:25" ht="60" customHeight="1" x14ac:dyDescent="0.25">
      <c r="C3" s="171" t="s">
        <v>597</v>
      </c>
      <c r="D3" s="171"/>
      <c r="E3" s="171"/>
      <c r="F3" s="171"/>
      <c r="N3" s="210"/>
      <c r="O3" s="210"/>
      <c r="P3" s="210"/>
      <c r="Q3" s="210"/>
      <c r="T3" s="204"/>
      <c r="U3" s="204"/>
      <c r="V3" s="204"/>
      <c r="W3" s="204"/>
      <c r="X3" s="204"/>
      <c r="Y3" s="204"/>
    </row>
    <row r="4" spans="3:25" ht="15" customHeight="1" x14ac:dyDescent="0.3">
      <c r="C4" s="32"/>
      <c r="D4" s="32"/>
      <c r="E4" s="32"/>
      <c r="F4" s="32"/>
      <c r="G4" s="20"/>
      <c r="H4" s="32"/>
      <c r="I4" s="32"/>
      <c r="J4" s="32"/>
      <c r="K4" s="32"/>
      <c r="T4" s="204"/>
      <c r="U4" s="204"/>
      <c r="V4" s="204"/>
      <c r="W4" s="204"/>
      <c r="X4" s="204"/>
      <c r="Y4" s="204"/>
    </row>
    <row r="5" spans="3:25" ht="25.15" customHeight="1" x14ac:dyDescent="0.25">
      <c r="C5" s="35" t="s">
        <v>1</v>
      </c>
      <c r="D5" s="183" t="s">
        <v>591</v>
      </c>
      <c r="E5" s="184"/>
      <c r="F5" s="185"/>
      <c r="G5" s="33"/>
      <c r="H5" s="33"/>
      <c r="I5" s="33"/>
      <c r="J5" s="33"/>
      <c r="K5" s="33"/>
      <c r="T5" s="204"/>
      <c r="U5" s="204"/>
      <c r="V5" s="204"/>
      <c r="W5" s="204"/>
      <c r="X5" s="204"/>
      <c r="Y5" s="204"/>
    </row>
    <row r="6" spans="3:25" ht="25.15" customHeight="1" x14ac:dyDescent="0.25">
      <c r="C6" s="181" t="s">
        <v>2</v>
      </c>
      <c r="D6" s="178" t="s">
        <v>592</v>
      </c>
      <c r="E6" s="179"/>
      <c r="F6" s="180"/>
      <c r="G6" s="34"/>
      <c r="H6" s="175" t="s">
        <v>3</v>
      </c>
      <c r="I6" s="176"/>
      <c r="J6" s="177"/>
      <c r="K6" s="124" t="s">
        <v>594</v>
      </c>
      <c r="T6" s="204"/>
      <c r="U6" s="204"/>
      <c r="V6" s="204"/>
      <c r="W6" s="204"/>
      <c r="X6" s="204"/>
      <c r="Y6" s="204"/>
    </row>
    <row r="7" spans="3:25" ht="25.15" customHeight="1" x14ac:dyDescent="0.25">
      <c r="C7" s="182"/>
      <c r="D7" s="178" t="s">
        <v>593</v>
      </c>
      <c r="E7" s="179"/>
      <c r="F7" s="180"/>
      <c r="G7" s="34"/>
      <c r="H7" s="175" t="s">
        <v>4</v>
      </c>
      <c r="I7" s="176"/>
      <c r="J7" s="177"/>
      <c r="K7" s="124" t="s">
        <v>596</v>
      </c>
    </row>
    <row r="8" spans="3:25" ht="30" customHeight="1" x14ac:dyDescent="0.25"/>
    <row r="9" spans="3:25" ht="30" customHeight="1" x14ac:dyDescent="0.25">
      <c r="C9" s="186" t="s">
        <v>5</v>
      </c>
      <c r="D9" s="187"/>
      <c r="E9" s="187"/>
      <c r="F9" s="188"/>
      <c r="G9" s="19"/>
      <c r="H9" s="186" t="s">
        <v>6</v>
      </c>
      <c r="I9" s="187"/>
      <c r="J9" s="187"/>
      <c r="K9" s="188"/>
    </row>
    <row r="10" spans="3:25" ht="15" customHeight="1" x14ac:dyDescent="0.25"/>
    <row r="11" spans="3:25" ht="30" customHeight="1" x14ac:dyDescent="0.25">
      <c r="C11" s="189" t="s">
        <v>7</v>
      </c>
      <c r="D11" s="190"/>
      <c r="E11" s="190"/>
      <c r="F11" s="191"/>
      <c r="G11" s="21"/>
      <c r="H11" s="194" t="s">
        <v>277</v>
      </c>
      <c r="I11" s="195"/>
      <c r="J11" s="195"/>
      <c r="K11" s="196"/>
    </row>
    <row r="12" spans="3:25" ht="15.75" x14ac:dyDescent="0.25">
      <c r="G12" s="10"/>
      <c r="H12" s="10"/>
      <c r="I12" s="10"/>
      <c r="J12" s="11"/>
      <c r="K12" s="11"/>
    </row>
    <row r="13" spans="3:25" ht="16.149999999999999" customHeight="1" x14ac:dyDescent="0.25">
      <c r="C13" s="198" t="s">
        <v>9</v>
      </c>
      <c r="D13" s="199"/>
      <c r="E13" s="199"/>
      <c r="F13" s="200"/>
      <c r="G13" s="10"/>
      <c r="H13" s="197" t="s">
        <v>10</v>
      </c>
      <c r="I13" s="197"/>
      <c r="J13" s="197"/>
      <c r="K13" s="197"/>
    </row>
    <row r="14" spans="3:25" ht="16.149999999999999" customHeight="1" x14ac:dyDescent="0.25">
      <c r="C14" s="202" t="s">
        <v>11</v>
      </c>
      <c r="D14" s="203"/>
      <c r="E14" s="30" t="s">
        <v>12</v>
      </c>
      <c r="F14" s="31" t="s">
        <v>13</v>
      </c>
      <c r="G14" s="10"/>
      <c r="H14" s="36" t="s">
        <v>14</v>
      </c>
      <c r="I14" s="36" t="s">
        <v>15</v>
      </c>
      <c r="J14" s="23" t="s">
        <v>16</v>
      </c>
      <c r="K14" s="23" t="s">
        <v>17</v>
      </c>
    </row>
    <row r="15" spans="3:25" ht="16.149999999999999" customHeight="1" x14ac:dyDescent="0.25">
      <c r="C15" s="173" t="s">
        <v>18</v>
      </c>
      <c r="D15" s="174"/>
      <c r="E15" s="12" t="s">
        <v>19</v>
      </c>
      <c r="F15" s="69" t="s">
        <v>306</v>
      </c>
      <c r="G15" s="10"/>
      <c r="H15" s="192" t="s">
        <v>21</v>
      </c>
      <c r="I15" s="85" t="s">
        <v>22</v>
      </c>
      <c r="J15" s="14">
        <v>2.5</v>
      </c>
      <c r="K15" s="14" t="s">
        <v>23</v>
      </c>
    </row>
    <row r="16" spans="3:25" ht="16.149999999999999" customHeight="1" x14ac:dyDescent="0.25">
      <c r="C16" s="173" t="s">
        <v>24</v>
      </c>
      <c r="D16" s="174"/>
      <c r="E16" s="12" t="s">
        <v>19</v>
      </c>
      <c r="F16" s="69" t="s">
        <v>234</v>
      </c>
      <c r="G16" s="10"/>
      <c r="H16" s="201"/>
      <c r="I16" s="86" t="s">
        <v>25</v>
      </c>
      <c r="J16" s="87">
        <v>2.5</v>
      </c>
      <c r="K16" s="87" t="s">
        <v>26</v>
      </c>
    </row>
    <row r="17" spans="3:11" ht="16.149999999999999" customHeight="1" x14ac:dyDescent="0.25">
      <c r="C17" s="173" t="s">
        <v>27</v>
      </c>
      <c r="D17" s="174"/>
      <c r="E17" s="12" t="s">
        <v>28</v>
      </c>
      <c r="F17" s="69" t="s">
        <v>29</v>
      </c>
      <c r="G17" s="10"/>
      <c r="H17" s="201"/>
      <c r="I17" s="86" t="s">
        <v>30</v>
      </c>
      <c r="J17" s="87">
        <v>2.5</v>
      </c>
      <c r="K17" s="87" t="s">
        <v>31</v>
      </c>
    </row>
    <row r="18" spans="3:11" ht="16.149999999999999" customHeight="1" x14ac:dyDescent="0.25">
      <c r="C18" s="173" t="s">
        <v>32</v>
      </c>
      <c r="D18" s="174"/>
      <c r="E18" s="12" t="s">
        <v>33</v>
      </c>
      <c r="F18" s="69" t="s">
        <v>290</v>
      </c>
      <c r="G18" s="10"/>
      <c r="H18" s="193"/>
      <c r="I18" s="83" t="s">
        <v>34</v>
      </c>
      <c r="J18" s="78">
        <v>2.5</v>
      </c>
      <c r="K18" s="78" t="s">
        <v>35</v>
      </c>
    </row>
    <row r="19" spans="3:11" ht="16.149999999999999" customHeight="1" x14ac:dyDescent="0.25">
      <c r="C19" s="173" t="s">
        <v>36</v>
      </c>
      <c r="D19" s="174"/>
      <c r="E19" s="12" t="s">
        <v>37</v>
      </c>
      <c r="F19" s="70" t="s">
        <v>38</v>
      </c>
      <c r="G19" s="10"/>
      <c r="H19" s="192" t="s">
        <v>39</v>
      </c>
      <c r="I19" s="80" t="s">
        <v>40</v>
      </c>
      <c r="J19" s="79">
        <v>2.5</v>
      </c>
      <c r="K19" s="79" t="s">
        <v>23</v>
      </c>
    </row>
    <row r="20" spans="3:11" ht="16.149999999999999" customHeight="1" x14ac:dyDescent="0.25">
      <c r="C20" s="173" t="s">
        <v>41</v>
      </c>
      <c r="D20" s="174"/>
      <c r="E20" s="12" t="s">
        <v>42</v>
      </c>
      <c r="F20" s="69">
        <v>1</v>
      </c>
      <c r="G20" s="10"/>
      <c r="H20" s="193"/>
      <c r="I20" s="75" t="s">
        <v>34</v>
      </c>
      <c r="J20" s="78">
        <v>2.5</v>
      </c>
      <c r="K20" s="78" t="s">
        <v>35</v>
      </c>
    </row>
    <row r="21" spans="3:11" ht="16.149999999999999" customHeight="1" x14ac:dyDescent="0.25">
      <c r="C21" s="173" t="s">
        <v>43</v>
      </c>
      <c r="D21" s="174"/>
      <c r="E21" s="12" t="s">
        <v>44</v>
      </c>
      <c r="F21" s="69" t="s">
        <v>249</v>
      </c>
      <c r="G21" s="10"/>
      <c r="H21" s="192" t="s">
        <v>45</v>
      </c>
      <c r="I21" s="80" t="s">
        <v>46</v>
      </c>
      <c r="J21" s="82">
        <f>VLOOKUP('MS Data'!G5,TABLE_A,4,FALSE)</f>
        <v>1</v>
      </c>
      <c r="K21" s="79" t="str">
        <f>VLOOKUP('MS Data'!G5,TABLE_A,3,FALSE)</f>
        <v>Red (L), Blue (N)</v>
      </c>
    </row>
    <row r="22" spans="3:11" ht="16.149999999999999" customHeight="1" x14ac:dyDescent="0.25">
      <c r="C22" s="173" t="s">
        <v>47</v>
      </c>
      <c r="D22" s="174"/>
      <c r="E22" s="12" t="s">
        <v>48</v>
      </c>
      <c r="F22" s="69" t="s">
        <v>250</v>
      </c>
      <c r="G22" s="10"/>
      <c r="H22" s="193"/>
      <c r="I22" s="75" t="s">
        <v>49</v>
      </c>
      <c r="J22" s="107">
        <f>VLOOKUP('MS Data'!G6,TABLE_A,4,FALSE)</f>
        <v>1</v>
      </c>
      <c r="K22" s="16" t="str">
        <f>VLOOKUP('MS Data'!G6,TABLE_A,3,FALSE)</f>
        <v>Red (L), Blue (N)</v>
      </c>
    </row>
    <row r="23" spans="3:11" ht="16.149999999999999" customHeight="1" x14ac:dyDescent="0.25">
      <c r="C23" s="173" t="s">
        <v>50</v>
      </c>
      <c r="D23" s="174"/>
      <c r="E23" s="12" t="s">
        <v>51</v>
      </c>
      <c r="F23" s="69" t="s">
        <v>249</v>
      </c>
      <c r="G23" s="10"/>
      <c r="H23" s="192" t="s">
        <v>52</v>
      </c>
      <c r="I23" s="80" t="s">
        <v>46</v>
      </c>
      <c r="J23" s="138" t="str">
        <f>VLOOKUP('MS Data'!G7,TABLE_A,4,FALSE)</f>
        <v>-</v>
      </c>
      <c r="K23" s="148" t="str">
        <f>VLOOKUP('MS Data'!G7,TABLE_A,3,FALSE)</f>
        <v>-</v>
      </c>
    </row>
    <row r="24" spans="3:11" ht="16.149999999999999" customHeight="1" x14ac:dyDescent="0.25">
      <c r="C24" s="173" t="s">
        <v>53</v>
      </c>
      <c r="D24" s="174"/>
      <c r="E24" s="18" t="s">
        <v>54</v>
      </c>
      <c r="F24" s="100" t="str">
        <f>VLOOKUP(F22,Ipk,2,FALSE)</f>
        <v>105kA</v>
      </c>
      <c r="G24" s="10"/>
      <c r="H24" s="193"/>
      <c r="I24" s="75" t="s">
        <v>49</v>
      </c>
      <c r="J24" s="139" t="str">
        <f>VLOOKUP('MS Data'!G8,TABLE_A,4,FALSE)</f>
        <v>-</v>
      </c>
      <c r="K24" s="149" t="str">
        <f>VLOOKUP('MS Data'!G8,TABLE_A,3,FALSE)</f>
        <v>-</v>
      </c>
    </row>
    <row r="25" spans="3:11" ht="16.149999999999999" customHeight="1" x14ac:dyDescent="0.25">
      <c r="C25" s="173" t="s">
        <v>55</v>
      </c>
      <c r="D25" s="174"/>
      <c r="E25" s="12" t="s">
        <v>56</v>
      </c>
      <c r="F25" s="69" t="s">
        <v>21</v>
      </c>
      <c r="G25" s="10"/>
      <c r="H25" s="192" t="s">
        <v>57</v>
      </c>
      <c r="I25" s="84" t="s">
        <v>58</v>
      </c>
      <c r="J25" s="108">
        <v>2.5</v>
      </c>
      <c r="K25" s="79" t="s">
        <v>59</v>
      </c>
    </row>
    <row r="26" spans="3:11" ht="16.149999999999999" customHeight="1" x14ac:dyDescent="0.25">
      <c r="C26" s="173" t="s">
        <v>60</v>
      </c>
      <c r="D26" s="174"/>
      <c r="E26" s="12" t="s">
        <v>61</v>
      </c>
      <c r="F26" s="69" t="s">
        <v>253</v>
      </c>
      <c r="G26" s="10"/>
      <c r="H26" s="193"/>
      <c r="I26" s="83" t="s">
        <v>63</v>
      </c>
      <c r="J26" s="16" t="s">
        <v>64</v>
      </c>
      <c r="K26" s="22" t="str">
        <f>VLOOKUP('MS Data'!G32,TABLE_A,3,FALSE)</f>
        <v>Green</v>
      </c>
    </row>
    <row r="27" spans="3:11" ht="16.149999999999999" customHeight="1" x14ac:dyDescent="0.25">
      <c r="C27" s="173" t="s">
        <v>65</v>
      </c>
      <c r="D27" s="174"/>
      <c r="E27" s="12" t="s">
        <v>66</v>
      </c>
      <c r="F27" s="69" t="s">
        <v>67</v>
      </c>
      <c r="G27" s="10"/>
      <c r="H27" s="37" t="s">
        <v>68</v>
      </c>
      <c r="I27" s="37" t="s">
        <v>69</v>
      </c>
      <c r="J27" s="13">
        <f>VLOOKUP('MS Data'!G9,TABLE_A,4,FALSE)</f>
        <v>2.5</v>
      </c>
      <c r="K27" s="12" t="str">
        <f>VLOOKUP('MS Data'!G9,TABLE_A,3,FALSE)</f>
        <v>White</v>
      </c>
    </row>
    <row r="28" spans="3:11" ht="16.149999999999999" customHeight="1" x14ac:dyDescent="0.25">
      <c r="C28" s="173" t="s">
        <v>70</v>
      </c>
      <c r="D28" s="174"/>
      <c r="E28" s="12" t="s">
        <v>71</v>
      </c>
      <c r="F28" s="69" t="s">
        <v>72</v>
      </c>
      <c r="G28" s="10"/>
      <c r="H28" s="37" t="s">
        <v>73</v>
      </c>
      <c r="I28" s="37" t="s">
        <v>49</v>
      </c>
      <c r="J28" s="13">
        <f>VLOOKUP('MS Data'!G10,TABLE_A,4,FALSE)</f>
        <v>1</v>
      </c>
      <c r="K28" s="12" t="str">
        <f>VLOOKUP('MS Data'!G10,TABLE_A,3,FALSE)</f>
        <v>According to voltage</v>
      </c>
    </row>
    <row r="29" spans="3:11" ht="16.149999999999999" customHeight="1" x14ac:dyDescent="0.25">
      <c r="C29" s="173" t="s">
        <v>74</v>
      </c>
      <c r="D29" s="174"/>
      <c r="E29" s="12" t="s">
        <v>75</v>
      </c>
      <c r="F29" s="69">
        <v>54</v>
      </c>
      <c r="G29" s="10"/>
      <c r="H29" s="37" t="s">
        <v>76</v>
      </c>
      <c r="I29" s="37" t="s">
        <v>77</v>
      </c>
      <c r="J29" s="13">
        <f>VLOOKUP('MS Data'!G11,TABLE_A,4,FALSE)</f>
        <v>1</v>
      </c>
      <c r="K29" s="12" t="str">
        <f>VLOOKUP('MS Data'!G11,TABLE_A,3,FALSE)</f>
        <v>Pink</v>
      </c>
    </row>
    <row r="30" spans="3:11" ht="16.149999999999999" customHeight="1" x14ac:dyDescent="0.25">
      <c r="C30" s="173" t="s">
        <v>78</v>
      </c>
      <c r="D30" s="174"/>
      <c r="E30" s="12" t="s">
        <v>79</v>
      </c>
      <c r="F30" s="69" t="s">
        <v>80</v>
      </c>
      <c r="G30" s="10"/>
      <c r="H30" s="37" t="s">
        <v>81</v>
      </c>
      <c r="I30" s="37" t="s">
        <v>82</v>
      </c>
      <c r="J30" s="13">
        <f>VLOOKUP('MS Data'!G12,TABLE_A,4,FALSE)</f>
        <v>1</v>
      </c>
      <c r="K30" s="12" t="str">
        <f>VLOOKUP('MS Data'!G12,TABLE_A,3,FALSE)</f>
        <v>Light Blue</v>
      </c>
    </row>
    <row r="31" spans="3:11" ht="16.149999999999999" customHeight="1" x14ac:dyDescent="0.25">
      <c r="C31" s="173" t="s">
        <v>83</v>
      </c>
      <c r="D31" s="174"/>
      <c r="E31" s="12" t="s">
        <v>84</v>
      </c>
      <c r="F31" s="69">
        <v>2</v>
      </c>
      <c r="G31" s="10"/>
      <c r="H31" s="94" t="s">
        <v>85</v>
      </c>
      <c r="I31" s="94" t="s">
        <v>86</v>
      </c>
      <c r="J31" s="97">
        <f>VLOOKUP('MS Data'!G13,TABLE_A,4,FALSE)</f>
        <v>0.75</v>
      </c>
      <c r="K31" s="12" t="str">
        <f>VLOOKUP('MS Data'!G13,TABLE_A,3,FALSE)</f>
        <v>Grey Sheath White Cores</v>
      </c>
    </row>
    <row r="32" spans="3:11" ht="16.149999999999999" customHeight="1" x14ac:dyDescent="0.25">
      <c r="C32" s="173" t="s">
        <v>87</v>
      </c>
      <c r="D32" s="174"/>
      <c r="E32" s="12" t="s">
        <v>88</v>
      </c>
      <c r="F32" s="69" t="s">
        <v>20</v>
      </c>
      <c r="G32" s="10"/>
    </row>
    <row r="33" spans="3:11" ht="16.149999999999999" customHeight="1" x14ac:dyDescent="0.25">
      <c r="C33" s="173" t="s">
        <v>89</v>
      </c>
      <c r="D33" s="174"/>
      <c r="E33" s="12" t="s">
        <v>90</v>
      </c>
      <c r="F33" s="69" t="s">
        <v>91</v>
      </c>
      <c r="G33" s="10"/>
      <c r="H33" s="113" t="s">
        <v>92</v>
      </c>
      <c r="I33" s="114"/>
      <c r="J33" s="114"/>
      <c r="K33" s="115"/>
    </row>
    <row r="34" spans="3:11" ht="16.149999999999999" customHeight="1" x14ac:dyDescent="0.25">
      <c r="C34" s="173" t="s">
        <v>93</v>
      </c>
      <c r="D34" s="174"/>
      <c r="E34" s="12" t="s">
        <v>90</v>
      </c>
      <c r="F34" s="70" t="s">
        <v>94</v>
      </c>
      <c r="G34" s="10"/>
      <c r="H34" s="36" t="s">
        <v>95</v>
      </c>
      <c r="I34" s="36" t="s">
        <v>96</v>
      </c>
      <c r="J34" s="23" t="s">
        <v>16</v>
      </c>
      <c r="K34" s="23" t="s">
        <v>97</v>
      </c>
    </row>
    <row r="35" spans="3:11" ht="16.149999999999999" customHeight="1" x14ac:dyDescent="0.25">
      <c r="C35" s="173" t="s">
        <v>98</v>
      </c>
      <c r="D35" s="174"/>
      <c r="E35" s="12" t="s">
        <v>99</v>
      </c>
      <c r="F35" s="147" t="s">
        <v>100</v>
      </c>
      <c r="G35" s="10"/>
      <c r="H35" s="117" t="s">
        <v>101</v>
      </c>
      <c r="I35" s="80" t="s">
        <v>46</v>
      </c>
      <c r="J35" s="82" t="str">
        <f>VLOOKUP('MS Data'!G14,TABLE_A,4,FALSE)</f>
        <v>-</v>
      </c>
      <c r="K35" s="79" t="str">
        <f>VLOOKUP('MS Data'!G14,TABLE_A,3,FALSE)</f>
        <v>-</v>
      </c>
    </row>
    <row r="36" spans="3:11" ht="16.149999999999999" customHeight="1" x14ac:dyDescent="0.25">
      <c r="C36" s="173" t="s">
        <v>102</v>
      </c>
      <c r="D36" s="174"/>
      <c r="E36" s="12" t="s">
        <v>99</v>
      </c>
      <c r="F36" s="70">
        <v>35</v>
      </c>
      <c r="G36" s="10"/>
      <c r="H36" s="75"/>
      <c r="I36" s="75" t="s">
        <v>49</v>
      </c>
      <c r="J36" s="106" t="str">
        <f>VLOOKUP('MS Data'!G15,TABLE_A,4,FALSE)</f>
        <v>-</v>
      </c>
      <c r="K36" s="98" t="str">
        <f>VLOOKUP('MS Data'!G15,TABLE_A,3,FALSE)</f>
        <v>-</v>
      </c>
    </row>
    <row r="37" spans="3:11" ht="16.149999999999999" customHeight="1" x14ac:dyDescent="0.25">
      <c r="C37" s="173" t="s">
        <v>103</v>
      </c>
      <c r="D37" s="174"/>
      <c r="E37" s="12" t="s">
        <v>104</v>
      </c>
      <c r="F37" s="70">
        <v>50</v>
      </c>
      <c r="G37" s="10"/>
      <c r="H37" s="117" t="s">
        <v>105</v>
      </c>
      <c r="I37" s="80" t="s">
        <v>46</v>
      </c>
      <c r="J37" s="138" t="str">
        <f>VLOOKUP('MS Data'!G16,TABLE_A,4,FALSE)</f>
        <v>-</v>
      </c>
      <c r="K37" s="140" t="str">
        <f>VLOOKUP('MS Data'!G16,TABLE_A,3,FALSE)</f>
        <v>-</v>
      </c>
    </row>
    <row r="38" spans="3:11" ht="16.149999999999999" customHeight="1" x14ac:dyDescent="0.25">
      <c r="C38" s="173" t="s">
        <v>106</v>
      </c>
      <c r="D38" s="174"/>
      <c r="E38" s="12" t="s">
        <v>107</v>
      </c>
      <c r="F38" s="70">
        <v>3</v>
      </c>
      <c r="G38" s="10"/>
      <c r="H38" s="125"/>
      <c r="I38" s="126" t="s">
        <v>49</v>
      </c>
      <c r="J38" s="139" t="str">
        <f>VLOOKUP('MS Data'!G17,TABLE_A,4,FALSE)</f>
        <v>-</v>
      </c>
      <c r="K38" s="141" t="str">
        <f>VLOOKUP('MS Data'!G17,TABLE_A,3,FALSE)</f>
        <v>-</v>
      </c>
    </row>
    <row r="39" spans="3:11" ht="16.149999999999999" customHeight="1" x14ac:dyDescent="0.25">
      <c r="C39" s="173" t="s">
        <v>108</v>
      </c>
      <c r="D39" s="174"/>
      <c r="E39" s="12" t="s">
        <v>109</v>
      </c>
      <c r="F39" s="69" t="s">
        <v>110</v>
      </c>
      <c r="G39" s="10"/>
      <c r="H39" s="117" t="s">
        <v>111</v>
      </c>
      <c r="I39" s="80" t="s">
        <v>46</v>
      </c>
      <c r="J39" s="82">
        <f>VLOOKUP('MS Data'!G18,TABLE_A,4,FALSE)</f>
        <v>1</v>
      </c>
      <c r="K39" s="79" t="str">
        <f>VLOOKUP('MS Data'!G18,TABLE_A,3,FALSE)</f>
        <v>Yellow (L), Yellow (N)</v>
      </c>
    </row>
    <row r="40" spans="3:11" ht="16.149999999999999" customHeight="1" x14ac:dyDescent="0.25">
      <c r="C40" s="173" t="s">
        <v>112</v>
      </c>
      <c r="D40" s="174"/>
      <c r="E40" s="12" t="s">
        <v>113</v>
      </c>
      <c r="F40" s="69" t="s">
        <v>20</v>
      </c>
      <c r="G40" s="10"/>
      <c r="H40" s="118"/>
      <c r="I40" s="75" t="s">
        <v>49</v>
      </c>
      <c r="J40" s="81">
        <f>VLOOKUP('MS Data'!G19,TABLE_A,4,FALSE)</f>
        <v>1</v>
      </c>
      <c r="K40" s="78" t="str">
        <f>VLOOKUP('MS Data'!G19,TABLE_A,3,FALSE)</f>
        <v>Yellow (L), Yellow (N)</v>
      </c>
    </row>
    <row r="41" spans="3:11" ht="16.149999999999999" customHeight="1" x14ac:dyDescent="0.25">
      <c r="C41" s="173" t="s">
        <v>114</v>
      </c>
      <c r="D41" s="174"/>
      <c r="E41" s="12" t="s">
        <v>115</v>
      </c>
      <c r="F41" s="69" t="s">
        <v>116</v>
      </c>
      <c r="G41" s="10"/>
      <c r="H41" s="117" t="s">
        <v>117</v>
      </c>
      <c r="I41" s="80" t="s">
        <v>46</v>
      </c>
      <c r="J41" s="82">
        <f>VLOOKUP('MS Data'!G20,TABLE_A,4,FALSE)</f>
        <v>1</v>
      </c>
      <c r="K41" s="79" t="str">
        <f>VLOOKUP('MS Data'!G20,TABLE_A,3,FALSE)</f>
        <v>Yellow (24V), Yellow (0V)</v>
      </c>
    </row>
    <row r="42" spans="3:11" ht="16.149999999999999" customHeight="1" x14ac:dyDescent="0.25">
      <c r="C42" s="173" t="s">
        <v>118</v>
      </c>
      <c r="D42" s="174"/>
      <c r="E42" s="12" t="s">
        <v>90</v>
      </c>
      <c r="F42" s="70" t="s">
        <v>119</v>
      </c>
      <c r="G42" s="10"/>
      <c r="H42" s="118"/>
      <c r="I42" s="75" t="s">
        <v>49</v>
      </c>
      <c r="J42" s="81">
        <f>VLOOKUP('MS Data'!G21,TABLE_A,4,FALSE)</f>
        <v>1</v>
      </c>
      <c r="K42" s="78" t="str">
        <f>VLOOKUP('MS Data'!G21,TABLE_A,3,FALSE)</f>
        <v>Yellow (24V), Yellow (0V)</v>
      </c>
    </row>
    <row r="43" spans="3:11" ht="16.149999999999999" customHeight="1" x14ac:dyDescent="0.25">
      <c r="C43" s="55" t="s">
        <v>120</v>
      </c>
      <c r="D43" s="56"/>
      <c r="E43" s="12" t="s">
        <v>121</v>
      </c>
      <c r="F43" s="69" t="s">
        <v>286</v>
      </c>
      <c r="G43" s="10"/>
      <c r="H43" s="37" t="s">
        <v>122</v>
      </c>
      <c r="I43" s="37" t="s">
        <v>123</v>
      </c>
      <c r="J43" s="12">
        <f>VLOOKUP('MS Data'!G22,TABLE_A,4,FALSE)</f>
        <v>0.25</v>
      </c>
      <c r="K43" s="12" t="str">
        <f>VLOOKUP('MS Data'!G22,TABLE_A,3,FALSE)</f>
        <v>White (+ve) Blue (-ve)</v>
      </c>
    </row>
    <row r="44" spans="3:11" ht="16.149999999999999" customHeight="1" x14ac:dyDescent="0.25">
      <c r="C44" s="55" t="s">
        <v>124</v>
      </c>
      <c r="D44" s="56"/>
      <c r="E44" s="12" t="s">
        <v>125</v>
      </c>
      <c r="F44" s="69">
        <v>3</v>
      </c>
      <c r="G44" s="10"/>
      <c r="H44" s="120"/>
      <c r="I44" s="120"/>
      <c r="J44" s="120"/>
      <c r="K44" s="120"/>
    </row>
    <row r="45" spans="3:11" ht="16.149999999999999" customHeight="1" x14ac:dyDescent="0.25">
      <c r="C45" s="55" t="s">
        <v>126</v>
      </c>
      <c r="D45" s="56"/>
      <c r="E45" s="12" t="s">
        <v>79</v>
      </c>
      <c r="F45" s="69" t="s">
        <v>127</v>
      </c>
      <c r="G45" s="10"/>
      <c r="H45" s="113" t="s">
        <v>128</v>
      </c>
      <c r="I45" s="114"/>
      <c r="J45" s="114"/>
      <c r="K45" s="115"/>
    </row>
    <row r="46" spans="3:11" ht="16.149999999999999" customHeight="1" x14ac:dyDescent="0.25">
      <c r="C46" s="55" t="s">
        <v>129</v>
      </c>
      <c r="D46" s="56"/>
      <c r="E46" s="12" t="s">
        <v>90</v>
      </c>
      <c r="F46" s="69" t="s">
        <v>243</v>
      </c>
      <c r="G46" s="10"/>
      <c r="H46" s="36" t="s">
        <v>130</v>
      </c>
      <c r="I46" s="36" t="s">
        <v>131</v>
      </c>
      <c r="J46" s="23" t="s">
        <v>125</v>
      </c>
      <c r="K46" s="23" t="s">
        <v>17</v>
      </c>
    </row>
    <row r="47" spans="3:11" ht="16.149999999999999" customHeight="1" x14ac:dyDescent="0.25">
      <c r="C47" s="55" t="s">
        <v>132</v>
      </c>
      <c r="D47" s="56"/>
      <c r="E47" s="150" t="s">
        <v>90</v>
      </c>
      <c r="F47" s="71" t="s">
        <v>304</v>
      </c>
      <c r="G47" s="10"/>
      <c r="H47" s="117" t="s">
        <v>133</v>
      </c>
      <c r="I47" s="205" t="s">
        <v>134</v>
      </c>
      <c r="J47" s="211" t="s">
        <v>135</v>
      </c>
      <c r="K47" s="14" t="s">
        <v>136</v>
      </c>
    </row>
    <row r="48" spans="3:11" ht="16.149999999999999" customHeight="1" x14ac:dyDescent="0.25">
      <c r="C48" s="55" t="s">
        <v>137</v>
      </c>
      <c r="D48" s="56"/>
      <c r="E48" s="12" t="s">
        <v>90</v>
      </c>
      <c r="F48" s="69" t="s">
        <v>244</v>
      </c>
      <c r="G48" s="10"/>
      <c r="H48" s="118"/>
      <c r="I48" s="206"/>
      <c r="J48" s="212"/>
      <c r="K48" s="78" t="s">
        <v>138</v>
      </c>
    </row>
    <row r="49" spans="3:11" ht="16.149999999999999" customHeight="1" x14ac:dyDescent="0.25">
      <c r="C49" s="55" t="s">
        <v>139</v>
      </c>
      <c r="D49" s="56"/>
      <c r="E49" s="12" t="s">
        <v>90</v>
      </c>
      <c r="F49" s="69" t="s">
        <v>244</v>
      </c>
      <c r="G49" s="10"/>
      <c r="H49" s="117" t="s">
        <v>140</v>
      </c>
      <c r="I49" s="205" t="s">
        <v>141</v>
      </c>
      <c r="J49" s="211" t="s">
        <v>135</v>
      </c>
      <c r="K49" s="207" t="s">
        <v>142</v>
      </c>
    </row>
    <row r="50" spans="3:11" ht="16.149999999999999" customHeight="1" x14ac:dyDescent="0.25">
      <c r="C50" s="55" t="s">
        <v>143</v>
      </c>
      <c r="D50" s="56"/>
      <c r="E50" s="12" t="s">
        <v>90</v>
      </c>
      <c r="F50" s="69" t="s">
        <v>233</v>
      </c>
      <c r="G50" s="10"/>
      <c r="H50" s="118"/>
      <c r="I50" s="206"/>
      <c r="J50" s="212"/>
      <c r="K50" s="208"/>
    </row>
    <row r="51" spans="3:11" ht="16.149999999999999" customHeight="1" x14ac:dyDescent="0.25">
      <c r="C51" s="55" t="s">
        <v>144</v>
      </c>
      <c r="D51" s="56"/>
      <c r="E51" s="12" t="s">
        <v>90</v>
      </c>
      <c r="F51" s="70" t="s">
        <v>38</v>
      </c>
      <c r="G51" s="10"/>
      <c r="H51" s="205" t="s">
        <v>145</v>
      </c>
      <c r="I51" s="205" t="s">
        <v>141</v>
      </c>
      <c r="J51" s="111" t="s">
        <v>146</v>
      </c>
      <c r="K51" s="14" t="s">
        <v>147</v>
      </c>
    </row>
    <row r="52" spans="3:11" ht="16.149999999999999" customHeight="1" x14ac:dyDescent="0.25">
      <c r="C52" s="55" t="s">
        <v>148</v>
      </c>
      <c r="D52" s="56"/>
      <c r="E52" s="12" t="s">
        <v>90</v>
      </c>
      <c r="F52" s="69" t="s">
        <v>595</v>
      </c>
      <c r="G52" s="10"/>
      <c r="H52" s="206"/>
      <c r="I52" s="206"/>
      <c r="J52" s="112"/>
      <c r="K52" s="78" t="s">
        <v>138</v>
      </c>
    </row>
    <row r="53" spans="3:11" ht="15" customHeight="1" x14ac:dyDescent="0.25">
      <c r="G53" s="10"/>
    </row>
    <row r="54" spans="3:11" ht="16.149999999999999" customHeight="1" x14ac:dyDescent="0.25">
      <c r="G54" s="10"/>
      <c r="H54" s="113" t="s">
        <v>149</v>
      </c>
      <c r="I54" s="114"/>
      <c r="J54" s="114"/>
      <c r="K54" s="115"/>
    </row>
    <row r="55" spans="3:11" ht="16.149999999999999" customHeight="1" x14ac:dyDescent="0.25">
      <c r="G55" s="10"/>
      <c r="H55" s="36" t="s">
        <v>130</v>
      </c>
      <c r="I55" s="36" t="s">
        <v>150</v>
      </c>
      <c r="J55" s="23" t="s">
        <v>125</v>
      </c>
      <c r="K55" s="23" t="s">
        <v>17</v>
      </c>
    </row>
    <row r="56" spans="3:11" ht="16.149999999999999" customHeight="1" x14ac:dyDescent="0.25">
      <c r="G56" s="10"/>
      <c r="H56" s="117" t="s">
        <v>151</v>
      </c>
      <c r="I56" s="116" t="s">
        <v>152</v>
      </c>
      <c r="J56" s="121" t="s">
        <v>153</v>
      </c>
      <c r="K56" s="121" t="s">
        <v>154</v>
      </c>
    </row>
    <row r="57" spans="3:11" ht="16.149999999999999" customHeight="1" x14ac:dyDescent="0.25">
      <c r="G57" s="10"/>
      <c r="H57" s="75"/>
      <c r="I57" s="77" t="s">
        <v>155</v>
      </c>
      <c r="J57" s="17" t="s">
        <v>156</v>
      </c>
      <c r="K57" s="17" t="s">
        <v>157</v>
      </c>
    </row>
    <row r="58" spans="3:11" ht="31.9" customHeight="1" x14ac:dyDescent="0.25">
      <c r="G58" s="10"/>
      <c r="H58" s="75"/>
      <c r="I58" s="116" t="s">
        <v>158</v>
      </c>
      <c r="J58" s="121" t="s">
        <v>159</v>
      </c>
      <c r="K58" s="121" t="s">
        <v>160</v>
      </c>
    </row>
    <row r="59" spans="3:11" ht="16.149999999999999" customHeight="1" x14ac:dyDescent="0.25">
      <c r="G59" s="10"/>
      <c r="H59" s="75"/>
      <c r="I59" s="119"/>
      <c r="J59" s="122"/>
      <c r="K59" s="122"/>
    </row>
    <row r="60" spans="3:11" ht="16.149999999999999" customHeight="1" x14ac:dyDescent="0.25">
      <c r="G60" s="10"/>
      <c r="H60" s="75"/>
      <c r="I60" s="38" t="s">
        <v>161</v>
      </c>
      <c r="J60" s="15" t="s">
        <v>162</v>
      </c>
      <c r="K60" s="15" t="s">
        <v>163</v>
      </c>
    </row>
    <row r="61" spans="3:11" ht="16.149999999999999" customHeight="1" x14ac:dyDescent="0.25">
      <c r="G61" s="10"/>
      <c r="H61" s="75"/>
      <c r="I61" s="39" t="s">
        <v>164</v>
      </c>
      <c r="J61" s="16" t="s">
        <v>165</v>
      </c>
      <c r="K61" s="16" t="s">
        <v>26</v>
      </c>
    </row>
    <row r="62" spans="3:11" ht="16.149999999999999" customHeight="1" x14ac:dyDescent="0.25">
      <c r="G62" s="10"/>
      <c r="H62" s="118"/>
      <c r="I62" s="38" t="s">
        <v>166</v>
      </c>
      <c r="J62" s="15" t="s">
        <v>167</v>
      </c>
      <c r="K62" s="15" t="s">
        <v>26</v>
      </c>
    </row>
    <row r="63" spans="3:11" ht="16.149999999999999" customHeight="1" x14ac:dyDescent="0.25">
      <c r="G63" s="10"/>
    </row>
    <row r="64" spans="3:11" ht="16.149999999999999" customHeight="1" x14ac:dyDescent="0.25">
      <c r="G64" s="10"/>
      <c r="H64" s="113" t="s">
        <v>168</v>
      </c>
      <c r="I64" s="114"/>
      <c r="J64" s="114"/>
      <c r="K64" s="115"/>
    </row>
    <row r="65" spans="3:11" ht="16.149999999999999" customHeight="1" x14ac:dyDescent="0.25">
      <c r="G65" s="10"/>
      <c r="H65" s="36" t="s">
        <v>11</v>
      </c>
      <c r="I65" s="36" t="s">
        <v>150</v>
      </c>
      <c r="J65" s="23" t="s">
        <v>11</v>
      </c>
      <c r="K65" s="23" t="s">
        <v>150</v>
      </c>
    </row>
    <row r="66" spans="3:11" ht="16.149999999999999" customHeight="1" x14ac:dyDescent="0.25">
      <c r="C66" s="10"/>
      <c r="D66" s="10"/>
      <c r="E66" s="10"/>
      <c r="F66" s="10"/>
      <c r="G66" s="10"/>
      <c r="H66" s="37" t="s">
        <v>169</v>
      </c>
      <c r="I66" s="99" t="str">
        <f>VLOOKUP('MS Data'!G23,TABLE_A,3,FALSE)</f>
        <v>Lamp (White)</v>
      </c>
      <c r="J66" s="12" t="s">
        <v>170</v>
      </c>
      <c r="K66" s="12" t="str">
        <f>VLOOKUP('MS Data'!G29,TABLE_A,3,FALSE)</f>
        <v>Pushbutton (Green)</v>
      </c>
    </row>
    <row r="67" spans="3:11" ht="16.149999999999999" customHeight="1" x14ac:dyDescent="0.25">
      <c r="H67" s="37" t="s">
        <v>171</v>
      </c>
      <c r="I67" s="99" t="str">
        <f>VLOOKUP('MS Data'!G24,TABLE_A,3,FALSE)</f>
        <v>Lamp (White)</v>
      </c>
      <c r="J67" s="12" t="s">
        <v>172</v>
      </c>
      <c r="K67" s="12" t="str">
        <f>VLOOKUP('MS Data'!G30,TABLE_A,3,FALSE)</f>
        <v>Pushbutton (Red)</v>
      </c>
    </row>
    <row r="68" spans="3:11" ht="16.149999999999999" customHeight="1" x14ac:dyDescent="0.25">
      <c r="H68" s="37" t="s">
        <v>173</v>
      </c>
      <c r="I68" s="99" t="str">
        <f>VLOOKUP('MS Data'!G25,TABLE_A,3,FALSE)</f>
        <v>-</v>
      </c>
      <c r="J68" s="12" t="s">
        <v>174</v>
      </c>
      <c r="K68" s="12" t="str">
        <f>VLOOKUP('MS Data'!G31,TABLE_A,3,FALSE)</f>
        <v>Pushbutton (Blue)</v>
      </c>
    </row>
    <row r="69" spans="3:11" ht="16.149999999999999" customHeight="1" x14ac:dyDescent="0.25">
      <c r="H69" s="37" t="s">
        <v>175</v>
      </c>
      <c r="I69" s="99" t="str">
        <f>VLOOKUP('MS Data'!G26,TABLE_A,3,FALSE)</f>
        <v>Lamp (Amber)</v>
      </c>
      <c r="J69" s="12" t="s">
        <v>90</v>
      </c>
      <c r="K69" s="12" t="s">
        <v>90</v>
      </c>
    </row>
    <row r="70" spans="3:11" ht="16.149999999999999" customHeight="1" x14ac:dyDescent="0.25">
      <c r="H70" s="37" t="s">
        <v>176</v>
      </c>
      <c r="I70" s="99" t="str">
        <f>VLOOKUP('MS Data'!G27,TABLE_A,3,FALSE)</f>
        <v>-</v>
      </c>
      <c r="J70" s="12" t="s">
        <v>90</v>
      </c>
      <c r="K70" s="12" t="s">
        <v>90</v>
      </c>
    </row>
    <row r="71" spans="3:11" ht="16.149999999999999" customHeight="1" x14ac:dyDescent="0.25">
      <c r="H71" s="37" t="s">
        <v>177</v>
      </c>
      <c r="I71" s="99" t="str">
        <f>VLOOKUP('MS Data'!G28,TABLE_A,3,FALSE)</f>
        <v>-</v>
      </c>
      <c r="J71" s="12" t="s">
        <v>90</v>
      </c>
      <c r="K71" s="12" t="s">
        <v>90</v>
      </c>
    </row>
    <row r="72" spans="3:11" ht="16.149999999999999" customHeight="1" x14ac:dyDescent="0.25"/>
    <row r="73" spans="3:11" ht="16.149999999999999" customHeight="1" x14ac:dyDescent="0.25">
      <c r="H73" s="172" t="s">
        <v>178</v>
      </c>
      <c r="I73" s="172"/>
      <c r="J73" s="172"/>
      <c r="K73" s="172"/>
    </row>
    <row r="74" spans="3:11" ht="16.149999999999999" customHeight="1" x14ac:dyDescent="0.25">
      <c r="H74" s="172"/>
      <c r="I74" s="172"/>
      <c r="J74" s="172"/>
      <c r="K74" s="172"/>
    </row>
  </sheetData>
  <sheetProtection selectLockedCells="1"/>
  <mergeCells count="58">
    <mergeCell ref="T2:Y6"/>
    <mergeCell ref="H23:H24"/>
    <mergeCell ref="H73:K73"/>
    <mergeCell ref="H51:H52"/>
    <mergeCell ref="K49:K50"/>
    <mergeCell ref="N1:Q3"/>
    <mergeCell ref="H9:K9"/>
    <mergeCell ref="H25:H26"/>
    <mergeCell ref="I49:I50"/>
    <mergeCell ref="I51:I52"/>
    <mergeCell ref="I47:I48"/>
    <mergeCell ref="J47:J48"/>
    <mergeCell ref="J49:J50"/>
    <mergeCell ref="C22:D22"/>
    <mergeCell ref="C11:F11"/>
    <mergeCell ref="H21:H22"/>
    <mergeCell ref="H11:K11"/>
    <mergeCell ref="H13:K13"/>
    <mergeCell ref="C13:F13"/>
    <mergeCell ref="H15:H18"/>
    <mergeCell ref="H19:H20"/>
    <mergeCell ref="C18:D18"/>
    <mergeCell ref="C14:D14"/>
    <mergeCell ref="C19:D19"/>
    <mergeCell ref="C20:D20"/>
    <mergeCell ref="C21:D21"/>
    <mergeCell ref="C15:D15"/>
    <mergeCell ref="D5:F5"/>
    <mergeCell ref="D6:F6"/>
    <mergeCell ref="C16:D16"/>
    <mergeCell ref="C17:D17"/>
    <mergeCell ref="C9:F9"/>
    <mergeCell ref="C23:D23"/>
    <mergeCell ref="C24:D24"/>
    <mergeCell ref="C25:D25"/>
    <mergeCell ref="C26:D26"/>
    <mergeCell ref="C27:D27"/>
    <mergeCell ref="C29:D29"/>
    <mergeCell ref="C30:D30"/>
    <mergeCell ref="C31:D31"/>
    <mergeCell ref="C32:D32"/>
    <mergeCell ref="C33:D33"/>
    <mergeCell ref="C3:F3"/>
    <mergeCell ref="H74:K74"/>
    <mergeCell ref="C39:D39"/>
    <mergeCell ref="C40:D40"/>
    <mergeCell ref="C41:D41"/>
    <mergeCell ref="C42:D42"/>
    <mergeCell ref="H6:J6"/>
    <mergeCell ref="H7:J7"/>
    <mergeCell ref="D7:F7"/>
    <mergeCell ref="C6:C7"/>
    <mergeCell ref="C34:D34"/>
    <mergeCell ref="C35:D35"/>
    <mergeCell ref="C28:D28"/>
    <mergeCell ref="C36:D36"/>
    <mergeCell ref="C37:D37"/>
    <mergeCell ref="C38:D38"/>
  </mergeCells>
  <conditionalFormatting sqref="F15:F52">
    <cfRule type="cellIs" dxfId="1" priority="1" operator="equal">
      <formula>"?"</formula>
    </cfRule>
    <cfRule type="containsText" dxfId="0" priority="2" operator="containsText" text="N/A">
      <formula>NOT(ISERROR(SEARCH("N/A",F15)))</formula>
    </cfRule>
  </conditionalFormatting>
  <pageMargins left="0.23622047244094491" right="0.23622047244094491" top="0.31496062992125984" bottom="0.74803149606299213" header="0.31496062992125984" footer="0.31496062992125984"/>
  <pageSetup paperSize="9" scale="43" orientation="portrait" r:id="rId1"/>
  <headerFooter>
    <oddFooter xml:space="preserve">&amp;C&amp;"Arial,Bold"&amp;14Document Level: 3 | TEC-ENG-FOR-0029 | Rev: 5 | Associated Procedure: TEC-ENG-PRO-0005&amp;"Arial,Regular"
Paper copies are uncontrolled. This copy was valid at time of printing. For an up-to-date copy, please visit One Point&amp;"-,Regular"&amp;11
</oddFooter>
  </headerFooter>
  <ignoredErrors>
    <ignoredError sqref="F24" evalError="1"/>
    <ignoredError sqref="J28:J3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12Labels">
                <anchor moveWithCells="1" sizeWithCells="1">
                  <from>
                    <xdr:col>13</xdr:col>
                    <xdr:colOff>57150</xdr:colOff>
                    <xdr:row>2</xdr:row>
                    <xdr:rowOff>133350</xdr:rowOff>
                  </from>
                  <to>
                    <xdr:col>17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F34Labels">
                <anchor moveWithCells="1" sizeWithCells="1">
                  <from>
                    <xdr:col>13</xdr:col>
                    <xdr:colOff>57150</xdr:colOff>
                    <xdr:row>3</xdr:row>
                    <xdr:rowOff>133350</xdr:rowOff>
                  </from>
                  <to>
                    <xdr:col>17</xdr:col>
                    <xdr:colOff>19050</xdr:colOff>
                    <xdr:row>5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E5BB82E0-3539-48C0-A594-A6981DE2CEF0}">
          <x14:formula1>
            <xm:f>'TCE Data'!$E$5:$E$33</xm:f>
          </x14:formula1>
          <xm:sqref>F18</xm:sqref>
        </x14:dataValidation>
        <x14:dataValidation type="list" allowBlank="1" showInputMessage="1" showErrorMessage="1" xr:uid="{DD80E5E4-FACD-4ABD-A2AE-EF82F0FC6036}">
          <x14:formula1>
            <xm:f>'TCE Data'!$D$5:$D$24</xm:f>
          </x14:formula1>
          <xm:sqref>F20</xm:sqref>
        </x14:dataValidation>
        <x14:dataValidation type="list" allowBlank="1" showInputMessage="1" showErrorMessage="1" xr:uid="{780B139A-3BDE-48AD-A113-E566E757A90C}">
          <x14:formula1>
            <xm:f>'TCE Data'!$W$6:$W$12</xm:f>
          </x14:formula1>
          <xm:sqref>H11:K11</xm:sqref>
        </x14:dataValidation>
        <x14:dataValidation type="list" allowBlank="1" showInputMessage="1" showErrorMessage="1" xr:uid="{A09DB41B-A815-419A-9080-78E6E04305E8}">
          <x14:formula1>
            <xm:f>'TCE Data'!$M$5:$M$7</xm:f>
          </x14:formula1>
          <xm:sqref>F28</xm:sqref>
        </x14:dataValidation>
        <x14:dataValidation type="list" allowBlank="1" showInputMessage="1" showErrorMessage="1" xr:uid="{B63FEAB9-5715-4349-8E30-9EAF5E1C565B}">
          <x14:formula1>
            <xm:f>'TCE Data'!$O$5:$O$6</xm:f>
          </x14:formula1>
          <xm:sqref>F32</xm:sqref>
        </x14:dataValidation>
        <x14:dataValidation type="list" allowBlank="1" showInputMessage="1" showErrorMessage="1" xr:uid="{701E7638-4E23-4E70-88C1-9E002852F0EF}">
          <x14:formula1>
            <xm:f>'TCE Data'!$K$5:$K$9</xm:f>
          </x14:formula1>
          <xm:sqref>F26</xm:sqref>
        </x14:dataValidation>
        <x14:dataValidation type="list" allowBlank="1" showInputMessage="1" showErrorMessage="1" xr:uid="{A4CBBBCC-57FF-4FA9-AE51-1FA01E694C97}">
          <x14:formula1>
            <xm:f>'TCE Data'!$N$5:$N$16</xm:f>
          </x14:formula1>
          <xm:sqref>F29</xm:sqref>
        </x14:dataValidation>
        <x14:dataValidation type="list" allowBlank="1" showInputMessage="1" showErrorMessage="1" xr:uid="{8291A50B-6E49-4B6D-816A-41DE723DFD67}">
          <x14:formula1>
            <xm:f>'TCE Data'!$L$5:$L$9</xm:f>
          </x14:formula1>
          <xm:sqref>F27</xm:sqref>
        </x14:dataValidation>
        <x14:dataValidation type="list" allowBlank="1" showInputMessage="1" showErrorMessage="1" xr:uid="{D936294B-3E04-4A74-9044-79B47337FAA8}">
          <x14:formula1>
            <xm:f>'TCE Data'!$P$5:$P$12</xm:f>
          </x14:formula1>
          <xm:sqref>F43</xm:sqref>
        </x14:dataValidation>
        <x14:dataValidation type="list" allowBlank="1" showInputMessage="1" showErrorMessage="1" xr:uid="{4613D085-1F91-49E8-BD3E-522C520697E0}">
          <x14:formula1>
            <xm:f>'TCE Data'!$R$5:$R$9</xm:f>
          </x14:formula1>
          <xm:sqref>F46</xm:sqref>
        </x14:dataValidation>
        <x14:dataValidation type="list" allowBlank="1" showInputMessage="1" showErrorMessage="1" xr:uid="{F4DD6C11-936C-48D8-8A93-12F3B7783D83}">
          <x14:formula1>
            <xm:f>'TCE Data'!$S$5:$S$8</xm:f>
          </x14:formula1>
          <xm:sqref>F48:F49</xm:sqref>
        </x14:dataValidation>
        <x14:dataValidation type="list" allowBlank="1" showInputMessage="1" showErrorMessage="1" xr:uid="{0F762782-337F-47DB-83CA-F618AABDA909}">
          <x14:formula1>
            <xm:f>'TCE Data'!$U$5:$U$8</xm:f>
          </x14:formula1>
          <xm:sqref>F50</xm:sqref>
        </x14:dataValidation>
        <x14:dataValidation type="list" allowBlank="1" showInputMessage="1" showErrorMessage="1" xr:uid="{C15799DB-EC31-45D8-A53E-1F1C7F21413E}">
          <x14:formula1>
            <xm:f>'TCE Data'!$Q$5:$Q$11</xm:f>
          </x14:formula1>
          <xm:sqref>F44</xm:sqref>
        </x14:dataValidation>
        <x14:dataValidation type="list" allowBlank="1" showInputMessage="1" showErrorMessage="1" xr:uid="{FB4CFC59-A638-46FE-9654-E82E891C516A}">
          <x14:formula1>
            <xm:f>'TCE Data'!$C$5:$C$11</xm:f>
          </x14:formula1>
          <xm:sqref>F16</xm:sqref>
        </x14:dataValidation>
        <x14:dataValidation type="list" allowBlank="1" showInputMessage="1" showErrorMessage="1" xr:uid="{5600F767-B71E-4A1F-987C-0FD3CAD9F4FD}">
          <x14:formula1>
            <xm:f>'TCE Data'!$C$12:$C$14</xm:f>
          </x14:formula1>
          <xm:sqref>F31</xm:sqref>
        </x14:dataValidation>
        <x14:dataValidation type="list" allowBlank="1" showInputMessage="1" showErrorMessage="1" xr:uid="{9B815089-836C-44BB-9B4F-8D887E216218}">
          <x14:formula1>
            <xm:f>'TCE Data'!$F$5:$F$17</xm:f>
          </x14:formula1>
          <xm:sqref>F23</xm:sqref>
        </x14:dataValidation>
        <x14:dataValidation type="list" allowBlank="1" showInputMessage="1" showErrorMessage="1" xr:uid="{07AEE309-1F71-490F-8ADC-5F235EA51103}">
          <x14:formula1>
            <xm:f>'TCE Data'!$C$16:$C$22</xm:f>
          </x14:formula1>
          <xm:sqref>F15</xm:sqref>
        </x14:dataValidation>
        <x14:dataValidation type="list" allowBlank="1" showInputMessage="1" showErrorMessage="1" xr:uid="{44A8FD7E-D1A5-4DDB-8465-AA9E35CEF01F}">
          <x14:formula1>
            <xm:f>'TCE Data'!$J$5:$J$15</xm:f>
          </x14:formula1>
          <xm:sqref>F25</xm:sqref>
        </x14:dataValidation>
        <x14:dataValidation type="list" allowBlank="1" showInputMessage="1" showErrorMessage="1" xr:uid="{6E62C14A-DEF8-4E38-831E-8B0012788BF6}">
          <x14:formula1>
            <xm:f>'TCE Data'!$H$5:$H$10</xm:f>
          </x14:formula1>
          <xm:sqref>F22</xm:sqref>
        </x14:dataValidation>
        <x14:dataValidation type="list" allowBlank="1" showInputMessage="1" showErrorMessage="1" xr:uid="{AF557714-1F7B-4EA5-8351-03D595B6E518}">
          <x14:formula1>
            <xm:f>'TCE Data'!$G$11:$G$12</xm:f>
          </x14:formula1>
          <xm:sqref>F39</xm:sqref>
        </x14:dataValidation>
        <x14:dataValidation type="list" allowBlank="1" showInputMessage="1" showErrorMessage="1" xr:uid="{4DDD3CA2-E3D2-45B7-9BCD-6D227815BA3C}">
          <x14:formula1>
            <xm:f>'TCE Data'!$G$5:$G$10</xm:f>
          </x14:formula1>
          <xm:sqref>F21</xm:sqref>
        </x14:dataValidation>
        <x14:dataValidation type="list" allowBlank="1" showInputMessage="1" showErrorMessage="1" xr:uid="{4DF851CC-1527-4413-9980-CDD8E77BBC7B}">
          <x14:formula1>
            <xm:f>'TCE Data'!$F$34:$F$37</xm:f>
          </x14:formula1>
          <xm:sqref>F30</xm:sqref>
        </x14:dataValidation>
        <x14:dataValidation type="list" allowBlank="1" showInputMessage="1" showErrorMessage="1" xr:uid="{6C8ED767-A9A6-4145-816A-DA6A95444B8C}">
          <x14:formula1>
            <xm:f>'TCE Data'!$F$32:$F$33</xm:f>
          </x14:formula1>
          <xm:sqref>F17</xm:sqref>
        </x14:dataValidation>
        <x14:dataValidation type="list" allowBlank="1" showInputMessage="1" showErrorMessage="1" xr:uid="{1030DA02-B8D4-474C-80F5-3604271CA82C}">
          <x14:formula1>
            <xm:f>'TCE Data'!$F$30:$F$31</xm:f>
          </x14:formula1>
          <xm:sqref>F40</xm:sqref>
        </x14:dataValidation>
        <x14:dataValidation type="list" allowBlank="1" showInputMessage="1" showErrorMessage="1" xr:uid="{CDE379EE-7E7C-4753-B11C-AD4E4DDFB1FA}">
          <x14:formula1>
            <xm:f>'TCE Data'!$F$28:$F$29</xm:f>
          </x14:formula1>
          <xm:sqref>F45</xm:sqref>
        </x14:dataValidation>
        <x14:dataValidation type="list" allowBlank="1" showInputMessage="1" showErrorMessage="1" xr:uid="{5B357A44-ED76-4410-9B88-AD1F1B1A5397}">
          <x14:formula1>
            <xm:f>'TCE Data'!$F$26:$F$27</xm:f>
          </x14:formula1>
          <xm:sqref>F33</xm:sqref>
        </x14:dataValidation>
        <x14:dataValidation type="list" allowBlank="1" showInputMessage="1" showErrorMessage="1" xr:uid="{93B4F978-D034-4B28-9F0C-601127A30742}">
          <x14:formula1>
            <xm:f>'TCE Data'!$F$22:$F$23</xm:f>
          </x14:formula1>
          <xm:sqref>F41</xm:sqref>
        </x14:dataValidation>
        <x14:dataValidation type="list" allowBlank="1" showInputMessage="1" showErrorMessage="1" xr:uid="{ECDCA169-3463-4985-A893-0A892D661D29}">
          <x14:formula1>
            <xm:f>'TCE Data'!$J$19:$J$22</xm:f>
          </x14:formula1>
          <xm:sqref>F38</xm:sqref>
        </x14:dataValidation>
        <x14:dataValidation type="list" allowBlank="1" showInputMessage="1" showErrorMessage="1" xr:uid="{BFFD8947-1ADA-4B30-8286-1BFE8DF27384}">
          <x14:formula1>
            <xm:f>'TCE Data'!$F$18:$F$21</xm:f>
          </x14:formula1>
          <xm:sqref>F47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B3A99-8F9B-4A1F-BB37-774FA5CB2F2C}">
  <sheetPr codeName="Sheet4">
    <pageSetUpPr fitToPage="1"/>
  </sheetPr>
  <dimension ref="B2:AI70"/>
  <sheetViews>
    <sheetView view="pageBreakPreview" zoomScale="110" zoomScaleNormal="80" zoomScaleSheetLayoutView="80" workbookViewId="0">
      <selection activeCell="AI2" sqref="AI2:AI3"/>
    </sheetView>
  </sheetViews>
  <sheetFormatPr defaultColWidth="8.85546875" defaultRowHeight="15" x14ac:dyDescent="0.25"/>
  <cols>
    <col min="1" max="29" width="3.28515625" style="24" customWidth="1"/>
    <col min="30" max="30" width="5.7109375" style="24" customWidth="1"/>
    <col min="31" max="32" width="3.28515625" style="24" customWidth="1"/>
    <col min="33" max="16384" width="8.85546875" style="24"/>
  </cols>
  <sheetData>
    <row r="2" spans="2:35" x14ac:dyDescent="0.25">
      <c r="B2" s="41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3"/>
      <c r="AI2" s="218" t="s">
        <v>179</v>
      </c>
    </row>
    <row r="3" spans="2:35" ht="21" customHeight="1" x14ac:dyDescent="0.25">
      <c r="B3" s="26"/>
      <c r="C3" s="219" t="s">
        <v>180</v>
      </c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34"/>
      <c r="AE3" s="34"/>
      <c r="AF3" s="34"/>
      <c r="AG3" s="34"/>
      <c r="AH3" s="27"/>
      <c r="AI3" s="218"/>
    </row>
    <row r="4" spans="2:35" ht="21" customHeight="1" x14ac:dyDescent="0.25">
      <c r="B4" s="26"/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34"/>
      <c r="AE4" s="34"/>
      <c r="AF4" s="34"/>
      <c r="AG4" s="34"/>
      <c r="AH4" s="27"/>
      <c r="AI4" s="40"/>
    </row>
    <row r="5" spans="2:35" x14ac:dyDescent="0.25">
      <c r="B5" s="26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27"/>
    </row>
    <row r="6" spans="2:35" x14ac:dyDescent="0.25">
      <c r="B6" s="44"/>
      <c r="AH6" s="45"/>
    </row>
    <row r="7" spans="2:35" x14ac:dyDescent="0.25">
      <c r="B7" s="44"/>
      <c r="F7" s="46" t="s">
        <v>181</v>
      </c>
      <c r="AH7" s="45"/>
    </row>
    <row r="8" spans="2:35" x14ac:dyDescent="0.25">
      <c r="B8" s="44"/>
      <c r="AH8" s="45"/>
    </row>
    <row r="9" spans="2:35" x14ac:dyDescent="0.25">
      <c r="B9" s="44"/>
      <c r="C9" s="47" t="s">
        <v>182</v>
      </c>
      <c r="F9" s="128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162"/>
      <c r="AE9" s="213" t="s">
        <v>183</v>
      </c>
      <c r="AH9" s="45"/>
    </row>
    <row r="10" spans="2:35" x14ac:dyDescent="0.25">
      <c r="B10" s="44"/>
      <c r="C10" s="48">
        <v>1</v>
      </c>
      <c r="F10" s="12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155"/>
      <c r="V10" s="156"/>
      <c r="W10" s="156"/>
      <c r="X10" s="156"/>
      <c r="Y10" s="156"/>
      <c r="Z10" s="156"/>
      <c r="AA10" s="156"/>
      <c r="AB10" s="162"/>
      <c r="AC10" s="130"/>
      <c r="AE10" s="214"/>
      <c r="AH10" s="45"/>
    </row>
    <row r="11" spans="2:35" x14ac:dyDescent="0.25">
      <c r="B11" s="44"/>
      <c r="F11" s="12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157"/>
      <c r="V11" s="245" t="s">
        <v>599</v>
      </c>
      <c r="W11" s="245"/>
      <c r="X11" s="246"/>
      <c r="Y11" s="245"/>
      <c r="Z11" s="151"/>
      <c r="AA11" s="152"/>
      <c r="AB11" s="130"/>
      <c r="AC11" s="130"/>
      <c r="AE11" s="214"/>
      <c r="AH11" s="45"/>
    </row>
    <row r="12" spans="2:35" x14ac:dyDescent="0.25">
      <c r="B12" s="44"/>
      <c r="F12" s="12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157"/>
      <c r="V12" s="245" t="s">
        <v>598</v>
      </c>
      <c r="W12" s="245"/>
      <c r="X12" s="245"/>
      <c r="Y12" s="245"/>
      <c r="Z12" s="151"/>
      <c r="AA12" s="153"/>
      <c r="AB12" s="130"/>
      <c r="AC12" s="130"/>
      <c r="AE12" s="214"/>
      <c r="AH12" s="45"/>
    </row>
    <row r="13" spans="2:35" ht="13.5" customHeight="1" x14ac:dyDescent="0.25">
      <c r="B13" s="44"/>
      <c r="F13" s="131" t="s">
        <v>184</v>
      </c>
      <c r="G13" s="132"/>
      <c r="H13" s="132"/>
      <c r="I13" s="132"/>
      <c r="J13" s="132"/>
      <c r="K13" s="132"/>
      <c r="L13" s="169"/>
      <c r="M13" s="132"/>
      <c r="N13" s="132"/>
      <c r="O13" s="132"/>
      <c r="P13" s="132"/>
      <c r="Q13" s="132"/>
      <c r="R13" s="132"/>
      <c r="S13" s="132"/>
      <c r="T13" s="132"/>
      <c r="U13" s="158"/>
      <c r="V13" s="245" t="s">
        <v>600</v>
      </c>
      <c r="W13" s="245"/>
      <c r="X13" s="245"/>
      <c r="Y13" s="245"/>
      <c r="Z13" s="151"/>
      <c r="AA13" s="153"/>
      <c r="AB13" s="165"/>
      <c r="AC13" s="133" t="s">
        <v>184</v>
      </c>
      <c r="AE13" s="214"/>
      <c r="AH13" s="45"/>
    </row>
    <row r="14" spans="2:35" ht="15" customHeight="1" x14ac:dyDescent="0.25">
      <c r="B14" s="44"/>
      <c r="F14" s="12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159"/>
      <c r="V14" s="154"/>
      <c r="W14" s="154"/>
      <c r="X14" s="154"/>
      <c r="Y14" s="154"/>
      <c r="Z14" s="154"/>
      <c r="AA14" s="167"/>
      <c r="AB14" s="130"/>
      <c r="AC14" s="130"/>
      <c r="AE14" s="214"/>
      <c r="AH14" s="45"/>
    </row>
    <row r="15" spans="2:35" x14ac:dyDescent="0.25">
      <c r="B15" s="44"/>
      <c r="F15" s="12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160"/>
      <c r="V15" s="161"/>
      <c r="W15" s="161"/>
      <c r="X15" s="161"/>
      <c r="Y15" s="161"/>
      <c r="Z15" s="161"/>
      <c r="AA15" s="168"/>
      <c r="AB15" s="166"/>
      <c r="AC15" s="130"/>
      <c r="AE15" s="214"/>
      <c r="AH15" s="45"/>
    </row>
    <row r="16" spans="2:35" x14ac:dyDescent="0.25">
      <c r="B16" s="44"/>
      <c r="F16" s="12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130"/>
      <c r="AE16" s="214"/>
      <c r="AH16" s="45"/>
    </row>
    <row r="17" spans="2:34" ht="13.9" customHeight="1" x14ac:dyDescent="0.25">
      <c r="B17" s="44"/>
      <c r="F17" s="129"/>
      <c r="G17" s="49"/>
      <c r="H17" s="49"/>
      <c r="I17" s="49"/>
      <c r="J17" s="49"/>
      <c r="K17" s="49"/>
      <c r="L17" s="134"/>
      <c r="M17" s="134"/>
      <c r="N17" s="134"/>
      <c r="O17" s="170" t="s">
        <v>185</v>
      </c>
      <c r="P17" s="135" t="str">
        <f>'TEC-ENG-FOR-0029'!D5</f>
        <v>C12345</v>
      </c>
      <c r="Q17" s="49"/>
      <c r="R17" s="49"/>
      <c r="S17" s="49"/>
      <c r="T17" s="49"/>
      <c r="U17" s="134" t="s">
        <v>186</v>
      </c>
      <c r="V17" s="49"/>
      <c r="W17" s="231" t="str">
        <f>'TEC-ENG-FOR-0029'!K6</f>
        <v>(e.g. JAN. 2027)</v>
      </c>
      <c r="X17" s="231"/>
      <c r="Y17" s="231"/>
      <c r="Z17" s="231"/>
      <c r="AA17" s="231"/>
      <c r="AB17" s="49"/>
      <c r="AC17" s="130"/>
      <c r="AE17" s="214"/>
      <c r="AH17" s="45"/>
    </row>
    <row r="18" spans="2:34" ht="15" customHeight="1" x14ac:dyDescent="0.25">
      <c r="B18" s="44"/>
      <c r="F18" s="136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137"/>
      <c r="AE18" s="220"/>
      <c r="AH18" s="45"/>
    </row>
    <row r="19" spans="2:34" x14ac:dyDescent="0.25">
      <c r="B19" s="44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E19" s="64"/>
      <c r="AH19" s="45"/>
    </row>
    <row r="20" spans="2:34" x14ac:dyDescent="0.25">
      <c r="B20" s="44"/>
      <c r="F20" s="225" t="s">
        <v>187</v>
      </c>
      <c r="G20" s="226"/>
      <c r="H20" s="226"/>
      <c r="I20" s="226"/>
      <c r="J20" s="22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7"/>
      <c r="AH20" s="45"/>
    </row>
    <row r="21" spans="2:34" x14ac:dyDescent="0.25">
      <c r="B21" s="44"/>
      <c r="AH21" s="45"/>
    </row>
    <row r="22" spans="2:34" x14ac:dyDescent="0.25">
      <c r="B22" s="44"/>
      <c r="F22" s="46" t="s">
        <v>188</v>
      </c>
      <c r="AH22" s="45"/>
    </row>
    <row r="23" spans="2:34" x14ac:dyDescent="0.25">
      <c r="B23" s="44"/>
      <c r="AH23" s="45"/>
    </row>
    <row r="24" spans="2:34" ht="14.45" customHeight="1" x14ac:dyDescent="0.25">
      <c r="B24" s="44"/>
      <c r="C24" s="47" t="s">
        <v>182</v>
      </c>
      <c r="F24" s="72"/>
      <c r="G24" s="221" t="str">
        <f>'TEC-ENG-FOR-0029'!D6</f>
        <v>XYZ Treament Works</v>
      </c>
      <c r="H24" s="221"/>
      <c r="I24" s="221"/>
      <c r="J24" s="221"/>
      <c r="K24" s="221"/>
      <c r="L24" s="221"/>
      <c r="M24" s="221"/>
      <c r="N24" s="221"/>
      <c r="O24" s="221"/>
      <c r="P24" s="221"/>
      <c r="Q24" s="221"/>
      <c r="R24" s="221"/>
      <c r="S24" s="221"/>
      <c r="T24" s="221"/>
      <c r="U24" s="221"/>
      <c r="V24" s="221"/>
      <c r="W24" s="221"/>
      <c r="X24" s="221"/>
      <c r="Y24" s="221"/>
      <c r="Z24" s="221"/>
      <c r="AA24" s="221"/>
      <c r="AB24" s="221"/>
      <c r="AC24" s="228" t="s">
        <v>184</v>
      </c>
      <c r="AE24" s="213" t="s">
        <v>189</v>
      </c>
      <c r="AH24" s="45"/>
    </row>
    <row r="25" spans="2:34" ht="14.45" customHeight="1" x14ac:dyDescent="0.25">
      <c r="B25" s="44"/>
      <c r="C25" s="48">
        <v>1</v>
      </c>
      <c r="F25" s="73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2"/>
      <c r="W25" s="222"/>
      <c r="X25" s="222"/>
      <c r="Y25" s="222"/>
      <c r="Z25" s="222"/>
      <c r="AA25" s="222"/>
      <c r="AB25" s="222"/>
      <c r="AC25" s="229"/>
      <c r="AE25" s="214"/>
      <c r="AH25" s="45"/>
    </row>
    <row r="26" spans="2:34" ht="14.45" customHeight="1" x14ac:dyDescent="0.25">
      <c r="B26" s="44"/>
      <c r="F26" s="73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  <c r="AA26" s="222"/>
      <c r="AB26" s="222"/>
      <c r="AC26" s="229"/>
      <c r="AE26" s="214"/>
      <c r="AH26" s="45"/>
    </row>
    <row r="27" spans="2:34" ht="14.45" customHeight="1" x14ac:dyDescent="0.25">
      <c r="B27" s="44"/>
      <c r="F27" s="73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  <c r="Z27" s="222"/>
      <c r="AA27" s="222"/>
      <c r="AB27" s="222"/>
      <c r="AC27" s="229"/>
      <c r="AE27" s="214"/>
      <c r="AH27" s="45"/>
    </row>
    <row r="28" spans="2:34" ht="15.6" customHeight="1" x14ac:dyDescent="0.25">
      <c r="B28" s="44"/>
      <c r="F28" s="65" t="s">
        <v>184</v>
      </c>
      <c r="G28" s="222"/>
      <c r="H28" s="22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9"/>
      <c r="AE28" s="214"/>
      <c r="AH28" s="45"/>
    </row>
    <row r="29" spans="2:34" ht="14.45" customHeight="1" x14ac:dyDescent="0.25">
      <c r="B29" s="44"/>
      <c r="F29" s="65"/>
      <c r="G29" s="223" t="str">
        <f>'TEC-ENG-FOR-0029'!D7</f>
        <v>Example No1 MCC</v>
      </c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9"/>
      <c r="AE29" s="214"/>
      <c r="AH29" s="45"/>
    </row>
    <row r="30" spans="2:34" ht="14.45" customHeight="1" x14ac:dyDescent="0.25">
      <c r="B30" s="44"/>
      <c r="F30" s="7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9"/>
      <c r="AE30" s="214"/>
      <c r="AH30" s="45"/>
    </row>
    <row r="31" spans="2:34" ht="14.45" customHeight="1" x14ac:dyDescent="0.25">
      <c r="B31" s="44"/>
      <c r="F31" s="7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9"/>
      <c r="AE31" s="214"/>
      <c r="AH31" s="45"/>
    </row>
    <row r="32" spans="2:34" ht="14.45" customHeight="1" x14ac:dyDescent="0.25">
      <c r="B32" s="44"/>
      <c r="F32" s="7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9"/>
      <c r="AE32" s="214"/>
      <c r="AH32" s="45"/>
    </row>
    <row r="33" spans="2:34" ht="14.45" customHeight="1" x14ac:dyDescent="0.25">
      <c r="B33" s="44"/>
      <c r="F33" s="7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  <c r="R33" s="224"/>
      <c r="S33" s="224"/>
      <c r="T33" s="224"/>
      <c r="U33" s="224"/>
      <c r="V33" s="224"/>
      <c r="W33" s="224"/>
      <c r="X33" s="224"/>
      <c r="Y33" s="224"/>
      <c r="Z33" s="224"/>
      <c r="AA33" s="224"/>
      <c r="AB33" s="224"/>
      <c r="AC33" s="230"/>
      <c r="AE33" s="220"/>
      <c r="AH33" s="45"/>
    </row>
    <row r="34" spans="2:34" x14ac:dyDescent="0.25">
      <c r="B34" s="44"/>
      <c r="AH34" s="45"/>
    </row>
    <row r="35" spans="2:34" x14ac:dyDescent="0.25">
      <c r="B35" s="44"/>
      <c r="F35" s="225" t="s">
        <v>190</v>
      </c>
      <c r="G35" s="226"/>
      <c r="H35" s="226"/>
      <c r="I35" s="226"/>
      <c r="J35" s="226"/>
      <c r="K35" s="226"/>
      <c r="L35" s="226"/>
      <c r="M35" s="226"/>
      <c r="N35" s="226"/>
      <c r="O35" s="226"/>
      <c r="P35" s="226"/>
      <c r="Q35" s="226"/>
      <c r="R35" s="226"/>
      <c r="S35" s="226"/>
      <c r="T35" s="226"/>
      <c r="U35" s="226"/>
      <c r="V35" s="226"/>
      <c r="W35" s="226"/>
      <c r="X35" s="226"/>
      <c r="Y35" s="226"/>
      <c r="Z35" s="226"/>
      <c r="AA35" s="226"/>
      <c r="AB35" s="226"/>
      <c r="AC35" s="227"/>
      <c r="AH35" s="45"/>
    </row>
    <row r="36" spans="2:34" x14ac:dyDescent="0.25">
      <c r="B36" s="44"/>
      <c r="AH36" s="45"/>
    </row>
    <row r="37" spans="2:34" x14ac:dyDescent="0.25">
      <c r="B37" s="44"/>
      <c r="F37" s="46" t="s">
        <v>191</v>
      </c>
      <c r="AH37" s="45"/>
    </row>
    <row r="38" spans="2:34" x14ac:dyDescent="0.25">
      <c r="B38" s="44"/>
      <c r="AH38" s="45"/>
    </row>
    <row r="39" spans="2:34" ht="14.45" customHeight="1" x14ac:dyDescent="0.25">
      <c r="B39" s="44"/>
      <c r="C39" s="47" t="s">
        <v>182</v>
      </c>
      <c r="F39" s="233" t="s">
        <v>184</v>
      </c>
      <c r="G39" s="25"/>
      <c r="H39" s="215" t="s">
        <v>192</v>
      </c>
      <c r="I39" s="215"/>
      <c r="J39" s="215"/>
      <c r="K39" s="215"/>
      <c r="L39" s="215"/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5"/>
      <c r="AC39" s="236" t="s">
        <v>184</v>
      </c>
      <c r="AE39" s="213" t="s">
        <v>189</v>
      </c>
      <c r="AH39" s="45"/>
    </row>
    <row r="40" spans="2:34" ht="14.45" customHeight="1" x14ac:dyDescent="0.25">
      <c r="B40" s="44"/>
      <c r="C40" s="48">
        <v>1</v>
      </c>
      <c r="F40" s="234"/>
      <c r="G40" s="49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49"/>
      <c r="AC40" s="237"/>
      <c r="AE40" s="214"/>
      <c r="AH40" s="45"/>
    </row>
    <row r="41" spans="2:34" ht="4.9000000000000004" customHeight="1" x14ac:dyDescent="0.25">
      <c r="B41" s="44"/>
      <c r="F41" s="234"/>
      <c r="G41" s="34"/>
      <c r="H41" s="216"/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  <c r="AB41" s="49"/>
      <c r="AC41" s="237"/>
      <c r="AE41" s="214"/>
      <c r="AH41" s="45"/>
    </row>
    <row r="42" spans="2:34" x14ac:dyDescent="0.25">
      <c r="B42" s="44"/>
      <c r="F42" s="234"/>
      <c r="G42" s="49" t="s">
        <v>193</v>
      </c>
      <c r="H42" s="49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127" t="str">
        <f>'TEC-ENG-FOR-0029'!F15</f>
        <v>3Ph. 4-Wire</v>
      </c>
      <c r="V42" s="49"/>
      <c r="W42" s="49"/>
      <c r="X42" s="49"/>
      <c r="Y42" s="49"/>
      <c r="Z42" s="49"/>
      <c r="AA42" s="49"/>
      <c r="AB42" s="49"/>
      <c r="AC42" s="237"/>
      <c r="AE42" s="214"/>
      <c r="AH42" s="45"/>
    </row>
    <row r="43" spans="2:34" x14ac:dyDescent="0.25">
      <c r="B43" s="44"/>
      <c r="F43" s="234"/>
      <c r="G43" s="49" t="s">
        <v>194</v>
      </c>
      <c r="H43" s="49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127" t="str">
        <f>'TEC-ENG-FOR-0029'!F16</f>
        <v>TN-C</v>
      </c>
      <c r="V43" s="49"/>
      <c r="W43" s="49"/>
      <c r="X43" s="49"/>
      <c r="Y43" s="49"/>
      <c r="Z43" s="49"/>
      <c r="AA43" s="49"/>
      <c r="AB43" s="49"/>
      <c r="AC43" s="237"/>
      <c r="AE43" s="214"/>
      <c r="AH43" s="45"/>
    </row>
    <row r="44" spans="2:34" x14ac:dyDescent="0.25">
      <c r="B44" s="44"/>
      <c r="F44" s="234"/>
      <c r="G44" s="49" t="s">
        <v>195</v>
      </c>
      <c r="H44" s="49"/>
      <c r="I44" s="34"/>
      <c r="J44" s="50"/>
      <c r="K44" s="50"/>
      <c r="L44" s="34"/>
      <c r="M44" s="34"/>
      <c r="N44" s="49"/>
      <c r="O44" s="49"/>
      <c r="P44" s="49"/>
      <c r="Q44" s="49"/>
      <c r="R44" s="49"/>
      <c r="S44" s="49"/>
      <c r="T44" s="49"/>
      <c r="U44" s="217" t="str">
        <f>'TEC-ENG-FOR-0029'!F25</f>
        <v>400VAC</v>
      </c>
      <c r="V44" s="217"/>
      <c r="W44" s="217"/>
      <c r="X44" s="217"/>
      <c r="Y44" s="217"/>
      <c r="Z44" s="217"/>
      <c r="AA44" s="217"/>
      <c r="AB44" s="217"/>
      <c r="AC44" s="237"/>
      <c r="AE44" s="214"/>
      <c r="AH44" s="45"/>
    </row>
    <row r="45" spans="2:34" x14ac:dyDescent="0.25">
      <c r="B45" s="44"/>
      <c r="F45" s="234"/>
      <c r="G45" s="49" t="s">
        <v>196</v>
      </c>
      <c r="H45" s="49"/>
      <c r="I45" s="34"/>
      <c r="J45" s="50"/>
      <c r="K45" s="50"/>
      <c r="L45" s="34"/>
      <c r="M45" s="34"/>
      <c r="N45" s="49"/>
      <c r="O45" s="49"/>
      <c r="P45" s="49"/>
      <c r="Q45" s="49"/>
      <c r="R45" s="49"/>
      <c r="S45" s="49"/>
      <c r="T45" s="49"/>
      <c r="U45" s="217" t="str">
        <f>'TEC-ENG-FOR-0029'!F28</f>
        <v>50Hz</v>
      </c>
      <c r="V45" s="217"/>
      <c r="W45" s="217"/>
      <c r="X45" s="217"/>
      <c r="Y45" s="217"/>
      <c r="Z45" s="217"/>
      <c r="AA45" s="217"/>
      <c r="AB45" s="217"/>
      <c r="AC45" s="237"/>
      <c r="AE45" s="214"/>
      <c r="AH45" s="45"/>
    </row>
    <row r="46" spans="2:34" x14ac:dyDescent="0.25">
      <c r="B46" s="44"/>
      <c r="F46" s="234"/>
      <c r="G46" s="49" t="s">
        <v>197</v>
      </c>
      <c r="H46" s="49"/>
      <c r="I46" s="34"/>
      <c r="J46" s="50"/>
      <c r="K46" s="50"/>
      <c r="L46" s="34"/>
      <c r="M46" s="34"/>
      <c r="N46" s="49"/>
      <c r="O46" s="49"/>
      <c r="P46" s="49"/>
      <c r="Q46" s="49"/>
      <c r="R46" s="49"/>
      <c r="S46" s="49"/>
      <c r="T46" s="49"/>
      <c r="U46" s="109" t="str">
        <f>'TEC-ENG-FOR-0029'!F18</f>
        <v>800A</v>
      </c>
      <c r="V46" s="109"/>
      <c r="W46" s="109"/>
      <c r="X46" s="109"/>
      <c r="Y46" s="109"/>
      <c r="Z46" s="109"/>
      <c r="AA46" s="109"/>
      <c r="AB46" s="109"/>
      <c r="AC46" s="237"/>
      <c r="AE46" s="214"/>
      <c r="AH46" s="45"/>
    </row>
    <row r="47" spans="2:34" x14ac:dyDescent="0.25">
      <c r="B47" s="44"/>
      <c r="F47" s="234"/>
      <c r="G47" s="49" t="s">
        <v>198</v>
      </c>
      <c r="H47" s="49"/>
      <c r="I47" s="34"/>
      <c r="J47" s="52"/>
      <c r="K47" s="52"/>
      <c r="L47" s="49"/>
      <c r="M47" s="34"/>
      <c r="N47" s="49"/>
      <c r="O47" s="49"/>
      <c r="P47" s="49"/>
      <c r="Q47" s="49"/>
      <c r="R47" s="49"/>
      <c r="S47" s="49"/>
      <c r="T47" s="49"/>
      <c r="U47" s="232" t="str">
        <f>'TEC-ENG-FOR-0029'!K7</f>
        <v>(e.g. JAN. 2028)</v>
      </c>
      <c r="V47" s="232"/>
      <c r="W47" s="232"/>
      <c r="X47" s="232"/>
      <c r="Y47" s="232"/>
      <c r="Z47" s="232"/>
      <c r="AA47" s="232"/>
      <c r="AB47" s="232"/>
      <c r="AC47" s="237"/>
      <c r="AE47" s="214"/>
      <c r="AH47" s="45"/>
    </row>
    <row r="48" spans="2:34" x14ac:dyDescent="0.25">
      <c r="B48" s="44"/>
      <c r="F48" s="234"/>
      <c r="G48" s="49" t="s">
        <v>199</v>
      </c>
      <c r="H48" s="49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123" t="s">
        <v>200</v>
      </c>
      <c r="V48" s="49"/>
      <c r="W48" s="49"/>
      <c r="X48" s="49"/>
      <c r="Y48" s="49"/>
      <c r="Z48" s="49"/>
      <c r="AA48" s="49"/>
      <c r="AB48" s="49"/>
      <c r="AC48" s="237"/>
      <c r="AE48" s="214"/>
      <c r="AH48" s="45"/>
    </row>
    <row r="49" spans="2:34" x14ac:dyDescent="0.25">
      <c r="B49" s="44"/>
      <c r="F49" s="235"/>
      <c r="G49" s="28"/>
      <c r="H49" s="28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238"/>
      <c r="AE49" s="214"/>
      <c r="AH49" s="45"/>
    </row>
    <row r="50" spans="2:34" x14ac:dyDescent="0.25">
      <c r="B50" s="44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E50" s="60"/>
      <c r="AH50" s="45"/>
    </row>
    <row r="51" spans="2:34" x14ac:dyDescent="0.25">
      <c r="B51" s="44"/>
      <c r="F51" s="225" t="s">
        <v>190</v>
      </c>
      <c r="G51" s="226"/>
      <c r="H51" s="226"/>
      <c r="I51" s="226"/>
      <c r="J51" s="226"/>
      <c r="K51" s="226"/>
      <c r="L51" s="226"/>
      <c r="M51" s="226"/>
      <c r="N51" s="226"/>
      <c r="O51" s="226"/>
      <c r="P51" s="226"/>
      <c r="Q51" s="226"/>
      <c r="R51" s="226"/>
      <c r="S51" s="226"/>
      <c r="T51" s="226"/>
      <c r="U51" s="226"/>
      <c r="V51" s="226"/>
      <c r="W51" s="226"/>
      <c r="X51" s="226"/>
      <c r="Y51" s="226"/>
      <c r="Z51" s="226"/>
      <c r="AA51" s="226"/>
      <c r="AB51" s="226"/>
      <c r="AC51" s="227"/>
      <c r="AE51" s="61"/>
      <c r="AH51" s="45"/>
    </row>
    <row r="52" spans="2:34" x14ac:dyDescent="0.25">
      <c r="B52" s="44"/>
      <c r="AE52" s="61"/>
      <c r="AH52" s="45"/>
    </row>
    <row r="53" spans="2:34" x14ac:dyDescent="0.25">
      <c r="B53" s="44"/>
      <c r="AE53" s="61"/>
      <c r="AH53" s="45"/>
    </row>
    <row r="54" spans="2:34" x14ac:dyDescent="0.25">
      <c r="B54" s="44"/>
      <c r="F54" s="63"/>
      <c r="G54" s="58"/>
      <c r="H54" s="59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63"/>
      <c r="AE54" s="61"/>
      <c r="AH54" s="45"/>
    </row>
    <row r="55" spans="2:34" ht="19.899999999999999" customHeight="1" x14ac:dyDescent="0.25">
      <c r="B55" s="44"/>
      <c r="AH55" s="45"/>
    </row>
    <row r="56" spans="2:34" x14ac:dyDescent="0.25">
      <c r="B56" s="44"/>
      <c r="AH56" s="45"/>
    </row>
    <row r="57" spans="2:34" x14ac:dyDescent="0.25">
      <c r="B57" s="44"/>
      <c r="AH57" s="45"/>
    </row>
    <row r="58" spans="2:34" x14ac:dyDescent="0.25">
      <c r="B58" s="66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8"/>
    </row>
    <row r="59" spans="2:34" x14ac:dyDescent="0.25"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</row>
    <row r="70" ht="69" customHeight="1" x14ac:dyDescent="0.25"/>
  </sheetData>
  <sheetProtection selectLockedCells="1"/>
  <mergeCells count="18">
    <mergeCell ref="F51:AC51"/>
    <mergeCell ref="F35:AC35"/>
    <mergeCell ref="U47:AB47"/>
    <mergeCell ref="F39:F49"/>
    <mergeCell ref="AC39:AC49"/>
    <mergeCell ref="AE39:AE49"/>
    <mergeCell ref="H39:AA41"/>
    <mergeCell ref="U44:AB44"/>
    <mergeCell ref="U45:AB45"/>
    <mergeCell ref="AI2:AI3"/>
    <mergeCell ref="C3:AC4"/>
    <mergeCell ref="AE9:AE18"/>
    <mergeCell ref="G24:AB28"/>
    <mergeCell ref="AE24:AE33"/>
    <mergeCell ref="G29:AB33"/>
    <mergeCell ref="F20:AC20"/>
    <mergeCell ref="AC24:AC33"/>
    <mergeCell ref="W17:AA17"/>
  </mergeCells>
  <hyperlinks>
    <hyperlink ref="AI2:AI3" location="'TEC-ENG-FOR-0029'!A1" display="Back" xr:uid="{76F28845-328C-4DFA-B746-7B923DFA3F7A}"/>
  </hyperlinks>
  <pageMargins left="0.25" right="0.25" top="0.27500000000000002" bottom="0.75" header="0.3" footer="0.3"/>
  <pageSetup paperSize="9" scale="8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64D2C-A559-4DB8-8254-63ADDD60943F}">
  <sheetPr codeName="Sheet3">
    <pageSetUpPr fitToPage="1"/>
  </sheetPr>
  <dimension ref="B2:AI69"/>
  <sheetViews>
    <sheetView showGridLines="0" showRowColHeaders="0" view="pageBreakPreview" zoomScale="141" zoomScaleNormal="80" zoomScaleSheetLayoutView="80" workbookViewId="0">
      <selection activeCell="AI2" sqref="AI2:AI3"/>
    </sheetView>
  </sheetViews>
  <sheetFormatPr defaultColWidth="8.85546875" defaultRowHeight="15" x14ac:dyDescent="0.25"/>
  <cols>
    <col min="1" max="29" width="3.28515625" style="24" customWidth="1"/>
    <col min="30" max="30" width="5.7109375" style="24" customWidth="1"/>
    <col min="31" max="32" width="3.28515625" style="24" customWidth="1"/>
    <col min="33" max="16384" width="8.85546875" style="24"/>
  </cols>
  <sheetData>
    <row r="2" spans="2:35" x14ac:dyDescent="0.25">
      <c r="B2" s="41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3"/>
      <c r="AI2" s="218" t="s">
        <v>179</v>
      </c>
    </row>
    <row r="3" spans="2:35" ht="21" customHeight="1" x14ac:dyDescent="0.25">
      <c r="B3" s="26"/>
      <c r="C3" s="219" t="s">
        <v>201</v>
      </c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34"/>
      <c r="AE3" s="34"/>
      <c r="AF3" s="34"/>
      <c r="AG3" s="34"/>
      <c r="AH3" s="27"/>
      <c r="AI3" s="218"/>
    </row>
    <row r="4" spans="2:35" ht="21" customHeight="1" x14ac:dyDescent="0.25">
      <c r="B4" s="26"/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34"/>
      <c r="AE4" s="34"/>
      <c r="AF4" s="34"/>
      <c r="AG4" s="34"/>
      <c r="AH4" s="27"/>
      <c r="AI4" s="40"/>
    </row>
    <row r="5" spans="2:35" x14ac:dyDescent="0.25">
      <c r="B5" s="26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27"/>
    </row>
    <row r="6" spans="2:35" x14ac:dyDescent="0.25">
      <c r="B6" s="44"/>
      <c r="AH6" s="45"/>
    </row>
    <row r="7" spans="2:35" x14ac:dyDescent="0.25">
      <c r="B7" s="44"/>
      <c r="F7" s="46" t="s">
        <v>181</v>
      </c>
      <c r="AH7" s="45"/>
    </row>
    <row r="8" spans="2:35" x14ac:dyDescent="0.25">
      <c r="B8" s="44"/>
      <c r="AH8" s="45"/>
    </row>
    <row r="9" spans="2:35" x14ac:dyDescent="0.25">
      <c r="B9" s="44"/>
      <c r="C9" s="47" t="s">
        <v>182</v>
      </c>
      <c r="F9" s="128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162"/>
      <c r="AE9" s="213" t="s">
        <v>202</v>
      </c>
      <c r="AH9" s="45"/>
    </row>
    <row r="10" spans="2:35" x14ac:dyDescent="0.25">
      <c r="B10" s="44"/>
      <c r="C10" s="48">
        <v>1</v>
      </c>
      <c r="F10" s="12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155"/>
      <c r="U10" s="156"/>
      <c r="V10" s="156"/>
      <c r="W10" s="156"/>
      <c r="X10" s="156"/>
      <c r="Y10" s="156"/>
      <c r="Z10" s="156"/>
      <c r="AA10" s="162"/>
      <c r="AB10" s="49"/>
      <c r="AC10" s="130"/>
      <c r="AE10" s="214"/>
      <c r="AH10" s="45"/>
    </row>
    <row r="11" spans="2:35" x14ac:dyDescent="0.25">
      <c r="B11" s="44"/>
      <c r="F11" s="12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157"/>
      <c r="U11" s="151"/>
      <c r="V11" s="151"/>
      <c r="W11" s="152"/>
      <c r="X11" s="151"/>
      <c r="Y11" s="151"/>
      <c r="Z11" s="152"/>
      <c r="AA11" s="130"/>
      <c r="AB11" s="49"/>
      <c r="AC11" s="130"/>
      <c r="AE11" s="214"/>
      <c r="AH11" s="45"/>
    </row>
    <row r="12" spans="2:35" x14ac:dyDescent="0.25">
      <c r="B12" s="44"/>
      <c r="F12" s="12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47" t="s">
        <v>599</v>
      </c>
      <c r="U12" s="245"/>
      <c r="V12" s="245"/>
      <c r="W12" s="151"/>
      <c r="X12" s="151"/>
      <c r="Y12" s="151"/>
      <c r="Z12" s="153"/>
      <c r="AA12" s="130"/>
      <c r="AB12" s="49"/>
      <c r="AC12" s="130"/>
      <c r="AE12" s="214"/>
      <c r="AH12" s="45"/>
    </row>
    <row r="13" spans="2:35" ht="21" customHeight="1" x14ac:dyDescent="0.25">
      <c r="B13" s="44"/>
      <c r="F13" s="131" t="s">
        <v>184</v>
      </c>
      <c r="G13" s="132"/>
      <c r="H13" s="132"/>
      <c r="I13" s="132"/>
      <c r="J13" s="132"/>
      <c r="K13" s="132"/>
      <c r="L13" s="163"/>
      <c r="M13" s="132"/>
      <c r="N13" s="132"/>
      <c r="O13" s="132"/>
      <c r="P13" s="132"/>
      <c r="Q13" s="132"/>
      <c r="R13" s="132"/>
      <c r="S13" s="132"/>
      <c r="T13" s="248" t="s">
        <v>598</v>
      </c>
      <c r="U13" s="245"/>
      <c r="V13" s="245"/>
      <c r="W13" s="151"/>
      <c r="X13" s="151"/>
      <c r="Y13" s="151"/>
      <c r="Z13" s="153"/>
      <c r="AA13" s="165"/>
      <c r="AB13" s="132"/>
      <c r="AC13" s="133" t="s">
        <v>184</v>
      </c>
      <c r="AE13" s="214"/>
      <c r="AH13" s="45"/>
    </row>
    <row r="14" spans="2:35" x14ac:dyDescent="0.25">
      <c r="B14" s="44"/>
      <c r="F14" s="12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249" t="s">
        <v>600</v>
      </c>
      <c r="U14" s="250"/>
      <c r="V14" s="250"/>
      <c r="W14" s="154"/>
      <c r="X14" s="154"/>
      <c r="Y14" s="154"/>
      <c r="Z14" s="167"/>
      <c r="AA14" s="130"/>
      <c r="AB14" s="49"/>
      <c r="AC14" s="130"/>
      <c r="AE14" s="214"/>
      <c r="AH14" s="45"/>
    </row>
    <row r="15" spans="2:35" x14ac:dyDescent="0.25">
      <c r="B15" s="44"/>
      <c r="F15" s="12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160"/>
      <c r="U15" s="161"/>
      <c r="V15" s="161"/>
      <c r="W15" s="161"/>
      <c r="X15" s="161"/>
      <c r="Y15" s="161"/>
      <c r="Z15" s="168"/>
      <c r="AA15" s="166"/>
      <c r="AB15" s="34"/>
      <c r="AC15" s="130"/>
      <c r="AE15" s="214"/>
      <c r="AH15" s="45"/>
    </row>
    <row r="16" spans="2:35" x14ac:dyDescent="0.25">
      <c r="B16" s="44"/>
      <c r="F16" s="12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130"/>
      <c r="AE16" s="214"/>
      <c r="AH16" s="45"/>
    </row>
    <row r="17" spans="2:34" ht="13.9" customHeight="1" x14ac:dyDescent="0.25">
      <c r="B17" s="44"/>
      <c r="F17" s="129"/>
      <c r="G17" s="49"/>
      <c r="H17" s="49"/>
      <c r="I17" s="49"/>
      <c r="J17" s="49"/>
      <c r="K17" s="49"/>
      <c r="L17" s="134"/>
      <c r="M17" s="134"/>
      <c r="N17" s="134"/>
      <c r="O17" s="164" t="s">
        <v>185</v>
      </c>
      <c r="P17" s="135" t="str">
        <f>'TEC-ENG-FOR-0029'!D5</f>
        <v>C12345</v>
      </c>
      <c r="Q17" s="49"/>
      <c r="R17" s="49"/>
      <c r="S17" s="49"/>
      <c r="T17" s="49"/>
      <c r="U17" s="151" t="s">
        <v>186</v>
      </c>
      <c r="V17" s="49"/>
      <c r="W17" s="231" t="str">
        <f>'TEC-ENG-FOR-0029'!K6</f>
        <v>(e.g. JAN. 2027)</v>
      </c>
      <c r="X17" s="231"/>
      <c r="Y17" s="231"/>
      <c r="Z17" s="231"/>
      <c r="AA17" s="231"/>
      <c r="AB17" s="49"/>
      <c r="AC17" s="130"/>
      <c r="AE17" s="214"/>
      <c r="AH17" s="45"/>
    </row>
    <row r="18" spans="2:34" x14ac:dyDescent="0.25">
      <c r="B18" s="44"/>
      <c r="F18" s="136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137"/>
      <c r="AE18" s="220"/>
      <c r="AH18" s="45"/>
    </row>
    <row r="19" spans="2:34" x14ac:dyDescent="0.25">
      <c r="B19" s="44"/>
      <c r="AH19" s="45"/>
    </row>
    <row r="20" spans="2:34" x14ac:dyDescent="0.25">
      <c r="B20" s="44"/>
      <c r="AH20" s="45"/>
    </row>
    <row r="21" spans="2:34" x14ac:dyDescent="0.25">
      <c r="B21" s="44"/>
      <c r="F21" s="46" t="s">
        <v>188</v>
      </c>
      <c r="AH21" s="45"/>
    </row>
    <row r="22" spans="2:34" x14ac:dyDescent="0.25">
      <c r="B22" s="44"/>
      <c r="AH22" s="45"/>
    </row>
    <row r="23" spans="2:34" ht="14.45" customHeight="1" x14ac:dyDescent="0.25">
      <c r="B23" s="44"/>
      <c r="C23" s="47" t="s">
        <v>182</v>
      </c>
      <c r="F23" s="240" t="s">
        <v>184</v>
      </c>
      <c r="G23" s="221" t="str">
        <f>'TEC-ENG-FOR-0029'!D6</f>
        <v>XYZ Treament Works</v>
      </c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221"/>
      <c r="W23" s="221"/>
      <c r="X23" s="221"/>
      <c r="Y23" s="221"/>
      <c r="Z23" s="221"/>
      <c r="AA23" s="221"/>
      <c r="AB23" s="221"/>
      <c r="AC23" s="228" t="s">
        <v>184</v>
      </c>
      <c r="AE23" s="213" t="s">
        <v>202</v>
      </c>
      <c r="AH23" s="45"/>
    </row>
    <row r="24" spans="2:34" ht="14.45" customHeight="1" x14ac:dyDescent="0.25">
      <c r="B24" s="44"/>
      <c r="C24" s="48">
        <v>1</v>
      </c>
      <c r="F24" s="241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  <c r="AA24" s="222"/>
      <c r="AB24" s="222"/>
      <c r="AC24" s="229"/>
      <c r="AE24" s="214"/>
      <c r="AH24" s="45"/>
    </row>
    <row r="25" spans="2:34" ht="14.45" customHeight="1" x14ac:dyDescent="0.25">
      <c r="B25" s="44"/>
      <c r="F25" s="241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2"/>
      <c r="W25" s="222"/>
      <c r="X25" s="222"/>
      <c r="Y25" s="222"/>
      <c r="Z25" s="222"/>
      <c r="AA25" s="222"/>
      <c r="AB25" s="222"/>
      <c r="AC25" s="229"/>
      <c r="AE25" s="214"/>
      <c r="AH25" s="45"/>
    </row>
    <row r="26" spans="2:34" ht="14.45" customHeight="1" x14ac:dyDescent="0.25">
      <c r="B26" s="44"/>
      <c r="F26" s="241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  <c r="AA26" s="222"/>
      <c r="AB26" s="222"/>
      <c r="AC26" s="229"/>
      <c r="AE26" s="214"/>
      <c r="AH26" s="45"/>
    </row>
    <row r="27" spans="2:34" ht="15.6" customHeight="1" x14ac:dyDescent="0.25">
      <c r="B27" s="44"/>
      <c r="F27" s="241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  <c r="Z27" s="222"/>
      <c r="AA27" s="222"/>
      <c r="AB27" s="222"/>
      <c r="AC27" s="229"/>
      <c r="AE27" s="214"/>
      <c r="AH27" s="45"/>
    </row>
    <row r="28" spans="2:34" ht="14.45" customHeight="1" x14ac:dyDescent="0.25">
      <c r="B28" s="44"/>
      <c r="F28" s="241"/>
      <c r="G28" s="223" t="str">
        <f>'TEC-ENG-FOR-0029'!D7</f>
        <v>Example No1 MCC</v>
      </c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9"/>
      <c r="AE28" s="214"/>
      <c r="AH28" s="45"/>
    </row>
    <row r="29" spans="2:34" ht="14.45" customHeight="1" x14ac:dyDescent="0.25">
      <c r="B29" s="44"/>
      <c r="F29" s="241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9"/>
      <c r="AE29" s="214"/>
      <c r="AH29" s="45"/>
    </row>
    <row r="30" spans="2:34" ht="14.45" customHeight="1" x14ac:dyDescent="0.25">
      <c r="B30" s="44"/>
      <c r="F30" s="241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9"/>
      <c r="AE30" s="214"/>
      <c r="AH30" s="45"/>
    </row>
    <row r="31" spans="2:34" ht="14.45" customHeight="1" x14ac:dyDescent="0.25">
      <c r="B31" s="44"/>
      <c r="F31" s="241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9"/>
      <c r="AE31" s="214"/>
      <c r="AH31" s="45"/>
    </row>
    <row r="32" spans="2:34" ht="14.45" customHeight="1" x14ac:dyDescent="0.25">
      <c r="B32" s="44"/>
      <c r="F32" s="242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24"/>
      <c r="X32" s="224"/>
      <c r="Y32" s="224"/>
      <c r="Z32" s="224"/>
      <c r="AA32" s="224"/>
      <c r="AB32" s="224"/>
      <c r="AC32" s="230"/>
      <c r="AE32" s="220"/>
      <c r="AH32" s="45"/>
    </row>
    <row r="33" spans="2:34" x14ac:dyDescent="0.25">
      <c r="B33" s="44"/>
      <c r="AH33" s="45"/>
    </row>
    <row r="34" spans="2:34" x14ac:dyDescent="0.25">
      <c r="B34" s="44"/>
      <c r="AH34" s="45"/>
    </row>
    <row r="35" spans="2:34" x14ac:dyDescent="0.25">
      <c r="B35" s="44"/>
      <c r="AH35" s="45"/>
    </row>
    <row r="36" spans="2:34" x14ac:dyDescent="0.25">
      <c r="B36" s="44"/>
      <c r="F36" s="46" t="s">
        <v>191</v>
      </c>
      <c r="AH36" s="45"/>
    </row>
    <row r="37" spans="2:34" x14ac:dyDescent="0.25">
      <c r="B37" s="44"/>
      <c r="AH37" s="45"/>
    </row>
    <row r="38" spans="2:34" ht="14.45" customHeight="1" x14ac:dyDescent="0.25">
      <c r="B38" s="44"/>
      <c r="C38" s="47" t="s">
        <v>182</v>
      </c>
      <c r="F38" s="233" t="s">
        <v>184</v>
      </c>
      <c r="G38" s="25"/>
      <c r="H38" s="215" t="s">
        <v>192</v>
      </c>
      <c r="I38" s="215"/>
      <c r="J38" s="215"/>
      <c r="K38" s="215"/>
      <c r="L38" s="215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5"/>
      <c r="AC38" s="236" t="s">
        <v>184</v>
      </c>
      <c r="AE38" s="213" t="s">
        <v>187</v>
      </c>
      <c r="AH38" s="45"/>
    </row>
    <row r="39" spans="2:34" ht="14.45" customHeight="1" x14ac:dyDescent="0.25">
      <c r="B39" s="44"/>
      <c r="C39" s="48">
        <v>1</v>
      </c>
      <c r="F39" s="234"/>
      <c r="G39" s="49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49"/>
      <c r="AC39" s="237"/>
      <c r="AE39" s="214"/>
      <c r="AH39" s="45"/>
    </row>
    <row r="40" spans="2:34" ht="4.9000000000000004" customHeight="1" x14ac:dyDescent="0.25">
      <c r="B40" s="44"/>
      <c r="F40" s="234"/>
      <c r="G40" s="34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49"/>
      <c r="AC40" s="237"/>
      <c r="AE40" s="214"/>
      <c r="AH40" s="45"/>
    </row>
    <row r="41" spans="2:34" x14ac:dyDescent="0.25">
      <c r="B41" s="44"/>
      <c r="F41" s="234"/>
      <c r="G41" s="49" t="s">
        <v>193</v>
      </c>
      <c r="H41" s="34"/>
      <c r="I41" s="34"/>
      <c r="J41" s="50"/>
      <c r="K41" s="50"/>
      <c r="L41" s="34"/>
      <c r="M41" s="34"/>
      <c r="N41" s="49"/>
      <c r="O41" s="49"/>
      <c r="P41" s="49"/>
      <c r="Q41" s="49"/>
      <c r="R41" s="49"/>
      <c r="S41" s="49"/>
      <c r="T41" s="49"/>
      <c r="U41" s="239" t="str">
        <f>'TEC-ENG-FOR-0029'!F15</f>
        <v>3Ph. 4-Wire</v>
      </c>
      <c r="V41" s="239"/>
      <c r="W41" s="239"/>
      <c r="X41" s="239"/>
      <c r="Y41" s="239"/>
      <c r="Z41" s="239"/>
      <c r="AA41" s="239"/>
      <c r="AB41" s="239"/>
      <c r="AC41" s="237"/>
      <c r="AE41" s="214"/>
      <c r="AH41" s="45"/>
    </row>
    <row r="42" spans="2:34" x14ac:dyDescent="0.25">
      <c r="B42" s="44"/>
      <c r="F42" s="234"/>
      <c r="G42" s="49" t="s">
        <v>194</v>
      </c>
      <c r="H42" s="34"/>
      <c r="I42" s="34"/>
      <c r="J42" s="50"/>
      <c r="K42" s="50"/>
      <c r="L42" s="34"/>
      <c r="M42" s="34"/>
      <c r="N42" s="49"/>
      <c r="O42" s="49"/>
      <c r="P42" s="49"/>
      <c r="Q42" s="49"/>
      <c r="R42" s="49"/>
      <c r="S42" s="49"/>
      <c r="T42" s="49"/>
      <c r="U42" s="217" t="str">
        <f>'TEC-ENG-FOR-0029'!F16</f>
        <v>TN-C</v>
      </c>
      <c r="V42" s="217"/>
      <c r="W42" s="217"/>
      <c r="X42" s="217"/>
      <c r="Y42" s="217"/>
      <c r="Z42" s="217"/>
      <c r="AA42" s="217"/>
      <c r="AB42" s="217"/>
      <c r="AC42" s="237"/>
      <c r="AE42" s="214"/>
      <c r="AH42" s="45"/>
    </row>
    <row r="43" spans="2:34" x14ac:dyDescent="0.25">
      <c r="B43" s="44"/>
      <c r="F43" s="234"/>
      <c r="G43" s="49" t="s">
        <v>195</v>
      </c>
      <c r="H43" s="34"/>
      <c r="I43" s="34"/>
      <c r="J43" s="50"/>
      <c r="K43" s="50"/>
      <c r="L43" s="34"/>
      <c r="M43" s="34"/>
      <c r="N43" s="49"/>
      <c r="O43" s="49"/>
      <c r="P43" s="49"/>
      <c r="Q43" s="49"/>
      <c r="R43" s="49"/>
      <c r="S43" s="49"/>
      <c r="T43" s="49"/>
      <c r="U43" s="217" t="str">
        <f>'TEC-ENG-FOR-0029'!F25</f>
        <v>400VAC</v>
      </c>
      <c r="V43" s="217"/>
      <c r="W43" s="217"/>
      <c r="X43" s="217"/>
      <c r="Y43" s="217"/>
      <c r="Z43" s="217"/>
      <c r="AA43" s="217"/>
      <c r="AB43" s="217"/>
      <c r="AC43" s="237"/>
      <c r="AE43" s="214"/>
      <c r="AH43" s="45"/>
    </row>
    <row r="44" spans="2:34" x14ac:dyDescent="0.25">
      <c r="B44" s="44"/>
      <c r="F44" s="234"/>
      <c r="G44" s="49" t="s">
        <v>196</v>
      </c>
      <c r="H44" s="34"/>
      <c r="I44" s="34"/>
      <c r="J44" s="50"/>
      <c r="K44" s="50"/>
      <c r="L44" s="34"/>
      <c r="M44" s="34"/>
      <c r="N44" s="49"/>
      <c r="O44" s="49"/>
      <c r="P44" s="49"/>
      <c r="Q44" s="49"/>
      <c r="R44" s="49"/>
      <c r="S44" s="49"/>
      <c r="T44" s="49"/>
      <c r="U44" s="217" t="str">
        <f>'TEC-ENG-FOR-0029'!F28</f>
        <v>50Hz</v>
      </c>
      <c r="V44" s="217"/>
      <c r="W44" s="217"/>
      <c r="X44" s="217"/>
      <c r="Y44" s="217"/>
      <c r="Z44" s="217"/>
      <c r="AA44" s="217"/>
      <c r="AB44" s="217"/>
      <c r="AC44" s="237"/>
      <c r="AE44" s="214"/>
      <c r="AH44" s="45"/>
    </row>
    <row r="45" spans="2:34" x14ac:dyDescent="0.25">
      <c r="B45" s="44"/>
      <c r="F45" s="234"/>
      <c r="G45" s="49" t="s">
        <v>197</v>
      </c>
      <c r="H45" s="34"/>
      <c r="I45" s="34"/>
      <c r="J45" s="50"/>
      <c r="K45" s="50"/>
      <c r="L45" s="34"/>
      <c r="M45" s="34"/>
      <c r="N45" s="49"/>
      <c r="O45" s="49"/>
      <c r="P45" s="49"/>
      <c r="Q45" s="49"/>
      <c r="R45" s="49"/>
      <c r="S45" s="49"/>
      <c r="T45" s="49"/>
      <c r="U45" s="217" t="str">
        <f>'TEC-ENG-FOR-0029'!F18</f>
        <v>800A</v>
      </c>
      <c r="V45" s="217"/>
      <c r="W45" s="217"/>
      <c r="X45" s="217"/>
      <c r="Y45" s="217"/>
      <c r="Z45" s="217"/>
      <c r="AA45" s="217"/>
      <c r="AB45" s="217"/>
      <c r="AC45" s="237"/>
      <c r="AE45" s="214"/>
      <c r="AH45" s="45"/>
    </row>
    <row r="46" spans="2:34" x14ac:dyDescent="0.25">
      <c r="B46" s="44"/>
      <c r="F46" s="234"/>
      <c r="G46" s="49" t="s">
        <v>203</v>
      </c>
      <c r="H46" s="34"/>
      <c r="I46" s="34"/>
      <c r="J46" s="50"/>
      <c r="K46" s="50"/>
      <c r="L46" s="34"/>
      <c r="M46" s="34"/>
      <c r="N46" s="49"/>
      <c r="O46" s="49"/>
      <c r="P46" s="49"/>
      <c r="Q46" s="49"/>
      <c r="R46" s="49"/>
      <c r="S46" s="49"/>
      <c r="T46" s="49"/>
      <c r="U46" s="217" t="str">
        <f>'TEC-ENG-FOR-0029'!F22</f>
        <v>50kA 1s</v>
      </c>
      <c r="V46" s="217"/>
      <c r="W46" s="217"/>
      <c r="X46" s="217"/>
      <c r="Y46" s="217"/>
      <c r="Z46" s="217"/>
      <c r="AA46" s="217"/>
      <c r="AB46" s="217"/>
      <c r="AC46" s="237"/>
      <c r="AE46" s="214"/>
      <c r="AH46" s="45"/>
    </row>
    <row r="47" spans="2:34" x14ac:dyDescent="0.25">
      <c r="B47" s="44"/>
      <c r="F47" s="234"/>
      <c r="G47" s="49" t="s">
        <v>204</v>
      </c>
      <c r="H47" s="34"/>
      <c r="I47" s="34"/>
      <c r="J47" s="50"/>
      <c r="K47" s="50"/>
      <c r="L47" s="34"/>
      <c r="M47" s="34"/>
      <c r="N47" s="49"/>
      <c r="O47" s="49"/>
      <c r="P47" s="49"/>
      <c r="Q47" s="49"/>
      <c r="R47" s="49"/>
      <c r="S47" s="49"/>
      <c r="T47" s="49"/>
      <c r="U47" s="243">
        <f>'TEC-ENG-FOR-0029'!F29</f>
        <v>54</v>
      </c>
      <c r="V47" s="243"/>
      <c r="W47" s="243"/>
      <c r="X47" s="243"/>
      <c r="Y47" s="243"/>
      <c r="Z47" s="243"/>
      <c r="AA47" s="243"/>
      <c r="AB47" s="243"/>
      <c r="AC47" s="237"/>
      <c r="AE47" s="214"/>
      <c r="AH47" s="45"/>
    </row>
    <row r="48" spans="2:34" x14ac:dyDescent="0.25">
      <c r="B48" s="44"/>
      <c r="F48" s="234"/>
      <c r="G48" s="49" t="s">
        <v>205</v>
      </c>
      <c r="H48" s="34"/>
      <c r="I48" s="34"/>
      <c r="J48" s="50"/>
      <c r="K48" s="50"/>
      <c r="L48" s="34"/>
      <c r="M48" s="34"/>
      <c r="N48" s="49"/>
      <c r="O48" s="49"/>
      <c r="P48" s="49"/>
      <c r="Q48" s="49"/>
      <c r="R48" s="49"/>
      <c r="S48" s="49"/>
      <c r="T48" s="49"/>
      <c r="U48" s="109" t="str">
        <f>'TEC-ENG-FOR-0029'!F43</f>
        <v>4b</v>
      </c>
      <c r="V48" s="102" t="s">
        <v>206</v>
      </c>
      <c r="W48" s="109">
        <f>'TEC-ENG-FOR-0029'!F44</f>
        <v>3</v>
      </c>
      <c r="X48" s="101"/>
      <c r="Y48" s="101"/>
      <c r="Z48" s="101"/>
      <c r="AA48" s="101"/>
      <c r="AB48" s="101"/>
      <c r="AC48" s="237"/>
      <c r="AE48" s="214"/>
      <c r="AH48" s="45"/>
    </row>
    <row r="49" spans="2:34" x14ac:dyDescent="0.25">
      <c r="B49" s="44"/>
      <c r="F49" s="234"/>
      <c r="G49" s="49" t="s">
        <v>207</v>
      </c>
      <c r="H49" s="34"/>
      <c r="I49" s="34"/>
      <c r="J49" s="50"/>
      <c r="K49" s="50"/>
      <c r="L49" s="34"/>
      <c r="M49" s="34"/>
      <c r="N49" s="49"/>
      <c r="O49" s="49"/>
      <c r="P49" s="49"/>
      <c r="Q49" s="49"/>
      <c r="R49" s="49"/>
      <c r="S49" s="49"/>
      <c r="T49" s="49"/>
      <c r="U49" s="110">
        <f>'TEC-ENG-FOR-0029'!F38</f>
        <v>3</v>
      </c>
      <c r="V49" s="110"/>
      <c r="W49" s="110"/>
      <c r="X49" s="110"/>
      <c r="Y49" s="110"/>
      <c r="Z49" s="110"/>
      <c r="AA49" s="110"/>
      <c r="AB49" s="110"/>
      <c r="AC49" s="237"/>
      <c r="AE49" s="214"/>
      <c r="AH49" s="45"/>
    </row>
    <row r="50" spans="2:34" x14ac:dyDescent="0.25">
      <c r="B50" s="44"/>
      <c r="F50" s="234"/>
      <c r="G50" s="49" t="s">
        <v>208</v>
      </c>
      <c r="H50" s="34"/>
      <c r="I50" s="34"/>
      <c r="J50" s="51"/>
      <c r="K50" s="51"/>
      <c r="L50" s="34"/>
      <c r="M50" s="34"/>
      <c r="N50" s="49"/>
      <c r="O50" s="49"/>
      <c r="P50" s="49"/>
      <c r="Q50" s="49"/>
      <c r="R50" s="49"/>
      <c r="S50" s="49"/>
      <c r="T50" s="49"/>
      <c r="U50" s="76" t="str">
        <f>'TEC-ENG-FOR-0029'!F52</f>
        <v>BS4800</v>
      </c>
      <c r="V50" s="76"/>
      <c r="W50" s="76"/>
      <c r="X50" s="76"/>
      <c r="Y50" s="76"/>
      <c r="Z50" s="76"/>
      <c r="AA50" s="76"/>
      <c r="AB50" s="76"/>
      <c r="AC50" s="237"/>
      <c r="AE50" s="214"/>
      <c r="AH50" s="45"/>
    </row>
    <row r="51" spans="2:34" x14ac:dyDescent="0.25">
      <c r="B51" s="44"/>
      <c r="F51" s="234"/>
      <c r="G51" s="49" t="s">
        <v>198</v>
      </c>
      <c r="H51" s="34"/>
      <c r="I51" s="34"/>
      <c r="J51" s="52"/>
      <c r="K51" s="52"/>
      <c r="L51" s="49"/>
      <c r="M51" s="34"/>
      <c r="N51" s="49"/>
      <c r="O51" s="49"/>
      <c r="P51" s="49"/>
      <c r="Q51" s="49"/>
      <c r="R51" s="49"/>
      <c r="S51" s="49"/>
      <c r="T51" s="49"/>
      <c r="U51" s="232" t="str">
        <f>'TEC-ENG-FOR-0029'!K7</f>
        <v>(e.g. JAN. 2028)</v>
      </c>
      <c r="V51" s="232"/>
      <c r="W51" s="232"/>
      <c r="X51" s="232"/>
      <c r="Y51" s="232"/>
      <c r="Z51" s="232"/>
      <c r="AA51" s="232"/>
      <c r="AB51" s="232"/>
      <c r="AC51" s="237"/>
      <c r="AE51" s="214"/>
      <c r="AH51" s="45"/>
    </row>
    <row r="52" spans="2:34" x14ac:dyDescent="0.25">
      <c r="B52" s="44"/>
      <c r="F52" s="234"/>
      <c r="G52" s="49" t="s">
        <v>209</v>
      </c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123" t="s">
        <v>200</v>
      </c>
      <c r="V52" s="49"/>
      <c r="W52" s="49"/>
      <c r="X52" s="49"/>
      <c r="Y52" s="49"/>
      <c r="Z52" s="49"/>
      <c r="AA52" s="49"/>
      <c r="AB52" s="49"/>
      <c r="AC52" s="237"/>
      <c r="AE52" s="214"/>
      <c r="AH52" s="45"/>
    </row>
    <row r="53" spans="2:34" x14ac:dyDescent="0.25">
      <c r="B53" s="44"/>
      <c r="F53" s="235"/>
      <c r="G53" s="28"/>
      <c r="H53" s="29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38"/>
      <c r="AE53" s="220"/>
      <c r="AH53" s="45"/>
    </row>
    <row r="54" spans="2:34" ht="19.899999999999999" customHeight="1" x14ac:dyDescent="0.25">
      <c r="B54" s="44"/>
      <c r="AH54" s="45"/>
    </row>
    <row r="55" spans="2:34" x14ac:dyDescent="0.25">
      <c r="B55" s="44"/>
      <c r="F55" s="225" t="s">
        <v>210</v>
      </c>
      <c r="G55" s="226"/>
      <c r="H55" s="226"/>
      <c r="I55" s="226"/>
      <c r="J55" s="226"/>
      <c r="K55" s="226"/>
      <c r="L55" s="226"/>
      <c r="M55" s="226"/>
      <c r="N55" s="226"/>
      <c r="O55" s="226"/>
      <c r="P55" s="226"/>
      <c r="Q55" s="226"/>
      <c r="R55" s="226"/>
      <c r="S55" s="226"/>
      <c r="T55" s="226"/>
      <c r="U55" s="226"/>
      <c r="V55" s="226"/>
      <c r="W55" s="226"/>
      <c r="X55" s="226"/>
      <c r="Y55" s="226"/>
      <c r="Z55" s="226"/>
      <c r="AA55" s="226"/>
      <c r="AB55" s="226"/>
      <c r="AC55" s="227"/>
      <c r="AH55" s="45"/>
    </row>
    <row r="56" spans="2:34" x14ac:dyDescent="0.25">
      <c r="B56" s="44"/>
      <c r="AH56" s="45"/>
    </row>
    <row r="57" spans="2:34" x14ac:dyDescent="0.25">
      <c r="B57" s="66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8"/>
    </row>
    <row r="58" spans="2:34" x14ac:dyDescent="0.25"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</row>
    <row r="69" ht="69" customHeight="1" x14ac:dyDescent="0.25"/>
  </sheetData>
  <sheetProtection selectLockedCells="1"/>
  <mergeCells count="22">
    <mergeCell ref="AC38:AC53"/>
    <mergeCell ref="U44:AB44"/>
    <mergeCell ref="U45:AB45"/>
    <mergeCell ref="U51:AB51"/>
    <mergeCell ref="U46:AB46"/>
    <mergeCell ref="U47:AB47"/>
    <mergeCell ref="AI2:AI3"/>
    <mergeCell ref="AE38:AE53"/>
    <mergeCell ref="F55:AC55"/>
    <mergeCell ref="W17:AA17"/>
    <mergeCell ref="AE9:AE18"/>
    <mergeCell ref="AE23:AE32"/>
    <mergeCell ref="H38:AA40"/>
    <mergeCell ref="C3:AC4"/>
    <mergeCell ref="G23:AB27"/>
    <mergeCell ref="G28:AB32"/>
    <mergeCell ref="U41:AB41"/>
    <mergeCell ref="U42:AB42"/>
    <mergeCell ref="U43:AB43"/>
    <mergeCell ref="F23:F32"/>
    <mergeCell ref="AC23:AC32"/>
    <mergeCell ref="F38:F53"/>
  </mergeCells>
  <hyperlinks>
    <hyperlink ref="AI2:AI3" location="'TEC-ENG-FOR-0029'!A1" display="Back" xr:uid="{B4EDC285-67EC-4744-BA8D-F4ECD923597D}"/>
  </hyperlinks>
  <pageMargins left="0.25" right="0.25" top="0.27500000000000002" bottom="0.75" header="0.3" footer="0.3"/>
  <pageSetup paperSize="9" scale="81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9C20B-CFBC-4A65-8852-42677120947B}">
  <sheetPr published="0" codeName="Sheet2"/>
  <dimension ref="B2:W37"/>
  <sheetViews>
    <sheetView showGridLines="0" showRowColHeaders="0" view="pageBreakPreview" zoomScaleNormal="100" zoomScaleSheetLayoutView="100" workbookViewId="0">
      <pane ySplit="4" topLeftCell="A5" activePane="bottomLeft" state="frozen"/>
      <selection pane="bottomLeft" activeCell="V5" sqref="V5"/>
    </sheetView>
  </sheetViews>
  <sheetFormatPr defaultColWidth="8.85546875" defaultRowHeight="15" x14ac:dyDescent="0.25"/>
  <cols>
    <col min="1" max="1" width="3.28515625" style="1" customWidth="1"/>
    <col min="2" max="2" width="3.28515625" style="6" customWidth="1"/>
    <col min="3" max="3" width="42.7109375" style="1" bestFit="1" customWidth="1"/>
    <col min="4" max="4" width="4.5703125" style="1" bestFit="1" customWidth="1"/>
    <col min="5" max="5" width="13.5703125" style="1" bestFit="1" customWidth="1"/>
    <col min="6" max="6" width="10.7109375" style="1" bestFit="1" customWidth="1"/>
    <col min="7" max="7" width="8.28515625" style="1" bestFit="1" customWidth="1"/>
    <col min="8" max="8" width="8.28515625" style="1" customWidth="1"/>
    <col min="9" max="9" width="8.85546875" style="1"/>
    <col min="10" max="10" width="13.28515625" style="1" bestFit="1" customWidth="1"/>
    <col min="11" max="11" width="5.140625" style="1" bestFit="1" customWidth="1"/>
    <col min="12" max="12" width="8.85546875" style="1"/>
    <col min="13" max="13" width="5" style="1" bestFit="1" customWidth="1"/>
    <col min="14" max="15" width="7.42578125" style="1" bestFit="1" customWidth="1"/>
    <col min="16" max="16" width="8.85546875" style="1"/>
    <col min="17" max="17" width="5.140625" style="1" bestFit="1" customWidth="1"/>
    <col min="18" max="18" width="14.28515625" style="1" bestFit="1" customWidth="1"/>
    <col min="19" max="19" width="10.7109375" style="1" bestFit="1" customWidth="1"/>
    <col min="20" max="20" width="9.42578125" style="1" bestFit="1" customWidth="1"/>
    <col min="21" max="21" width="6.7109375" style="1" bestFit="1" customWidth="1"/>
    <col min="22" max="22" width="19" style="1" bestFit="1" customWidth="1"/>
    <col min="23" max="23" width="26.85546875" style="1" bestFit="1" customWidth="1"/>
    <col min="24" max="24" width="3.28515625" style="1" customWidth="1"/>
    <col min="25" max="26" width="8.85546875" style="1"/>
    <col min="27" max="27" width="11.5703125" style="1" bestFit="1" customWidth="1"/>
    <col min="28" max="16384" width="8.85546875" style="1"/>
  </cols>
  <sheetData>
    <row r="2" spans="2:23" x14ac:dyDescent="0.25">
      <c r="C2" s="104" t="s">
        <v>211</v>
      </c>
      <c r="D2" s="92"/>
      <c r="E2" s="92"/>
    </row>
    <row r="3" spans="2:23" x14ac:dyDescent="0.25">
      <c r="C3" s="103"/>
      <c r="D3" s="103"/>
      <c r="E3" s="96" t="s">
        <v>212</v>
      </c>
      <c r="F3" s="24"/>
      <c r="G3" s="24"/>
      <c r="H3" s="24"/>
      <c r="I3" s="24"/>
      <c r="J3" s="244" t="s">
        <v>213</v>
      </c>
      <c r="K3" s="244"/>
      <c r="L3" s="244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</row>
    <row r="4" spans="2:23" s="3" customFormat="1" x14ac:dyDescent="0.25">
      <c r="B4" s="7"/>
      <c r="C4" s="95" t="s">
        <v>24</v>
      </c>
      <c r="D4" s="95" t="s">
        <v>42</v>
      </c>
      <c r="E4" s="95" t="s">
        <v>33</v>
      </c>
      <c r="F4" s="95" t="s">
        <v>51</v>
      </c>
      <c r="G4" s="95" t="s">
        <v>44</v>
      </c>
      <c r="H4" s="95" t="s">
        <v>48</v>
      </c>
      <c r="I4" s="95" t="s">
        <v>54</v>
      </c>
      <c r="J4" s="95" t="s">
        <v>56</v>
      </c>
      <c r="K4" s="95" t="s">
        <v>61</v>
      </c>
      <c r="L4" s="95" t="s">
        <v>66</v>
      </c>
      <c r="M4" s="95" t="s">
        <v>214</v>
      </c>
      <c r="N4" s="95" t="s">
        <v>75</v>
      </c>
      <c r="O4" s="95" t="s">
        <v>88</v>
      </c>
      <c r="P4" s="95" t="s">
        <v>121</v>
      </c>
      <c r="Q4" s="95" t="s">
        <v>125</v>
      </c>
      <c r="R4" s="95" t="s">
        <v>215</v>
      </c>
      <c r="S4" s="95" t="s">
        <v>216</v>
      </c>
      <c r="T4" s="95" t="s">
        <v>217</v>
      </c>
      <c r="U4" s="95" t="s">
        <v>218</v>
      </c>
      <c r="V4" s="95" t="s">
        <v>219</v>
      </c>
      <c r="W4" s="95" t="s">
        <v>220</v>
      </c>
    </row>
    <row r="5" spans="2:23" x14ac:dyDescent="0.25">
      <c r="C5" s="1" t="s">
        <v>221</v>
      </c>
      <c r="D5" s="4">
        <v>1</v>
      </c>
      <c r="E5" s="1" t="s">
        <v>222</v>
      </c>
      <c r="F5" s="1" t="s">
        <v>223</v>
      </c>
      <c r="G5" s="1" t="s">
        <v>224</v>
      </c>
      <c r="H5" s="1" t="s">
        <v>225</v>
      </c>
      <c r="I5" s="1" t="s">
        <v>226</v>
      </c>
      <c r="J5" s="1" t="s">
        <v>227</v>
      </c>
      <c r="K5" s="1" t="s">
        <v>228</v>
      </c>
      <c r="L5" s="1" t="s">
        <v>229</v>
      </c>
      <c r="M5" s="1" t="s">
        <v>72</v>
      </c>
      <c r="N5" s="1" t="s">
        <v>230</v>
      </c>
      <c r="O5" s="1">
        <v>10</v>
      </c>
      <c r="P5" s="1">
        <v>1</v>
      </c>
      <c r="Q5" s="1">
        <v>1</v>
      </c>
      <c r="R5" s="1" t="s">
        <v>231</v>
      </c>
      <c r="S5" s="1" t="s">
        <v>232</v>
      </c>
      <c r="T5" s="1" t="s">
        <v>232</v>
      </c>
      <c r="U5" s="1" t="s">
        <v>233</v>
      </c>
    </row>
    <row r="6" spans="2:23" x14ac:dyDescent="0.25">
      <c r="C6" s="1" t="s">
        <v>234</v>
      </c>
      <c r="D6" s="4">
        <f>D5-0.05</f>
        <v>0.95</v>
      </c>
      <c r="E6" s="1" t="s">
        <v>235</v>
      </c>
      <c r="F6" s="1" t="s">
        <v>236</v>
      </c>
      <c r="G6" s="1" t="s">
        <v>237</v>
      </c>
      <c r="H6" s="1" t="s">
        <v>238</v>
      </c>
      <c r="I6" s="1" t="s">
        <v>239</v>
      </c>
      <c r="J6" s="1" t="s">
        <v>117</v>
      </c>
      <c r="K6" s="1" t="s">
        <v>62</v>
      </c>
      <c r="L6" s="1" t="s">
        <v>240</v>
      </c>
      <c r="M6" s="1" t="s">
        <v>241</v>
      </c>
      <c r="N6" s="1">
        <v>30</v>
      </c>
      <c r="O6" s="1" t="s">
        <v>20</v>
      </c>
      <c r="P6" s="1" t="s">
        <v>242</v>
      </c>
      <c r="Q6" s="1">
        <v>2</v>
      </c>
      <c r="R6" s="1" t="s">
        <v>243</v>
      </c>
      <c r="S6" s="1" t="s">
        <v>244</v>
      </c>
      <c r="T6" s="1" t="s">
        <v>244</v>
      </c>
      <c r="U6" s="1" t="s">
        <v>245</v>
      </c>
      <c r="W6" s="1" t="s">
        <v>8</v>
      </c>
    </row>
    <row r="7" spans="2:23" x14ac:dyDescent="0.25">
      <c r="C7" s="1" t="s">
        <v>246</v>
      </c>
      <c r="D7" s="4">
        <f t="shared" ref="D7:D24" si="0">D6-0.05</f>
        <v>0.89999999999999991</v>
      </c>
      <c r="E7" s="1" t="s">
        <v>247</v>
      </c>
      <c r="F7" s="1" t="s">
        <v>248</v>
      </c>
      <c r="G7" s="1" t="s">
        <v>249</v>
      </c>
      <c r="H7" s="1" t="s">
        <v>250</v>
      </c>
      <c r="I7" s="1" t="s">
        <v>251</v>
      </c>
      <c r="J7" s="1" t="s">
        <v>252</v>
      </c>
      <c r="K7" s="1" t="s">
        <v>253</v>
      </c>
      <c r="L7" s="1" t="s">
        <v>67</v>
      </c>
      <c r="M7" s="1" t="s">
        <v>20</v>
      </c>
      <c r="N7" s="1">
        <v>31</v>
      </c>
      <c r="P7" s="1" t="s">
        <v>254</v>
      </c>
      <c r="Q7" s="1">
        <v>3</v>
      </c>
      <c r="R7" s="1" t="s">
        <v>255</v>
      </c>
      <c r="S7" s="1" t="s">
        <v>256</v>
      </c>
      <c r="T7" s="1" t="s">
        <v>256</v>
      </c>
      <c r="U7" s="1" t="s">
        <v>256</v>
      </c>
      <c r="W7" s="1" t="s">
        <v>257</v>
      </c>
    </row>
    <row r="8" spans="2:23" x14ac:dyDescent="0.25">
      <c r="C8" s="1" t="s">
        <v>258</v>
      </c>
      <c r="D8" s="4">
        <f t="shared" si="0"/>
        <v>0.84999999999999987</v>
      </c>
      <c r="E8" s="1" t="s">
        <v>259</v>
      </c>
      <c r="F8" s="1" t="s">
        <v>260</v>
      </c>
      <c r="G8" s="1" t="s">
        <v>261</v>
      </c>
      <c r="H8" s="1" t="s">
        <v>262</v>
      </c>
      <c r="I8" s="1" t="s">
        <v>263</v>
      </c>
      <c r="J8" s="1" t="s">
        <v>105</v>
      </c>
      <c r="K8" s="1" t="s">
        <v>264</v>
      </c>
      <c r="L8" s="1" t="s">
        <v>265</v>
      </c>
      <c r="N8" s="1">
        <v>43</v>
      </c>
      <c r="P8" s="1" t="s">
        <v>266</v>
      </c>
      <c r="Q8" s="1">
        <v>4</v>
      </c>
      <c r="R8" s="1" t="s">
        <v>267</v>
      </c>
      <c r="S8" s="1" t="s">
        <v>20</v>
      </c>
      <c r="T8" s="1" t="s">
        <v>20</v>
      </c>
      <c r="U8" s="1" t="s">
        <v>20</v>
      </c>
      <c r="W8" s="1" t="s">
        <v>268</v>
      </c>
    </row>
    <row r="9" spans="2:23" x14ac:dyDescent="0.25">
      <c r="C9" s="1" t="s">
        <v>269</v>
      </c>
      <c r="D9" s="4">
        <f t="shared" si="0"/>
        <v>0.79999999999999982</v>
      </c>
      <c r="E9" s="1" t="s">
        <v>270</v>
      </c>
      <c r="F9" s="1" t="s">
        <v>271</v>
      </c>
      <c r="G9" s="1" t="s">
        <v>272</v>
      </c>
      <c r="H9" s="1" t="s">
        <v>273</v>
      </c>
      <c r="I9" s="1" t="s">
        <v>274</v>
      </c>
      <c r="J9" s="1" t="s">
        <v>101</v>
      </c>
      <c r="K9" s="1" t="s">
        <v>275</v>
      </c>
      <c r="L9" s="1" t="s">
        <v>20</v>
      </c>
      <c r="N9" s="1">
        <v>54</v>
      </c>
      <c r="P9" s="1" t="s">
        <v>276</v>
      </c>
      <c r="Q9" s="1">
        <v>5</v>
      </c>
      <c r="R9" s="1" t="s">
        <v>20</v>
      </c>
      <c r="W9" s="1" t="s">
        <v>277</v>
      </c>
    </row>
    <row r="10" spans="2:23" x14ac:dyDescent="0.25">
      <c r="C10" s="1" t="s">
        <v>278</v>
      </c>
      <c r="D10" s="4">
        <f t="shared" si="0"/>
        <v>0.74999999999999978</v>
      </c>
      <c r="E10" s="1" t="s">
        <v>279</v>
      </c>
      <c r="F10" s="1" t="s">
        <v>280</v>
      </c>
      <c r="G10" s="1" t="s">
        <v>20</v>
      </c>
      <c r="H10" s="1" t="s">
        <v>20</v>
      </c>
      <c r="I10" s="1" t="s">
        <v>20</v>
      </c>
      <c r="J10" s="1" t="s">
        <v>45</v>
      </c>
      <c r="K10" s="1" t="s">
        <v>20</v>
      </c>
      <c r="N10" s="1">
        <v>55</v>
      </c>
      <c r="P10" s="1" t="s">
        <v>281</v>
      </c>
      <c r="Q10" s="1">
        <v>6</v>
      </c>
      <c r="W10" s="1" t="s">
        <v>282</v>
      </c>
    </row>
    <row r="11" spans="2:23" x14ac:dyDescent="0.25">
      <c r="C11" s="1" t="s">
        <v>20</v>
      </c>
      <c r="D11" s="4">
        <f t="shared" si="0"/>
        <v>0.69999999999999973</v>
      </c>
      <c r="E11" s="1" t="s">
        <v>283</v>
      </c>
      <c r="F11" s="1" t="s">
        <v>284</v>
      </c>
      <c r="G11" s="1" t="s">
        <v>285</v>
      </c>
      <c r="J11" s="1" t="s">
        <v>39</v>
      </c>
      <c r="N11" s="1">
        <v>56</v>
      </c>
      <c r="P11" s="1" t="s">
        <v>286</v>
      </c>
      <c r="Q11" s="1" t="s">
        <v>20</v>
      </c>
      <c r="W11" s="1" t="s">
        <v>287</v>
      </c>
    </row>
    <row r="12" spans="2:23" x14ac:dyDescent="0.25">
      <c r="C12" s="1">
        <v>1</v>
      </c>
      <c r="D12" s="4">
        <f t="shared" si="0"/>
        <v>0.64999999999999969</v>
      </c>
      <c r="E12" s="1" t="s">
        <v>288</v>
      </c>
      <c r="F12" s="1" t="s">
        <v>224</v>
      </c>
      <c r="G12" s="1" t="s">
        <v>110</v>
      </c>
      <c r="J12" s="1" t="s">
        <v>21</v>
      </c>
      <c r="N12" s="1">
        <v>65</v>
      </c>
      <c r="P12" s="1" t="s">
        <v>20</v>
      </c>
      <c r="W12" s="1" t="s">
        <v>289</v>
      </c>
    </row>
    <row r="13" spans="2:23" x14ac:dyDescent="0.25">
      <c r="C13" s="1">
        <v>2</v>
      </c>
      <c r="D13" s="4">
        <f t="shared" si="0"/>
        <v>0.59999999999999964</v>
      </c>
      <c r="E13" s="1" t="s">
        <v>290</v>
      </c>
      <c r="F13" s="1" t="s">
        <v>237</v>
      </c>
      <c r="J13" s="1" t="s">
        <v>291</v>
      </c>
      <c r="N13" s="1">
        <v>66</v>
      </c>
    </row>
    <row r="14" spans="2:23" x14ac:dyDescent="0.25">
      <c r="C14" s="1" t="s">
        <v>20</v>
      </c>
      <c r="D14" s="4">
        <f t="shared" si="0"/>
        <v>0.5499999999999996</v>
      </c>
      <c r="E14" s="1" t="s">
        <v>292</v>
      </c>
      <c r="F14" s="1" t="s">
        <v>249</v>
      </c>
      <c r="J14" s="1" t="s">
        <v>293</v>
      </c>
      <c r="N14" s="1">
        <v>67</v>
      </c>
    </row>
    <row r="15" spans="2:23" x14ac:dyDescent="0.25">
      <c r="C15" s="95" t="s">
        <v>18</v>
      </c>
      <c r="D15" s="4">
        <f t="shared" si="0"/>
        <v>0.49999999999999961</v>
      </c>
      <c r="E15" s="1" t="s">
        <v>294</v>
      </c>
      <c r="F15" s="1" t="s">
        <v>261</v>
      </c>
      <c r="J15" s="1" t="s">
        <v>20</v>
      </c>
      <c r="N15" s="1">
        <v>68</v>
      </c>
    </row>
    <row r="16" spans="2:23" x14ac:dyDescent="0.25">
      <c r="C16" s="1" t="s">
        <v>295</v>
      </c>
      <c r="D16" s="4">
        <f t="shared" si="0"/>
        <v>0.44999999999999962</v>
      </c>
      <c r="E16" s="1" t="s">
        <v>296</v>
      </c>
      <c r="F16" s="1" t="s">
        <v>272</v>
      </c>
      <c r="N16" s="1" t="s">
        <v>20</v>
      </c>
    </row>
    <row r="17" spans="3:14" x14ac:dyDescent="0.25">
      <c r="C17" s="1" t="s">
        <v>297</v>
      </c>
      <c r="D17" s="4">
        <f t="shared" si="0"/>
        <v>0.39999999999999963</v>
      </c>
      <c r="E17" s="1" t="s">
        <v>298</v>
      </c>
      <c r="F17" s="1" t="s">
        <v>20</v>
      </c>
    </row>
    <row r="18" spans="3:14" x14ac:dyDescent="0.25">
      <c r="C18" s="1" t="s">
        <v>299</v>
      </c>
      <c r="D18" s="4">
        <f t="shared" si="0"/>
        <v>0.34999999999999964</v>
      </c>
      <c r="E18" s="1" t="s">
        <v>300</v>
      </c>
      <c r="F18" s="1" t="s">
        <v>304</v>
      </c>
      <c r="J18" s="244" t="s">
        <v>301</v>
      </c>
      <c r="K18" s="244"/>
      <c r="L18" s="244"/>
      <c r="M18" s="244"/>
      <c r="N18" s="244"/>
    </row>
    <row r="19" spans="3:14" x14ac:dyDescent="0.25">
      <c r="C19" s="1" t="s">
        <v>302</v>
      </c>
      <c r="D19" s="4">
        <f t="shared" si="0"/>
        <v>0.29999999999999966</v>
      </c>
      <c r="E19" s="1" t="s">
        <v>303</v>
      </c>
      <c r="F19" s="1" t="s">
        <v>308</v>
      </c>
      <c r="J19" s="1">
        <v>1</v>
      </c>
      <c r="K19" s="1" t="s">
        <v>305</v>
      </c>
    </row>
    <row r="20" spans="3:14" x14ac:dyDescent="0.25">
      <c r="C20" s="1" t="s">
        <v>306</v>
      </c>
      <c r="D20" s="4">
        <f t="shared" si="0"/>
        <v>0.24999999999999967</v>
      </c>
      <c r="E20" s="1" t="s">
        <v>307</v>
      </c>
      <c r="F20" s="1" t="s">
        <v>311</v>
      </c>
      <c r="J20" s="1">
        <v>2</v>
      </c>
      <c r="K20" s="1" t="s">
        <v>309</v>
      </c>
    </row>
    <row r="21" spans="3:14" x14ac:dyDescent="0.25">
      <c r="C21" s="1" t="s">
        <v>278</v>
      </c>
      <c r="D21" s="4">
        <f t="shared" si="0"/>
        <v>0.19999999999999968</v>
      </c>
      <c r="E21" s="1" t="s">
        <v>310</v>
      </c>
      <c r="F21" s="1" t="s">
        <v>20</v>
      </c>
      <c r="J21" s="1">
        <v>3</v>
      </c>
      <c r="K21" s="1" t="s">
        <v>312</v>
      </c>
    </row>
    <row r="22" spans="3:14" x14ac:dyDescent="0.25">
      <c r="C22" s="1" t="s">
        <v>20</v>
      </c>
      <c r="D22" s="4">
        <f t="shared" si="0"/>
        <v>0.14999999999999969</v>
      </c>
      <c r="E22" s="1" t="s">
        <v>313</v>
      </c>
      <c r="F22" s="1" t="s">
        <v>116</v>
      </c>
      <c r="J22" s="1">
        <v>4</v>
      </c>
      <c r="K22" s="1" t="s">
        <v>314</v>
      </c>
    </row>
    <row r="23" spans="3:14" x14ac:dyDescent="0.25">
      <c r="D23" s="4">
        <f t="shared" si="0"/>
        <v>9.9999999999999686E-2</v>
      </c>
      <c r="E23" s="1" t="s">
        <v>315</v>
      </c>
      <c r="F23" s="1" t="s">
        <v>316</v>
      </c>
    </row>
    <row r="24" spans="3:14" x14ac:dyDescent="0.25">
      <c r="D24" s="4">
        <f t="shared" si="0"/>
        <v>4.9999999999999684E-2</v>
      </c>
      <c r="E24" s="1" t="s">
        <v>317</v>
      </c>
      <c r="F24" s="1" t="s">
        <v>94</v>
      </c>
    </row>
    <row r="25" spans="3:14" x14ac:dyDescent="0.25">
      <c r="D25" s="4"/>
      <c r="E25" s="1" t="s">
        <v>318</v>
      </c>
      <c r="F25" s="1" t="s">
        <v>319</v>
      </c>
    </row>
    <row r="26" spans="3:14" x14ac:dyDescent="0.25">
      <c r="D26" s="4"/>
      <c r="E26" s="1" t="s">
        <v>320</v>
      </c>
      <c r="F26" s="1" t="s">
        <v>91</v>
      </c>
    </row>
    <row r="27" spans="3:14" x14ac:dyDescent="0.25">
      <c r="D27" s="4"/>
      <c r="E27" s="1" t="s">
        <v>321</v>
      </c>
      <c r="F27" s="1" t="s">
        <v>322</v>
      </c>
    </row>
    <row r="28" spans="3:14" x14ac:dyDescent="0.25">
      <c r="D28" s="4"/>
      <c r="E28" s="1" t="s">
        <v>323</v>
      </c>
      <c r="F28" s="1" t="s">
        <v>127</v>
      </c>
    </row>
    <row r="29" spans="3:14" x14ac:dyDescent="0.25">
      <c r="D29" s="4"/>
      <c r="E29" s="1" t="s">
        <v>324</v>
      </c>
      <c r="F29" s="1" t="s">
        <v>325</v>
      </c>
    </row>
    <row r="30" spans="3:14" x14ac:dyDescent="0.25">
      <c r="D30" s="4"/>
      <c r="E30" s="1" t="s">
        <v>326</v>
      </c>
      <c r="F30" s="1" t="s">
        <v>327</v>
      </c>
    </row>
    <row r="31" spans="3:14" x14ac:dyDescent="0.25">
      <c r="D31" s="4"/>
      <c r="E31" s="1" t="s">
        <v>328</v>
      </c>
      <c r="F31" s="1" t="s">
        <v>20</v>
      </c>
    </row>
    <row r="32" spans="3:14" x14ac:dyDescent="0.25">
      <c r="D32" s="4"/>
      <c r="E32" s="1" t="s">
        <v>329</v>
      </c>
      <c r="F32" s="1" t="s">
        <v>29</v>
      </c>
    </row>
    <row r="33" spans="4:6" x14ac:dyDescent="0.25">
      <c r="D33" s="4"/>
      <c r="E33" s="1" t="s">
        <v>20</v>
      </c>
      <c r="F33" s="1" t="s">
        <v>330</v>
      </c>
    </row>
    <row r="34" spans="4:6" x14ac:dyDescent="0.25">
      <c r="D34" s="4"/>
      <c r="F34" s="1" t="s">
        <v>80</v>
      </c>
    </row>
    <row r="35" spans="4:6" x14ac:dyDescent="0.25">
      <c r="D35" s="4"/>
      <c r="F35" s="1" t="s">
        <v>331</v>
      </c>
    </row>
    <row r="36" spans="4:6" x14ac:dyDescent="0.25">
      <c r="F36" s="1" t="s">
        <v>325</v>
      </c>
    </row>
    <row r="37" spans="4:6" x14ac:dyDescent="0.25">
      <c r="F37" s="1" t="s">
        <v>127</v>
      </c>
    </row>
  </sheetData>
  <mergeCells count="2">
    <mergeCell ref="J3:L3"/>
    <mergeCell ref="J18:N18"/>
  </mergeCells>
  <phoneticPr fontId="3" type="noConversion"/>
  <pageMargins left="0.7" right="0.7" top="0.75" bottom="0.75" header="0.3" footer="0.3"/>
  <pageSetup paperSize="9" scale="3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D142-6E47-414F-A619-66C42845E7FF}">
  <sheetPr published="0" codeName="Sheet5"/>
  <dimension ref="A2:K206"/>
  <sheetViews>
    <sheetView showGridLines="0" showRowColHeaders="0" view="pageBreakPreview" zoomScaleNormal="100" zoomScaleSheetLayoutView="100" workbookViewId="0">
      <pane ySplit="4" topLeftCell="A149" activePane="bottomLeft" state="frozen"/>
      <selection pane="bottomLeft" activeCell="E161" sqref="E161"/>
    </sheetView>
  </sheetViews>
  <sheetFormatPr defaultColWidth="8.85546875" defaultRowHeight="15" x14ac:dyDescent="0.25"/>
  <cols>
    <col min="1" max="1" width="3.28515625" style="6" customWidth="1"/>
    <col min="2" max="2" width="30.7109375" style="1" customWidth="1"/>
    <col min="3" max="4" width="25.7109375" style="1" customWidth="1"/>
    <col min="5" max="5" width="15.7109375" style="1" customWidth="1"/>
    <col min="6" max="6" width="10.7109375" style="1" customWidth="1"/>
    <col min="7" max="7" width="30" style="1" customWidth="1"/>
    <col min="8" max="8" width="15.7109375" style="1" bestFit="1" customWidth="1"/>
    <col min="9" max="9" width="44.85546875" style="1" customWidth="1"/>
    <col min="10" max="11" width="8.85546875" style="1"/>
    <col min="12" max="12" width="14.28515625" style="1" bestFit="1" customWidth="1"/>
    <col min="13" max="13" width="11.7109375" style="1" customWidth="1"/>
    <col min="14" max="14" width="11.5703125" style="1" customWidth="1"/>
    <col min="15" max="15" width="8.85546875" style="1"/>
    <col min="16" max="16" width="19" style="1" bestFit="1" customWidth="1"/>
    <col min="17" max="17" width="8.85546875" style="1"/>
    <col min="18" max="18" width="32.7109375" style="1" customWidth="1"/>
    <col min="19" max="21" width="8.85546875" style="1"/>
    <col min="22" max="22" width="11.5703125" style="1" bestFit="1" customWidth="1"/>
    <col min="23" max="16384" width="8.85546875" style="1"/>
  </cols>
  <sheetData>
    <row r="2" spans="2:11" x14ac:dyDescent="0.25">
      <c r="B2" s="104" t="s">
        <v>332</v>
      </c>
    </row>
    <row r="3" spans="2:11" x14ac:dyDescent="0.25">
      <c r="B3" s="47" t="s">
        <v>333</v>
      </c>
      <c r="C3" s="103"/>
      <c r="D3" s="103"/>
      <c r="E3" s="103"/>
      <c r="F3" s="24"/>
      <c r="G3" s="105" t="s">
        <v>334</v>
      </c>
      <c r="H3" s="105" t="s">
        <v>335</v>
      </c>
      <c r="I3"/>
      <c r="J3"/>
      <c r="K3"/>
    </row>
    <row r="4" spans="2:11" x14ac:dyDescent="0.25">
      <c r="B4" s="24"/>
      <c r="C4" s="24" t="s">
        <v>336</v>
      </c>
      <c r="D4" s="103" t="s">
        <v>97</v>
      </c>
      <c r="E4" s="103" t="s">
        <v>337</v>
      </c>
      <c r="F4" s="24"/>
      <c r="G4" s="24"/>
      <c r="H4" s="103"/>
      <c r="J4"/>
      <c r="K4"/>
    </row>
    <row r="5" spans="2:11" x14ac:dyDescent="0.25">
      <c r="B5" s="5" t="s">
        <v>338</v>
      </c>
      <c r="C5" s="142" t="s">
        <v>339</v>
      </c>
      <c r="D5" s="2" t="s">
        <v>340</v>
      </c>
      <c r="E5" s="8">
        <v>1</v>
      </c>
      <c r="G5" s="91" t="str">
        <f>_xlfn.CONCAT('TEC-ENG-FOR-0029'!$H$11:$K$11,H5)</f>
        <v>T H A M E S  W A T E R1</v>
      </c>
      <c r="H5" s="1">
        <v>1</v>
      </c>
      <c r="I5"/>
      <c r="J5"/>
      <c r="K5"/>
    </row>
    <row r="6" spans="2:11" x14ac:dyDescent="0.25">
      <c r="B6" s="5" t="s">
        <v>341</v>
      </c>
      <c r="C6" s="143" t="s">
        <v>342</v>
      </c>
      <c r="D6" s="2" t="s">
        <v>340</v>
      </c>
      <c r="E6" s="8">
        <v>1</v>
      </c>
      <c r="G6" s="91" t="str">
        <f>_xlfn.CONCAT('TEC-ENG-FOR-0029'!$H$11:$K$11,H6)</f>
        <v>T H A M E S  W A T E R2</v>
      </c>
      <c r="H6" s="1">
        <v>2</v>
      </c>
      <c r="J6"/>
      <c r="K6"/>
    </row>
    <row r="7" spans="2:11" x14ac:dyDescent="0.25">
      <c r="B7" s="5" t="s">
        <v>343</v>
      </c>
      <c r="C7" s="144" t="s">
        <v>344</v>
      </c>
      <c r="D7" s="2" t="s">
        <v>90</v>
      </c>
      <c r="E7" s="8" t="s">
        <v>90</v>
      </c>
      <c r="G7" s="91" t="str">
        <f>_xlfn.CONCAT('TEC-ENG-FOR-0029'!$H$11:$K$11,H7)</f>
        <v>T H A M E S  W A T E R3</v>
      </c>
      <c r="H7" s="1">
        <v>3</v>
      </c>
      <c r="J7"/>
      <c r="K7"/>
    </row>
    <row r="8" spans="2:11" x14ac:dyDescent="0.25">
      <c r="B8" s="5" t="s">
        <v>345</v>
      </c>
      <c r="C8" s="144" t="s">
        <v>346</v>
      </c>
      <c r="D8" s="2" t="s">
        <v>90</v>
      </c>
      <c r="E8" s="8" t="s">
        <v>90</v>
      </c>
      <c r="G8" s="91" t="str">
        <f>_xlfn.CONCAT('TEC-ENG-FOR-0029'!$H$11:$K$11,H8)</f>
        <v>T H A M E S  W A T E R4</v>
      </c>
      <c r="H8" s="1">
        <v>4</v>
      </c>
      <c r="J8"/>
      <c r="K8"/>
    </row>
    <row r="9" spans="2:11" x14ac:dyDescent="0.25">
      <c r="B9" s="5" t="s">
        <v>347</v>
      </c>
      <c r="C9" s="5" t="s">
        <v>68</v>
      </c>
      <c r="D9" s="2" t="s">
        <v>163</v>
      </c>
      <c r="E9" s="5">
        <v>2.5</v>
      </c>
      <c r="G9" s="91" t="str">
        <f>_xlfn.CONCAT('TEC-ENG-FOR-0029'!$H$11:$K$11,H9)</f>
        <v>T H A M E S  W A T E R5</v>
      </c>
      <c r="H9" s="1">
        <v>5</v>
      </c>
      <c r="J9"/>
      <c r="K9"/>
    </row>
    <row r="10" spans="2:11" x14ac:dyDescent="0.25">
      <c r="B10" s="5" t="s">
        <v>348</v>
      </c>
      <c r="C10" s="5" t="s">
        <v>349</v>
      </c>
      <c r="D10" s="2" t="s">
        <v>160</v>
      </c>
      <c r="E10" s="8">
        <v>1</v>
      </c>
      <c r="G10" s="91" t="str">
        <f>_xlfn.CONCAT('TEC-ENG-FOR-0029'!$H$11:$K$11,H10)</f>
        <v>T H A M E S  W A T E R6</v>
      </c>
      <c r="H10" s="1">
        <v>6</v>
      </c>
      <c r="J10"/>
      <c r="K10"/>
    </row>
    <row r="11" spans="2:11" x14ac:dyDescent="0.25">
      <c r="B11" s="5" t="s">
        <v>350</v>
      </c>
      <c r="C11" s="5" t="s">
        <v>76</v>
      </c>
      <c r="D11" s="2" t="s">
        <v>351</v>
      </c>
      <c r="E11" s="8">
        <v>1</v>
      </c>
      <c r="G11" s="91" t="str">
        <f>_xlfn.CONCAT('TEC-ENG-FOR-0029'!$H$11:$K$11,H11)</f>
        <v>T H A M E S  W A T E R7</v>
      </c>
      <c r="H11" s="1">
        <v>7</v>
      </c>
    </row>
    <row r="12" spans="2:11" x14ac:dyDescent="0.25">
      <c r="B12" s="5" t="s">
        <v>352</v>
      </c>
      <c r="C12" s="5" t="s">
        <v>81</v>
      </c>
      <c r="D12" s="2" t="s">
        <v>353</v>
      </c>
      <c r="E12" s="8">
        <v>1</v>
      </c>
      <c r="G12" s="91" t="str">
        <f>_xlfn.CONCAT('TEC-ENG-FOR-0029'!$H$11:$K$11,H12)</f>
        <v>T H A M E S  W A T E R8</v>
      </c>
      <c r="H12" s="1">
        <v>8</v>
      </c>
    </row>
    <row r="13" spans="2:11" x14ac:dyDescent="0.25">
      <c r="B13" s="5" t="s">
        <v>354</v>
      </c>
      <c r="C13" s="5" t="s">
        <v>85</v>
      </c>
      <c r="D13" s="5" t="s">
        <v>355</v>
      </c>
      <c r="E13" s="5">
        <v>0.75</v>
      </c>
      <c r="G13" s="91" t="str">
        <f>_xlfn.CONCAT('TEC-ENG-FOR-0029'!$H$11:$K$11,H13)</f>
        <v>T H A M E S  W A T E R9</v>
      </c>
      <c r="H13" s="1">
        <v>9</v>
      </c>
    </row>
    <row r="14" spans="2:11" x14ac:dyDescent="0.25">
      <c r="B14" s="5" t="s">
        <v>356</v>
      </c>
      <c r="C14" s="144" t="s">
        <v>357</v>
      </c>
      <c r="D14" s="2" t="s">
        <v>358</v>
      </c>
      <c r="E14" s="8">
        <v>1</v>
      </c>
      <c r="G14" s="91" t="str">
        <f>_xlfn.CONCAT('TEC-ENG-FOR-0029'!$H$11:$K$11,H14)</f>
        <v>T H A M E S  W A T E R10</v>
      </c>
      <c r="H14" s="1">
        <v>10</v>
      </c>
    </row>
    <row r="15" spans="2:11" x14ac:dyDescent="0.25">
      <c r="B15" s="5" t="s">
        <v>359</v>
      </c>
      <c r="C15" s="144" t="s">
        <v>360</v>
      </c>
      <c r="D15" s="2" t="s">
        <v>358</v>
      </c>
      <c r="E15" s="8">
        <v>1</v>
      </c>
      <c r="G15" s="91" t="str">
        <f>_xlfn.CONCAT('TEC-ENG-FOR-0029'!$H$11:$K$11,H15)</f>
        <v>T H A M E S  W A T E R11</v>
      </c>
      <c r="H15" s="1">
        <v>11</v>
      </c>
    </row>
    <row r="16" spans="2:11" x14ac:dyDescent="0.25">
      <c r="B16" s="5" t="s">
        <v>361</v>
      </c>
      <c r="C16" s="144" t="s">
        <v>362</v>
      </c>
      <c r="D16" s="2" t="s">
        <v>90</v>
      </c>
      <c r="E16" s="8" t="s">
        <v>90</v>
      </c>
      <c r="G16" s="91" t="str">
        <f>_xlfn.CONCAT('TEC-ENG-FOR-0029'!$H$11:$K$11,H16)</f>
        <v>T H A M E S  W A T E R12</v>
      </c>
      <c r="H16" s="1">
        <v>12</v>
      </c>
    </row>
    <row r="17" spans="2:8" x14ac:dyDescent="0.25">
      <c r="B17" s="5" t="s">
        <v>363</v>
      </c>
      <c r="C17" s="144" t="s">
        <v>364</v>
      </c>
      <c r="D17" s="2" t="s">
        <v>90</v>
      </c>
      <c r="E17" s="8" t="s">
        <v>90</v>
      </c>
      <c r="G17" s="91" t="str">
        <f>_xlfn.CONCAT('TEC-ENG-FOR-0029'!$H$11:$K$11,H17)</f>
        <v>T H A M E S  W A T E R13</v>
      </c>
      <c r="H17" s="1">
        <v>13</v>
      </c>
    </row>
    <row r="18" spans="2:8" x14ac:dyDescent="0.25">
      <c r="B18" s="5" t="s">
        <v>365</v>
      </c>
      <c r="C18" s="2" t="s">
        <v>366</v>
      </c>
      <c r="D18" s="2" t="s">
        <v>358</v>
      </c>
      <c r="E18" s="8">
        <v>1</v>
      </c>
      <c r="G18" s="91" t="str">
        <f>_xlfn.CONCAT('TEC-ENG-FOR-0029'!$H$11:$K$11,H18)</f>
        <v>T H A M E S  W A T E R14</v>
      </c>
      <c r="H18" s="1">
        <v>14</v>
      </c>
    </row>
    <row r="19" spans="2:8" x14ac:dyDescent="0.25">
      <c r="B19" s="5" t="s">
        <v>367</v>
      </c>
      <c r="C19" s="2" t="s">
        <v>368</v>
      </c>
      <c r="D19" s="2" t="s">
        <v>358</v>
      </c>
      <c r="E19" s="8">
        <v>1</v>
      </c>
      <c r="G19" s="91" t="str">
        <f>_xlfn.CONCAT('TEC-ENG-FOR-0029'!$H$11:$K$11,H19)</f>
        <v>T H A M E S  W A T E R15</v>
      </c>
      <c r="H19" s="1">
        <v>15</v>
      </c>
    </row>
    <row r="20" spans="2:8" x14ac:dyDescent="0.25">
      <c r="B20" s="5" t="s">
        <v>369</v>
      </c>
      <c r="C20" s="2" t="s">
        <v>370</v>
      </c>
      <c r="D20" s="2" t="s">
        <v>371</v>
      </c>
      <c r="E20" s="8">
        <v>1</v>
      </c>
      <c r="G20" s="91" t="str">
        <f>_xlfn.CONCAT('TEC-ENG-FOR-0029'!$H$11:$K$11,H20)</f>
        <v>T H A M E S  W A T E R16</v>
      </c>
      <c r="H20" s="1">
        <v>16</v>
      </c>
    </row>
    <row r="21" spans="2:8" x14ac:dyDescent="0.25">
      <c r="B21" s="5" t="s">
        <v>372</v>
      </c>
      <c r="C21" s="2" t="s">
        <v>373</v>
      </c>
      <c r="D21" s="2" t="s">
        <v>371</v>
      </c>
      <c r="E21" s="8">
        <v>1</v>
      </c>
      <c r="G21" s="91" t="str">
        <f>_xlfn.CONCAT('TEC-ENG-FOR-0029'!$H$11:$K$11,H21)</f>
        <v>T H A M E S  W A T E R17</v>
      </c>
      <c r="H21" s="1">
        <v>17</v>
      </c>
    </row>
    <row r="22" spans="2:8" x14ac:dyDescent="0.25">
      <c r="B22" s="5" t="s">
        <v>374</v>
      </c>
      <c r="C22" s="5" t="s">
        <v>375</v>
      </c>
      <c r="D22" s="2" t="s">
        <v>376</v>
      </c>
      <c r="E22" s="5">
        <v>0.25</v>
      </c>
      <c r="G22" s="91" t="str">
        <f>_xlfn.CONCAT('TEC-ENG-FOR-0029'!$H$11:$K$11,H22)</f>
        <v>T H A M E S  W A T E R18</v>
      </c>
      <c r="H22" s="1">
        <v>18</v>
      </c>
    </row>
    <row r="23" spans="2:8" x14ac:dyDescent="0.25">
      <c r="B23" s="5" t="s">
        <v>377</v>
      </c>
      <c r="C23" s="5" t="s">
        <v>378</v>
      </c>
      <c r="D23" s="2" t="s">
        <v>379</v>
      </c>
      <c r="E23" s="5"/>
      <c r="G23" s="91" t="str">
        <f>_xlfn.CONCAT('TEC-ENG-FOR-0029'!$H$11:$K$11,H23)</f>
        <v>T H A M E S  W A T E R19</v>
      </c>
      <c r="H23" s="1">
        <v>19</v>
      </c>
    </row>
    <row r="24" spans="2:8" x14ac:dyDescent="0.25">
      <c r="B24" s="5" t="s">
        <v>380</v>
      </c>
      <c r="C24" s="5" t="s">
        <v>381</v>
      </c>
      <c r="D24" s="2" t="s">
        <v>382</v>
      </c>
      <c r="E24" s="5"/>
      <c r="G24" s="91" t="str">
        <f>_xlfn.CONCAT('TEC-ENG-FOR-0029'!$H$11:$K$11,H24)</f>
        <v>T H A M E S  W A T E R20</v>
      </c>
      <c r="H24" s="1">
        <v>20</v>
      </c>
    </row>
    <row r="25" spans="2:8" x14ac:dyDescent="0.25">
      <c r="B25" s="5" t="s">
        <v>383</v>
      </c>
      <c r="C25" s="5" t="s">
        <v>384</v>
      </c>
      <c r="D25" s="5" t="s">
        <v>90</v>
      </c>
      <c r="E25" s="5"/>
      <c r="G25" s="91" t="str">
        <f>_xlfn.CONCAT('TEC-ENG-FOR-0029'!$H$11:$K$11,H25)</f>
        <v>T H A M E S  W A T E R21</v>
      </c>
      <c r="H25" s="1">
        <v>21</v>
      </c>
    </row>
    <row r="26" spans="2:8" x14ac:dyDescent="0.25">
      <c r="B26" s="5" t="s">
        <v>385</v>
      </c>
      <c r="C26" s="5" t="s">
        <v>386</v>
      </c>
      <c r="D26" s="2" t="s">
        <v>387</v>
      </c>
      <c r="E26" s="5"/>
      <c r="G26" s="91" t="str">
        <f>_xlfn.CONCAT('TEC-ENG-FOR-0029'!$H$11:$K$11,H26)</f>
        <v>T H A M E S  W A T E R22</v>
      </c>
      <c r="H26" s="1">
        <v>22</v>
      </c>
    </row>
    <row r="27" spans="2:8" x14ac:dyDescent="0.25">
      <c r="B27" s="5" t="s">
        <v>388</v>
      </c>
      <c r="C27" s="5" t="s">
        <v>389</v>
      </c>
      <c r="D27" s="2" t="s">
        <v>387</v>
      </c>
      <c r="E27" s="5"/>
      <c r="G27" s="91" t="str">
        <f>_xlfn.CONCAT('TEC-ENG-FOR-0029'!$H$11:$K$11,H27)</f>
        <v>T H A M E S  W A T E R23</v>
      </c>
      <c r="H27" s="1">
        <v>23</v>
      </c>
    </row>
    <row r="28" spans="2:8" x14ac:dyDescent="0.25">
      <c r="B28" s="5" t="s">
        <v>390</v>
      </c>
      <c r="C28" s="5" t="s">
        <v>391</v>
      </c>
      <c r="D28" s="2" t="s">
        <v>90</v>
      </c>
      <c r="E28" s="5"/>
      <c r="G28" s="91" t="str">
        <f>_xlfn.CONCAT('TEC-ENG-FOR-0029'!$H$11:$K$11,H28)</f>
        <v>T H A M E S  W A T E R24</v>
      </c>
      <c r="H28" s="1">
        <v>24</v>
      </c>
    </row>
    <row r="29" spans="2:8" x14ac:dyDescent="0.25">
      <c r="B29" s="5" t="s">
        <v>392</v>
      </c>
      <c r="C29" s="5" t="s">
        <v>393</v>
      </c>
      <c r="D29" s="2" t="s">
        <v>394</v>
      </c>
      <c r="E29" s="5"/>
      <c r="G29" s="91" t="str">
        <f>_xlfn.CONCAT('TEC-ENG-FOR-0029'!$H$11:$K$11,H29)</f>
        <v>T H A M E S  W A T E R25</v>
      </c>
      <c r="H29" s="1">
        <v>25</v>
      </c>
    </row>
    <row r="30" spans="2:8" x14ac:dyDescent="0.25">
      <c r="B30" s="5" t="s">
        <v>395</v>
      </c>
      <c r="C30" s="5" t="s">
        <v>396</v>
      </c>
      <c r="D30" s="2" t="s">
        <v>397</v>
      </c>
      <c r="E30" s="5"/>
      <c r="G30" s="91" t="str">
        <f>_xlfn.CONCAT('TEC-ENG-FOR-0029'!$H$11:$K$11,H30)</f>
        <v>T H A M E S  W A T E R26</v>
      </c>
      <c r="H30" s="1">
        <v>26</v>
      </c>
    </row>
    <row r="31" spans="2:8" x14ac:dyDescent="0.25">
      <c r="B31" s="5" t="s">
        <v>398</v>
      </c>
      <c r="C31" s="5" t="s">
        <v>399</v>
      </c>
      <c r="D31" s="2" t="s">
        <v>400</v>
      </c>
      <c r="E31" s="5"/>
      <c r="G31" s="91" t="str">
        <f>_xlfn.CONCAT('TEC-ENG-FOR-0029'!$H$11:$K$11,H31)</f>
        <v>T H A M E S  W A T E R27</v>
      </c>
      <c r="H31" s="1">
        <v>27</v>
      </c>
    </row>
    <row r="32" spans="2:8" x14ac:dyDescent="0.25">
      <c r="B32" s="5" t="s">
        <v>401</v>
      </c>
      <c r="C32" s="5" t="s">
        <v>402</v>
      </c>
      <c r="D32" s="2" t="s">
        <v>403</v>
      </c>
      <c r="E32" s="5"/>
      <c r="G32" s="91" t="str">
        <f>_xlfn.CONCAT('TEC-ENG-FOR-0029'!$H$11:$K$11,H32)</f>
        <v>T H A M E S  W A T E R28</v>
      </c>
      <c r="H32" s="1">
        <v>28</v>
      </c>
    </row>
    <row r="33" spans="2:5" x14ac:dyDescent="0.25">
      <c r="B33" s="88"/>
      <c r="C33" s="89"/>
      <c r="D33" s="89"/>
      <c r="E33" s="90"/>
    </row>
    <row r="34" spans="2:5" x14ac:dyDescent="0.25">
      <c r="B34" s="5" t="s">
        <v>404</v>
      </c>
      <c r="C34" s="142" t="s">
        <v>339</v>
      </c>
      <c r="D34" s="2" t="s">
        <v>340</v>
      </c>
      <c r="E34" s="8">
        <v>1</v>
      </c>
    </row>
    <row r="35" spans="2:5" x14ac:dyDescent="0.25">
      <c r="B35" s="5" t="s">
        <v>405</v>
      </c>
      <c r="C35" s="143" t="s">
        <v>342</v>
      </c>
      <c r="D35" s="2" t="s">
        <v>340</v>
      </c>
      <c r="E35" s="8">
        <v>1</v>
      </c>
    </row>
    <row r="36" spans="2:5" x14ac:dyDescent="0.25">
      <c r="B36" s="5" t="s">
        <v>406</v>
      </c>
      <c r="C36" s="144" t="s">
        <v>344</v>
      </c>
      <c r="D36" s="2" t="s">
        <v>90</v>
      </c>
      <c r="E36" s="8" t="s">
        <v>90</v>
      </c>
    </row>
    <row r="37" spans="2:5" x14ac:dyDescent="0.25">
      <c r="B37" s="5" t="s">
        <v>407</v>
      </c>
      <c r="C37" s="144" t="s">
        <v>346</v>
      </c>
      <c r="D37" s="2" t="s">
        <v>90</v>
      </c>
      <c r="E37" s="8" t="s">
        <v>90</v>
      </c>
    </row>
    <row r="38" spans="2:5" x14ac:dyDescent="0.25">
      <c r="B38" s="5" t="s">
        <v>408</v>
      </c>
      <c r="C38" s="5" t="s">
        <v>68</v>
      </c>
      <c r="D38" s="2" t="s">
        <v>163</v>
      </c>
      <c r="E38" s="5">
        <v>2.5</v>
      </c>
    </row>
    <row r="39" spans="2:5" x14ac:dyDescent="0.25">
      <c r="B39" s="5" t="s">
        <v>409</v>
      </c>
      <c r="C39" s="5" t="s">
        <v>349</v>
      </c>
      <c r="D39" s="2" t="s">
        <v>160</v>
      </c>
      <c r="E39" s="8">
        <v>1</v>
      </c>
    </row>
    <row r="40" spans="2:5" x14ac:dyDescent="0.25">
      <c r="B40" s="5" t="s">
        <v>410</v>
      </c>
      <c r="C40" s="5" t="s">
        <v>76</v>
      </c>
      <c r="D40" s="2" t="s">
        <v>351</v>
      </c>
      <c r="E40" s="8">
        <v>1</v>
      </c>
    </row>
    <row r="41" spans="2:5" x14ac:dyDescent="0.25">
      <c r="B41" s="5" t="s">
        <v>411</v>
      </c>
      <c r="C41" s="5" t="s">
        <v>81</v>
      </c>
      <c r="D41" s="2" t="s">
        <v>353</v>
      </c>
      <c r="E41" s="8">
        <v>1</v>
      </c>
    </row>
    <row r="42" spans="2:5" x14ac:dyDescent="0.25">
      <c r="B42" s="5" t="s">
        <v>412</v>
      </c>
      <c r="C42" s="5" t="s">
        <v>85</v>
      </c>
      <c r="D42" s="5" t="s">
        <v>355</v>
      </c>
      <c r="E42" s="5">
        <v>0.75</v>
      </c>
    </row>
    <row r="43" spans="2:5" x14ac:dyDescent="0.25">
      <c r="B43" s="5" t="s">
        <v>413</v>
      </c>
      <c r="C43" s="144" t="s">
        <v>357</v>
      </c>
      <c r="D43" s="2" t="s">
        <v>358</v>
      </c>
      <c r="E43" s="8">
        <v>1</v>
      </c>
    </row>
    <row r="44" spans="2:5" x14ac:dyDescent="0.25">
      <c r="B44" s="5" t="s">
        <v>414</v>
      </c>
      <c r="C44" s="144" t="s">
        <v>360</v>
      </c>
      <c r="D44" s="2" t="s">
        <v>358</v>
      </c>
      <c r="E44" s="8">
        <v>1</v>
      </c>
    </row>
    <row r="45" spans="2:5" x14ac:dyDescent="0.25">
      <c r="B45" s="5" t="s">
        <v>415</v>
      </c>
      <c r="C45" s="144" t="s">
        <v>362</v>
      </c>
      <c r="D45" s="2" t="s">
        <v>90</v>
      </c>
      <c r="E45" s="8" t="s">
        <v>90</v>
      </c>
    </row>
    <row r="46" spans="2:5" x14ac:dyDescent="0.25">
      <c r="B46" s="5" t="s">
        <v>416</v>
      </c>
      <c r="C46" s="144" t="s">
        <v>364</v>
      </c>
      <c r="D46" s="2" t="s">
        <v>90</v>
      </c>
      <c r="E46" s="8" t="s">
        <v>90</v>
      </c>
    </row>
    <row r="47" spans="2:5" x14ac:dyDescent="0.25">
      <c r="B47" s="5" t="s">
        <v>417</v>
      </c>
      <c r="C47" s="2" t="s">
        <v>366</v>
      </c>
      <c r="D47" s="2" t="s">
        <v>358</v>
      </c>
      <c r="E47" s="8">
        <v>1</v>
      </c>
    </row>
    <row r="48" spans="2:5" x14ac:dyDescent="0.25">
      <c r="B48" s="5" t="s">
        <v>418</v>
      </c>
      <c r="C48" s="2" t="s">
        <v>368</v>
      </c>
      <c r="D48" s="2" t="s">
        <v>358</v>
      </c>
      <c r="E48" s="8">
        <v>1</v>
      </c>
    </row>
    <row r="49" spans="2:5" x14ac:dyDescent="0.25">
      <c r="B49" s="5" t="s">
        <v>419</v>
      </c>
      <c r="C49" s="2" t="s">
        <v>370</v>
      </c>
      <c r="D49" s="2" t="s">
        <v>371</v>
      </c>
      <c r="E49" s="8">
        <v>1</v>
      </c>
    </row>
    <row r="50" spans="2:5" x14ac:dyDescent="0.25">
      <c r="B50" s="5" t="s">
        <v>420</v>
      </c>
      <c r="C50" s="2" t="s">
        <v>373</v>
      </c>
      <c r="D50" s="2" t="s">
        <v>371</v>
      </c>
      <c r="E50" s="8">
        <v>1</v>
      </c>
    </row>
    <row r="51" spans="2:5" x14ac:dyDescent="0.25">
      <c r="B51" s="5" t="s">
        <v>421</v>
      </c>
      <c r="C51" s="5" t="s">
        <v>375</v>
      </c>
      <c r="D51" s="2" t="s">
        <v>376</v>
      </c>
      <c r="E51" s="5">
        <v>0.25</v>
      </c>
    </row>
    <row r="52" spans="2:5" x14ac:dyDescent="0.25">
      <c r="B52" s="5" t="s">
        <v>422</v>
      </c>
      <c r="C52" s="5" t="s">
        <v>378</v>
      </c>
      <c r="D52" s="2" t="s">
        <v>379</v>
      </c>
      <c r="E52" s="5"/>
    </row>
    <row r="53" spans="2:5" x14ac:dyDescent="0.25">
      <c r="B53" s="5" t="s">
        <v>423</v>
      </c>
      <c r="C53" s="5" t="s">
        <v>381</v>
      </c>
      <c r="D53" s="2" t="s">
        <v>382</v>
      </c>
      <c r="E53" s="5"/>
    </row>
    <row r="54" spans="2:5" x14ac:dyDescent="0.25">
      <c r="B54" s="5" t="s">
        <v>424</v>
      </c>
      <c r="C54" s="5" t="s">
        <v>384</v>
      </c>
      <c r="D54" s="5" t="s">
        <v>90</v>
      </c>
      <c r="E54" s="5"/>
    </row>
    <row r="55" spans="2:5" x14ac:dyDescent="0.25">
      <c r="B55" s="5" t="s">
        <v>425</v>
      </c>
      <c r="C55" s="5" t="s">
        <v>386</v>
      </c>
      <c r="D55" s="2" t="s">
        <v>387</v>
      </c>
      <c r="E55" s="5"/>
    </row>
    <row r="56" spans="2:5" x14ac:dyDescent="0.25">
      <c r="B56" s="5" t="s">
        <v>426</v>
      </c>
      <c r="C56" s="5" t="s">
        <v>389</v>
      </c>
      <c r="D56" s="2" t="s">
        <v>387</v>
      </c>
      <c r="E56" s="5"/>
    </row>
    <row r="57" spans="2:5" x14ac:dyDescent="0.25">
      <c r="B57" s="5" t="s">
        <v>427</v>
      </c>
      <c r="C57" s="5" t="s">
        <v>391</v>
      </c>
      <c r="D57" s="2" t="s">
        <v>90</v>
      </c>
      <c r="E57" s="5"/>
    </row>
    <row r="58" spans="2:5" x14ac:dyDescent="0.25">
      <c r="B58" s="5" t="s">
        <v>428</v>
      </c>
      <c r="C58" s="5" t="s">
        <v>393</v>
      </c>
      <c r="D58" s="2" t="s">
        <v>394</v>
      </c>
      <c r="E58" s="5"/>
    </row>
    <row r="59" spans="2:5" x14ac:dyDescent="0.25">
      <c r="B59" s="5" t="s">
        <v>429</v>
      </c>
      <c r="C59" s="5" t="s">
        <v>396</v>
      </c>
      <c r="D59" s="2" t="s">
        <v>397</v>
      </c>
      <c r="E59" s="5"/>
    </row>
    <row r="60" spans="2:5" x14ac:dyDescent="0.25">
      <c r="B60" s="5" t="s">
        <v>430</v>
      </c>
      <c r="C60" s="5" t="s">
        <v>399</v>
      </c>
      <c r="D60" s="2" t="s">
        <v>400</v>
      </c>
      <c r="E60" s="5"/>
    </row>
    <row r="61" spans="2:5" x14ac:dyDescent="0.25">
      <c r="B61" s="5" t="s">
        <v>431</v>
      </c>
      <c r="C61" s="5" t="s">
        <v>402</v>
      </c>
      <c r="D61" s="2" t="s">
        <v>403</v>
      </c>
      <c r="E61" s="5"/>
    </row>
    <row r="62" spans="2:5" x14ac:dyDescent="0.25">
      <c r="B62" s="88"/>
      <c r="C62" s="89"/>
      <c r="D62" s="93"/>
      <c r="E62" s="90"/>
    </row>
    <row r="63" spans="2:5" x14ac:dyDescent="0.25">
      <c r="B63" s="5" t="s">
        <v>432</v>
      </c>
      <c r="C63" s="142" t="s">
        <v>339</v>
      </c>
      <c r="D63" s="5" t="s">
        <v>433</v>
      </c>
      <c r="E63" s="8">
        <v>1</v>
      </c>
    </row>
    <row r="64" spans="2:5" x14ac:dyDescent="0.25">
      <c r="B64" s="5" t="s">
        <v>434</v>
      </c>
      <c r="C64" s="143" t="s">
        <v>342</v>
      </c>
      <c r="D64" s="5" t="s">
        <v>433</v>
      </c>
      <c r="E64" s="8">
        <v>1</v>
      </c>
    </row>
    <row r="65" spans="2:5" x14ac:dyDescent="0.25">
      <c r="B65" s="5" t="s">
        <v>435</v>
      </c>
      <c r="C65" s="144" t="s">
        <v>344</v>
      </c>
      <c r="D65" s="2" t="s">
        <v>90</v>
      </c>
      <c r="E65" s="8" t="s">
        <v>90</v>
      </c>
    </row>
    <row r="66" spans="2:5" x14ac:dyDescent="0.25">
      <c r="B66" s="5" t="s">
        <v>436</v>
      </c>
      <c r="C66" s="144" t="s">
        <v>346</v>
      </c>
      <c r="D66" s="2" t="s">
        <v>90</v>
      </c>
      <c r="E66" s="8" t="s">
        <v>90</v>
      </c>
    </row>
    <row r="67" spans="2:5" x14ac:dyDescent="0.25">
      <c r="B67" s="5" t="s">
        <v>437</v>
      </c>
      <c r="C67" s="5" t="s">
        <v>68</v>
      </c>
      <c r="D67" s="2" t="s">
        <v>351</v>
      </c>
      <c r="E67" s="8">
        <v>2.5</v>
      </c>
    </row>
    <row r="68" spans="2:5" x14ac:dyDescent="0.25">
      <c r="B68" s="5" t="s">
        <v>438</v>
      </c>
      <c r="C68" s="5" t="s">
        <v>349</v>
      </c>
      <c r="D68" s="2" t="s">
        <v>439</v>
      </c>
      <c r="E68" s="8">
        <v>1</v>
      </c>
    </row>
    <row r="69" spans="2:5" x14ac:dyDescent="0.25">
      <c r="B69" s="5" t="s">
        <v>440</v>
      </c>
      <c r="C69" s="5" t="s">
        <v>76</v>
      </c>
      <c r="D69" s="2" t="s">
        <v>441</v>
      </c>
      <c r="E69" s="8">
        <v>1</v>
      </c>
    </row>
    <row r="70" spans="2:5" x14ac:dyDescent="0.25">
      <c r="B70" s="5" t="s">
        <v>442</v>
      </c>
      <c r="C70" s="5" t="s">
        <v>81</v>
      </c>
      <c r="D70" s="2" t="s">
        <v>443</v>
      </c>
      <c r="E70" s="8">
        <v>1</v>
      </c>
    </row>
    <row r="71" spans="2:5" x14ac:dyDescent="0.25">
      <c r="B71" s="5" t="s">
        <v>444</v>
      </c>
      <c r="C71" s="5" t="s">
        <v>85</v>
      </c>
      <c r="D71" s="5" t="s">
        <v>355</v>
      </c>
      <c r="E71" s="5">
        <v>0.75</v>
      </c>
    </row>
    <row r="72" spans="2:5" x14ac:dyDescent="0.25">
      <c r="B72" s="5" t="s">
        <v>445</v>
      </c>
      <c r="C72" s="144" t="s">
        <v>357</v>
      </c>
      <c r="D72" s="2" t="s">
        <v>90</v>
      </c>
      <c r="E72" s="9" t="s">
        <v>90</v>
      </c>
    </row>
    <row r="73" spans="2:5" x14ac:dyDescent="0.25">
      <c r="B73" s="5" t="s">
        <v>446</v>
      </c>
      <c r="C73" s="144" t="s">
        <v>360</v>
      </c>
      <c r="D73" s="2" t="s">
        <v>90</v>
      </c>
      <c r="E73" s="8" t="s">
        <v>90</v>
      </c>
    </row>
    <row r="74" spans="2:5" x14ac:dyDescent="0.25">
      <c r="B74" s="5" t="s">
        <v>447</v>
      </c>
      <c r="C74" s="144" t="s">
        <v>362</v>
      </c>
      <c r="D74" s="2" t="s">
        <v>90</v>
      </c>
      <c r="E74" s="8" t="s">
        <v>90</v>
      </c>
    </row>
    <row r="75" spans="2:5" x14ac:dyDescent="0.25">
      <c r="B75" s="5" t="s">
        <v>448</v>
      </c>
      <c r="C75" s="144" t="s">
        <v>364</v>
      </c>
      <c r="D75" s="2" t="s">
        <v>90</v>
      </c>
      <c r="E75" s="8" t="s">
        <v>90</v>
      </c>
    </row>
    <row r="76" spans="2:5" x14ac:dyDescent="0.25">
      <c r="B76" s="5" t="s">
        <v>449</v>
      </c>
      <c r="C76" s="2" t="s">
        <v>366</v>
      </c>
      <c r="D76" s="2" t="s">
        <v>450</v>
      </c>
      <c r="E76" s="8">
        <v>1</v>
      </c>
    </row>
    <row r="77" spans="2:5" x14ac:dyDescent="0.25">
      <c r="B77" s="5" t="s">
        <v>451</v>
      </c>
      <c r="C77" s="2" t="s">
        <v>368</v>
      </c>
      <c r="D77" s="2" t="s">
        <v>450</v>
      </c>
      <c r="E77" s="8">
        <v>1</v>
      </c>
    </row>
    <row r="78" spans="2:5" x14ac:dyDescent="0.25">
      <c r="B78" s="5" t="s">
        <v>452</v>
      </c>
      <c r="C78" s="2" t="s">
        <v>370</v>
      </c>
      <c r="D78" s="2" t="s">
        <v>453</v>
      </c>
      <c r="E78" s="8">
        <v>1</v>
      </c>
    </row>
    <row r="79" spans="2:5" x14ac:dyDescent="0.25">
      <c r="B79" s="5" t="s">
        <v>454</v>
      </c>
      <c r="C79" s="2" t="s">
        <v>373</v>
      </c>
      <c r="D79" s="2" t="s">
        <v>453</v>
      </c>
      <c r="E79" s="8">
        <v>1</v>
      </c>
    </row>
    <row r="80" spans="2:5" x14ac:dyDescent="0.25">
      <c r="B80" s="5" t="s">
        <v>455</v>
      </c>
      <c r="C80" s="5" t="s">
        <v>375</v>
      </c>
      <c r="D80" s="2" t="s">
        <v>456</v>
      </c>
      <c r="E80" s="5">
        <v>0.25</v>
      </c>
    </row>
    <row r="81" spans="2:5" x14ac:dyDescent="0.25">
      <c r="B81" s="5" t="s">
        <v>457</v>
      </c>
      <c r="C81" s="5" t="s">
        <v>378</v>
      </c>
      <c r="D81" s="2" t="s">
        <v>379</v>
      </c>
      <c r="E81" s="5"/>
    </row>
    <row r="82" spans="2:5" x14ac:dyDescent="0.25">
      <c r="B82" s="5" t="s">
        <v>458</v>
      </c>
      <c r="C82" s="5" t="s">
        <v>381</v>
      </c>
      <c r="D82" s="5" t="s">
        <v>382</v>
      </c>
      <c r="E82" s="5"/>
    </row>
    <row r="83" spans="2:5" x14ac:dyDescent="0.25">
      <c r="B83" s="5" t="s">
        <v>459</v>
      </c>
      <c r="C83" s="5" t="s">
        <v>384</v>
      </c>
      <c r="D83" s="2" t="s">
        <v>90</v>
      </c>
      <c r="E83" s="5"/>
    </row>
    <row r="84" spans="2:5" x14ac:dyDescent="0.25">
      <c r="B84" s="5" t="s">
        <v>460</v>
      </c>
      <c r="C84" s="5" t="s">
        <v>386</v>
      </c>
      <c r="D84" s="2" t="s">
        <v>387</v>
      </c>
      <c r="E84" s="5"/>
    </row>
    <row r="85" spans="2:5" x14ac:dyDescent="0.25">
      <c r="B85" s="5" t="s">
        <v>461</v>
      </c>
      <c r="C85" s="5" t="s">
        <v>389</v>
      </c>
      <c r="D85" s="2" t="s">
        <v>387</v>
      </c>
      <c r="E85" s="5"/>
    </row>
    <row r="86" spans="2:5" x14ac:dyDescent="0.25">
      <c r="B86" s="5" t="s">
        <v>462</v>
      </c>
      <c r="C86" s="5" t="s">
        <v>391</v>
      </c>
      <c r="D86" s="2" t="s">
        <v>90</v>
      </c>
      <c r="E86" s="5"/>
    </row>
    <row r="87" spans="2:5" x14ac:dyDescent="0.25">
      <c r="B87" s="5" t="s">
        <v>463</v>
      </c>
      <c r="C87" s="5" t="s">
        <v>393</v>
      </c>
      <c r="D87" s="2" t="s">
        <v>394</v>
      </c>
      <c r="E87" s="5"/>
    </row>
    <row r="88" spans="2:5" x14ac:dyDescent="0.25">
      <c r="B88" s="5" t="s">
        <v>464</v>
      </c>
      <c r="C88" s="5" t="s">
        <v>396</v>
      </c>
      <c r="D88" s="2" t="s">
        <v>397</v>
      </c>
      <c r="E88" s="5"/>
    </row>
    <row r="89" spans="2:5" x14ac:dyDescent="0.25">
      <c r="B89" s="5" t="s">
        <v>465</v>
      </c>
      <c r="C89" s="5" t="s">
        <v>399</v>
      </c>
      <c r="D89" s="2" t="s">
        <v>400</v>
      </c>
      <c r="E89" s="5"/>
    </row>
    <row r="90" spans="2:5" x14ac:dyDescent="0.25">
      <c r="B90" s="5" t="s">
        <v>466</v>
      </c>
      <c r="C90" s="5" t="s">
        <v>402</v>
      </c>
      <c r="D90" s="2" t="s">
        <v>403</v>
      </c>
      <c r="E90" s="90"/>
    </row>
    <row r="91" spans="2:5" x14ac:dyDescent="0.25">
      <c r="B91" s="88"/>
      <c r="C91" s="89"/>
      <c r="D91" s="89"/>
      <c r="E91" s="90"/>
    </row>
    <row r="92" spans="2:5" x14ac:dyDescent="0.25">
      <c r="B92" s="5" t="s">
        <v>467</v>
      </c>
      <c r="C92" s="142" t="s">
        <v>339</v>
      </c>
      <c r="D92" s="5" t="s">
        <v>433</v>
      </c>
      <c r="E92" s="8">
        <v>1</v>
      </c>
    </row>
    <row r="93" spans="2:5" x14ac:dyDescent="0.25">
      <c r="B93" s="5" t="s">
        <v>468</v>
      </c>
      <c r="C93" s="143" t="s">
        <v>342</v>
      </c>
      <c r="D93" s="5" t="s">
        <v>433</v>
      </c>
      <c r="E93" s="8">
        <v>1</v>
      </c>
    </row>
    <row r="94" spans="2:5" x14ac:dyDescent="0.25">
      <c r="B94" s="5" t="s">
        <v>469</v>
      </c>
      <c r="C94" s="144" t="s">
        <v>344</v>
      </c>
      <c r="D94" s="2" t="s">
        <v>90</v>
      </c>
      <c r="E94" s="8" t="s">
        <v>90</v>
      </c>
    </row>
    <row r="95" spans="2:5" x14ac:dyDescent="0.25">
      <c r="B95" s="5" t="s">
        <v>470</v>
      </c>
      <c r="C95" s="144" t="s">
        <v>346</v>
      </c>
      <c r="D95" s="2" t="s">
        <v>90</v>
      </c>
      <c r="E95" s="8" t="s">
        <v>90</v>
      </c>
    </row>
    <row r="96" spans="2:5" x14ac:dyDescent="0.25">
      <c r="B96" s="5" t="s">
        <v>471</v>
      </c>
      <c r="C96" s="5" t="s">
        <v>68</v>
      </c>
      <c r="D96" s="2" t="s">
        <v>351</v>
      </c>
      <c r="E96" s="8">
        <v>2.5</v>
      </c>
    </row>
    <row r="97" spans="2:5" x14ac:dyDescent="0.25">
      <c r="B97" s="5" t="s">
        <v>472</v>
      </c>
      <c r="C97" s="5" t="s">
        <v>349</v>
      </c>
      <c r="D97" s="2" t="s">
        <v>473</v>
      </c>
      <c r="E97" s="8">
        <v>1</v>
      </c>
    </row>
    <row r="98" spans="2:5" x14ac:dyDescent="0.25">
      <c r="B98" s="5" t="s">
        <v>474</v>
      </c>
      <c r="C98" s="5" t="s">
        <v>76</v>
      </c>
      <c r="D98" s="2" t="s">
        <v>441</v>
      </c>
      <c r="E98" s="8">
        <v>1</v>
      </c>
    </row>
    <row r="99" spans="2:5" x14ac:dyDescent="0.25">
      <c r="B99" s="5" t="s">
        <v>475</v>
      </c>
      <c r="C99" s="5" t="s">
        <v>81</v>
      </c>
      <c r="D99" s="2" t="s">
        <v>443</v>
      </c>
      <c r="E99" s="8">
        <v>1</v>
      </c>
    </row>
    <row r="100" spans="2:5" x14ac:dyDescent="0.25">
      <c r="B100" s="5" t="s">
        <v>476</v>
      </c>
      <c r="C100" s="1" t="s">
        <v>85</v>
      </c>
      <c r="D100" s="2" t="s">
        <v>355</v>
      </c>
      <c r="E100" s="9">
        <v>0.75</v>
      </c>
    </row>
    <row r="101" spans="2:5" x14ac:dyDescent="0.25">
      <c r="B101" s="5" t="s">
        <v>477</v>
      </c>
      <c r="C101" s="144" t="s">
        <v>357</v>
      </c>
      <c r="D101" s="2" t="s">
        <v>90</v>
      </c>
      <c r="E101" s="8" t="s">
        <v>90</v>
      </c>
    </row>
    <row r="102" spans="2:5" x14ac:dyDescent="0.25">
      <c r="B102" s="5" t="s">
        <v>478</v>
      </c>
      <c r="C102" s="144" t="s">
        <v>360</v>
      </c>
      <c r="D102" s="2" t="s">
        <v>90</v>
      </c>
      <c r="E102" s="5" t="s">
        <v>90</v>
      </c>
    </row>
    <row r="103" spans="2:5" x14ac:dyDescent="0.25">
      <c r="B103" s="5" t="s">
        <v>479</v>
      </c>
      <c r="C103" s="144" t="s">
        <v>362</v>
      </c>
      <c r="D103" s="2" t="s">
        <v>90</v>
      </c>
      <c r="E103" s="8" t="s">
        <v>90</v>
      </c>
    </row>
    <row r="104" spans="2:5" x14ac:dyDescent="0.25">
      <c r="B104" s="5" t="s">
        <v>480</v>
      </c>
      <c r="C104" s="144" t="s">
        <v>364</v>
      </c>
      <c r="D104" s="2" t="s">
        <v>90</v>
      </c>
      <c r="E104" s="8" t="s">
        <v>90</v>
      </c>
    </row>
    <row r="105" spans="2:5" x14ac:dyDescent="0.25">
      <c r="B105" s="5" t="s">
        <v>481</v>
      </c>
      <c r="C105" s="2" t="s">
        <v>366</v>
      </c>
      <c r="D105" s="2" t="s">
        <v>482</v>
      </c>
      <c r="E105" s="8">
        <v>1</v>
      </c>
    </row>
    <row r="106" spans="2:5" x14ac:dyDescent="0.25">
      <c r="B106" s="5" t="s">
        <v>483</v>
      </c>
      <c r="C106" s="2" t="s">
        <v>368</v>
      </c>
      <c r="D106" s="2" t="s">
        <v>482</v>
      </c>
      <c r="E106" s="8">
        <v>1</v>
      </c>
    </row>
    <row r="107" spans="2:5" x14ac:dyDescent="0.25">
      <c r="B107" s="5" t="s">
        <v>484</v>
      </c>
      <c r="C107" s="2" t="s">
        <v>370</v>
      </c>
      <c r="D107" s="2" t="s">
        <v>485</v>
      </c>
      <c r="E107" s="8">
        <v>1</v>
      </c>
    </row>
    <row r="108" spans="2:5" x14ac:dyDescent="0.25">
      <c r="B108" s="5" t="s">
        <v>486</v>
      </c>
      <c r="C108" s="2" t="s">
        <v>373</v>
      </c>
      <c r="D108" s="2" t="s">
        <v>485</v>
      </c>
      <c r="E108" s="8">
        <v>1</v>
      </c>
    </row>
    <row r="109" spans="2:5" x14ac:dyDescent="0.25">
      <c r="B109" s="5" t="s">
        <v>487</v>
      </c>
      <c r="C109" s="5" t="s">
        <v>375</v>
      </c>
      <c r="D109" s="2" t="s">
        <v>456</v>
      </c>
      <c r="E109" s="5">
        <v>0.25</v>
      </c>
    </row>
    <row r="110" spans="2:5" x14ac:dyDescent="0.25">
      <c r="B110" s="5" t="s">
        <v>488</v>
      </c>
      <c r="C110" s="5" t="s">
        <v>378</v>
      </c>
      <c r="D110" s="5" t="s">
        <v>379</v>
      </c>
      <c r="E110" s="5"/>
    </row>
    <row r="111" spans="2:5" x14ac:dyDescent="0.25">
      <c r="B111" s="5" t="s">
        <v>489</v>
      </c>
      <c r="C111" s="5" t="s">
        <v>381</v>
      </c>
      <c r="D111" s="2" t="s">
        <v>379</v>
      </c>
      <c r="E111" s="5"/>
    </row>
    <row r="112" spans="2:5" x14ac:dyDescent="0.25">
      <c r="B112" s="5" t="s">
        <v>490</v>
      </c>
      <c r="C112" s="5" t="s">
        <v>384</v>
      </c>
      <c r="D112" s="2" t="s">
        <v>90</v>
      </c>
      <c r="E112" s="5"/>
    </row>
    <row r="113" spans="2:5" x14ac:dyDescent="0.25">
      <c r="B113" s="5" t="s">
        <v>491</v>
      </c>
      <c r="C113" s="5" t="s">
        <v>386</v>
      </c>
      <c r="D113" s="2" t="s">
        <v>387</v>
      </c>
      <c r="E113" s="5"/>
    </row>
    <row r="114" spans="2:5" x14ac:dyDescent="0.25">
      <c r="B114" s="5" t="s">
        <v>492</v>
      </c>
      <c r="C114" s="5" t="s">
        <v>389</v>
      </c>
      <c r="D114" s="2" t="s">
        <v>90</v>
      </c>
      <c r="E114" s="5"/>
    </row>
    <row r="115" spans="2:5" x14ac:dyDescent="0.25">
      <c r="B115" s="5" t="s">
        <v>493</v>
      </c>
      <c r="C115" s="5" t="s">
        <v>391</v>
      </c>
      <c r="D115" s="2" t="s">
        <v>90</v>
      </c>
      <c r="E115" s="5"/>
    </row>
    <row r="116" spans="2:5" x14ac:dyDescent="0.25">
      <c r="B116" s="5" t="s">
        <v>494</v>
      </c>
      <c r="C116" s="5" t="s">
        <v>393</v>
      </c>
      <c r="D116" s="2" t="s">
        <v>394</v>
      </c>
      <c r="E116" s="5"/>
    </row>
    <row r="117" spans="2:5" x14ac:dyDescent="0.25">
      <c r="B117" s="5" t="s">
        <v>495</v>
      </c>
      <c r="C117" s="5" t="s">
        <v>396</v>
      </c>
      <c r="D117" s="2" t="s">
        <v>397</v>
      </c>
      <c r="E117" s="5"/>
    </row>
    <row r="118" spans="2:5" x14ac:dyDescent="0.25">
      <c r="B118" s="5" t="s">
        <v>496</v>
      </c>
      <c r="C118" s="5" t="s">
        <v>399</v>
      </c>
      <c r="D118" s="2" t="s">
        <v>497</v>
      </c>
      <c r="E118" s="90"/>
    </row>
    <row r="119" spans="2:5" x14ac:dyDescent="0.25">
      <c r="B119" s="5" t="s">
        <v>498</v>
      </c>
      <c r="C119" s="5" t="s">
        <v>402</v>
      </c>
      <c r="D119" s="2" t="s">
        <v>403</v>
      </c>
      <c r="E119" s="90"/>
    </row>
    <row r="120" spans="2:5" x14ac:dyDescent="0.25">
      <c r="B120" s="88"/>
      <c r="C120" s="89"/>
      <c r="D120" s="89"/>
      <c r="E120" s="90"/>
    </row>
    <row r="121" spans="2:5" x14ac:dyDescent="0.25">
      <c r="B121" s="5" t="s">
        <v>499</v>
      </c>
      <c r="C121" s="142" t="s">
        <v>339</v>
      </c>
      <c r="D121" s="5" t="s">
        <v>433</v>
      </c>
      <c r="E121" s="8">
        <v>1</v>
      </c>
    </row>
    <row r="122" spans="2:5" x14ac:dyDescent="0.25">
      <c r="B122" s="5" t="s">
        <v>500</v>
      </c>
      <c r="C122" s="143" t="s">
        <v>342</v>
      </c>
      <c r="D122" s="5" t="s">
        <v>433</v>
      </c>
      <c r="E122" s="8">
        <v>1</v>
      </c>
    </row>
    <row r="123" spans="2:5" x14ac:dyDescent="0.25">
      <c r="B123" s="5" t="s">
        <v>501</v>
      </c>
      <c r="C123" s="144" t="s">
        <v>344</v>
      </c>
      <c r="D123" s="2" t="s">
        <v>90</v>
      </c>
      <c r="E123" s="8" t="s">
        <v>90</v>
      </c>
    </row>
    <row r="124" spans="2:5" x14ac:dyDescent="0.25">
      <c r="B124" s="5" t="s">
        <v>502</v>
      </c>
      <c r="C124" s="144" t="s">
        <v>346</v>
      </c>
      <c r="D124" s="2" t="s">
        <v>90</v>
      </c>
      <c r="E124" s="8" t="s">
        <v>90</v>
      </c>
    </row>
    <row r="125" spans="2:5" x14ac:dyDescent="0.25">
      <c r="B125" s="5" t="s">
        <v>503</v>
      </c>
      <c r="C125" s="5" t="s">
        <v>68</v>
      </c>
      <c r="D125" s="2" t="s">
        <v>26</v>
      </c>
      <c r="E125" s="8">
        <v>2.5</v>
      </c>
    </row>
    <row r="126" spans="2:5" x14ac:dyDescent="0.25">
      <c r="B126" s="5" t="s">
        <v>504</v>
      </c>
      <c r="C126" s="5" t="s">
        <v>349</v>
      </c>
      <c r="D126" s="2" t="s">
        <v>439</v>
      </c>
      <c r="E126" s="8">
        <v>1</v>
      </c>
    </row>
    <row r="127" spans="2:5" x14ac:dyDescent="0.25">
      <c r="B127" s="5" t="s">
        <v>505</v>
      </c>
      <c r="C127" s="5" t="s">
        <v>76</v>
      </c>
      <c r="D127" s="2" t="s">
        <v>441</v>
      </c>
      <c r="E127" s="8">
        <v>1</v>
      </c>
    </row>
    <row r="128" spans="2:5" x14ac:dyDescent="0.25">
      <c r="B128" s="5" t="s">
        <v>506</v>
      </c>
      <c r="C128" s="5" t="s">
        <v>81</v>
      </c>
      <c r="D128" s="2" t="s">
        <v>443</v>
      </c>
      <c r="E128" s="8">
        <v>1</v>
      </c>
    </row>
    <row r="129" spans="2:5" x14ac:dyDescent="0.25">
      <c r="B129" s="5" t="s">
        <v>507</v>
      </c>
      <c r="C129" s="1" t="s">
        <v>85</v>
      </c>
      <c r="D129" s="2" t="s">
        <v>355</v>
      </c>
      <c r="E129" s="8">
        <v>1</v>
      </c>
    </row>
    <row r="130" spans="2:5" x14ac:dyDescent="0.25">
      <c r="B130" s="5" t="s">
        <v>508</v>
      </c>
      <c r="C130" s="144" t="s">
        <v>357</v>
      </c>
      <c r="D130" s="2" t="s">
        <v>450</v>
      </c>
      <c r="E130" s="8">
        <v>1</v>
      </c>
    </row>
    <row r="131" spans="2:5" x14ac:dyDescent="0.25">
      <c r="B131" s="5" t="s">
        <v>509</v>
      </c>
      <c r="C131" s="144" t="s">
        <v>360</v>
      </c>
      <c r="D131" s="2" t="s">
        <v>450</v>
      </c>
      <c r="E131" s="8">
        <v>1</v>
      </c>
    </row>
    <row r="132" spans="2:5" x14ac:dyDescent="0.25">
      <c r="B132" s="5" t="s">
        <v>510</v>
      </c>
      <c r="C132" s="144" t="s">
        <v>362</v>
      </c>
      <c r="D132" s="2" t="s">
        <v>90</v>
      </c>
      <c r="E132" s="8" t="s">
        <v>90</v>
      </c>
    </row>
    <row r="133" spans="2:5" x14ac:dyDescent="0.25">
      <c r="B133" s="5" t="s">
        <v>511</v>
      </c>
      <c r="C133" s="144" t="s">
        <v>364</v>
      </c>
      <c r="D133" s="2" t="s">
        <v>90</v>
      </c>
      <c r="E133" s="8" t="s">
        <v>90</v>
      </c>
    </row>
    <row r="134" spans="2:5" x14ac:dyDescent="0.25">
      <c r="B134" s="5" t="s">
        <v>512</v>
      </c>
      <c r="C134" s="2" t="s">
        <v>366</v>
      </c>
      <c r="D134" s="2" t="s">
        <v>450</v>
      </c>
      <c r="E134" s="8">
        <v>1</v>
      </c>
    </row>
    <row r="135" spans="2:5" x14ac:dyDescent="0.25">
      <c r="B135" s="5" t="s">
        <v>513</v>
      </c>
      <c r="C135" s="2" t="s">
        <v>368</v>
      </c>
      <c r="D135" s="2" t="s">
        <v>450</v>
      </c>
      <c r="E135" s="8">
        <v>1</v>
      </c>
    </row>
    <row r="136" spans="2:5" x14ac:dyDescent="0.25">
      <c r="B136" s="5" t="s">
        <v>514</v>
      </c>
      <c r="C136" s="2" t="s">
        <v>370</v>
      </c>
      <c r="D136" s="2" t="s">
        <v>453</v>
      </c>
      <c r="E136" s="8">
        <v>1</v>
      </c>
    </row>
    <row r="137" spans="2:5" x14ac:dyDescent="0.25">
      <c r="B137" s="5" t="s">
        <v>515</v>
      </c>
      <c r="C137" s="2" t="s">
        <v>373</v>
      </c>
      <c r="D137" s="2" t="s">
        <v>453</v>
      </c>
      <c r="E137" s="8">
        <v>1</v>
      </c>
    </row>
    <row r="138" spans="2:5" x14ac:dyDescent="0.25">
      <c r="B138" s="5" t="s">
        <v>516</v>
      </c>
      <c r="C138" s="5" t="s">
        <v>375</v>
      </c>
      <c r="D138" s="2" t="s">
        <v>456</v>
      </c>
      <c r="E138" s="5">
        <v>0.25</v>
      </c>
    </row>
    <row r="139" spans="2:5" x14ac:dyDescent="0.25">
      <c r="B139" s="5" t="s">
        <v>517</v>
      </c>
      <c r="C139" s="5" t="s">
        <v>378</v>
      </c>
      <c r="D139" s="2" t="s">
        <v>379</v>
      </c>
      <c r="E139" s="5"/>
    </row>
    <row r="140" spans="2:5" x14ac:dyDescent="0.25">
      <c r="B140" s="5" t="s">
        <v>518</v>
      </c>
      <c r="C140" s="5" t="s">
        <v>381</v>
      </c>
      <c r="D140" s="5" t="s">
        <v>519</v>
      </c>
      <c r="E140" s="5"/>
    </row>
    <row r="141" spans="2:5" x14ac:dyDescent="0.25">
      <c r="B141" s="5" t="s">
        <v>520</v>
      </c>
      <c r="C141" s="5" t="s">
        <v>384</v>
      </c>
      <c r="D141" s="2" t="s">
        <v>382</v>
      </c>
      <c r="E141" s="5"/>
    </row>
    <row r="142" spans="2:5" x14ac:dyDescent="0.25">
      <c r="B142" s="5" t="s">
        <v>521</v>
      </c>
      <c r="C142" s="5" t="s">
        <v>386</v>
      </c>
      <c r="D142" s="2" t="s">
        <v>387</v>
      </c>
      <c r="E142" s="5"/>
    </row>
    <row r="143" spans="2:5" x14ac:dyDescent="0.25">
      <c r="B143" s="5" t="s">
        <v>522</v>
      </c>
      <c r="C143" s="5" t="s">
        <v>389</v>
      </c>
      <c r="D143" s="2" t="s">
        <v>387</v>
      </c>
      <c r="E143" s="5"/>
    </row>
    <row r="144" spans="2:5" x14ac:dyDescent="0.25">
      <c r="B144" s="5" t="s">
        <v>523</v>
      </c>
      <c r="C144" s="5" t="s">
        <v>391</v>
      </c>
      <c r="D144" s="2" t="s">
        <v>387</v>
      </c>
      <c r="E144" s="5"/>
    </row>
    <row r="145" spans="2:5" x14ac:dyDescent="0.25">
      <c r="B145" s="5" t="s">
        <v>524</v>
      </c>
      <c r="C145" s="5" t="s">
        <v>393</v>
      </c>
      <c r="D145" s="2" t="s">
        <v>394</v>
      </c>
      <c r="E145" s="5"/>
    </row>
    <row r="146" spans="2:5" x14ac:dyDescent="0.25">
      <c r="B146" s="5" t="s">
        <v>525</v>
      </c>
      <c r="C146" s="5" t="s">
        <v>396</v>
      </c>
      <c r="D146" s="2" t="s">
        <v>397</v>
      </c>
      <c r="E146" s="5"/>
    </row>
    <row r="147" spans="2:5" x14ac:dyDescent="0.25">
      <c r="B147" s="5" t="s">
        <v>526</v>
      </c>
      <c r="C147" s="5" t="s">
        <v>399</v>
      </c>
      <c r="D147" s="2" t="s">
        <v>400</v>
      </c>
      <c r="E147" s="5"/>
    </row>
    <row r="148" spans="2:5" x14ac:dyDescent="0.25">
      <c r="B148" s="5" t="s">
        <v>527</v>
      </c>
      <c r="C148" s="5" t="s">
        <v>402</v>
      </c>
      <c r="D148" s="2" t="s">
        <v>403</v>
      </c>
      <c r="E148" s="90"/>
    </row>
    <row r="150" spans="2:5" x14ac:dyDescent="0.25">
      <c r="B150" s="5" t="s">
        <v>528</v>
      </c>
      <c r="C150" s="142" t="s">
        <v>339</v>
      </c>
      <c r="D150" s="2" t="s">
        <v>529</v>
      </c>
      <c r="E150" s="8">
        <v>1</v>
      </c>
    </row>
    <row r="151" spans="2:5" x14ac:dyDescent="0.25">
      <c r="B151" s="5" t="s">
        <v>530</v>
      </c>
      <c r="C151" s="143" t="s">
        <v>342</v>
      </c>
      <c r="D151" s="2" t="s">
        <v>531</v>
      </c>
      <c r="E151" s="8">
        <v>1</v>
      </c>
    </row>
    <row r="152" spans="2:5" x14ac:dyDescent="0.25">
      <c r="B152" s="5" t="s">
        <v>532</v>
      </c>
      <c r="C152" s="144" t="s">
        <v>344</v>
      </c>
      <c r="D152" s="2" t="s">
        <v>533</v>
      </c>
      <c r="E152" s="8">
        <v>1</v>
      </c>
    </row>
    <row r="153" spans="2:5" x14ac:dyDescent="0.25">
      <c r="B153" s="5" t="s">
        <v>534</v>
      </c>
      <c r="C153" s="144" t="s">
        <v>346</v>
      </c>
      <c r="D153" s="2" t="s">
        <v>535</v>
      </c>
      <c r="E153" s="8">
        <v>1</v>
      </c>
    </row>
    <row r="154" spans="2:5" x14ac:dyDescent="0.25">
      <c r="B154" s="5" t="s">
        <v>536</v>
      </c>
      <c r="C154" s="145" t="s">
        <v>68</v>
      </c>
      <c r="D154" s="2" t="s">
        <v>351</v>
      </c>
      <c r="E154" s="5">
        <v>2.5</v>
      </c>
    </row>
    <row r="155" spans="2:5" x14ac:dyDescent="0.25">
      <c r="B155" s="5" t="s">
        <v>537</v>
      </c>
      <c r="C155" s="145" t="s">
        <v>349</v>
      </c>
      <c r="D155" s="2" t="s">
        <v>90</v>
      </c>
      <c r="E155" s="8" t="s">
        <v>90</v>
      </c>
    </row>
    <row r="156" spans="2:5" x14ac:dyDescent="0.25">
      <c r="B156" s="5" t="s">
        <v>538</v>
      </c>
      <c r="C156" s="145" t="s">
        <v>76</v>
      </c>
      <c r="D156" s="2" t="s">
        <v>90</v>
      </c>
      <c r="E156" s="8" t="s">
        <v>90</v>
      </c>
    </row>
    <row r="157" spans="2:5" x14ac:dyDescent="0.25">
      <c r="B157" s="5" t="s">
        <v>539</v>
      </c>
      <c r="C157" s="145" t="s">
        <v>81</v>
      </c>
      <c r="D157" s="2" t="s">
        <v>90</v>
      </c>
      <c r="E157" s="8" t="s">
        <v>90</v>
      </c>
    </row>
    <row r="158" spans="2:5" x14ac:dyDescent="0.25">
      <c r="B158" s="5" t="s">
        <v>540</v>
      </c>
      <c r="C158" s="145" t="s">
        <v>85</v>
      </c>
      <c r="D158" s="5" t="s">
        <v>355</v>
      </c>
      <c r="E158" s="5">
        <v>0.75</v>
      </c>
    </row>
    <row r="159" spans="2:5" x14ac:dyDescent="0.25">
      <c r="B159" s="5" t="s">
        <v>541</v>
      </c>
      <c r="C159" s="144" t="s">
        <v>357</v>
      </c>
      <c r="D159" s="2" t="s">
        <v>90</v>
      </c>
      <c r="E159" s="8" t="s">
        <v>90</v>
      </c>
    </row>
    <row r="160" spans="2:5" x14ac:dyDescent="0.25">
      <c r="B160" s="5" t="s">
        <v>542</v>
      </c>
      <c r="C160" s="144" t="s">
        <v>360</v>
      </c>
      <c r="D160" s="2" t="s">
        <v>90</v>
      </c>
      <c r="E160" s="8" t="s">
        <v>90</v>
      </c>
    </row>
    <row r="161" spans="2:5" x14ac:dyDescent="0.25">
      <c r="B161" s="5" t="s">
        <v>543</v>
      </c>
      <c r="C161" s="144" t="s">
        <v>362</v>
      </c>
      <c r="D161" s="2" t="s">
        <v>544</v>
      </c>
      <c r="E161" s="8">
        <v>1</v>
      </c>
    </row>
    <row r="162" spans="2:5" x14ac:dyDescent="0.25">
      <c r="B162" s="5" t="s">
        <v>545</v>
      </c>
      <c r="C162" s="144" t="s">
        <v>364</v>
      </c>
      <c r="D162" s="2" t="s">
        <v>531</v>
      </c>
      <c r="E162" s="8">
        <v>1</v>
      </c>
    </row>
    <row r="163" spans="2:5" x14ac:dyDescent="0.25">
      <c r="B163" s="5" t="s">
        <v>546</v>
      </c>
      <c r="C163" s="2" t="s">
        <v>366</v>
      </c>
      <c r="D163" s="2" t="s">
        <v>90</v>
      </c>
      <c r="E163" s="8" t="s">
        <v>90</v>
      </c>
    </row>
    <row r="164" spans="2:5" x14ac:dyDescent="0.25">
      <c r="B164" s="5" t="s">
        <v>547</v>
      </c>
      <c r="C164" s="2" t="s">
        <v>368</v>
      </c>
      <c r="D164" s="2" t="s">
        <v>90</v>
      </c>
      <c r="E164" s="8" t="s">
        <v>90</v>
      </c>
    </row>
    <row r="165" spans="2:5" x14ac:dyDescent="0.25">
      <c r="B165" s="5" t="s">
        <v>548</v>
      </c>
      <c r="C165" s="2" t="s">
        <v>370</v>
      </c>
      <c r="D165" s="2" t="s">
        <v>90</v>
      </c>
      <c r="E165" s="8" t="s">
        <v>90</v>
      </c>
    </row>
    <row r="166" spans="2:5" x14ac:dyDescent="0.25">
      <c r="B166" s="5" t="s">
        <v>549</v>
      </c>
      <c r="C166" s="2" t="s">
        <v>373</v>
      </c>
      <c r="D166" s="2" t="s">
        <v>90</v>
      </c>
      <c r="E166" s="8" t="s">
        <v>90</v>
      </c>
    </row>
    <row r="167" spans="2:5" x14ac:dyDescent="0.25">
      <c r="B167" s="5" t="s">
        <v>550</v>
      </c>
      <c r="C167" s="2" t="s">
        <v>375</v>
      </c>
      <c r="D167" s="2" t="s">
        <v>90</v>
      </c>
      <c r="E167" s="5" t="s">
        <v>90</v>
      </c>
    </row>
    <row r="168" spans="2:5" x14ac:dyDescent="0.25">
      <c r="B168" s="5" t="s">
        <v>551</v>
      </c>
      <c r="C168" s="2" t="s">
        <v>378</v>
      </c>
      <c r="D168" s="2" t="s">
        <v>90</v>
      </c>
      <c r="E168" s="8"/>
    </row>
    <row r="169" spans="2:5" x14ac:dyDescent="0.25">
      <c r="B169" s="5" t="s">
        <v>552</v>
      </c>
      <c r="C169" s="2" t="s">
        <v>381</v>
      </c>
      <c r="D169" s="2" t="s">
        <v>90</v>
      </c>
      <c r="E169" s="8"/>
    </row>
    <row r="170" spans="2:5" x14ac:dyDescent="0.25">
      <c r="B170" s="5" t="s">
        <v>553</v>
      </c>
      <c r="C170" s="2" t="s">
        <v>384</v>
      </c>
      <c r="D170" s="5" t="s">
        <v>90</v>
      </c>
      <c r="E170" s="8"/>
    </row>
    <row r="171" spans="2:5" x14ac:dyDescent="0.25">
      <c r="B171" s="5" t="s">
        <v>554</v>
      </c>
      <c r="C171" s="2" t="s">
        <v>386</v>
      </c>
      <c r="D171" s="2" t="s">
        <v>90</v>
      </c>
      <c r="E171" s="8"/>
    </row>
    <row r="172" spans="2:5" x14ac:dyDescent="0.25">
      <c r="B172" s="5" t="s">
        <v>555</v>
      </c>
      <c r="C172" s="2" t="s">
        <v>389</v>
      </c>
      <c r="D172" s="2" t="s">
        <v>90</v>
      </c>
      <c r="E172" s="8"/>
    </row>
    <row r="173" spans="2:5" x14ac:dyDescent="0.25">
      <c r="B173" s="5" t="s">
        <v>556</v>
      </c>
      <c r="C173" s="2" t="s">
        <v>391</v>
      </c>
      <c r="D173" s="2" t="s">
        <v>90</v>
      </c>
      <c r="E173" s="8"/>
    </row>
    <row r="174" spans="2:5" x14ac:dyDescent="0.25">
      <c r="B174" s="5" t="s">
        <v>557</v>
      </c>
      <c r="C174" s="2" t="s">
        <v>393</v>
      </c>
      <c r="D174" s="2" t="s">
        <v>90</v>
      </c>
      <c r="E174" s="8"/>
    </row>
    <row r="175" spans="2:5" x14ac:dyDescent="0.25">
      <c r="B175" s="5" t="s">
        <v>558</v>
      </c>
      <c r="C175" s="5" t="s">
        <v>396</v>
      </c>
      <c r="D175" s="2" t="s">
        <v>90</v>
      </c>
      <c r="E175" s="8"/>
    </row>
    <row r="176" spans="2:5" x14ac:dyDescent="0.25">
      <c r="B176" s="5" t="s">
        <v>559</v>
      </c>
      <c r="C176" s="5" t="s">
        <v>399</v>
      </c>
      <c r="D176" s="2" t="s">
        <v>90</v>
      </c>
      <c r="E176" s="8"/>
    </row>
    <row r="177" spans="2:5" x14ac:dyDescent="0.25">
      <c r="B177" s="5" t="s">
        <v>560</v>
      </c>
      <c r="C177" s="5" t="s">
        <v>402</v>
      </c>
      <c r="D177" s="2" t="s">
        <v>561</v>
      </c>
      <c r="E177" s="146"/>
    </row>
    <row r="179" spans="2:5" x14ac:dyDescent="0.25">
      <c r="B179" s="5" t="s">
        <v>562</v>
      </c>
      <c r="C179" s="142" t="s">
        <v>339</v>
      </c>
      <c r="D179" s="8" t="s">
        <v>563</v>
      </c>
      <c r="E179" s="5" t="s">
        <v>563</v>
      </c>
    </row>
    <row r="180" spans="2:5" x14ac:dyDescent="0.25">
      <c r="B180" s="5" t="s">
        <v>564</v>
      </c>
      <c r="C180" s="143" t="s">
        <v>342</v>
      </c>
      <c r="D180" s="8" t="s">
        <v>563</v>
      </c>
      <c r="E180" s="5" t="s">
        <v>563</v>
      </c>
    </row>
    <row r="181" spans="2:5" x14ac:dyDescent="0.25">
      <c r="B181" s="5" t="s">
        <v>565</v>
      </c>
      <c r="C181" s="144" t="s">
        <v>344</v>
      </c>
      <c r="D181" s="8" t="s">
        <v>563</v>
      </c>
      <c r="E181" s="5" t="s">
        <v>563</v>
      </c>
    </row>
    <row r="182" spans="2:5" x14ac:dyDescent="0.25">
      <c r="B182" s="5" t="s">
        <v>566</v>
      </c>
      <c r="C182" s="144" t="s">
        <v>346</v>
      </c>
      <c r="D182" s="8" t="s">
        <v>563</v>
      </c>
      <c r="E182" s="5" t="s">
        <v>563</v>
      </c>
    </row>
    <row r="183" spans="2:5" x14ac:dyDescent="0.25">
      <c r="B183" s="5" t="s">
        <v>567</v>
      </c>
      <c r="C183" s="145" t="s">
        <v>68</v>
      </c>
      <c r="D183" s="8" t="s">
        <v>563</v>
      </c>
      <c r="E183" s="5" t="s">
        <v>563</v>
      </c>
    </row>
    <row r="184" spans="2:5" x14ac:dyDescent="0.25">
      <c r="B184" s="5" t="s">
        <v>568</v>
      </c>
      <c r="C184" s="145" t="s">
        <v>349</v>
      </c>
      <c r="D184" s="8" t="s">
        <v>563</v>
      </c>
      <c r="E184" s="5" t="s">
        <v>563</v>
      </c>
    </row>
    <row r="185" spans="2:5" x14ac:dyDescent="0.25">
      <c r="B185" s="5" t="s">
        <v>569</v>
      </c>
      <c r="C185" s="145" t="s">
        <v>76</v>
      </c>
      <c r="D185" s="8" t="s">
        <v>563</v>
      </c>
      <c r="E185" s="5" t="s">
        <v>563</v>
      </c>
    </row>
    <row r="186" spans="2:5" x14ac:dyDescent="0.25">
      <c r="B186" s="5" t="s">
        <v>570</v>
      </c>
      <c r="C186" s="145" t="s">
        <v>81</v>
      </c>
      <c r="D186" s="8" t="s">
        <v>563</v>
      </c>
      <c r="E186" s="5" t="s">
        <v>563</v>
      </c>
    </row>
    <row r="187" spans="2:5" x14ac:dyDescent="0.25">
      <c r="B187" s="5" t="s">
        <v>571</v>
      </c>
      <c r="C187" s="145" t="s">
        <v>85</v>
      </c>
      <c r="D187" s="8" t="s">
        <v>563</v>
      </c>
      <c r="E187" s="5" t="s">
        <v>563</v>
      </c>
    </row>
    <row r="188" spans="2:5" x14ac:dyDescent="0.25">
      <c r="B188" s="5" t="s">
        <v>572</v>
      </c>
      <c r="C188" s="144" t="s">
        <v>357</v>
      </c>
      <c r="D188" s="8" t="s">
        <v>563</v>
      </c>
      <c r="E188" s="5" t="s">
        <v>563</v>
      </c>
    </row>
    <row r="189" spans="2:5" x14ac:dyDescent="0.25">
      <c r="B189" s="5" t="s">
        <v>573</v>
      </c>
      <c r="C189" s="144" t="s">
        <v>360</v>
      </c>
      <c r="D189" s="8" t="s">
        <v>563</v>
      </c>
      <c r="E189" s="5" t="s">
        <v>563</v>
      </c>
    </row>
    <row r="190" spans="2:5" x14ac:dyDescent="0.25">
      <c r="B190" s="5" t="s">
        <v>574</v>
      </c>
      <c r="C190" s="144" t="s">
        <v>362</v>
      </c>
      <c r="D190" s="8" t="s">
        <v>563</v>
      </c>
      <c r="E190" s="5" t="s">
        <v>563</v>
      </c>
    </row>
    <row r="191" spans="2:5" x14ac:dyDescent="0.25">
      <c r="B191" s="5" t="s">
        <v>575</v>
      </c>
      <c r="C191" s="144" t="s">
        <v>364</v>
      </c>
      <c r="D191" s="8" t="s">
        <v>563</v>
      </c>
      <c r="E191" s="5" t="s">
        <v>563</v>
      </c>
    </row>
    <row r="192" spans="2:5" x14ac:dyDescent="0.25">
      <c r="B192" s="5" t="s">
        <v>576</v>
      </c>
      <c r="C192" s="2" t="s">
        <v>366</v>
      </c>
      <c r="D192" s="8" t="s">
        <v>563</v>
      </c>
      <c r="E192" s="5" t="s">
        <v>563</v>
      </c>
    </row>
    <row r="193" spans="2:5" x14ac:dyDescent="0.25">
      <c r="B193" s="5" t="s">
        <v>577</v>
      </c>
      <c r="C193" s="2" t="s">
        <v>368</v>
      </c>
      <c r="D193" s="8" t="s">
        <v>563</v>
      </c>
      <c r="E193" s="5" t="s">
        <v>563</v>
      </c>
    </row>
    <row r="194" spans="2:5" x14ac:dyDescent="0.25">
      <c r="B194" s="5" t="s">
        <v>578</v>
      </c>
      <c r="C194" s="2" t="s">
        <v>370</v>
      </c>
      <c r="D194" s="8" t="s">
        <v>563</v>
      </c>
      <c r="E194" s="5" t="s">
        <v>563</v>
      </c>
    </row>
    <row r="195" spans="2:5" x14ac:dyDescent="0.25">
      <c r="B195" s="5" t="s">
        <v>579</v>
      </c>
      <c r="C195" s="2" t="s">
        <v>373</v>
      </c>
      <c r="D195" s="8" t="s">
        <v>563</v>
      </c>
      <c r="E195" s="5" t="s">
        <v>563</v>
      </c>
    </row>
    <row r="196" spans="2:5" x14ac:dyDescent="0.25">
      <c r="B196" s="5" t="s">
        <v>580</v>
      </c>
      <c r="C196" s="2" t="s">
        <v>375</v>
      </c>
      <c r="D196" s="8" t="s">
        <v>563</v>
      </c>
      <c r="E196" s="5" t="s">
        <v>563</v>
      </c>
    </row>
    <row r="197" spans="2:5" x14ac:dyDescent="0.25">
      <c r="B197" s="5" t="s">
        <v>581</v>
      </c>
      <c r="C197" s="2" t="s">
        <v>378</v>
      </c>
      <c r="D197" s="8" t="s">
        <v>563</v>
      </c>
      <c r="E197" s="5"/>
    </row>
    <row r="198" spans="2:5" x14ac:dyDescent="0.25">
      <c r="B198" s="5" t="s">
        <v>582</v>
      </c>
      <c r="C198" s="2" t="s">
        <v>381</v>
      </c>
      <c r="D198" s="8" t="s">
        <v>563</v>
      </c>
      <c r="E198" s="5"/>
    </row>
    <row r="199" spans="2:5" x14ac:dyDescent="0.25">
      <c r="B199" s="5" t="s">
        <v>583</v>
      </c>
      <c r="C199" s="2" t="s">
        <v>384</v>
      </c>
      <c r="D199" s="8" t="s">
        <v>563</v>
      </c>
      <c r="E199" s="5"/>
    </row>
    <row r="200" spans="2:5" x14ac:dyDescent="0.25">
      <c r="B200" s="5" t="s">
        <v>584</v>
      </c>
      <c r="C200" s="2" t="s">
        <v>386</v>
      </c>
      <c r="D200" s="8" t="s">
        <v>563</v>
      </c>
      <c r="E200" s="5"/>
    </row>
    <row r="201" spans="2:5" x14ac:dyDescent="0.25">
      <c r="B201" s="5" t="s">
        <v>585</v>
      </c>
      <c r="C201" s="2" t="s">
        <v>389</v>
      </c>
      <c r="D201" s="8" t="s">
        <v>563</v>
      </c>
      <c r="E201" s="5"/>
    </row>
    <row r="202" spans="2:5" x14ac:dyDescent="0.25">
      <c r="B202" s="5" t="s">
        <v>586</v>
      </c>
      <c r="C202" s="2" t="s">
        <v>391</v>
      </c>
      <c r="D202" s="8" t="s">
        <v>563</v>
      </c>
      <c r="E202" s="5"/>
    </row>
    <row r="203" spans="2:5" x14ac:dyDescent="0.25">
      <c r="B203" s="5" t="s">
        <v>587</v>
      </c>
      <c r="C203" s="2" t="s">
        <v>393</v>
      </c>
      <c r="D203" s="8" t="s">
        <v>563</v>
      </c>
      <c r="E203" s="5"/>
    </row>
    <row r="204" spans="2:5" x14ac:dyDescent="0.25">
      <c r="B204" s="5" t="s">
        <v>588</v>
      </c>
      <c r="C204" s="5" t="s">
        <v>396</v>
      </c>
      <c r="D204" s="8" t="s">
        <v>563</v>
      </c>
      <c r="E204" s="5"/>
    </row>
    <row r="205" spans="2:5" x14ac:dyDescent="0.25">
      <c r="B205" s="5" t="s">
        <v>589</v>
      </c>
      <c r="C205" s="5" t="s">
        <v>399</v>
      </c>
      <c r="D205" s="8" t="s">
        <v>563</v>
      </c>
      <c r="E205" s="5"/>
    </row>
    <row r="206" spans="2:5" x14ac:dyDescent="0.25">
      <c r="B206" s="5" t="s">
        <v>590</v>
      </c>
      <c r="C206" s="5" t="s">
        <v>402</v>
      </c>
      <c r="D206" s="8" t="s">
        <v>563</v>
      </c>
      <c r="E206" s="5" t="s">
        <v>563</v>
      </c>
    </row>
  </sheetData>
  <phoneticPr fontId="3" type="noConversion"/>
  <pageMargins left="0.7" right="0.7" top="0.75" bottom="0.75" header="0.3" footer="0.3"/>
  <pageSetup paperSize="9" scale="55" orientation="portrait" r:id="rId1"/>
  <rowBreaks count="2" manualBreakCount="2">
    <brk id="62" max="16383" man="1"/>
    <brk id="149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b4cc71f-4036-4581-85c7-a4481d742ec8">
      <Terms xmlns="http://schemas.microsoft.com/office/infopath/2007/PartnerControls"/>
    </lcf76f155ced4ddcb4097134ff3c332f>
    <TaxCatchAll xmlns="95e576bc-9f64-4b26-b4d8-385686323516" xsi:nil="true"/>
    <SharedWithUsers xmlns="95e576bc-9f64-4b26-b4d8-385686323516">
      <UserInfo>
        <DisplayName/>
        <AccountId xsi:nil="true"/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602292AB956749AB9C07AF01C808F9" ma:contentTypeVersion="16" ma:contentTypeDescription="Create a new document." ma:contentTypeScope="" ma:versionID="4086f2386d1ad140127a4356c269a753">
  <xsd:schema xmlns:xsd="http://www.w3.org/2001/XMLSchema" xmlns:xs="http://www.w3.org/2001/XMLSchema" xmlns:p="http://schemas.microsoft.com/office/2006/metadata/properties" xmlns:ns2="5b4cc71f-4036-4581-85c7-a4481d742ec8" xmlns:ns3="95e576bc-9f64-4b26-b4d8-385686323516" targetNamespace="http://schemas.microsoft.com/office/2006/metadata/properties" ma:root="true" ma:fieldsID="d11583ff8fc4bfc515b54c1d527b21dd" ns2:_="" ns3:_="">
    <xsd:import namespace="5b4cc71f-4036-4581-85c7-a4481d742ec8"/>
    <xsd:import namespace="95e576bc-9f64-4b26-b4d8-3856863235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4cc71f-4036-4581-85c7-a4481d742e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2709e456-5b94-4878-aa1d-29a5f62fa0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e576bc-9f64-4b26-b4d8-38568632351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2579d81-cf07-481f-90d4-97df996dfe5e}" ma:internalName="TaxCatchAll" ma:showField="CatchAllData" ma:web="95e576bc-9f64-4b26-b4d8-38568632351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4D0C1E-EE68-4DEA-965E-A67B4AFAB361}">
  <ds:schemaRefs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95e576bc-9f64-4b26-b4d8-385686323516"/>
    <ds:schemaRef ds:uri="5b4cc71f-4036-4581-85c7-a4481d742ec8"/>
  </ds:schemaRefs>
</ds:datastoreItem>
</file>

<file path=customXml/itemProps2.xml><?xml version="1.0" encoding="utf-8"?>
<ds:datastoreItem xmlns:ds="http://schemas.openxmlformats.org/officeDocument/2006/customXml" ds:itemID="{9EF1AC97-BFBC-4D2A-98D7-EB09E0A448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4cc71f-4036-4581-85c7-a4481d742ec8"/>
    <ds:schemaRef ds:uri="95e576bc-9f64-4b26-b4d8-3856863235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CBD794-D348-44CC-9B90-9D548F57B66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TEC-ENG-FOR-0029</vt:lpstr>
      <vt:lpstr>F1-2 Labels</vt:lpstr>
      <vt:lpstr>F3-4 Labels</vt:lpstr>
      <vt:lpstr>TCE Data</vt:lpstr>
      <vt:lpstr>MS Data</vt:lpstr>
      <vt:lpstr>Ipk</vt:lpstr>
      <vt:lpstr>'F1-2 Labels'!Print_Area</vt:lpstr>
      <vt:lpstr>'F3-4 Labels'!Print_Area</vt:lpstr>
      <vt:lpstr>'MS Data'!Print_Area</vt:lpstr>
      <vt:lpstr>'TCE Data'!Print_Area</vt:lpstr>
      <vt:lpstr>'TEC-ENG-FOR-0029'!Print_Area</vt:lpstr>
      <vt:lpstr>TABLE_A</vt:lpstr>
    </vt:vector>
  </TitlesOfParts>
  <Manager/>
  <Company>BGEN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LV Assembly Information</dc:title>
  <dc:subject/>
  <dc:creator>Neil Williams</dc:creator>
  <cp:keywords>Keywords</cp:keywords>
  <dc:description/>
  <cp:lastModifiedBy>kat neale</cp:lastModifiedBy>
  <cp:revision/>
  <dcterms:created xsi:type="dcterms:W3CDTF">2021-03-12T14:04:17Z</dcterms:created>
  <dcterms:modified xsi:type="dcterms:W3CDTF">2026-06-23T14:55:54Z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0x01010001602292AB956749AB9C07AF01C808F9</vt:lpwstr>
  </property>
  <property fmtid="{D5CDD505-2E9C-101B-9397-08002B2CF9AE}" pid="3" name="Sub Category">
    <vt:lpwstr>1862;#Framework Standards|b0e18e49-8562-42c4-bb63-506042c90a09</vt:lpwstr>
  </property>
  <property fmtid="{D5CDD505-2E9C-101B-9397-08002B2CF9AE}" pid="4" name="Document Group">
    <vt:lpwstr>1855;#Drawings|532dc3d7-a108-4b1b-b057-7ae33c071b09</vt:lpwstr>
  </property>
  <property fmtid="{D5CDD505-2E9C-101B-9397-08002B2CF9AE}" pid="5" name="Doc Category">
    <vt:lpwstr/>
  </property>
  <property fmtid="{D5CDD505-2E9C-101B-9397-08002B2CF9AE}" pid="6" name="Project Category">
    <vt:lpwstr/>
  </property>
  <property fmtid="{D5CDD505-2E9C-101B-9397-08002B2CF9AE}" pid="7" name="Doc Type">
    <vt:lpwstr>588;#Form|55a5ab31-e435-4661-8fea-fb4e6784658a</vt:lpwstr>
  </property>
  <property fmtid="{D5CDD505-2E9C-101B-9397-08002B2CF9AE}" pid="8" name="Process_x0020_Area">
    <vt:lpwstr/>
  </property>
  <property fmtid="{D5CDD505-2E9C-101B-9397-08002B2CF9AE}" pid="9" name="Document Category">
    <vt:lpwstr>39;#Form|6d5fb079-f0b4-443d-86cc-4dd113b7abcf</vt:lpwstr>
  </property>
  <property fmtid="{D5CDD505-2E9C-101B-9397-08002B2CF9AE}" pid="10" name="Process Area">
    <vt:lpwstr/>
  </property>
  <property fmtid="{D5CDD505-2E9C-101B-9397-08002B2CF9AE}" pid="11" name="Order">
    <vt:r8>617600</vt:r8>
  </property>
  <property fmtid="{D5CDD505-2E9C-101B-9397-08002B2CF9AE}" pid="12" name="_ExtendedDescription">
    <vt:lpwstr/>
  </property>
  <property fmtid="{D5CDD505-2E9C-101B-9397-08002B2CF9AE}" pid="13" name="xd_Signature">
    <vt:bool>false</vt:bool>
  </property>
  <property fmtid="{D5CDD505-2E9C-101B-9397-08002B2CF9AE}" pid="14" name="xd_ProgID">
    <vt:lpwstr/>
  </property>
  <property fmtid="{D5CDD505-2E9C-101B-9397-08002B2CF9AE}" pid="15" name="ComplianceAssetId">
    <vt:lpwstr/>
  </property>
  <property fmtid="{D5CDD505-2E9C-101B-9397-08002B2CF9AE}" pid="16" name="TemplateUrl">
    <vt:lpwstr/>
  </property>
  <property fmtid="{D5CDD505-2E9C-101B-9397-08002B2CF9AE}" pid="17" name="TriggerFlowInfo">
    <vt:lpwstr/>
  </property>
  <property fmtid="{D5CDD505-2E9C-101B-9397-08002B2CF9AE}" pid="18" name="MediaServiceImageTags">
    <vt:lpwstr/>
  </property>
</Properties>
</file>
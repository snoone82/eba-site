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1 - Templates/NOT EDITED TO BE CHECKED/"/>
    </mc:Choice>
  </mc:AlternateContent>
  <xr:revisionPtr revIDLastSave="17" documentId="8_{0465ED5C-44CD-4E4E-A366-00CC62E1C551}" xr6:coauthVersionLast="47" xr6:coauthVersionMax="47" xr10:uidLastSave="{091565C8-81F8-4F88-9548-C00F57733186}"/>
  <bookViews>
    <workbookView xWindow="-120" yWindow="-120" windowWidth="51840" windowHeight="21120" xr2:uid="{00000000-000D-0000-FFFF-FFFF00000000}"/>
  </bookViews>
  <sheets>
    <sheet name="Company Task Register" sheetId="1" r:id="rId1"/>
    <sheet name="Task Definitions" sheetId="2" r:id="rId2"/>
    <sheet name="Dashboard" sheetId="3" r:id="rId3"/>
    <sheet name="Guidan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B8" i="3"/>
  <c r="F7" i="3"/>
  <c r="E7" i="3"/>
  <c r="D7" i="3"/>
  <c r="B7" i="3"/>
  <c r="F6" i="3"/>
  <c r="E6" i="3"/>
  <c r="D6" i="3"/>
  <c r="F5" i="3"/>
  <c r="E5" i="3"/>
  <c r="D5" i="3"/>
  <c r="F4" i="3"/>
  <c r="E4" i="3"/>
  <c r="D4" i="3"/>
  <c r="B4" i="3"/>
  <c r="B6" i="3" s="1"/>
  <c r="B9" i="3" l="1"/>
  <c r="B10" i="3"/>
</calcChain>
</file>

<file path=xl/sharedStrings.xml><?xml version="1.0" encoding="utf-8"?>
<sst xmlns="http://schemas.openxmlformats.org/spreadsheetml/2006/main" count="402" uniqueCount="290">
  <si>
    <t>Task Matrix</t>
  </si>
  <si>
    <t>Section Owners</t>
  </si>
  <si>
    <t>Tasks
Section 1 - Introduction, Quality Management &amp; Procedure Control</t>
  </si>
  <si>
    <t>Tasks
Section 2 - Sales, Marketing</t>
  </si>
  <si>
    <t>Tasks
Section 3 - Estimating, Purchasing</t>
  </si>
  <si>
    <t>Tasks
Section 4 - Design, Project Management</t>
  </si>
  <si>
    <t>Tasks
Section 5 - High Voltage Electrical, Manufacturing</t>
  </si>
  <si>
    <t>Tasks
Section 6 - Commercial, Accounting</t>
  </si>
  <si>
    <t>Tasks
Section 7 - Environmental, Health &amp; Safety</t>
  </si>
  <si>
    <t>Tasks
Section 8 - Human Resources, Apprentices, Training</t>
  </si>
  <si>
    <t>Tasks
Section 9 - Company Engineers &amp; Subcontractors, Vehicles, Company &amp; Hire Equipment</t>
  </si>
  <si>
    <t>Tasks
Section 10 - Information Technology, Cyber Security, Data Protection</t>
  </si>
  <si>
    <t>Tasks
Section 11 - Software Development, Data Warehouse &amp; Digital Systems</t>
  </si>
  <si>
    <t>Tasks
Section 12 - Customer Complaints, Accreditations &amp; PQQ's</t>
  </si>
  <si>
    <t>Company / Business Unit</t>
  </si>
  <si>
    <t>S01 Owner</t>
  </si>
  <si>
    <t>S02 Owner</t>
  </si>
  <si>
    <t>S03 Owner</t>
  </si>
  <si>
    <t>S04 Owner</t>
  </si>
  <si>
    <t>S05 Owner</t>
  </si>
  <si>
    <t>S06 Owner</t>
  </si>
  <si>
    <t>S07 Owner</t>
  </si>
  <si>
    <t>S08 Owner</t>
  </si>
  <si>
    <t>S09 Owner</t>
  </si>
  <si>
    <t>S10 Owner</t>
  </si>
  <si>
    <t>S11 Owner</t>
  </si>
  <si>
    <t>S12 Owner</t>
  </si>
  <si>
    <t>Group HSEQ Director</t>
  </si>
  <si>
    <t>QA Manager</t>
  </si>
  <si>
    <t>Risk Register / Internal Audit</t>
  </si>
  <si>
    <t>Update Task Matrix</t>
  </si>
  <si>
    <t>Review KEYIS Playbook</t>
  </si>
  <si>
    <t>ISO Audits</t>
  </si>
  <si>
    <t>Maintain QA File</t>
  </si>
  <si>
    <t>Commercial Manager</t>
  </si>
  <si>
    <t>Credit Insurance Renewal</t>
  </si>
  <si>
    <t>Review Brand Guidelines</t>
  </si>
  <si>
    <t>Gas Safe Champion</t>
  </si>
  <si>
    <t>F-Gas Champion</t>
  </si>
  <si>
    <t>Senior Appointed Person</t>
  </si>
  <si>
    <t>HV Senior Appointed Person</t>
  </si>
  <si>
    <t>Environmental Manager</t>
  </si>
  <si>
    <t>Health &amp; Safety Manager</t>
  </si>
  <si>
    <t>HR Manager</t>
  </si>
  <si>
    <t>Apprentice Champion</t>
  </si>
  <si>
    <t>Data Protection Officer</t>
  </si>
  <si>
    <t>Task Header</t>
  </si>
  <si>
    <t>Procedure Area</t>
  </si>
  <si>
    <t>Task Description</t>
  </si>
  <si>
    <t>Default Responsible Role</t>
  </si>
  <si>
    <t>Frequency</t>
  </si>
  <si>
    <t>Evidence / Record Location</t>
  </si>
  <si>
    <t>Section 01</t>
  </si>
  <si>
    <t>Section owner for Introduction, Quality Management &amp; Procedure Control</t>
  </si>
  <si>
    <t>Named section owner</t>
  </si>
  <si>
    <t>Ongoing</t>
  </si>
  <si>
    <t>Task register / QA file</t>
  </si>
  <si>
    <t>Section 02</t>
  </si>
  <si>
    <t>Section owner for Sales &amp; Marketing</t>
  </si>
  <si>
    <t>Section 03</t>
  </si>
  <si>
    <t>Section owner for Estimating &amp; Purchasing</t>
  </si>
  <si>
    <t>Section 04</t>
  </si>
  <si>
    <t>Section owner for Design &amp; Project Management</t>
  </si>
  <si>
    <t>Section 05</t>
  </si>
  <si>
    <t>Section owner for Manufacturing / Operations where applicable</t>
  </si>
  <si>
    <t>Section 06</t>
  </si>
  <si>
    <t>Section owner for Commercial &amp; Accounting</t>
  </si>
  <si>
    <t>Section 07</t>
  </si>
  <si>
    <t>Section owner for Environmental, Health &amp; Safety</t>
  </si>
  <si>
    <t>Section 08</t>
  </si>
  <si>
    <t>Section owner for HR, Apprentices &amp; Training</t>
  </si>
  <si>
    <t>Section 09</t>
  </si>
  <si>
    <t>Section owner for Company Engineers, Subcontractors, Vehicles &amp; Equipment</t>
  </si>
  <si>
    <t>Section 10</t>
  </si>
  <si>
    <t>Section owner for Information Technology / Data Protection</t>
  </si>
  <si>
    <t>Section 11</t>
  </si>
  <si>
    <t>Section owner for Software / Digital Systems / Data Warehouse</t>
  </si>
  <si>
    <t>Section 12</t>
  </si>
  <si>
    <t>Section owner for Customer Complaints, Accreditations &amp; PQQs</t>
  </si>
  <si>
    <t>Procedure Review</t>
  </si>
  <si>
    <t>Review allocated procedure section and confirm it remains accurate, current and aligned with the business</t>
  </si>
  <si>
    <t>Section Owner</t>
  </si>
  <si>
    <t>Twice per annum</t>
  </si>
  <si>
    <t>QA file / review log</t>
  </si>
  <si>
    <t>Document Control</t>
  </si>
  <si>
    <t>Maintain controlled documents, version numbers, issue dates, and archived superseded copies</t>
  </si>
  <si>
    <t>QA Manager / QA Administrator</t>
  </si>
  <si>
    <t>Document register / SharePoint</t>
  </si>
  <si>
    <t>QA File</t>
  </si>
  <si>
    <t>Maintain company QA file as the central evidence file for company governance and compliance records</t>
  </si>
  <si>
    <t>QA Manager / Section Owner</t>
  </si>
  <si>
    <t>Monthly</t>
  </si>
  <si>
    <t>Company QA file</t>
  </si>
  <si>
    <t>Risk Register</t>
  </si>
  <si>
    <t>Maintain company risk register and ensure risks have owners, controls and actions</t>
  </si>
  <si>
    <t>Director / QA Lead</t>
  </si>
  <si>
    <t>Risk register</t>
  </si>
  <si>
    <t>Risk Register Audit</t>
  </si>
  <si>
    <t>Audit the company against the risk register</t>
  </si>
  <si>
    <t>Risk register audit record</t>
  </si>
  <si>
    <t>Task Register Update</t>
  </si>
  <si>
    <t>Maintain this company task register and update named responsibilities</t>
  </si>
  <si>
    <t>QA Manager / Business Unit Director</t>
  </si>
  <si>
    <t>Quarterly</t>
  </si>
  <si>
    <t>Task register</t>
  </si>
  <si>
    <t>NCR / Improvement Log</t>
  </si>
  <si>
    <t>Record and track non-conformances, corrective actions and improvement opportunities</t>
  </si>
  <si>
    <t>QA Lead / Section Owner</t>
  </si>
  <si>
    <t>NCR &amp; improvement register</t>
  </si>
  <si>
    <t>Management Review</t>
  </si>
  <si>
    <t>Review QA file, audits, risk register, task register, NCRs and key compliance matters</t>
  </si>
  <si>
    <t>Management review record</t>
  </si>
  <si>
    <t>Brand Guidelines</t>
  </si>
  <si>
    <t>Ensure company documents and materials follow KIS Brand Guidelines 01-09-13</t>
  </si>
  <si>
    <t>Document Owner / Marketing</t>
  </si>
  <si>
    <t>Document review / marketing approval</t>
  </si>
  <si>
    <t>Sales Meeting</t>
  </si>
  <si>
    <t>Sales &amp; Marketing</t>
  </si>
  <si>
    <t>Hold sales meeting focused on gross profit forecast, weighted pipeline, CRM and blockers</t>
  </si>
  <si>
    <t>Managing Director / Sales Lead</t>
  </si>
  <si>
    <t>Weekly</t>
  </si>
  <si>
    <t>Sales meeting record</t>
  </si>
  <si>
    <t>CRM / Pipeline</t>
  </si>
  <si>
    <t>Maintain CRM opportunities and weighted pipeline information</t>
  </si>
  <si>
    <t>Sales Lead</t>
  </si>
  <si>
    <t>CRM / pipeline report</t>
  </si>
  <si>
    <t>Marketing Activity</t>
  </si>
  <si>
    <t>Maintain social posts, website updates, case studies, internal communications and marketing plans</t>
  </si>
  <si>
    <t>Marketing Lead</t>
  </si>
  <si>
    <t>Marketing calendar / report</t>
  </si>
  <si>
    <t>Customer Surveys</t>
  </si>
  <si>
    <t>Sales / QA</t>
  </si>
  <si>
    <t>Issue, collect and review customer satisfaction surveys where required</t>
  </si>
  <si>
    <t>Account Manager / QA</t>
  </si>
  <si>
    <t>Monthly / Project close</t>
  </si>
  <si>
    <t>QA file / survey register</t>
  </si>
  <si>
    <t>Quotation Register</t>
  </si>
  <si>
    <t>Estimating</t>
  </si>
  <si>
    <t>Log enquiries, quote numbers and tender status</t>
  </si>
  <si>
    <t>Estimator / Estimating Lead</t>
  </si>
  <si>
    <t>Quotation register</t>
  </si>
  <si>
    <t>Bid / No Bid</t>
  </si>
  <si>
    <t>Complete bid/no-bid review and Director approval where required</t>
  </si>
  <si>
    <t>Estimator / Director</t>
  </si>
  <si>
    <t>Per enquiry</t>
  </si>
  <si>
    <t>Bid/no-bid record</t>
  </si>
  <si>
    <t>Tender Review</t>
  </si>
  <si>
    <t>Complete tender review, settlement and approval in line with value/risk thresholds</t>
  </si>
  <si>
    <t>Per tender</t>
  </si>
  <si>
    <t>Tender file</t>
  </si>
  <si>
    <t>Purchasing Control</t>
  </si>
  <si>
    <t>Purchasing</t>
  </si>
  <si>
    <t>Maintain supplier quotations, purchase orders and purchasing approvals</t>
  </si>
  <si>
    <t>Purchasing Lead / PM</t>
  </si>
  <si>
    <t>Purchasing sheet / PO records</t>
  </si>
  <si>
    <t>Contract Handover</t>
  </si>
  <si>
    <t>Project Management</t>
  </si>
  <si>
    <t>Complete contract handover and ensure project team understand scope, cost, risk and controls</t>
  </si>
  <si>
    <t>Project Manager / Director</t>
  </si>
  <si>
    <t>Per project</t>
  </si>
  <si>
    <t>Handover minutes</t>
  </si>
  <si>
    <t>Project Folder</t>
  </si>
  <si>
    <t>Set up project folders, document registers and required project records</t>
  </si>
  <si>
    <t>Project Manager / Document Controller</t>
  </si>
  <si>
    <t>Project folder</t>
  </si>
  <si>
    <t>Design Registers</t>
  </si>
  <si>
    <t>Design</t>
  </si>
  <si>
    <t>Maintain drawing, RFI/TQ, technical submission and deliverables registers</t>
  </si>
  <si>
    <t>Design Manager / PM</t>
  </si>
  <si>
    <t>Project registers</t>
  </si>
  <si>
    <t>HSE Site File</t>
  </si>
  <si>
    <t>Prepare and maintain H&amp;S/environmental site file and required site records</t>
  </si>
  <si>
    <t>Project Manager / H&amp;S Manager</t>
  </si>
  <si>
    <t>Site HSE file</t>
  </si>
  <si>
    <t>RAMS Review</t>
  </si>
  <si>
    <t>Review and approve subcontractor RAMS before work starts</t>
  </si>
  <si>
    <t>Per subcontractor</t>
  </si>
  <si>
    <t>RAMS review form</t>
  </si>
  <si>
    <t>Project Audits</t>
  </si>
  <si>
    <t>Complete site/project audits and close out actions</t>
  </si>
  <si>
    <t>H&amp;S Manager / PM</t>
  </si>
  <si>
    <t>Monthly / as required</t>
  </si>
  <si>
    <t>Audit sheet / action log</t>
  </si>
  <si>
    <t>Commercial Pack</t>
  </si>
  <si>
    <t>Commercial</t>
  </si>
  <si>
    <t>Complete order book, monthly finance pack, cashflow and commercial review requirements</t>
  </si>
  <si>
    <t>Commercial folder / board pack</t>
  </si>
  <si>
    <t>Credit Control</t>
  </si>
  <si>
    <t>Accounting</t>
  </si>
  <si>
    <t>Chase debt, record payment terms, issue credit control letters where required</t>
  </si>
  <si>
    <t>Accounts Manager</t>
  </si>
  <si>
    <t>Daily / Weekly</t>
  </si>
  <si>
    <t>Accounts records</t>
  </si>
  <si>
    <t>Payroll / CIS / VAT</t>
  </si>
  <si>
    <t>Complete payroll, CIS, VAT and accounting compliance tasks</t>
  </si>
  <si>
    <t>H&amp;S Report</t>
  </si>
  <si>
    <t>Health &amp; Safety</t>
  </si>
  <si>
    <t>Prepare monthly H&amp;S report, incident stats and actions</t>
  </si>
  <si>
    <t>H&amp;S Manager</t>
  </si>
  <si>
    <t>Board / QA file</t>
  </si>
  <si>
    <t>Training Matrix</t>
  </si>
  <si>
    <t>Training</t>
  </si>
  <si>
    <t>Maintain training requirements and live training compliance matrix</t>
  </si>
  <si>
    <t>HR / Training Manager</t>
  </si>
  <si>
    <t>Training matrix</t>
  </si>
  <si>
    <t>HR Files</t>
  </si>
  <si>
    <t>Human Resources</t>
  </si>
  <si>
    <t>Maintain employee files, induction records, contracts and HR records</t>
  </si>
  <si>
    <t>HR file</t>
  </si>
  <si>
    <t>Performance Reviews</t>
  </si>
  <si>
    <t>Complete and record employee performance reviews</t>
  </si>
  <si>
    <t>Line Manager / HR</t>
  </si>
  <si>
    <t>Employee file</t>
  </si>
  <si>
    <t>Apprentice Reviews</t>
  </si>
  <si>
    <t>Apprentices</t>
  </si>
  <si>
    <t>Complete apprentice and graduate quarterly reviews and provider engagement</t>
  </si>
  <si>
    <t>Apprentice &amp; Graduate Champion</t>
  </si>
  <si>
    <t>Apprentice register</t>
  </si>
  <si>
    <t>Subcontractor Register</t>
  </si>
  <si>
    <t>Subcontractors</t>
  </si>
  <si>
    <t>Maintain subcontractor register, approval status, insurance and performance records</t>
  </si>
  <si>
    <t>Subcontractor register</t>
  </si>
  <si>
    <t>Vehicle Register</t>
  </si>
  <si>
    <t>Vehicles</t>
  </si>
  <si>
    <t>Maintain vehicle register, agreements, servicing, MOT, tax, insurance and defects</t>
  </si>
  <si>
    <t>Fleet Manager</t>
  </si>
  <si>
    <t>Vehicle register</t>
  </si>
  <si>
    <t>Vehicle Checklists</t>
  </si>
  <si>
    <t>Collect and review monthly vehicle checklists</t>
  </si>
  <si>
    <t>Fleet Manager / H&amp;S Manager</t>
  </si>
  <si>
    <t>Vehicle checklist folder</t>
  </si>
  <si>
    <t>Equipment Register</t>
  </si>
  <si>
    <t>Equipment</t>
  </si>
  <si>
    <t>Maintain equipment register, inspections, PAT testing, noise/vibration data and defects</t>
  </si>
  <si>
    <t>Equipment register</t>
  </si>
  <si>
    <t>IT Backup / Access</t>
  </si>
  <si>
    <t>Information Technology</t>
  </si>
  <si>
    <t>Check backups, access controls, cyber controls and IT audit actions</t>
  </si>
  <si>
    <t>IT Lead / QA Manager</t>
  </si>
  <si>
    <t>Monthly / Quarterly</t>
  </si>
  <si>
    <t>IT records</t>
  </si>
  <si>
    <t>Data Protection</t>
  </si>
  <si>
    <t>Review data handling, retention and data protection controls</t>
  </si>
  <si>
    <t>Monthly / Annual</t>
  </si>
  <si>
    <t>Data protection records</t>
  </si>
  <si>
    <t>Accreditations</t>
  </si>
  <si>
    <t>Monitor accreditation renewals, certificates and external audit actions</t>
  </si>
  <si>
    <t>QA file / certificates</t>
  </si>
  <si>
    <t>Complaints Register</t>
  </si>
  <si>
    <t>Customer Complaints</t>
  </si>
  <si>
    <t>Record, investigate and close customer complaints</t>
  </si>
  <si>
    <t>Director / QA Manager</t>
  </si>
  <si>
    <t>Per complaint</t>
  </si>
  <si>
    <t>Complaints register / QA file</t>
  </si>
  <si>
    <t>PQQs</t>
  </si>
  <si>
    <t>Maintain PQQ responses, supporting information and company evidence</t>
  </si>
  <si>
    <t>Commercial / QA</t>
  </si>
  <si>
    <t>As required</t>
  </si>
  <si>
    <t>PQQ folder</t>
  </si>
  <si>
    <t>KEYIS Task Allocation Dashboard</t>
  </si>
  <si>
    <t>Metric</t>
  </si>
  <si>
    <t>Formula / Value</t>
  </si>
  <si>
    <t>Allocated</t>
  </si>
  <si>
    <t>Blank / To Allocate</t>
  </si>
  <si>
    <t>Companies listed</t>
  </si>
  <si>
    <t>Task columns</t>
  </si>
  <si>
    <t>Total allocation cells</t>
  </si>
  <si>
    <t>Allocated cells</t>
  </si>
  <si>
    <t>N/A cells</t>
  </si>
  <si>
    <t>Blank cells</t>
  </si>
  <si>
    <t>Allocation complete %</t>
  </si>
  <si>
    <t>Topic</t>
  </si>
  <si>
    <t>Guidance</t>
  </si>
  <si>
    <t>Purpose</t>
  </si>
  <si>
    <t>This workbook is designed for a meeting-style allocation review. Companies are listed down the left-hand side and tasks run across the top. Each cell should contain the named person responsible for that task in that company.</t>
  </si>
  <si>
    <t>How to use</t>
  </si>
  <si>
    <t>Replace the company placeholders with actual companies/business units. Then work left to right and enter the named person responsible for each task.</t>
  </si>
  <si>
    <t>N/A</t>
  </si>
  <si>
    <t>Use N/A where a task does not apply to that company. The dashboard excludes N/A from allocated counts.</t>
  </si>
  <si>
    <t>Section owners</t>
  </si>
  <si>
    <t>The first set of columns captures the owner of each procedure section. These people must review their section twice per annum and raise required changes through procedure control.</t>
  </si>
  <si>
    <t>Evidence</t>
  </si>
  <si>
    <t>Use the Task Definitions sheet to see the default evidence or record location for each task.</t>
  </si>
  <si>
    <t>Review frequency</t>
  </si>
  <si>
    <t>The Task Definitions sheet lists the suggested frequency. Amend these if the procedure requires different timing for a specific company.</t>
  </si>
  <si>
    <t>Filtering</t>
  </si>
  <si>
    <t>This is designed to be filtered manually by company/business unit and reviewed across the row.</t>
  </si>
  <si>
    <t>Meeting output</t>
  </si>
  <si>
    <t>At the end of the review, each task should have a named person or N/A for each company.</t>
  </si>
  <si>
    <t>Document Reference: IP-02-01-29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</si>
</sst>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name val="Carlito"/>
    </font>
    <font>
      <sz val="11"/>
      <name val="Calibri"/>
      <family val="2"/>
      <scheme val="minor"/>
    </font>
    <font>
      <i/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8"/>
      <name val="Calibri"/>
      <family val="2"/>
      <scheme val="minor"/>
    </font>
    <font>
      <b/>
      <sz val="16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A64D79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5B9BD5"/>
      </patternFill>
    </fill>
    <fill>
      <patternFill patternType="solid">
        <fgColor rgb="FF00A2E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4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14" fontId="8" fillId="15" borderId="0" xfId="0" applyNumberFormat="1" applyFont="1" applyFill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10" fillId="14" borderId="0" xfId="0" applyFont="1" applyFill="1" applyAlignment="1">
      <alignment horizontal="center"/>
    </xf>
    <xf numFmtId="0" fontId="0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160605</xdr:rowOff>
    </xdr:from>
    <xdr:to>
      <xdr:col>0</xdr:col>
      <xdr:colOff>1990725</xdr:colOff>
      <xdr:row>3</xdr:row>
      <xdr:rowOff>122505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F7BD65-42E7-F591-1212-A3C1BD5DB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925" y="160605"/>
          <a:ext cx="18288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2"/>
  <sheetViews>
    <sheetView tabSelected="1" zoomScaleNormal="100" workbookViewId="0">
      <pane xSplit="1" ySplit="6" topLeftCell="B9" activePane="bottomRight" state="frozen"/>
      <selection pane="topRight" activeCell="B1" sqref="B1"/>
      <selection pane="bottomLeft" activeCell="A6" sqref="A6"/>
      <selection pane="bottomRight" activeCell="E16" sqref="E16"/>
    </sheetView>
  </sheetViews>
  <sheetFormatPr defaultRowHeight="15"/>
  <cols>
    <col min="1" max="1" width="28" style="6" customWidth="1"/>
    <col min="2" max="65" width="10.625" style="6" customWidth="1"/>
    <col min="66" max="16384" width="9" style="6"/>
  </cols>
  <sheetData>
    <row r="1" spans="1:65">
      <c r="A1" s="6" t="s">
        <v>289</v>
      </c>
    </row>
    <row r="2" spans="1:65" ht="20.100000000000001" customHeight="1">
      <c r="A2" s="21"/>
      <c r="B2" s="25" t="s">
        <v>0</v>
      </c>
      <c r="C2" s="25"/>
      <c r="D2" s="25"/>
      <c r="E2" s="25"/>
      <c r="F2" s="25"/>
      <c r="G2" s="25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</row>
    <row r="3" spans="1:65" ht="20.100000000000001" customHeight="1">
      <c r="A3" s="21"/>
      <c r="B3" s="25"/>
      <c r="C3" s="25"/>
      <c r="D3" s="25"/>
      <c r="E3" s="25"/>
      <c r="F3" s="25"/>
      <c r="G3" s="25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</row>
    <row r="4" spans="1:65" ht="19.5" customHeight="1">
      <c r="A4" s="22"/>
      <c r="B4" s="26"/>
      <c r="C4" s="26"/>
      <c r="D4" s="26"/>
      <c r="E4" s="26"/>
      <c r="F4" s="26"/>
      <c r="G4" s="26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</row>
    <row r="5" spans="1:65" s="20" customFormat="1" ht="58.5" customHeight="1">
      <c r="A5" s="23"/>
      <c r="B5" s="24" t="s">
        <v>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7" t="s">
        <v>2</v>
      </c>
      <c r="O5" s="28"/>
      <c r="P5" s="28"/>
      <c r="Q5" s="28"/>
      <c r="R5" s="28"/>
      <c r="S5" s="28"/>
      <c r="T5" s="29"/>
      <c r="U5" s="24" t="s">
        <v>3</v>
      </c>
      <c r="V5" s="24"/>
      <c r="W5" s="24"/>
      <c r="X5" s="24"/>
      <c r="Y5" s="24" t="s">
        <v>4</v>
      </c>
      <c r="Z5" s="24"/>
      <c r="AA5" s="24"/>
      <c r="AB5" s="24"/>
      <c r="AC5" s="24" t="s">
        <v>5</v>
      </c>
      <c r="AD5" s="24"/>
      <c r="AE5" s="24"/>
      <c r="AF5" s="24"/>
      <c r="AG5" s="24"/>
      <c r="AH5" s="24"/>
      <c r="AI5" s="24" t="s">
        <v>6</v>
      </c>
      <c r="AJ5" s="24"/>
      <c r="AK5" s="24"/>
      <c r="AL5" s="24" t="s">
        <v>7</v>
      </c>
      <c r="AM5" s="24"/>
      <c r="AN5" s="24"/>
      <c r="AO5" s="24"/>
      <c r="AP5" s="24"/>
      <c r="AQ5" s="24" t="s">
        <v>8</v>
      </c>
      <c r="AR5" s="24"/>
      <c r="AS5" s="24"/>
      <c r="AT5" s="24"/>
      <c r="AU5" s="24" t="s">
        <v>9</v>
      </c>
      <c r="AV5" s="24"/>
      <c r="AW5" s="24" t="s">
        <v>10</v>
      </c>
      <c r="AX5" s="24"/>
      <c r="AY5" s="24"/>
      <c r="AZ5" s="24" t="s">
        <v>11</v>
      </c>
      <c r="BA5" s="24"/>
      <c r="BB5" s="24"/>
      <c r="BC5" s="24"/>
      <c r="BD5" s="24"/>
      <c r="BE5" s="24"/>
      <c r="BF5" s="24" t="s">
        <v>12</v>
      </c>
      <c r="BG5" s="24"/>
      <c r="BH5" s="24"/>
      <c r="BI5" s="24"/>
      <c r="BJ5" s="24" t="s">
        <v>13</v>
      </c>
      <c r="BK5" s="24"/>
      <c r="BL5" s="24"/>
      <c r="BM5" s="24"/>
    </row>
    <row r="6" spans="1:65" ht="48" customHeight="1">
      <c r="A6" s="7" t="s">
        <v>14</v>
      </c>
      <c r="B6" s="8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  <c r="L6" s="7" t="s">
        <v>25</v>
      </c>
      <c r="M6" s="7" t="s">
        <v>26</v>
      </c>
      <c r="N6" s="8" t="s">
        <v>27</v>
      </c>
      <c r="O6" s="8" t="s">
        <v>28</v>
      </c>
      <c r="P6" s="8" t="s">
        <v>29</v>
      </c>
      <c r="Q6" s="8" t="s">
        <v>30</v>
      </c>
      <c r="R6" s="8" t="s">
        <v>31</v>
      </c>
      <c r="S6" s="8" t="s">
        <v>32</v>
      </c>
      <c r="T6" s="8" t="s">
        <v>33</v>
      </c>
      <c r="U6" s="9" t="s">
        <v>34</v>
      </c>
      <c r="V6" s="9" t="s">
        <v>35</v>
      </c>
      <c r="W6" s="9" t="s">
        <v>36</v>
      </c>
      <c r="X6" s="9"/>
      <c r="Y6" s="10" t="s">
        <v>34</v>
      </c>
      <c r="Z6" s="10"/>
      <c r="AA6" s="10"/>
      <c r="AB6" s="10"/>
      <c r="AC6" s="11" t="s">
        <v>37</v>
      </c>
      <c r="AD6" s="11" t="s">
        <v>38</v>
      </c>
      <c r="AE6" s="11" t="s">
        <v>39</v>
      </c>
      <c r="AF6" s="11"/>
      <c r="AG6" s="11"/>
      <c r="AH6" s="11"/>
      <c r="AI6" s="12" t="s">
        <v>40</v>
      </c>
      <c r="AJ6" s="12"/>
      <c r="AK6" s="12"/>
      <c r="AL6" s="13" t="s">
        <v>34</v>
      </c>
      <c r="AM6" s="13" t="s">
        <v>35</v>
      </c>
      <c r="AN6" s="13"/>
      <c r="AO6" s="13"/>
      <c r="AP6" s="13"/>
      <c r="AQ6" s="14" t="s">
        <v>41</v>
      </c>
      <c r="AR6" s="14" t="s">
        <v>42</v>
      </c>
      <c r="AS6" s="14"/>
      <c r="AT6" s="14"/>
      <c r="AU6" s="15" t="s">
        <v>43</v>
      </c>
      <c r="AV6" s="15" t="s">
        <v>44</v>
      </c>
      <c r="AW6" s="16" t="s">
        <v>43</v>
      </c>
      <c r="AX6" s="16" t="s">
        <v>42</v>
      </c>
      <c r="AY6" s="16"/>
      <c r="AZ6" s="8" t="s">
        <v>28</v>
      </c>
      <c r="BA6" s="8" t="s">
        <v>45</v>
      </c>
      <c r="BB6" s="8"/>
      <c r="BC6" s="8"/>
      <c r="BD6" s="8"/>
      <c r="BE6" s="8"/>
      <c r="BF6" s="9"/>
      <c r="BG6" s="9"/>
      <c r="BH6" s="9"/>
      <c r="BI6" s="9"/>
      <c r="BJ6" s="10"/>
      <c r="BK6" s="10"/>
      <c r="BL6" s="10"/>
      <c r="BM6" s="10"/>
    </row>
    <row r="7" spans="1:65" s="19" customFormat="1" ht="39.950000000000003" customHeight="1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</row>
    <row r="8" spans="1:65" s="19" customFormat="1" ht="39.950000000000003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</row>
    <row r="9" spans="1:65" s="19" customFormat="1" ht="39.950000000000003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</row>
    <row r="10" spans="1:65" s="19" customFormat="1" ht="39.950000000000003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</row>
    <row r="11" spans="1:65" s="19" customFormat="1" ht="39.950000000000003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</row>
    <row r="12" spans="1:65" s="19" customFormat="1" ht="39.950000000000003" customHeigh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</row>
    <row r="13" spans="1:65" s="19" customFormat="1" ht="39.950000000000003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</row>
    <row r="14" spans="1:65" s="19" customFormat="1" ht="39.950000000000003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</row>
    <row r="15" spans="1:65" s="19" customFormat="1" ht="39.950000000000003" customHeight="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</row>
    <row r="16" spans="1:65" s="19" customFormat="1" ht="39.950000000000003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</row>
    <row r="17" spans="1:65" s="19" customFormat="1" ht="39.950000000000003" customHeight="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</row>
    <row r="18" spans="1:65" s="19" customFormat="1" ht="39.950000000000003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</row>
    <row r="19" spans="1:65" s="19" customFormat="1" ht="39.950000000000003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</row>
    <row r="20" spans="1:65" s="19" customFormat="1" ht="39.950000000000003" customHeight="1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</row>
    <row r="21" spans="1:65" s="19" customFormat="1" ht="39.950000000000003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</row>
    <row r="22" spans="1:65" s="19" customFormat="1" ht="39.950000000000003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</row>
  </sheetData>
  <mergeCells count="14">
    <mergeCell ref="AZ5:BE5"/>
    <mergeCell ref="BF5:BI5"/>
    <mergeCell ref="BJ5:BM5"/>
    <mergeCell ref="B2:G4"/>
    <mergeCell ref="N5:T5"/>
    <mergeCell ref="B5:M5"/>
    <mergeCell ref="U5:X5"/>
    <mergeCell ref="Y5:AB5"/>
    <mergeCell ref="AC5:AH5"/>
    <mergeCell ref="AI5:AK5"/>
    <mergeCell ref="AL5:AP5"/>
    <mergeCell ref="AQ5:AT5"/>
    <mergeCell ref="AU5:AV5"/>
    <mergeCell ref="AW5:AY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sqref="A1:F53"/>
    </sheetView>
  </sheetViews>
  <sheetFormatPr defaultRowHeight="14.25"/>
  <cols>
    <col min="1" max="1" width="22" customWidth="1"/>
    <col min="2" max="2" width="24" customWidth="1"/>
    <col min="3" max="3" width="58" customWidth="1"/>
    <col min="4" max="4" width="28" customWidth="1"/>
    <col min="5" max="5" width="18" customWidth="1"/>
    <col min="6" max="6" width="32" customWidth="1"/>
  </cols>
  <sheetData>
    <row r="1" spans="1:6" ht="27.95" customHeight="1">
      <c r="A1" s="31" t="s">
        <v>46</v>
      </c>
      <c r="B1" s="31" t="s">
        <v>47</v>
      </c>
      <c r="C1" s="31" t="s">
        <v>48</v>
      </c>
      <c r="D1" s="31" t="s">
        <v>49</v>
      </c>
      <c r="E1" s="31" t="s">
        <v>50</v>
      </c>
      <c r="F1" s="31" t="s">
        <v>51</v>
      </c>
    </row>
    <row r="2" spans="1:6" ht="28.5">
      <c r="A2" s="32" t="s">
        <v>15</v>
      </c>
      <c r="B2" s="32" t="s">
        <v>52</v>
      </c>
      <c r="C2" s="32" t="s">
        <v>53</v>
      </c>
      <c r="D2" s="32" t="s">
        <v>54</v>
      </c>
      <c r="E2" s="32" t="s">
        <v>55</v>
      </c>
      <c r="F2" s="32" t="s">
        <v>56</v>
      </c>
    </row>
    <row r="3" spans="1:6">
      <c r="A3" s="32" t="s">
        <v>16</v>
      </c>
      <c r="B3" s="32" t="s">
        <v>57</v>
      </c>
      <c r="C3" s="32" t="s">
        <v>58</v>
      </c>
      <c r="D3" s="32" t="s">
        <v>54</v>
      </c>
      <c r="E3" s="32" t="s">
        <v>55</v>
      </c>
      <c r="F3" s="32" t="s">
        <v>56</v>
      </c>
    </row>
    <row r="4" spans="1:6">
      <c r="A4" s="32" t="s">
        <v>17</v>
      </c>
      <c r="B4" s="32" t="s">
        <v>59</v>
      </c>
      <c r="C4" s="32" t="s">
        <v>60</v>
      </c>
      <c r="D4" s="32" t="s">
        <v>54</v>
      </c>
      <c r="E4" s="32" t="s">
        <v>55</v>
      </c>
      <c r="F4" s="32" t="s">
        <v>56</v>
      </c>
    </row>
    <row r="5" spans="1:6">
      <c r="A5" s="32" t="s">
        <v>18</v>
      </c>
      <c r="B5" s="32" t="s">
        <v>61</v>
      </c>
      <c r="C5" s="32" t="s">
        <v>62</v>
      </c>
      <c r="D5" s="32" t="s">
        <v>54</v>
      </c>
      <c r="E5" s="32" t="s">
        <v>55</v>
      </c>
      <c r="F5" s="32" t="s">
        <v>56</v>
      </c>
    </row>
    <row r="6" spans="1:6">
      <c r="A6" s="32" t="s">
        <v>19</v>
      </c>
      <c r="B6" s="32" t="s">
        <v>63</v>
      </c>
      <c r="C6" s="32" t="s">
        <v>64</v>
      </c>
      <c r="D6" s="32" t="s">
        <v>54</v>
      </c>
      <c r="E6" s="32" t="s">
        <v>55</v>
      </c>
      <c r="F6" s="32" t="s">
        <v>56</v>
      </c>
    </row>
    <row r="7" spans="1:6">
      <c r="A7" s="32" t="s">
        <v>20</v>
      </c>
      <c r="B7" s="32" t="s">
        <v>65</v>
      </c>
      <c r="C7" s="32" t="s">
        <v>66</v>
      </c>
      <c r="D7" s="32" t="s">
        <v>54</v>
      </c>
      <c r="E7" s="32" t="s">
        <v>55</v>
      </c>
      <c r="F7" s="32" t="s">
        <v>56</v>
      </c>
    </row>
    <row r="8" spans="1:6">
      <c r="A8" s="32" t="s">
        <v>21</v>
      </c>
      <c r="B8" s="32" t="s">
        <v>67</v>
      </c>
      <c r="C8" s="32" t="s">
        <v>68</v>
      </c>
      <c r="D8" s="32" t="s">
        <v>54</v>
      </c>
      <c r="E8" s="32" t="s">
        <v>55</v>
      </c>
      <c r="F8" s="32" t="s">
        <v>56</v>
      </c>
    </row>
    <row r="9" spans="1:6">
      <c r="A9" s="32" t="s">
        <v>22</v>
      </c>
      <c r="B9" s="32" t="s">
        <v>69</v>
      </c>
      <c r="C9" s="32" t="s">
        <v>70</v>
      </c>
      <c r="D9" s="32" t="s">
        <v>54</v>
      </c>
      <c r="E9" s="32" t="s">
        <v>55</v>
      </c>
      <c r="F9" s="32" t="s">
        <v>56</v>
      </c>
    </row>
    <row r="10" spans="1:6" ht="28.5">
      <c r="A10" s="32" t="s">
        <v>23</v>
      </c>
      <c r="B10" s="32" t="s">
        <v>71</v>
      </c>
      <c r="C10" s="32" t="s">
        <v>72</v>
      </c>
      <c r="D10" s="32" t="s">
        <v>54</v>
      </c>
      <c r="E10" s="32" t="s">
        <v>55</v>
      </c>
      <c r="F10" s="32" t="s">
        <v>56</v>
      </c>
    </row>
    <row r="11" spans="1:6">
      <c r="A11" s="32" t="s">
        <v>24</v>
      </c>
      <c r="B11" s="32" t="s">
        <v>73</v>
      </c>
      <c r="C11" s="32" t="s">
        <v>74</v>
      </c>
      <c r="D11" s="32" t="s">
        <v>54</v>
      </c>
      <c r="E11" s="32" t="s">
        <v>55</v>
      </c>
      <c r="F11" s="32" t="s">
        <v>56</v>
      </c>
    </row>
    <row r="12" spans="1:6">
      <c r="A12" s="32" t="s">
        <v>25</v>
      </c>
      <c r="B12" s="32" t="s">
        <v>75</v>
      </c>
      <c r="C12" s="32" t="s">
        <v>76</v>
      </c>
      <c r="D12" s="32" t="s">
        <v>54</v>
      </c>
      <c r="E12" s="32" t="s">
        <v>55</v>
      </c>
      <c r="F12" s="32" t="s">
        <v>56</v>
      </c>
    </row>
    <row r="13" spans="1:6">
      <c r="A13" s="32" t="s">
        <v>26</v>
      </c>
      <c r="B13" s="32" t="s">
        <v>77</v>
      </c>
      <c r="C13" s="32" t="s">
        <v>78</v>
      </c>
      <c r="D13" s="32" t="s">
        <v>54</v>
      </c>
      <c r="E13" s="32" t="s">
        <v>55</v>
      </c>
      <c r="F13" s="32" t="s">
        <v>56</v>
      </c>
    </row>
    <row r="14" spans="1:6" ht="28.5">
      <c r="A14" s="32" t="s">
        <v>79</v>
      </c>
      <c r="B14" s="32" t="s">
        <v>52</v>
      </c>
      <c r="C14" s="32" t="s">
        <v>80</v>
      </c>
      <c r="D14" s="32" t="s">
        <v>81</v>
      </c>
      <c r="E14" s="32" t="s">
        <v>82</v>
      </c>
      <c r="F14" s="32" t="s">
        <v>83</v>
      </c>
    </row>
    <row r="15" spans="1:6" ht="28.5">
      <c r="A15" s="32" t="s">
        <v>84</v>
      </c>
      <c r="B15" s="32" t="s">
        <v>52</v>
      </c>
      <c r="C15" s="32" t="s">
        <v>85</v>
      </c>
      <c r="D15" s="32" t="s">
        <v>86</v>
      </c>
      <c r="E15" s="32" t="s">
        <v>55</v>
      </c>
      <c r="F15" s="32" t="s">
        <v>87</v>
      </c>
    </row>
    <row r="16" spans="1:6" ht="28.5">
      <c r="A16" s="32" t="s">
        <v>88</v>
      </c>
      <c r="B16" s="32" t="s">
        <v>52</v>
      </c>
      <c r="C16" s="32" t="s">
        <v>89</v>
      </c>
      <c r="D16" s="32" t="s">
        <v>90</v>
      </c>
      <c r="E16" s="32" t="s">
        <v>91</v>
      </c>
      <c r="F16" s="32" t="s">
        <v>92</v>
      </c>
    </row>
    <row r="17" spans="1:6" ht="28.5">
      <c r="A17" s="32" t="s">
        <v>93</v>
      </c>
      <c r="B17" s="32" t="s">
        <v>52</v>
      </c>
      <c r="C17" s="32" t="s">
        <v>94</v>
      </c>
      <c r="D17" s="32" t="s">
        <v>95</v>
      </c>
      <c r="E17" s="32" t="s">
        <v>91</v>
      </c>
      <c r="F17" s="32" t="s">
        <v>96</v>
      </c>
    </row>
    <row r="18" spans="1:6">
      <c r="A18" s="32" t="s">
        <v>97</v>
      </c>
      <c r="B18" s="32" t="s">
        <v>52</v>
      </c>
      <c r="C18" s="32" t="s">
        <v>98</v>
      </c>
      <c r="D18" s="32" t="s">
        <v>95</v>
      </c>
      <c r="E18" s="32" t="s">
        <v>82</v>
      </c>
      <c r="F18" s="32" t="s">
        <v>99</v>
      </c>
    </row>
    <row r="19" spans="1:6" ht="28.5">
      <c r="A19" s="32" t="s">
        <v>100</v>
      </c>
      <c r="B19" s="32" t="s">
        <v>52</v>
      </c>
      <c r="C19" s="32" t="s">
        <v>101</v>
      </c>
      <c r="D19" s="32" t="s">
        <v>102</v>
      </c>
      <c r="E19" s="32" t="s">
        <v>103</v>
      </c>
      <c r="F19" s="32" t="s">
        <v>104</v>
      </c>
    </row>
    <row r="20" spans="1:6" ht="28.5">
      <c r="A20" s="32" t="s">
        <v>105</v>
      </c>
      <c r="B20" s="32" t="s">
        <v>52</v>
      </c>
      <c r="C20" s="32" t="s">
        <v>106</v>
      </c>
      <c r="D20" s="32" t="s">
        <v>107</v>
      </c>
      <c r="E20" s="32" t="s">
        <v>55</v>
      </c>
      <c r="F20" s="32" t="s">
        <v>108</v>
      </c>
    </row>
    <row r="21" spans="1:6" ht="28.5">
      <c r="A21" s="32" t="s">
        <v>109</v>
      </c>
      <c r="B21" s="32" t="s">
        <v>52</v>
      </c>
      <c r="C21" s="32" t="s">
        <v>110</v>
      </c>
      <c r="D21" s="32" t="s">
        <v>95</v>
      </c>
      <c r="E21" s="32" t="s">
        <v>82</v>
      </c>
      <c r="F21" s="32" t="s">
        <v>111</v>
      </c>
    </row>
    <row r="22" spans="1:6" ht="28.5">
      <c r="A22" s="32" t="s">
        <v>112</v>
      </c>
      <c r="B22" s="32" t="s">
        <v>52</v>
      </c>
      <c r="C22" s="32" t="s">
        <v>113</v>
      </c>
      <c r="D22" s="32" t="s">
        <v>114</v>
      </c>
      <c r="E22" s="32" t="s">
        <v>55</v>
      </c>
      <c r="F22" s="32" t="s">
        <v>115</v>
      </c>
    </row>
    <row r="23" spans="1:6" ht="28.5">
      <c r="A23" s="32" t="s">
        <v>116</v>
      </c>
      <c r="B23" s="32" t="s">
        <v>117</v>
      </c>
      <c r="C23" s="32" t="s">
        <v>118</v>
      </c>
      <c r="D23" s="32" t="s">
        <v>119</v>
      </c>
      <c r="E23" s="32" t="s">
        <v>120</v>
      </c>
      <c r="F23" s="32" t="s">
        <v>121</v>
      </c>
    </row>
    <row r="24" spans="1:6">
      <c r="A24" s="32" t="s">
        <v>122</v>
      </c>
      <c r="B24" s="32" t="s">
        <v>117</v>
      </c>
      <c r="C24" s="32" t="s">
        <v>123</v>
      </c>
      <c r="D24" s="32" t="s">
        <v>124</v>
      </c>
      <c r="E24" s="32" t="s">
        <v>120</v>
      </c>
      <c r="F24" s="32" t="s">
        <v>125</v>
      </c>
    </row>
    <row r="25" spans="1:6" ht="28.5">
      <c r="A25" s="32" t="s">
        <v>126</v>
      </c>
      <c r="B25" s="32" t="s">
        <v>117</v>
      </c>
      <c r="C25" s="32" t="s">
        <v>127</v>
      </c>
      <c r="D25" s="32" t="s">
        <v>128</v>
      </c>
      <c r="E25" s="32" t="s">
        <v>91</v>
      </c>
      <c r="F25" s="32" t="s">
        <v>129</v>
      </c>
    </row>
    <row r="26" spans="1:6" ht="28.5">
      <c r="A26" s="32" t="s">
        <v>130</v>
      </c>
      <c r="B26" s="32" t="s">
        <v>131</v>
      </c>
      <c r="C26" s="32" t="s">
        <v>132</v>
      </c>
      <c r="D26" s="32" t="s">
        <v>133</v>
      </c>
      <c r="E26" s="32" t="s">
        <v>134</v>
      </c>
      <c r="F26" s="32" t="s">
        <v>135</v>
      </c>
    </row>
    <row r="27" spans="1:6">
      <c r="A27" s="32" t="s">
        <v>136</v>
      </c>
      <c r="B27" s="32" t="s">
        <v>137</v>
      </c>
      <c r="C27" s="32" t="s">
        <v>138</v>
      </c>
      <c r="D27" s="32" t="s">
        <v>139</v>
      </c>
      <c r="E27" s="32" t="s">
        <v>55</v>
      </c>
      <c r="F27" s="32" t="s">
        <v>140</v>
      </c>
    </row>
    <row r="28" spans="1:6">
      <c r="A28" s="32" t="s">
        <v>141</v>
      </c>
      <c r="B28" s="32" t="s">
        <v>137</v>
      </c>
      <c r="C28" s="32" t="s">
        <v>142</v>
      </c>
      <c r="D28" s="32" t="s">
        <v>143</v>
      </c>
      <c r="E28" s="32" t="s">
        <v>144</v>
      </c>
      <c r="F28" s="32" t="s">
        <v>145</v>
      </c>
    </row>
    <row r="29" spans="1:6" ht="28.5">
      <c r="A29" s="32" t="s">
        <v>146</v>
      </c>
      <c r="B29" s="32" t="s">
        <v>137</v>
      </c>
      <c r="C29" s="32" t="s">
        <v>147</v>
      </c>
      <c r="D29" s="32" t="s">
        <v>143</v>
      </c>
      <c r="E29" s="32" t="s">
        <v>148</v>
      </c>
      <c r="F29" s="32" t="s">
        <v>149</v>
      </c>
    </row>
    <row r="30" spans="1:6" ht="28.5">
      <c r="A30" s="32" t="s">
        <v>150</v>
      </c>
      <c r="B30" s="32" t="s">
        <v>151</v>
      </c>
      <c r="C30" s="32" t="s">
        <v>152</v>
      </c>
      <c r="D30" s="32" t="s">
        <v>153</v>
      </c>
      <c r="E30" s="32" t="s">
        <v>55</v>
      </c>
      <c r="F30" s="32" t="s">
        <v>154</v>
      </c>
    </row>
    <row r="31" spans="1:6" ht="28.5">
      <c r="A31" s="32" t="s">
        <v>155</v>
      </c>
      <c r="B31" s="32" t="s">
        <v>156</v>
      </c>
      <c r="C31" s="32" t="s">
        <v>157</v>
      </c>
      <c r="D31" s="32" t="s">
        <v>158</v>
      </c>
      <c r="E31" s="32" t="s">
        <v>159</v>
      </c>
      <c r="F31" s="32" t="s">
        <v>160</v>
      </c>
    </row>
    <row r="32" spans="1:6" ht="28.5">
      <c r="A32" s="32" t="s">
        <v>161</v>
      </c>
      <c r="B32" s="32" t="s">
        <v>156</v>
      </c>
      <c r="C32" s="32" t="s">
        <v>162</v>
      </c>
      <c r="D32" s="32" t="s">
        <v>163</v>
      </c>
      <c r="E32" s="32" t="s">
        <v>159</v>
      </c>
      <c r="F32" s="32" t="s">
        <v>164</v>
      </c>
    </row>
    <row r="33" spans="1:6" ht="28.5">
      <c r="A33" s="32" t="s">
        <v>165</v>
      </c>
      <c r="B33" s="32" t="s">
        <v>166</v>
      </c>
      <c r="C33" s="32" t="s">
        <v>167</v>
      </c>
      <c r="D33" s="32" t="s">
        <v>168</v>
      </c>
      <c r="E33" s="32" t="s">
        <v>55</v>
      </c>
      <c r="F33" s="32" t="s">
        <v>169</v>
      </c>
    </row>
    <row r="34" spans="1:6" ht="28.5">
      <c r="A34" s="32" t="s">
        <v>170</v>
      </c>
      <c r="B34" s="32" t="s">
        <v>156</v>
      </c>
      <c r="C34" s="32" t="s">
        <v>171</v>
      </c>
      <c r="D34" s="32" t="s">
        <v>172</v>
      </c>
      <c r="E34" s="32" t="s">
        <v>159</v>
      </c>
      <c r="F34" s="32" t="s">
        <v>173</v>
      </c>
    </row>
    <row r="35" spans="1:6">
      <c r="A35" s="32" t="s">
        <v>174</v>
      </c>
      <c r="B35" s="32" t="s">
        <v>156</v>
      </c>
      <c r="C35" s="32" t="s">
        <v>175</v>
      </c>
      <c r="D35" s="32" t="s">
        <v>172</v>
      </c>
      <c r="E35" s="32" t="s">
        <v>176</v>
      </c>
      <c r="F35" s="32" t="s">
        <v>177</v>
      </c>
    </row>
    <row r="36" spans="1:6">
      <c r="A36" s="32" t="s">
        <v>178</v>
      </c>
      <c r="B36" s="32" t="s">
        <v>156</v>
      </c>
      <c r="C36" s="32" t="s">
        <v>179</v>
      </c>
      <c r="D36" s="32" t="s">
        <v>180</v>
      </c>
      <c r="E36" s="32" t="s">
        <v>181</v>
      </c>
      <c r="F36" s="32" t="s">
        <v>182</v>
      </c>
    </row>
    <row r="37" spans="1:6" ht="28.5">
      <c r="A37" s="32" t="s">
        <v>183</v>
      </c>
      <c r="B37" s="32" t="s">
        <v>184</v>
      </c>
      <c r="C37" s="32" t="s">
        <v>185</v>
      </c>
      <c r="D37" s="32" t="s">
        <v>34</v>
      </c>
      <c r="E37" s="32" t="s">
        <v>91</v>
      </c>
      <c r="F37" s="32" t="s">
        <v>186</v>
      </c>
    </row>
    <row r="38" spans="1:6" ht="28.5">
      <c r="A38" s="32" t="s">
        <v>187</v>
      </c>
      <c r="B38" s="32" t="s">
        <v>188</v>
      </c>
      <c r="C38" s="32" t="s">
        <v>189</v>
      </c>
      <c r="D38" s="32" t="s">
        <v>190</v>
      </c>
      <c r="E38" s="32" t="s">
        <v>191</v>
      </c>
      <c r="F38" s="32" t="s">
        <v>192</v>
      </c>
    </row>
    <row r="39" spans="1:6">
      <c r="A39" s="32" t="s">
        <v>193</v>
      </c>
      <c r="B39" s="32" t="s">
        <v>188</v>
      </c>
      <c r="C39" s="32" t="s">
        <v>194</v>
      </c>
      <c r="D39" s="32" t="s">
        <v>190</v>
      </c>
      <c r="E39" s="32" t="s">
        <v>91</v>
      </c>
      <c r="F39" s="32" t="s">
        <v>192</v>
      </c>
    </row>
    <row r="40" spans="1:6">
      <c r="A40" s="32" t="s">
        <v>195</v>
      </c>
      <c r="B40" s="32" t="s">
        <v>196</v>
      </c>
      <c r="C40" s="32" t="s">
        <v>197</v>
      </c>
      <c r="D40" s="32" t="s">
        <v>198</v>
      </c>
      <c r="E40" s="32" t="s">
        <v>91</v>
      </c>
      <c r="F40" s="32" t="s">
        <v>199</v>
      </c>
    </row>
    <row r="41" spans="1:6">
      <c r="A41" s="32" t="s">
        <v>200</v>
      </c>
      <c r="B41" s="32" t="s">
        <v>201</v>
      </c>
      <c r="C41" s="32" t="s">
        <v>202</v>
      </c>
      <c r="D41" s="32" t="s">
        <v>203</v>
      </c>
      <c r="E41" s="32" t="s">
        <v>91</v>
      </c>
      <c r="F41" s="32" t="s">
        <v>204</v>
      </c>
    </row>
    <row r="42" spans="1:6">
      <c r="A42" s="32" t="s">
        <v>205</v>
      </c>
      <c r="B42" s="32" t="s">
        <v>206</v>
      </c>
      <c r="C42" s="32" t="s">
        <v>207</v>
      </c>
      <c r="D42" s="32" t="s">
        <v>43</v>
      </c>
      <c r="E42" s="32" t="s">
        <v>55</v>
      </c>
      <c r="F42" s="32" t="s">
        <v>208</v>
      </c>
    </row>
    <row r="43" spans="1:6">
      <c r="A43" s="32" t="s">
        <v>209</v>
      </c>
      <c r="B43" s="32" t="s">
        <v>206</v>
      </c>
      <c r="C43" s="32" t="s">
        <v>210</v>
      </c>
      <c r="D43" s="32" t="s">
        <v>211</v>
      </c>
      <c r="E43" s="32" t="s">
        <v>82</v>
      </c>
      <c r="F43" s="32" t="s">
        <v>212</v>
      </c>
    </row>
    <row r="44" spans="1:6" ht="28.5">
      <c r="A44" s="32" t="s">
        <v>213</v>
      </c>
      <c r="B44" s="32" t="s">
        <v>214</v>
      </c>
      <c r="C44" s="32" t="s">
        <v>215</v>
      </c>
      <c r="D44" s="32" t="s">
        <v>216</v>
      </c>
      <c r="E44" s="32" t="s">
        <v>103</v>
      </c>
      <c r="F44" s="32" t="s">
        <v>217</v>
      </c>
    </row>
    <row r="45" spans="1:6" ht="28.5">
      <c r="A45" s="32" t="s">
        <v>218</v>
      </c>
      <c r="B45" s="32" t="s">
        <v>219</v>
      </c>
      <c r="C45" s="32" t="s">
        <v>220</v>
      </c>
      <c r="D45" s="32" t="s">
        <v>198</v>
      </c>
      <c r="E45" s="32" t="s">
        <v>91</v>
      </c>
      <c r="F45" s="32" t="s">
        <v>221</v>
      </c>
    </row>
    <row r="46" spans="1:6" ht="28.5">
      <c r="A46" s="32" t="s">
        <v>222</v>
      </c>
      <c r="B46" s="32" t="s">
        <v>223</v>
      </c>
      <c r="C46" s="32" t="s">
        <v>224</v>
      </c>
      <c r="D46" s="32" t="s">
        <v>225</v>
      </c>
      <c r="E46" s="32" t="s">
        <v>91</v>
      </c>
      <c r="F46" s="32" t="s">
        <v>226</v>
      </c>
    </row>
    <row r="47" spans="1:6">
      <c r="A47" s="32" t="s">
        <v>227</v>
      </c>
      <c r="B47" s="32" t="s">
        <v>223</v>
      </c>
      <c r="C47" s="32" t="s">
        <v>228</v>
      </c>
      <c r="D47" s="32" t="s">
        <v>229</v>
      </c>
      <c r="E47" s="32" t="s">
        <v>91</v>
      </c>
      <c r="F47" s="32" t="s">
        <v>230</v>
      </c>
    </row>
    <row r="48" spans="1:6" ht="28.5">
      <c r="A48" s="32" t="s">
        <v>231</v>
      </c>
      <c r="B48" s="32" t="s">
        <v>232</v>
      </c>
      <c r="C48" s="32" t="s">
        <v>233</v>
      </c>
      <c r="D48" s="32" t="s">
        <v>198</v>
      </c>
      <c r="E48" s="32" t="s">
        <v>91</v>
      </c>
      <c r="F48" s="32" t="s">
        <v>234</v>
      </c>
    </row>
    <row r="49" spans="1:6">
      <c r="A49" s="32" t="s">
        <v>235</v>
      </c>
      <c r="B49" s="32" t="s">
        <v>236</v>
      </c>
      <c r="C49" s="32" t="s">
        <v>237</v>
      </c>
      <c r="D49" s="32" t="s">
        <v>238</v>
      </c>
      <c r="E49" s="32" t="s">
        <v>239</v>
      </c>
      <c r="F49" s="32" t="s">
        <v>240</v>
      </c>
    </row>
    <row r="50" spans="1:6">
      <c r="A50" s="32" t="s">
        <v>241</v>
      </c>
      <c r="B50" s="32" t="s">
        <v>241</v>
      </c>
      <c r="C50" s="32" t="s">
        <v>242</v>
      </c>
      <c r="D50" s="32" t="s">
        <v>45</v>
      </c>
      <c r="E50" s="32" t="s">
        <v>243</v>
      </c>
      <c r="F50" s="32" t="s">
        <v>244</v>
      </c>
    </row>
    <row r="51" spans="1:6">
      <c r="A51" s="32" t="s">
        <v>245</v>
      </c>
      <c r="B51" s="32" t="s">
        <v>245</v>
      </c>
      <c r="C51" s="32" t="s">
        <v>246</v>
      </c>
      <c r="D51" s="32" t="s">
        <v>28</v>
      </c>
      <c r="E51" s="32" t="s">
        <v>91</v>
      </c>
      <c r="F51" s="32" t="s">
        <v>247</v>
      </c>
    </row>
    <row r="52" spans="1:6">
      <c r="A52" s="32" t="s">
        <v>248</v>
      </c>
      <c r="B52" s="32" t="s">
        <v>249</v>
      </c>
      <c r="C52" s="32" t="s">
        <v>250</v>
      </c>
      <c r="D52" s="32" t="s">
        <v>251</v>
      </c>
      <c r="E52" s="32" t="s">
        <v>252</v>
      </c>
      <c r="F52" s="32" t="s">
        <v>253</v>
      </c>
    </row>
    <row r="53" spans="1:6" ht="28.5">
      <c r="A53" s="32" t="s">
        <v>254</v>
      </c>
      <c r="B53" s="32" t="s">
        <v>254</v>
      </c>
      <c r="C53" s="32" t="s">
        <v>255</v>
      </c>
      <c r="D53" s="32" t="s">
        <v>256</v>
      </c>
      <c r="E53" s="32" t="s">
        <v>257</v>
      </c>
      <c r="F53" s="32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A14" sqref="A14"/>
    </sheetView>
  </sheetViews>
  <sheetFormatPr defaultRowHeight="14.25"/>
  <cols>
    <col min="1" max="1" width="28" customWidth="1"/>
    <col min="2" max="2" width="18" customWidth="1"/>
    <col min="4" max="4" width="30" customWidth="1"/>
    <col min="5" max="6" width="16" customWidth="1"/>
  </cols>
  <sheetData>
    <row r="1" spans="1:6" ht="30" customHeight="1">
      <c r="A1" s="33" t="s">
        <v>259</v>
      </c>
      <c r="B1" s="34"/>
      <c r="C1" s="34"/>
      <c r="D1" s="34"/>
      <c r="E1" s="34"/>
      <c r="F1" s="34"/>
    </row>
    <row r="3" spans="1:6" ht="15">
      <c r="A3" s="30" t="s">
        <v>260</v>
      </c>
      <c r="B3" s="30" t="s">
        <v>261</v>
      </c>
      <c r="D3" s="30" t="s">
        <v>14</v>
      </c>
      <c r="E3" s="30" t="s">
        <v>262</v>
      </c>
      <c r="F3" s="30" t="s">
        <v>263</v>
      </c>
    </row>
    <row r="4" spans="1:6" ht="15">
      <c r="A4" s="1" t="s">
        <v>264</v>
      </c>
      <c r="B4" s="4">
        <f>COUNTA('Company Task Register'!A7:A22)</f>
        <v>0</v>
      </c>
      <c r="D4" s="2">
        <f>'Company Task Register'!A7</f>
        <v>0</v>
      </c>
      <c r="E4" s="2">
        <f>COUNTA('Company Task Register'!B7:AY7)-COUNTIF('Company Task Register'!B7:AY7,"N/A")</f>
        <v>0</v>
      </c>
      <c r="F4" s="2">
        <f>COUNTBLANK('Company Task Register'!B7:AY7)</f>
        <v>50</v>
      </c>
    </row>
    <row r="5" spans="1:6" ht="15">
      <c r="A5" s="1" t="s">
        <v>265</v>
      </c>
      <c r="B5" s="4">
        <v>52</v>
      </c>
      <c r="D5" s="2">
        <f>'Company Task Register'!A8</f>
        <v>0</v>
      </c>
      <c r="E5" s="2">
        <f>COUNTA('Company Task Register'!B8:AY8)-COUNTIF('Company Task Register'!B8:AY8,"N/A")</f>
        <v>0</v>
      </c>
      <c r="F5" s="2">
        <f>COUNTBLANK('Company Task Register'!B8:AY8)</f>
        <v>50</v>
      </c>
    </row>
    <row r="6" spans="1:6" ht="29.25">
      <c r="A6" s="1" t="s">
        <v>266</v>
      </c>
      <c r="B6" s="4">
        <f>B4*B5</f>
        <v>0</v>
      </c>
      <c r="D6" s="2">
        <f>'Company Task Register'!A9</f>
        <v>0</v>
      </c>
      <c r="E6" s="2">
        <f>COUNTA('Company Task Register'!B9:AY9)-COUNTIF('Company Task Register'!B9:AY9,"N/A")</f>
        <v>0</v>
      </c>
      <c r="F6" s="2">
        <f>COUNTBLANK('Company Task Register'!B9:AY9)</f>
        <v>50</v>
      </c>
    </row>
    <row r="7" spans="1:6" ht="29.25">
      <c r="A7" s="1" t="s">
        <v>267</v>
      </c>
      <c r="B7" s="4">
        <f>COUNTA('Company Task Register'!B7:AY22)-COUNTIF('Company Task Register'!B7:AY22,"N/A")</f>
        <v>0</v>
      </c>
      <c r="D7" s="2">
        <f>'Company Task Register'!A10</f>
        <v>0</v>
      </c>
      <c r="E7" s="2">
        <f>COUNTA('Company Task Register'!B10:AY10)-COUNTIF('Company Task Register'!B10:AY10,"N/A")</f>
        <v>0</v>
      </c>
      <c r="F7" s="2">
        <f>COUNTBLANK('Company Task Register'!B10:AY10)</f>
        <v>50</v>
      </c>
    </row>
    <row r="8" spans="1:6" ht="29.25">
      <c r="A8" s="1" t="s">
        <v>268</v>
      </c>
      <c r="B8" s="4">
        <f>COUNTIF('Company Task Register'!B7:AY22,"N/A")</f>
        <v>0</v>
      </c>
      <c r="D8" s="2">
        <f>'Company Task Register'!A11</f>
        <v>0</v>
      </c>
      <c r="E8" s="2">
        <f>COUNTA('Company Task Register'!B11:AY11)-COUNTIF('Company Task Register'!B11:AY11,"N/A")</f>
        <v>0</v>
      </c>
      <c r="F8" s="2">
        <f>COUNTBLANK('Company Task Register'!B11:AY11)</f>
        <v>50</v>
      </c>
    </row>
    <row r="9" spans="1:6" ht="29.25">
      <c r="A9" s="1" t="s">
        <v>269</v>
      </c>
      <c r="B9" s="4">
        <f>B6-B7-B8</f>
        <v>0</v>
      </c>
      <c r="D9" s="2">
        <f>'Company Task Register'!A12</f>
        <v>0</v>
      </c>
      <c r="E9" s="2">
        <f>COUNTA('Company Task Register'!B12:AY12)-COUNTIF('Company Task Register'!B12:AY12,"N/A")</f>
        <v>0</v>
      </c>
      <c r="F9" s="2">
        <f>COUNTBLANK('Company Task Register'!B12:AY12)</f>
        <v>50</v>
      </c>
    </row>
    <row r="10" spans="1:6" ht="15">
      <c r="A10" s="1" t="s">
        <v>270</v>
      </c>
      <c r="B10" s="5">
        <f>IF(B6=0,0,B7/B6)</f>
        <v>0</v>
      </c>
      <c r="D10" s="2">
        <f>'Company Task Register'!A13</f>
        <v>0</v>
      </c>
      <c r="E10" s="2">
        <f>COUNTA('Company Task Register'!B13:AY13)-COUNTIF('Company Task Register'!B13:AY13,"N/A")</f>
        <v>0</v>
      </c>
      <c r="F10" s="2">
        <f>COUNTBLANK('Company Task Register'!B13:AY13)</f>
        <v>50</v>
      </c>
    </row>
    <row r="11" spans="1:6">
      <c r="D11" s="2">
        <f>'Company Task Register'!A14</f>
        <v>0</v>
      </c>
      <c r="E11" s="2">
        <f>COUNTA('Company Task Register'!B14:AY14)-COUNTIF('Company Task Register'!B14:AY14,"N/A")</f>
        <v>0</v>
      </c>
      <c r="F11" s="2">
        <f>COUNTBLANK('Company Task Register'!B14:AY14)</f>
        <v>50</v>
      </c>
    </row>
    <row r="12" spans="1:6">
      <c r="D12" s="2">
        <f>'Company Task Register'!A15</f>
        <v>0</v>
      </c>
      <c r="E12" s="2">
        <f>COUNTA('Company Task Register'!B15:AY15)-COUNTIF('Company Task Register'!B15:AY15,"N/A")</f>
        <v>0</v>
      </c>
      <c r="F12" s="2">
        <f>COUNTBLANK('Company Task Register'!B15:AY15)</f>
        <v>50</v>
      </c>
    </row>
    <row r="13" spans="1:6">
      <c r="D13" s="2">
        <f>'Company Task Register'!A16</f>
        <v>0</v>
      </c>
      <c r="E13" s="2">
        <f>COUNTA('Company Task Register'!B16:AY16)-COUNTIF('Company Task Register'!B16:AY16,"N/A")</f>
        <v>0</v>
      </c>
      <c r="F13" s="2">
        <f>COUNTBLANK('Company Task Register'!B16:AY16)</f>
        <v>50</v>
      </c>
    </row>
    <row r="14" spans="1:6">
      <c r="D14" s="2">
        <f>'Company Task Register'!A17</f>
        <v>0</v>
      </c>
      <c r="E14" s="2">
        <f>COUNTA('Company Task Register'!B17:AY17)-COUNTIF('Company Task Register'!B17:AY17,"N/A")</f>
        <v>0</v>
      </c>
      <c r="F14" s="2">
        <f>COUNTBLANK('Company Task Register'!B17:AY17)</f>
        <v>50</v>
      </c>
    </row>
    <row r="15" spans="1:6">
      <c r="D15" s="2">
        <f>'Company Task Register'!A18</f>
        <v>0</v>
      </c>
      <c r="E15" s="2">
        <f>COUNTA('Company Task Register'!B18:AY18)-COUNTIF('Company Task Register'!B18:AY18,"N/A")</f>
        <v>0</v>
      </c>
      <c r="F15" s="2">
        <f>COUNTBLANK('Company Task Register'!B18:AY18)</f>
        <v>50</v>
      </c>
    </row>
    <row r="16" spans="1:6">
      <c r="D16" s="2">
        <f>'Company Task Register'!A19</f>
        <v>0</v>
      </c>
      <c r="E16" s="2">
        <f>COUNTA('Company Task Register'!B19:AY19)-COUNTIF('Company Task Register'!B19:AY19,"N/A")</f>
        <v>0</v>
      </c>
      <c r="F16" s="2">
        <f>COUNTBLANK('Company Task Register'!B19:AY19)</f>
        <v>50</v>
      </c>
    </row>
    <row r="17" spans="4:6">
      <c r="D17" s="2">
        <f>'Company Task Register'!A20</f>
        <v>0</v>
      </c>
      <c r="E17" s="2">
        <f>COUNTA('Company Task Register'!B20:AY20)-COUNTIF('Company Task Register'!B20:AY20,"N/A")</f>
        <v>0</v>
      </c>
      <c r="F17" s="2">
        <f>COUNTBLANK('Company Task Register'!B20:AY20)</f>
        <v>50</v>
      </c>
    </row>
    <row r="18" spans="4:6">
      <c r="D18" s="2">
        <f>'Company Task Register'!A21</f>
        <v>0</v>
      </c>
      <c r="E18" s="2">
        <f>COUNTA('Company Task Register'!B21:AY21)-COUNTIF('Company Task Register'!B21:AY21,"N/A")</f>
        <v>0</v>
      </c>
      <c r="F18" s="2">
        <f>COUNTBLANK('Company Task Register'!B21:AY21)</f>
        <v>50</v>
      </c>
    </row>
    <row r="19" spans="4:6">
      <c r="D19" s="2">
        <f>'Company Task Register'!A22</f>
        <v>0</v>
      </c>
      <c r="E19" s="2">
        <f>COUNTA('Company Task Register'!B22:AY22)-COUNTIF('Company Task Register'!B22:AY22,"N/A")</f>
        <v>0</v>
      </c>
      <c r="F19" s="2">
        <f>COUNTBLANK('Company Task Register'!B22:AY22)</f>
        <v>50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sqref="A1:B1"/>
    </sheetView>
  </sheetViews>
  <sheetFormatPr defaultRowHeight="14.25"/>
  <cols>
    <col min="1" max="1" width="24" customWidth="1"/>
    <col min="2" max="2" width="90" customWidth="1"/>
  </cols>
  <sheetData>
    <row r="1" spans="1:2" ht="15">
      <c r="A1" s="30" t="s">
        <v>271</v>
      </c>
      <c r="B1" s="30" t="s">
        <v>272</v>
      </c>
    </row>
    <row r="2" spans="1:2" ht="42.75">
      <c r="A2" s="3" t="s">
        <v>273</v>
      </c>
      <c r="B2" s="3" t="s">
        <v>274</v>
      </c>
    </row>
    <row r="3" spans="1:2" ht="28.5">
      <c r="A3" s="3" t="s">
        <v>275</v>
      </c>
      <c r="B3" s="3" t="s">
        <v>276</v>
      </c>
    </row>
    <row r="4" spans="1:2">
      <c r="A4" s="3" t="s">
        <v>277</v>
      </c>
      <c r="B4" s="3" t="s">
        <v>278</v>
      </c>
    </row>
    <row r="5" spans="1:2" ht="28.5">
      <c r="A5" s="3" t="s">
        <v>279</v>
      </c>
      <c r="B5" s="3" t="s">
        <v>280</v>
      </c>
    </row>
    <row r="6" spans="1:2">
      <c r="A6" s="3" t="s">
        <v>281</v>
      </c>
      <c r="B6" s="3" t="s">
        <v>282</v>
      </c>
    </row>
    <row r="7" spans="1:2" ht="28.5">
      <c r="A7" s="3" t="s">
        <v>283</v>
      </c>
      <c r="B7" s="3" t="s">
        <v>284</v>
      </c>
    </row>
    <row r="8" spans="1:2">
      <c r="A8" s="3" t="s">
        <v>285</v>
      </c>
      <c r="B8" s="3" t="s">
        <v>286</v>
      </c>
    </row>
    <row r="9" spans="1:2">
      <c r="A9" s="3" t="s">
        <v>287</v>
      </c>
      <c r="B9" s="3" t="s">
        <v>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e576bc-9f64-4b26-b4d8-385686323516" xsi:nil="true"/>
    <lcf76f155ced4ddcb4097134ff3c332f xmlns="5b4cc71f-4036-4581-85c7-a4481d742e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2FD819-EF60-4B52-A8FD-FC59EF62E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0775C9-35CF-4C4A-AB11-73D04BAFCD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DD18C3-D9BA-4000-9841-1C045347F476}">
  <ds:schemaRefs>
    <ds:schemaRef ds:uri="http://schemas.microsoft.com/office/2006/metadata/properties"/>
    <ds:schemaRef ds:uri="http://schemas.microsoft.com/office/infopath/2007/PartnerControls"/>
    <ds:schemaRef ds:uri="95e576bc-9f64-4b26-b4d8-385686323516"/>
    <ds:schemaRef ds:uri="5b4cc71f-4036-4581-85c7-a4481d742e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Task Register</vt:lpstr>
      <vt:lpstr>Task Definitions</vt:lpstr>
      <vt:lpstr>Dashboard</vt:lpstr>
      <vt:lpstr>Guidance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2026-05-21T19:51:22Z</dcterms:created>
  <dcterms:modified xsi:type="dcterms:W3CDTF">2026-06-22T15:17:42Z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
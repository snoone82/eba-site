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CANT EDIT PROTECTED/"/>
    </mc:Choice>
  </mc:AlternateContent>
  <xr:revisionPtr revIDLastSave="19" documentId="11_37CAB2925FFFB6E34CC546F04525D06BECC4A7C9" xr6:coauthVersionLast="47" xr6:coauthVersionMax="47" xr10:uidLastSave="{CD77ECF2-137D-448B-8233-F0DDD7ED91D7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12" i="1" l="1"/>
  <c r="L118" i="1"/>
  <c r="I118" i="1"/>
  <c r="N118" i="1" s="1"/>
  <c r="L117" i="1"/>
  <c r="I117" i="1"/>
  <c r="N117" i="1" s="1"/>
  <c r="Q117" i="1" s="1"/>
  <c r="L116" i="1"/>
  <c r="I116" i="1"/>
  <c r="N116" i="1" s="1"/>
  <c r="L115" i="1"/>
  <c r="I115" i="1"/>
  <c r="N115" i="1" s="1"/>
  <c r="L114" i="1"/>
  <c r="I114" i="1"/>
  <c r="N114" i="1" s="1"/>
  <c r="L113" i="1"/>
  <c r="I113" i="1"/>
  <c r="N113" i="1" s="1"/>
  <c r="Q113" i="1" s="1"/>
  <c r="L112" i="1"/>
  <c r="I112" i="1"/>
  <c r="N112" i="1" s="1"/>
  <c r="L111" i="1"/>
  <c r="I111" i="1"/>
  <c r="N111" i="1" s="1"/>
  <c r="L110" i="1"/>
  <c r="I110" i="1"/>
  <c r="N110" i="1" s="1"/>
  <c r="L109" i="1"/>
  <c r="I109" i="1"/>
  <c r="N109" i="1" s="1"/>
  <c r="Q109" i="1" s="1"/>
  <c r="L108" i="1"/>
  <c r="I108" i="1"/>
  <c r="N108" i="1" s="1"/>
  <c r="L107" i="1"/>
  <c r="I107" i="1"/>
  <c r="N107" i="1" s="1"/>
  <c r="L106" i="1"/>
  <c r="I106" i="1"/>
  <c r="N106" i="1" s="1"/>
  <c r="L105" i="1"/>
  <c r="I105" i="1"/>
  <c r="N105" i="1" s="1"/>
  <c r="Q105" i="1" s="1"/>
  <c r="L104" i="1"/>
  <c r="I104" i="1"/>
  <c r="N104" i="1" s="1"/>
  <c r="L103" i="1"/>
  <c r="I103" i="1"/>
  <c r="N103" i="1" s="1"/>
  <c r="L102" i="1"/>
  <c r="I102" i="1"/>
  <c r="N102" i="1" s="1"/>
  <c r="L101" i="1"/>
  <c r="I101" i="1"/>
  <c r="N101" i="1" s="1"/>
  <c r="Q101" i="1" s="1"/>
  <c r="L100" i="1"/>
  <c r="I100" i="1"/>
  <c r="N100" i="1" s="1"/>
  <c r="L99" i="1"/>
  <c r="I99" i="1"/>
  <c r="N99" i="1" s="1"/>
  <c r="L98" i="1"/>
  <c r="I98" i="1"/>
  <c r="N98" i="1" s="1"/>
  <c r="L97" i="1"/>
  <c r="I97" i="1"/>
  <c r="N97" i="1" s="1"/>
  <c r="Q97" i="1" s="1"/>
  <c r="L96" i="1"/>
  <c r="I96" i="1"/>
  <c r="N96" i="1" s="1"/>
  <c r="L95" i="1"/>
  <c r="I95" i="1"/>
  <c r="N95" i="1" s="1"/>
  <c r="L94" i="1"/>
  <c r="I94" i="1"/>
  <c r="N94" i="1" s="1"/>
  <c r="L93" i="1"/>
  <c r="I93" i="1"/>
  <c r="N93" i="1" s="1"/>
  <c r="Q93" i="1" s="1"/>
  <c r="L92" i="1"/>
  <c r="I92" i="1"/>
  <c r="N92" i="1" s="1"/>
  <c r="L91" i="1"/>
  <c r="I91" i="1"/>
  <c r="N91" i="1" s="1"/>
  <c r="L90" i="1"/>
  <c r="I90" i="1"/>
  <c r="N90" i="1" s="1"/>
  <c r="L89" i="1"/>
  <c r="I89" i="1"/>
  <c r="N89" i="1" s="1"/>
  <c r="Q89" i="1" s="1"/>
  <c r="L88" i="1"/>
  <c r="I88" i="1"/>
  <c r="N88" i="1" s="1"/>
  <c r="L87" i="1"/>
  <c r="I87" i="1"/>
  <c r="N87" i="1" s="1"/>
  <c r="Q87" i="1" s="1"/>
  <c r="L86" i="1"/>
  <c r="I86" i="1"/>
  <c r="N86" i="1" s="1"/>
  <c r="L85" i="1"/>
  <c r="I85" i="1"/>
  <c r="N85" i="1" s="1"/>
  <c r="Q85" i="1" s="1"/>
  <c r="L84" i="1"/>
  <c r="I84" i="1"/>
  <c r="N84" i="1" s="1"/>
  <c r="L83" i="1"/>
  <c r="I83" i="1"/>
  <c r="N83" i="1" s="1"/>
  <c r="L82" i="1"/>
  <c r="I82" i="1"/>
  <c r="N82" i="1" s="1"/>
  <c r="L81" i="1"/>
  <c r="I81" i="1"/>
  <c r="N81" i="1" s="1"/>
  <c r="Q81" i="1" s="1"/>
  <c r="L80" i="1"/>
  <c r="I80" i="1"/>
  <c r="N80" i="1" s="1"/>
  <c r="L79" i="1"/>
  <c r="I79" i="1"/>
  <c r="N79" i="1" s="1"/>
  <c r="L78" i="1"/>
  <c r="I78" i="1"/>
  <c r="N78" i="1" s="1"/>
  <c r="L77" i="1"/>
  <c r="I77" i="1"/>
  <c r="N77" i="1" s="1"/>
  <c r="Q77" i="1" s="1"/>
  <c r="L76" i="1"/>
  <c r="I76" i="1"/>
  <c r="N76" i="1" s="1"/>
  <c r="L75" i="1"/>
  <c r="I75" i="1"/>
  <c r="N75" i="1" s="1"/>
  <c r="L74" i="1"/>
  <c r="I74" i="1"/>
  <c r="N74" i="1" s="1"/>
  <c r="L73" i="1"/>
  <c r="I73" i="1"/>
  <c r="N73" i="1" s="1"/>
  <c r="Q73" i="1" s="1"/>
  <c r="L72" i="1"/>
  <c r="I72" i="1"/>
  <c r="N72" i="1" s="1"/>
  <c r="L71" i="1"/>
  <c r="I71" i="1"/>
  <c r="N71" i="1" s="1"/>
  <c r="L70" i="1"/>
  <c r="I70" i="1"/>
  <c r="N70" i="1" s="1"/>
  <c r="L69" i="1"/>
  <c r="I69" i="1"/>
  <c r="N69" i="1" s="1"/>
  <c r="Q69" i="1" s="1"/>
  <c r="L68" i="1"/>
  <c r="I68" i="1"/>
  <c r="N68" i="1" s="1"/>
  <c r="L67" i="1"/>
  <c r="I67" i="1"/>
  <c r="N67" i="1" s="1"/>
  <c r="L66" i="1"/>
  <c r="I66" i="1"/>
  <c r="N66" i="1" s="1"/>
  <c r="L65" i="1"/>
  <c r="I65" i="1"/>
  <c r="N65" i="1" s="1"/>
  <c r="Q65" i="1" s="1"/>
  <c r="L64" i="1"/>
  <c r="I64" i="1"/>
  <c r="N64" i="1" s="1"/>
  <c r="L63" i="1"/>
  <c r="I63" i="1"/>
  <c r="N63" i="1" s="1"/>
  <c r="L62" i="1"/>
  <c r="I62" i="1"/>
  <c r="N62" i="1" s="1"/>
  <c r="L61" i="1"/>
  <c r="I61" i="1"/>
  <c r="N61" i="1" s="1"/>
  <c r="Q61" i="1" s="1"/>
  <c r="L60" i="1"/>
  <c r="I60" i="1"/>
  <c r="N60" i="1" s="1"/>
  <c r="L59" i="1"/>
  <c r="I59" i="1"/>
  <c r="N59" i="1" s="1"/>
  <c r="L58" i="1"/>
  <c r="I58" i="1"/>
  <c r="N58" i="1" s="1"/>
  <c r="L57" i="1"/>
  <c r="I57" i="1"/>
  <c r="N57" i="1" s="1"/>
  <c r="Q57" i="1" s="1"/>
  <c r="L56" i="1"/>
  <c r="I56" i="1"/>
  <c r="N56" i="1" s="1"/>
  <c r="L55" i="1"/>
  <c r="I55" i="1"/>
  <c r="N55" i="1" s="1"/>
  <c r="L54" i="1"/>
  <c r="I54" i="1"/>
  <c r="N54" i="1" s="1"/>
  <c r="L53" i="1"/>
  <c r="I53" i="1"/>
  <c r="N53" i="1" s="1"/>
  <c r="Q53" i="1" s="1"/>
  <c r="L52" i="1"/>
  <c r="I52" i="1"/>
  <c r="N52" i="1" s="1"/>
  <c r="L51" i="1"/>
  <c r="I51" i="1"/>
  <c r="N51" i="1" s="1"/>
  <c r="L50" i="1"/>
  <c r="I50" i="1"/>
  <c r="N50" i="1" s="1"/>
  <c r="L49" i="1"/>
  <c r="I49" i="1"/>
  <c r="N49" i="1" s="1"/>
  <c r="Q49" i="1" s="1"/>
  <c r="L48" i="1"/>
  <c r="I48" i="1"/>
  <c r="N48" i="1" s="1"/>
  <c r="L47" i="1"/>
  <c r="I47" i="1"/>
  <c r="N47" i="1" s="1"/>
  <c r="L46" i="1"/>
  <c r="I46" i="1"/>
  <c r="N46" i="1" s="1"/>
  <c r="L45" i="1"/>
  <c r="I45" i="1"/>
  <c r="N45" i="1" s="1"/>
  <c r="Q45" i="1" s="1"/>
  <c r="L44" i="1"/>
  <c r="I44" i="1"/>
  <c r="N44" i="1" s="1"/>
  <c r="L43" i="1"/>
  <c r="I43" i="1"/>
  <c r="N43" i="1" s="1"/>
  <c r="L42" i="1"/>
  <c r="I42" i="1"/>
  <c r="N42" i="1" s="1"/>
  <c r="L41" i="1"/>
  <c r="I41" i="1"/>
  <c r="N41" i="1" s="1"/>
  <c r="Q41" i="1" s="1"/>
  <c r="L40" i="1"/>
  <c r="I40" i="1"/>
  <c r="N40" i="1" s="1"/>
  <c r="L39" i="1"/>
  <c r="I39" i="1"/>
  <c r="N39" i="1" s="1"/>
  <c r="L38" i="1"/>
  <c r="I38" i="1"/>
  <c r="N38" i="1" s="1"/>
  <c r="L37" i="1"/>
  <c r="I37" i="1"/>
  <c r="N37" i="1" s="1"/>
  <c r="Q37" i="1" s="1"/>
  <c r="L36" i="1"/>
  <c r="I36" i="1"/>
  <c r="N36" i="1" s="1"/>
  <c r="L35" i="1"/>
  <c r="I35" i="1"/>
  <c r="N35" i="1" s="1"/>
  <c r="L34" i="1"/>
  <c r="I34" i="1"/>
  <c r="N34" i="1" s="1"/>
  <c r="Q34" i="1" s="1"/>
  <c r="L33" i="1"/>
  <c r="I33" i="1"/>
  <c r="N33" i="1" s="1"/>
  <c r="L32" i="1"/>
  <c r="I32" i="1"/>
  <c r="N32" i="1" s="1"/>
  <c r="L31" i="1"/>
  <c r="I31" i="1"/>
  <c r="N31" i="1" s="1"/>
  <c r="Q31" i="1" s="1"/>
  <c r="L30" i="1"/>
  <c r="I30" i="1"/>
  <c r="N30" i="1" s="1"/>
  <c r="L29" i="1"/>
  <c r="I29" i="1"/>
  <c r="N29" i="1" s="1"/>
  <c r="L28" i="1"/>
  <c r="I28" i="1"/>
  <c r="N28" i="1" s="1"/>
  <c r="Q28" i="1" s="1"/>
  <c r="L27" i="1"/>
  <c r="I27" i="1"/>
  <c r="N27" i="1" s="1"/>
  <c r="L26" i="1"/>
  <c r="I26" i="1"/>
  <c r="N26" i="1" s="1"/>
  <c r="L25" i="1"/>
  <c r="I25" i="1"/>
  <c r="N25" i="1" s="1"/>
  <c r="L24" i="1"/>
  <c r="I24" i="1"/>
  <c r="N24" i="1" s="1"/>
  <c r="Q24" i="1" s="1"/>
  <c r="L23" i="1"/>
  <c r="I23" i="1"/>
  <c r="N23" i="1" s="1"/>
  <c r="Q23" i="1" s="1"/>
  <c r="L22" i="1"/>
  <c r="I22" i="1"/>
  <c r="N22" i="1" s="1"/>
  <c r="L21" i="1"/>
  <c r="I21" i="1"/>
  <c r="N21" i="1" s="1"/>
  <c r="Q21" i="1" s="1"/>
  <c r="L20" i="1"/>
  <c r="I20" i="1"/>
  <c r="N20" i="1" s="1"/>
  <c r="Q20" i="1" s="1"/>
  <c r="L19" i="1"/>
  <c r="I19" i="1"/>
  <c r="N19" i="1" s="1"/>
  <c r="Q19" i="1" s="1"/>
  <c r="L18" i="1"/>
  <c r="I18" i="1"/>
  <c r="N18" i="1" s="1"/>
  <c r="L17" i="1"/>
  <c r="I17" i="1"/>
  <c r="N17" i="1" s="1"/>
  <c r="Q17" i="1" s="1"/>
  <c r="L16" i="1"/>
  <c r="I16" i="1"/>
  <c r="N16" i="1" s="1"/>
  <c r="L15" i="1"/>
  <c r="I15" i="1"/>
  <c r="N15" i="1" s="1"/>
  <c r="L14" i="1"/>
  <c r="I14" i="1"/>
  <c r="N14" i="1" s="1"/>
  <c r="L13" i="1"/>
  <c r="I13" i="1"/>
  <c r="N13" i="1" s="1"/>
  <c r="Q13" i="1" s="1"/>
  <c r="I12" i="1"/>
  <c r="N12" i="1" s="1"/>
  <c r="L11" i="1"/>
  <c r="I11" i="1"/>
  <c r="N11" i="1" s="1"/>
  <c r="L10" i="1"/>
  <c r="I10" i="1"/>
  <c r="N10" i="1" s="1"/>
  <c r="L9" i="1"/>
  <c r="I9" i="1"/>
  <c r="N9" i="1" s="1"/>
  <c r="Q9" i="1" s="1"/>
  <c r="L8" i="1"/>
  <c r="I8" i="1"/>
  <c r="N8" i="1" s="1"/>
  <c r="Q8" i="1" s="1"/>
  <c r="I7" i="1"/>
  <c r="N7" i="1" s="1"/>
  <c r="Q7" i="1" s="1"/>
  <c r="K6" i="1"/>
  <c r="H6" i="1"/>
  <c r="F6" i="1"/>
  <c r="O40" i="1" l="1"/>
  <c r="Q40" i="1"/>
  <c r="O44" i="1"/>
  <c r="Q44" i="1"/>
  <c r="O48" i="1"/>
  <c r="Q48" i="1"/>
  <c r="O52" i="1"/>
  <c r="Q52" i="1"/>
  <c r="O56" i="1"/>
  <c r="Q56" i="1"/>
  <c r="O60" i="1"/>
  <c r="Q60" i="1"/>
  <c r="O64" i="1"/>
  <c r="Q64" i="1"/>
  <c r="O68" i="1"/>
  <c r="Q68" i="1"/>
  <c r="O72" i="1"/>
  <c r="Q72" i="1"/>
  <c r="O76" i="1"/>
  <c r="Q76" i="1"/>
  <c r="O80" i="1"/>
  <c r="Q80" i="1"/>
  <c r="O84" i="1"/>
  <c r="Q84" i="1"/>
  <c r="O88" i="1"/>
  <c r="Q88" i="1"/>
  <c r="O92" i="1"/>
  <c r="Q92" i="1"/>
  <c r="O96" i="1"/>
  <c r="Q96" i="1"/>
  <c r="O100" i="1"/>
  <c r="Q100" i="1"/>
  <c r="O104" i="1"/>
  <c r="Q104" i="1"/>
  <c r="O108" i="1"/>
  <c r="Q108" i="1"/>
  <c r="O112" i="1"/>
  <c r="Q112" i="1"/>
  <c r="O116" i="1"/>
  <c r="Q116" i="1"/>
  <c r="O36" i="1"/>
  <c r="Q36" i="1"/>
  <c r="O33" i="1"/>
  <c r="Q33" i="1"/>
  <c r="O38" i="1"/>
  <c r="Q38" i="1"/>
  <c r="O42" i="1"/>
  <c r="Q42" i="1"/>
  <c r="O46" i="1"/>
  <c r="Q46" i="1"/>
  <c r="O50" i="1"/>
  <c r="Q50" i="1"/>
  <c r="O54" i="1"/>
  <c r="Q54" i="1"/>
  <c r="O58" i="1"/>
  <c r="Q58" i="1"/>
  <c r="O62" i="1"/>
  <c r="Q62" i="1"/>
  <c r="O66" i="1"/>
  <c r="Q66" i="1"/>
  <c r="O70" i="1"/>
  <c r="Q70" i="1"/>
  <c r="O74" i="1"/>
  <c r="Q74" i="1"/>
  <c r="O78" i="1"/>
  <c r="Q78" i="1"/>
  <c r="O82" i="1"/>
  <c r="Q82" i="1"/>
  <c r="O86" i="1"/>
  <c r="Q86" i="1"/>
  <c r="O90" i="1"/>
  <c r="Q90" i="1"/>
  <c r="O94" i="1"/>
  <c r="Q94" i="1"/>
  <c r="O98" i="1"/>
  <c r="Q98" i="1"/>
  <c r="O102" i="1"/>
  <c r="Q102" i="1"/>
  <c r="O106" i="1"/>
  <c r="Q106" i="1"/>
  <c r="O110" i="1"/>
  <c r="Q110" i="1"/>
  <c r="O114" i="1"/>
  <c r="Q114" i="1"/>
  <c r="O118" i="1"/>
  <c r="Q118" i="1"/>
  <c r="O35" i="1"/>
  <c r="Q35" i="1"/>
  <c r="O39" i="1"/>
  <c r="Q39" i="1"/>
  <c r="O43" i="1"/>
  <c r="Q43" i="1"/>
  <c r="O47" i="1"/>
  <c r="Q47" i="1"/>
  <c r="O51" i="1"/>
  <c r="Q51" i="1"/>
  <c r="O55" i="1"/>
  <c r="Q55" i="1"/>
  <c r="O59" i="1"/>
  <c r="Q59" i="1"/>
  <c r="O63" i="1"/>
  <c r="Q63" i="1"/>
  <c r="O67" i="1"/>
  <c r="Q67" i="1"/>
  <c r="O71" i="1"/>
  <c r="Q71" i="1"/>
  <c r="O75" i="1"/>
  <c r="Q75" i="1"/>
  <c r="O79" i="1"/>
  <c r="Q79" i="1"/>
  <c r="O83" i="1"/>
  <c r="Q83" i="1"/>
  <c r="O91" i="1"/>
  <c r="Q91" i="1"/>
  <c r="O95" i="1"/>
  <c r="Q95" i="1"/>
  <c r="O99" i="1"/>
  <c r="Q99" i="1"/>
  <c r="O103" i="1"/>
  <c r="Q103" i="1"/>
  <c r="O107" i="1"/>
  <c r="Q107" i="1"/>
  <c r="O111" i="1"/>
  <c r="Q111" i="1"/>
  <c r="O115" i="1"/>
  <c r="Q115" i="1"/>
  <c r="O32" i="1"/>
  <c r="Q32" i="1"/>
  <c r="O30" i="1"/>
  <c r="Q30" i="1"/>
  <c r="O29" i="1"/>
  <c r="Q29" i="1"/>
  <c r="O27" i="1"/>
  <c r="Q27" i="1"/>
  <c r="O26" i="1"/>
  <c r="Q26" i="1"/>
  <c r="O25" i="1"/>
  <c r="Q25" i="1"/>
  <c r="O11" i="1"/>
  <c r="Q11" i="1"/>
  <c r="O14" i="1"/>
  <c r="Q14" i="1"/>
  <c r="O16" i="1"/>
  <c r="Q16" i="1"/>
  <c r="O18" i="1"/>
  <c r="Q18" i="1"/>
  <c r="O22" i="1"/>
  <c r="Q22" i="1"/>
  <c r="O10" i="1"/>
  <c r="Q10" i="1"/>
  <c r="O12" i="1"/>
  <c r="Q12" i="1"/>
  <c r="O15" i="1"/>
  <c r="Q15" i="1"/>
  <c r="O23" i="1"/>
  <c r="O31" i="1"/>
  <c r="O87" i="1"/>
  <c r="O24" i="1"/>
  <c r="O28" i="1"/>
  <c r="O19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9" i="1"/>
  <c r="O21" i="1"/>
  <c r="O34" i="1"/>
  <c r="O20" i="1"/>
  <c r="O17" i="1"/>
  <c r="O13" i="1"/>
  <c r="O8" i="1"/>
  <c r="O7" i="1"/>
  <c r="L6" i="1"/>
  <c r="I6" i="1"/>
  <c r="N6" i="1"/>
  <c r="O6" i="1" s="1"/>
  <c r="Q6" i="1" l="1"/>
  <c r="Q1" i="1" s="1"/>
  <c r="Q2" i="1" l="1"/>
</calcChain>
</file>

<file path=xl/sharedStrings.xml><?xml version="1.0" encoding="utf-8"?>
<sst xmlns="http://schemas.openxmlformats.org/spreadsheetml/2006/main" count="25" uniqueCount="19">
  <si>
    <t>Sales Forecast</t>
  </si>
  <si>
    <t>Estimator:</t>
  </si>
  <si>
    <t>1st GP Target</t>
  </si>
  <si>
    <t>Shortfall</t>
  </si>
  <si>
    <t>Month Ending:</t>
  </si>
  <si>
    <t>2nd GP target</t>
  </si>
  <si>
    <t>Quotation Number</t>
  </si>
  <si>
    <t>Customer</t>
  </si>
  <si>
    <t>Project Name</t>
  </si>
  <si>
    <t>Chance of Order</t>
  </si>
  <si>
    <t>Order Value</t>
  </si>
  <si>
    <t>Final Retention</t>
  </si>
  <si>
    <t>Total Tendered Costs</t>
  </si>
  <si>
    <t>Mark Up Profit</t>
  </si>
  <si>
    <t>Final Profit</t>
  </si>
  <si>
    <t>Weighted Value</t>
  </si>
  <si>
    <t>£</t>
  </si>
  <si>
    <t>%</t>
  </si>
  <si>
    <t xml:space="preserve">               IP 02-04-23 Version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</si>
</sst>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7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31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31"/>
      </right>
      <top style="double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31"/>
      </right>
      <top style="thin">
        <color indexed="31"/>
      </top>
      <bottom style="thin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auto="1"/>
      </bottom>
      <diagonal/>
    </border>
    <border>
      <left/>
      <right style="thin">
        <color indexed="64"/>
      </right>
      <top style="thin">
        <color indexed="3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31"/>
      </top>
      <bottom style="thin">
        <color indexed="64"/>
      </bottom>
      <diagonal/>
    </border>
    <border>
      <left style="thin">
        <color indexed="64"/>
      </left>
      <right style="thin">
        <color indexed="31"/>
      </right>
      <top style="thin">
        <color indexed="31"/>
      </top>
      <bottom style="thin">
        <color indexed="64"/>
      </bottom>
      <diagonal/>
    </border>
    <border>
      <left style="thin">
        <color indexed="31"/>
      </left>
      <right style="thin">
        <color indexed="64"/>
      </right>
      <top style="thin">
        <color indexed="3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31"/>
      </top>
      <bottom style="thin">
        <color indexed="8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2" fillId="0" borderId="0" xfId="0" applyFont="1"/>
    <xf numFmtId="37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37" fontId="3" fillId="0" borderId="2" xfId="0" applyNumberFormat="1" applyFont="1" applyBorder="1" applyAlignment="1">
      <alignment horizontal="center" vertical="center" wrapText="1"/>
    </xf>
    <xf numFmtId="37" fontId="2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vertical="center"/>
    </xf>
    <xf numFmtId="10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vertical="center"/>
    </xf>
    <xf numFmtId="10" fontId="3" fillId="0" borderId="3" xfId="0" applyNumberFormat="1" applyFont="1" applyBorder="1" applyAlignment="1">
      <alignment horizontal="center" vertical="center"/>
    </xf>
    <xf numFmtId="37" fontId="2" fillId="0" borderId="2" xfId="0" applyNumberFormat="1" applyFont="1" applyBorder="1"/>
    <xf numFmtId="164" fontId="2" fillId="0" borderId="2" xfId="0" applyNumberFormat="1" applyFont="1" applyBorder="1"/>
    <xf numFmtId="9" fontId="2" fillId="0" borderId="2" xfId="0" applyNumberFormat="1" applyFont="1" applyBorder="1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4" fontId="3" fillId="0" borderId="10" xfId="0" applyNumberFormat="1" applyFont="1" applyBorder="1" applyAlignment="1">
      <alignment vertical="center" wrapText="1"/>
    </xf>
    <xf numFmtId="37" fontId="3" fillId="0" borderId="10" xfId="0" applyNumberFormat="1" applyFont="1" applyBorder="1" applyAlignment="1">
      <alignment horizontal="center"/>
    </xf>
    <xf numFmtId="37" fontId="2" fillId="0" borderId="10" xfId="0" applyNumberFormat="1" applyFont="1" applyBorder="1" applyAlignment="1">
      <alignment horizontal="center"/>
    </xf>
    <xf numFmtId="37" fontId="2" fillId="0" borderId="10" xfId="0" applyNumberFormat="1" applyFont="1" applyBorder="1"/>
    <xf numFmtId="0" fontId="1" fillId="5" borderId="8" xfId="0" applyFont="1" applyFill="1" applyBorder="1" applyAlignment="1">
      <alignment horizontal="left" vertical="center"/>
    </xf>
    <xf numFmtId="164" fontId="3" fillId="0" borderId="1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 applyProtection="1">
      <alignment vertical="center"/>
      <protection locked="0"/>
    </xf>
    <xf numFmtId="44" fontId="3" fillId="2" borderId="1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4" fontId="3" fillId="4" borderId="16" xfId="0" applyNumberFormat="1" applyFont="1" applyFill="1" applyBorder="1" applyAlignment="1">
      <alignment horizontal="center" vertical="center" wrapText="1"/>
    </xf>
    <xf numFmtId="164" fontId="3" fillId="3" borderId="17" xfId="0" applyNumberFormat="1" applyFont="1" applyFill="1" applyBorder="1" applyAlignment="1">
      <alignment horizontal="center" vertical="center" wrapText="1"/>
    </xf>
    <xf numFmtId="10" fontId="3" fillId="0" borderId="16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/>
    </xf>
    <xf numFmtId="10" fontId="2" fillId="2" borderId="22" xfId="0" applyNumberFormat="1" applyFont="1" applyFill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/>
    </xf>
    <xf numFmtId="164" fontId="2" fillId="2" borderId="22" xfId="0" applyNumberFormat="1" applyFont="1" applyFill="1" applyBorder="1" applyAlignment="1">
      <alignment horizontal="center"/>
    </xf>
    <xf numFmtId="10" fontId="2" fillId="2" borderId="21" xfId="0" applyNumberFormat="1" applyFont="1" applyFill="1" applyBorder="1" applyAlignment="1">
      <alignment horizontal="center"/>
    </xf>
    <xf numFmtId="10" fontId="2" fillId="2" borderId="23" xfId="0" applyNumberFormat="1" applyFont="1" applyFill="1" applyBorder="1" applyAlignment="1">
      <alignment horizontal="center"/>
    </xf>
    <xf numFmtId="164" fontId="2" fillId="2" borderId="24" xfId="0" applyNumberFormat="1" applyFont="1" applyFill="1" applyBorder="1" applyAlignment="1">
      <alignment horizontal="center"/>
    </xf>
    <xf numFmtId="0" fontId="2" fillId="0" borderId="25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9" fontId="5" fillId="0" borderId="28" xfId="0" applyNumberFormat="1" applyFont="1" applyBorder="1" applyProtection="1">
      <protection locked="0"/>
    </xf>
    <xf numFmtId="49" fontId="3" fillId="0" borderId="29" xfId="0" applyNumberFormat="1" applyFont="1" applyBorder="1" applyProtection="1">
      <protection locked="0"/>
    </xf>
    <xf numFmtId="49" fontId="5" fillId="0" borderId="30" xfId="0" applyNumberFormat="1" applyFont="1" applyBorder="1" applyProtection="1">
      <protection locked="0"/>
    </xf>
    <xf numFmtId="9" fontId="5" fillId="0" borderId="31" xfId="0" applyNumberFormat="1" applyFont="1" applyBorder="1" applyProtection="1">
      <protection locked="0"/>
    </xf>
    <xf numFmtId="164" fontId="2" fillId="0" borderId="32" xfId="0" applyNumberFormat="1" applyFont="1" applyBorder="1" applyProtection="1">
      <protection locked="0"/>
    </xf>
    <xf numFmtId="10" fontId="2" fillId="2" borderId="33" xfId="0" applyNumberFormat="1" applyFont="1" applyFill="1" applyBorder="1" applyProtection="1">
      <protection locked="0"/>
    </xf>
    <xf numFmtId="164" fontId="2" fillId="2" borderId="29" xfId="0" applyNumberFormat="1" applyFont="1" applyFill="1" applyBorder="1"/>
    <xf numFmtId="164" fontId="2" fillId="2" borderId="33" xfId="0" applyNumberFormat="1" applyFont="1" applyFill="1" applyBorder="1" applyProtection="1">
      <protection locked="0"/>
    </xf>
    <xf numFmtId="10" fontId="2" fillId="2" borderId="32" xfId="0" applyNumberFormat="1" applyFont="1" applyFill="1" applyBorder="1"/>
    <xf numFmtId="164" fontId="2" fillId="0" borderId="33" xfId="0" applyNumberFormat="1" applyFont="1" applyBorder="1"/>
    <xf numFmtId="10" fontId="2" fillId="0" borderId="32" xfId="0" applyNumberFormat="1" applyFont="1" applyBorder="1"/>
    <xf numFmtId="164" fontId="2" fillId="0" borderId="34" xfId="0" applyNumberFormat="1" applyFont="1" applyBorder="1"/>
    <xf numFmtId="49" fontId="2" fillId="0" borderId="29" xfId="0" applyNumberFormat="1" applyFont="1" applyBorder="1" applyProtection="1">
      <protection locked="0"/>
    </xf>
    <xf numFmtId="49" fontId="5" fillId="0" borderId="29" xfId="0" applyNumberFormat="1" applyFont="1" applyBorder="1" applyProtection="1">
      <protection locked="0"/>
    </xf>
    <xf numFmtId="10" fontId="2" fillId="0" borderId="33" xfId="0" applyNumberFormat="1" applyFont="1" applyBorder="1" applyProtection="1">
      <protection locked="0"/>
    </xf>
    <xf numFmtId="164" fontId="2" fillId="0" borderId="29" xfId="0" applyNumberFormat="1" applyFont="1" applyBorder="1"/>
    <xf numFmtId="49" fontId="5" fillId="2" borderId="28" xfId="0" applyNumberFormat="1" applyFont="1" applyFill="1" applyBorder="1" applyProtection="1">
      <protection locked="0"/>
    </xf>
    <xf numFmtId="9" fontId="2" fillId="0" borderId="31" xfId="0" applyNumberFormat="1" applyFont="1" applyBorder="1" applyProtection="1"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0" borderId="29" xfId="0" applyFont="1" applyBorder="1" applyAlignment="1" applyProtection="1">
      <alignment vertical="center"/>
      <protection locked="0"/>
    </xf>
    <xf numFmtId="9" fontId="2" fillId="0" borderId="31" xfId="0" applyNumberFormat="1" applyFont="1" applyBorder="1" applyAlignment="1" applyProtection="1">
      <alignment vertical="center"/>
      <protection locked="0"/>
    </xf>
    <xf numFmtId="9" fontId="2" fillId="0" borderId="35" xfId="0" applyNumberFormat="1" applyFont="1" applyBorder="1" applyAlignment="1" applyProtection="1">
      <alignment vertical="center"/>
      <protection locked="0"/>
    </xf>
    <xf numFmtId="0" fontId="2" fillId="0" borderId="29" xfId="0" applyFont="1" applyBorder="1" applyProtection="1">
      <protection locked="0"/>
    </xf>
    <xf numFmtId="0" fontId="5" fillId="0" borderId="29" xfId="0" applyFont="1" applyBorder="1" applyProtection="1">
      <protection locked="0"/>
    </xf>
    <xf numFmtId="4" fontId="2" fillId="0" borderId="28" xfId="0" applyNumberFormat="1" applyFont="1" applyBorder="1" applyProtection="1">
      <protection locked="0"/>
    </xf>
    <xf numFmtId="4" fontId="2" fillId="0" borderId="29" xfId="0" applyNumberFormat="1" applyFont="1" applyBorder="1" applyProtection="1">
      <protection locked="0"/>
    </xf>
    <xf numFmtId="9" fontId="2" fillId="0" borderId="33" xfId="0" applyNumberFormat="1" applyFont="1" applyBorder="1" applyAlignment="1" applyProtection="1">
      <alignment vertical="center"/>
      <protection locked="0"/>
    </xf>
    <xf numFmtId="164" fontId="2" fillId="0" borderId="33" xfId="0" applyNumberFormat="1" applyFont="1" applyBorder="1" applyProtection="1">
      <protection locked="0"/>
    </xf>
    <xf numFmtId="0" fontId="2" fillId="0" borderId="36" xfId="0" applyFont="1" applyBorder="1" applyAlignment="1" applyProtection="1">
      <alignment vertical="center"/>
      <protection locked="0"/>
    </xf>
    <xf numFmtId="0" fontId="2" fillId="0" borderId="37" xfId="0" applyFont="1" applyBorder="1" applyAlignment="1" applyProtection="1">
      <alignment vertical="center"/>
      <protection locked="0"/>
    </xf>
    <xf numFmtId="9" fontId="2" fillId="0" borderId="38" xfId="0" applyNumberFormat="1" applyFont="1" applyBorder="1" applyAlignment="1" applyProtection="1">
      <alignment vertical="center"/>
      <protection locked="0"/>
    </xf>
    <xf numFmtId="164" fontId="2" fillId="0" borderId="39" xfId="0" applyNumberFormat="1" applyFont="1" applyBorder="1" applyProtection="1">
      <protection locked="0"/>
    </xf>
    <xf numFmtId="10" fontId="2" fillId="0" borderId="40" xfId="0" applyNumberFormat="1" applyFont="1" applyBorder="1" applyProtection="1">
      <protection locked="0"/>
    </xf>
    <xf numFmtId="164" fontId="2" fillId="0" borderId="41" xfId="0" applyNumberFormat="1" applyFont="1" applyBorder="1"/>
    <xf numFmtId="164" fontId="2" fillId="0" borderId="40" xfId="0" applyNumberFormat="1" applyFont="1" applyBorder="1" applyProtection="1">
      <protection locked="0"/>
    </xf>
    <xf numFmtId="10" fontId="2" fillId="2" borderId="41" xfId="0" applyNumberFormat="1" applyFont="1" applyFill="1" applyBorder="1"/>
    <xf numFmtId="164" fontId="2" fillId="0" borderId="40" xfId="0" applyNumberFormat="1" applyFont="1" applyBorder="1"/>
    <xf numFmtId="10" fontId="2" fillId="0" borderId="41" xfId="0" applyNumberFormat="1" applyFont="1" applyBorder="1"/>
    <xf numFmtId="164" fontId="2" fillId="0" borderId="42" xfId="0" applyNumberFormat="1" applyFont="1" applyBorder="1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horizontal="left"/>
    </xf>
    <xf numFmtId="10" fontId="3" fillId="3" borderId="15" xfId="0" applyNumberFormat="1" applyFont="1" applyFill="1" applyBorder="1" applyAlignment="1">
      <alignment horizontal="center" vertical="center" wrapText="1"/>
    </xf>
    <xf numFmtId="4" fontId="3" fillId="0" borderId="18" xfId="0" applyNumberFormat="1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 applyProtection="1">
      <alignment horizontal="left" vertical="center"/>
      <protection locked="0"/>
    </xf>
    <xf numFmtId="4" fontId="6" fillId="2" borderId="13" xfId="0" applyNumberFormat="1" applyFont="1" applyFill="1" applyBorder="1" applyAlignment="1" applyProtection="1">
      <alignment horizontal="left" vertical="center"/>
      <protection locked="0"/>
    </xf>
    <xf numFmtId="4" fontId="6" fillId="2" borderId="14" xfId="0" applyNumberFormat="1" applyFont="1" applyFill="1" applyBorder="1" applyAlignment="1" applyProtection="1">
      <alignment horizontal="left" vertical="center"/>
      <protection locked="0"/>
    </xf>
    <xf numFmtId="49" fontId="6" fillId="2" borderId="12" xfId="0" applyNumberFormat="1" applyFont="1" applyFill="1" applyBorder="1" applyAlignment="1" applyProtection="1">
      <alignment horizontal="left" vertical="center"/>
      <protection locked="0"/>
    </xf>
    <xf numFmtId="49" fontId="6" fillId="2" borderId="13" xfId="0" applyNumberFormat="1" applyFont="1" applyFill="1" applyBorder="1" applyAlignment="1" applyProtection="1">
      <alignment horizontal="left" vertical="center"/>
      <protection locked="0"/>
    </xf>
    <xf numFmtId="49" fontId="6" fillId="2" borderId="14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4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261937</xdr:colOff>
      <xdr:row>0</xdr:row>
      <xdr:rowOff>71439</xdr:rowOff>
    </xdr:from>
    <xdr:ext cx="2127704" cy="600164"/>
    <xdr:pic>
      <xdr:nvPicPr>
        <xdr:cNvPr id="4" name="Picture 3">
          <a:extLst>
            <a:ext uri="{FF2B5EF4-FFF2-40B4-BE49-F238E27FC236}">
              <a16:creationId xmlns:a16="http://schemas.microsoft.com/office/drawing/2014/main" id="{1ABECE5B-150D-4FFE-84B2-95B90DAA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937" y="71439"/>
          <a:ext cx="2127704" cy="6001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0"/>
  <sheetViews>
    <sheetView tabSelected="1" zoomScale="80" zoomScaleNormal="80" workbookViewId="0">
      <selection activeCell="C17" sqref="C17"/>
    </sheetView>
  </sheetViews>
  <sheetFormatPr defaultRowHeight="15" x14ac:dyDescent="0.25"/>
  <cols>
    <col min="1" max="1" width="12.42578125" customWidth="1"/>
    <col min="2" max="2" width="27.7109375" customWidth="1"/>
    <col min="3" max="3" width="37.85546875" customWidth="1"/>
    <col min="4" max="4" width="15.5703125" customWidth="1"/>
    <col min="5" max="5" width="2.5703125" customWidth="1"/>
    <col min="6" max="6" width="19.7109375" customWidth="1"/>
    <col min="7" max="7" width="2.5703125" customWidth="1"/>
    <col min="8" max="9" width="12.7109375" customWidth="1"/>
    <col min="10" max="10" width="2.7109375" customWidth="1"/>
    <col min="11" max="11" width="13.42578125" customWidth="1"/>
    <col min="12" max="12" width="12.7109375" customWidth="1"/>
    <col min="13" max="13" width="2.5703125" customWidth="1"/>
    <col min="14" max="14" width="16.85546875" customWidth="1"/>
    <col min="15" max="15" width="12.7109375" customWidth="1"/>
    <col min="16" max="16" width="2.7109375" customWidth="1"/>
    <col min="17" max="17" width="19.7109375" customWidth="1"/>
    <col min="219" max="220" width="12.42578125" customWidth="1"/>
    <col min="221" max="221" width="39.140625" customWidth="1"/>
    <col min="222" max="222" width="12.42578125" customWidth="1"/>
    <col min="223" max="223" width="2.7109375" customWidth="1"/>
    <col min="224" max="224" width="15.28515625" bestFit="1" customWidth="1"/>
    <col min="225" max="226" width="12.7109375" customWidth="1"/>
    <col min="227" max="227" width="2.5703125" customWidth="1"/>
    <col min="228" max="229" width="12.7109375" customWidth="1"/>
    <col min="230" max="230" width="2.5703125" customWidth="1"/>
    <col min="231" max="232" width="12.7109375" customWidth="1"/>
    <col min="233" max="233" width="2.5703125" customWidth="1"/>
    <col min="234" max="235" width="12.7109375" customWidth="1"/>
    <col min="236" max="236" width="2.5703125" customWidth="1"/>
    <col min="237" max="238" width="12.7109375" customWidth="1"/>
    <col min="239" max="239" width="2.5703125" customWidth="1"/>
    <col min="240" max="241" width="12.7109375" customWidth="1"/>
    <col min="242" max="242" width="2.5703125" customWidth="1"/>
    <col min="243" max="244" width="12.7109375" customWidth="1"/>
    <col min="245" max="245" width="2.5703125" customWidth="1"/>
    <col min="246" max="247" width="12.7109375" customWidth="1"/>
    <col min="248" max="248" width="2.5703125" customWidth="1"/>
    <col min="249" max="250" width="12.7109375" customWidth="1"/>
    <col min="251" max="251" width="2.5703125" customWidth="1"/>
    <col min="252" max="253" width="12.7109375" customWidth="1"/>
    <col min="254" max="254" width="2.5703125" customWidth="1"/>
    <col min="255" max="256" width="12.7109375" customWidth="1"/>
    <col min="257" max="257" width="2.5703125" customWidth="1"/>
    <col min="258" max="259" width="12.7109375" customWidth="1"/>
    <col min="260" max="260" width="2.5703125" customWidth="1"/>
    <col min="261" max="262" width="12.7109375" customWidth="1"/>
    <col min="475" max="476" width="12.42578125" customWidth="1"/>
    <col min="477" max="477" width="39.140625" customWidth="1"/>
    <col min="478" max="478" width="12.42578125" customWidth="1"/>
    <col min="479" max="479" width="2.7109375" customWidth="1"/>
    <col min="480" max="480" width="15.28515625" bestFit="1" customWidth="1"/>
    <col min="481" max="482" width="12.7109375" customWidth="1"/>
    <col min="483" max="483" width="2.5703125" customWidth="1"/>
    <col min="484" max="485" width="12.7109375" customWidth="1"/>
    <col min="486" max="486" width="2.5703125" customWidth="1"/>
    <col min="487" max="488" width="12.7109375" customWidth="1"/>
    <col min="489" max="489" width="2.5703125" customWidth="1"/>
    <col min="490" max="491" width="12.7109375" customWidth="1"/>
    <col min="492" max="492" width="2.5703125" customWidth="1"/>
    <col min="493" max="494" width="12.7109375" customWidth="1"/>
    <col min="495" max="495" width="2.5703125" customWidth="1"/>
    <col min="496" max="497" width="12.7109375" customWidth="1"/>
    <col min="498" max="498" width="2.5703125" customWidth="1"/>
    <col min="499" max="500" width="12.7109375" customWidth="1"/>
    <col min="501" max="501" width="2.5703125" customWidth="1"/>
    <col min="502" max="503" width="12.7109375" customWidth="1"/>
    <col min="504" max="504" width="2.5703125" customWidth="1"/>
    <col min="505" max="506" width="12.7109375" customWidth="1"/>
    <col min="507" max="507" width="2.5703125" customWidth="1"/>
    <col min="508" max="509" width="12.7109375" customWidth="1"/>
    <col min="510" max="510" width="2.5703125" customWidth="1"/>
    <col min="511" max="512" width="12.7109375" customWidth="1"/>
    <col min="513" max="513" width="2.5703125" customWidth="1"/>
    <col min="514" max="515" width="12.7109375" customWidth="1"/>
    <col min="516" max="516" width="2.5703125" customWidth="1"/>
    <col min="517" max="518" width="12.7109375" customWidth="1"/>
    <col min="731" max="732" width="12.42578125" customWidth="1"/>
    <col min="733" max="733" width="39.140625" customWidth="1"/>
    <col min="734" max="734" width="12.42578125" customWidth="1"/>
    <col min="735" max="735" width="2.7109375" customWidth="1"/>
    <col min="736" max="736" width="15.28515625" bestFit="1" customWidth="1"/>
    <col min="737" max="738" width="12.7109375" customWidth="1"/>
    <col min="739" max="739" width="2.5703125" customWidth="1"/>
    <col min="740" max="741" width="12.7109375" customWidth="1"/>
    <col min="742" max="742" width="2.5703125" customWidth="1"/>
    <col min="743" max="744" width="12.7109375" customWidth="1"/>
    <col min="745" max="745" width="2.5703125" customWidth="1"/>
    <col min="746" max="747" width="12.7109375" customWidth="1"/>
    <col min="748" max="748" width="2.5703125" customWidth="1"/>
    <col min="749" max="750" width="12.7109375" customWidth="1"/>
    <col min="751" max="751" width="2.5703125" customWidth="1"/>
    <col min="752" max="753" width="12.7109375" customWidth="1"/>
    <col min="754" max="754" width="2.5703125" customWidth="1"/>
    <col min="755" max="756" width="12.7109375" customWidth="1"/>
    <col min="757" max="757" width="2.5703125" customWidth="1"/>
    <col min="758" max="759" width="12.7109375" customWidth="1"/>
    <col min="760" max="760" width="2.5703125" customWidth="1"/>
    <col min="761" max="762" width="12.7109375" customWidth="1"/>
    <col min="763" max="763" width="2.5703125" customWidth="1"/>
    <col min="764" max="765" width="12.7109375" customWidth="1"/>
    <col min="766" max="766" width="2.5703125" customWidth="1"/>
    <col min="767" max="768" width="12.7109375" customWidth="1"/>
    <col min="769" max="769" width="2.5703125" customWidth="1"/>
    <col min="770" max="771" width="12.7109375" customWidth="1"/>
    <col min="772" max="772" width="2.5703125" customWidth="1"/>
    <col min="773" max="774" width="12.7109375" customWidth="1"/>
    <col min="987" max="988" width="12.42578125" customWidth="1"/>
    <col min="989" max="989" width="39.140625" customWidth="1"/>
    <col min="990" max="990" width="12.42578125" customWidth="1"/>
    <col min="991" max="991" width="2.7109375" customWidth="1"/>
    <col min="992" max="992" width="15.28515625" bestFit="1" customWidth="1"/>
    <col min="993" max="994" width="12.7109375" customWidth="1"/>
    <col min="995" max="995" width="2.5703125" customWidth="1"/>
    <col min="996" max="997" width="12.7109375" customWidth="1"/>
    <col min="998" max="998" width="2.5703125" customWidth="1"/>
    <col min="999" max="1000" width="12.7109375" customWidth="1"/>
    <col min="1001" max="1001" width="2.5703125" customWidth="1"/>
    <col min="1002" max="1003" width="12.7109375" customWidth="1"/>
    <col min="1004" max="1004" width="2.5703125" customWidth="1"/>
    <col min="1005" max="1006" width="12.7109375" customWidth="1"/>
    <col min="1007" max="1007" width="2.5703125" customWidth="1"/>
    <col min="1008" max="1009" width="12.7109375" customWidth="1"/>
    <col min="1010" max="1010" width="2.5703125" customWidth="1"/>
    <col min="1011" max="1012" width="12.7109375" customWidth="1"/>
    <col min="1013" max="1013" width="2.5703125" customWidth="1"/>
    <col min="1014" max="1015" width="12.7109375" customWidth="1"/>
    <col min="1016" max="1016" width="2.5703125" customWidth="1"/>
    <col min="1017" max="1018" width="12.7109375" customWidth="1"/>
    <col min="1019" max="1019" width="2.5703125" customWidth="1"/>
    <col min="1020" max="1021" width="12.7109375" customWidth="1"/>
    <col min="1022" max="1022" width="2.5703125" customWidth="1"/>
    <col min="1023" max="1024" width="12.7109375" customWidth="1"/>
    <col min="1025" max="1025" width="2.5703125" customWidth="1"/>
    <col min="1026" max="1027" width="12.7109375" customWidth="1"/>
    <col min="1028" max="1028" width="2.5703125" customWidth="1"/>
    <col min="1029" max="1030" width="12.7109375" customWidth="1"/>
    <col min="1243" max="1244" width="12.42578125" customWidth="1"/>
    <col min="1245" max="1245" width="39.140625" customWidth="1"/>
    <col min="1246" max="1246" width="12.42578125" customWidth="1"/>
    <col min="1247" max="1247" width="2.7109375" customWidth="1"/>
    <col min="1248" max="1248" width="15.28515625" bestFit="1" customWidth="1"/>
    <col min="1249" max="1250" width="12.7109375" customWidth="1"/>
    <col min="1251" max="1251" width="2.5703125" customWidth="1"/>
    <col min="1252" max="1253" width="12.7109375" customWidth="1"/>
    <col min="1254" max="1254" width="2.5703125" customWidth="1"/>
    <col min="1255" max="1256" width="12.7109375" customWidth="1"/>
    <col min="1257" max="1257" width="2.5703125" customWidth="1"/>
    <col min="1258" max="1259" width="12.7109375" customWidth="1"/>
    <col min="1260" max="1260" width="2.5703125" customWidth="1"/>
    <col min="1261" max="1262" width="12.7109375" customWidth="1"/>
    <col min="1263" max="1263" width="2.5703125" customWidth="1"/>
    <col min="1264" max="1265" width="12.7109375" customWidth="1"/>
    <col min="1266" max="1266" width="2.5703125" customWidth="1"/>
    <col min="1267" max="1268" width="12.7109375" customWidth="1"/>
    <col min="1269" max="1269" width="2.5703125" customWidth="1"/>
    <col min="1270" max="1271" width="12.7109375" customWidth="1"/>
    <col min="1272" max="1272" width="2.5703125" customWidth="1"/>
    <col min="1273" max="1274" width="12.7109375" customWidth="1"/>
    <col min="1275" max="1275" width="2.5703125" customWidth="1"/>
    <col min="1276" max="1277" width="12.7109375" customWidth="1"/>
    <col min="1278" max="1278" width="2.5703125" customWidth="1"/>
    <col min="1279" max="1280" width="12.7109375" customWidth="1"/>
    <col min="1281" max="1281" width="2.5703125" customWidth="1"/>
    <col min="1282" max="1283" width="12.7109375" customWidth="1"/>
    <col min="1284" max="1284" width="2.5703125" customWidth="1"/>
    <col min="1285" max="1286" width="12.7109375" customWidth="1"/>
    <col min="1499" max="1500" width="12.42578125" customWidth="1"/>
    <col min="1501" max="1501" width="39.140625" customWidth="1"/>
    <col min="1502" max="1502" width="12.42578125" customWidth="1"/>
    <col min="1503" max="1503" width="2.7109375" customWidth="1"/>
    <col min="1504" max="1504" width="15.28515625" bestFit="1" customWidth="1"/>
    <col min="1505" max="1506" width="12.7109375" customWidth="1"/>
    <col min="1507" max="1507" width="2.5703125" customWidth="1"/>
    <col min="1508" max="1509" width="12.7109375" customWidth="1"/>
    <col min="1510" max="1510" width="2.5703125" customWidth="1"/>
    <col min="1511" max="1512" width="12.7109375" customWidth="1"/>
    <col min="1513" max="1513" width="2.5703125" customWidth="1"/>
    <col min="1514" max="1515" width="12.7109375" customWidth="1"/>
    <col min="1516" max="1516" width="2.5703125" customWidth="1"/>
    <col min="1517" max="1518" width="12.7109375" customWidth="1"/>
    <col min="1519" max="1519" width="2.5703125" customWidth="1"/>
    <col min="1520" max="1521" width="12.7109375" customWidth="1"/>
    <col min="1522" max="1522" width="2.5703125" customWidth="1"/>
    <col min="1523" max="1524" width="12.7109375" customWidth="1"/>
    <col min="1525" max="1525" width="2.5703125" customWidth="1"/>
    <col min="1526" max="1527" width="12.7109375" customWidth="1"/>
    <col min="1528" max="1528" width="2.5703125" customWidth="1"/>
    <col min="1529" max="1530" width="12.7109375" customWidth="1"/>
    <col min="1531" max="1531" width="2.5703125" customWidth="1"/>
    <col min="1532" max="1533" width="12.7109375" customWidth="1"/>
    <col min="1534" max="1534" width="2.5703125" customWidth="1"/>
    <col min="1535" max="1536" width="12.7109375" customWidth="1"/>
    <col min="1537" max="1537" width="2.5703125" customWidth="1"/>
    <col min="1538" max="1539" width="12.7109375" customWidth="1"/>
    <col min="1540" max="1540" width="2.5703125" customWidth="1"/>
    <col min="1541" max="1542" width="12.7109375" customWidth="1"/>
    <col min="1755" max="1756" width="12.42578125" customWidth="1"/>
    <col min="1757" max="1757" width="39.140625" customWidth="1"/>
    <col min="1758" max="1758" width="12.42578125" customWidth="1"/>
    <col min="1759" max="1759" width="2.7109375" customWidth="1"/>
    <col min="1760" max="1760" width="15.28515625" bestFit="1" customWidth="1"/>
    <col min="1761" max="1762" width="12.7109375" customWidth="1"/>
    <col min="1763" max="1763" width="2.5703125" customWidth="1"/>
    <col min="1764" max="1765" width="12.7109375" customWidth="1"/>
    <col min="1766" max="1766" width="2.5703125" customWidth="1"/>
    <col min="1767" max="1768" width="12.7109375" customWidth="1"/>
    <col min="1769" max="1769" width="2.5703125" customWidth="1"/>
    <col min="1770" max="1771" width="12.7109375" customWidth="1"/>
    <col min="1772" max="1772" width="2.5703125" customWidth="1"/>
    <col min="1773" max="1774" width="12.7109375" customWidth="1"/>
    <col min="1775" max="1775" width="2.5703125" customWidth="1"/>
    <col min="1776" max="1777" width="12.7109375" customWidth="1"/>
    <col min="1778" max="1778" width="2.5703125" customWidth="1"/>
    <col min="1779" max="1780" width="12.7109375" customWidth="1"/>
    <col min="1781" max="1781" width="2.5703125" customWidth="1"/>
    <col min="1782" max="1783" width="12.7109375" customWidth="1"/>
    <col min="1784" max="1784" width="2.5703125" customWidth="1"/>
    <col min="1785" max="1786" width="12.7109375" customWidth="1"/>
    <col min="1787" max="1787" width="2.5703125" customWidth="1"/>
    <col min="1788" max="1789" width="12.7109375" customWidth="1"/>
    <col min="1790" max="1790" width="2.5703125" customWidth="1"/>
    <col min="1791" max="1792" width="12.7109375" customWidth="1"/>
    <col min="1793" max="1793" width="2.5703125" customWidth="1"/>
    <col min="1794" max="1795" width="12.7109375" customWidth="1"/>
    <col min="1796" max="1796" width="2.5703125" customWidth="1"/>
    <col min="1797" max="1798" width="12.7109375" customWidth="1"/>
    <col min="2011" max="2012" width="12.42578125" customWidth="1"/>
    <col min="2013" max="2013" width="39.140625" customWidth="1"/>
    <col min="2014" max="2014" width="12.42578125" customWidth="1"/>
    <col min="2015" max="2015" width="2.7109375" customWidth="1"/>
    <col min="2016" max="2016" width="15.28515625" bestFit="1" customWidth="1"/>
    <col min="2017" max="2018" width="12.7109375" customWidth="1"/>
    <col min="2019" max="2019" width="2.5703125" customWidth="1"/>
    <col min="2020" max="2021" width="12.7109375" customWidth="1"/>
    <col min="2022" max="2022" width="2.5703125" customWidth="1"/>
    <col min="2023" max="2024" width="12.7109375" customWidth="1"/>
    <col min="2025" max="2025" width="2.5703125" customWidth="1"/>
    <col min="2026" max="2027" width="12.7109375" customWidth="1"/>
    <col min="2028" max="2028" width="2.5703125" customWidth="1"/>
    <col min="2029" max="2030" width="12.7109375" customWidth="1"/>
    <col min="2031" max="2031" width="2.5703125" customWidth="1"/>
    <col min="2032" max="2033" width="12.7109375" customWidth="1"/>
    <col min="2034" max="2034" width="2.5703125" customWidth="1"/>
    <col min="2035" max="2036" width="12.7109375" customWidth="1"/>
    <col min="2037" max="2037" width="2.5703125" customWidth="1"/>
    <col min="2038" max="2039" width="12.7109375" customWidth="1"/>
    <col min="2040" max="2040" width="2.5703125" customWidth="1"/>
    <col min="2041" max="2042" width="12.7109375" customWidth="1"/>
    <col min="2043" max="2043" width="2.5703125" customWidth="1"/>
    <col min="2044" max="2045" width="12.7109375" customWidth="1"/>
    <col min="2046" max="2046" width="2.5703125" customWidth="1"/>
    <col min="2047" max="2048" width="12.7109375" customWidth="1"/>
    <col min="2049" max="2049" width="2.5703125" customWidth="1"/>
    <col min="2050" max="2051" width="12.7109375" customWidth="1"/>
    <col min="2052" max="2052" width="2.5703125" customWidth="1"/>
    <col min="2053" max="2054" width="12.7109375" customWidth="1"/>
    <col min="2267" max="2268" width="12.42578125" customWidth="1"/>
    <col min="2269" max="2269" width="39.140625" customWidth="1"/>
    <col min="2270" max="2270" width="12.42578125" customWidth="1"/>
    <col min="2271" max="2271" width="2.7109375" customWidth="1"/>
    <col min="2272" max="2272" width="15.28515625" bestFit="1" customWidth="1"/>
    <col min="2273" max="2274" width="12.7109375" customWidth="1"/>
    <col min="2275" max="2275" width="2.5703125" customWidth="1"/>
    <col min="2276" max="2277" width="12.7109375" customWidth="1"/>
    <col min="2278" max="2278" width="2.5703125" customWidth="1"/>
    <col min="2279" max="2280" width="12.7109375" customWidth="1"/>
    <col min="2281" max="2281" width="2.5703125" customWidth="1"/>
    <col min="2282" max="2283" width="12.7109375" customWidth="1"/>
    <col min="2284" max="2284" width="2.5703125" customWidth="1"/>
    <col min="2285" max="2286" width="12.7109375" customWidth="1"/>
    <col min="2287" max="2287" width="2.5703125" customWidth="1"/>
    <col min="2288" max="2289" width="12.7109375" customWidth="1"/>
    <col min="2290" max="2290" width="2.5703125" customWidth="1"/>
    <col min="2291" max="2292" width="12.7109375" customWidth="1"/>
    <col min="2293" max="2293" width="2.5703125" customWidth="1"/>
    <col min="2294" max="2295" width="12.7109375" customWidth="1"/>
    <col min="2296" max="2296" width="2.5703125" customWidth="1"/>
    <col min="2297" max="2298" width="12.7109375" customWidth="1"/>
    <col min="2299" max="2299" width="2.5703125" customWidth="1"/>
    <col min="2300" max="2301" width="12.7109375" customWidth="1"/>
    <col min="2302" max="2302" width="2.5703125" customWidth="1"/>
    <col min="2303" max="2304" width="12.7109375" customWidth="1"/>
    <col min="2305" max="2305" width="2.5703125" customWidth="1"/>
    <col min="2306" max="2307" width="12.7109375" customWidth="1"/>
    <col min="2308" max="2308" width="2.5703125" customWidth="1"/>
    <col min="2309" max="2310" width="12.7109375" customWidth="1"/>
    <col min="2523" max="2524" width="12.42578125" customWidth="1"/>
    <col min="2525" max="2525" width="39.140625" customWidth="1"/>
    <col min="2526" max="2526" width="12.42578125" customWidth="1"/>
    <col min="2527" max="2527" width="2.7109375" customWidth="1"/>
    <col min="2528" max="2528" width="15.28515625" bestFit="1" customWidth="1"/>
    <col min="2529" max="2530" width="12.7109375" customWidth="1"/>
    <col min="2531" max="2531" width="2.5703125" customWidth="1"/>
    <col min="2532" max="2533" width="12.7109375" customWidth="1"/>
    <col min="2534" max="2534" width="2.5703125" customWidth="1"/>
    <col min="2535" max="2536" width="12.7109375" customWidth="1"/>
    <col min="2537" max="2537" width="2.5703125" customWidth="1"/>
    <col min="2538" max="2539" width="12.7109375" customWidth="1"/>
    <col min="2540" max="2540" width="2.5703125" customWidth="1"/>
    <col min="2541" max="2542" width="12.7109375" customWidth="1"/>
    <col min="2543" max="2543" width="2.5703125" customWidth="1"/>
    <col min="2544" max="2545" width="12.7109375" customWidth="1"/>
    <col min="2546" max="2546" width="2.5703125" customWidth="1"/>
    <col min="2547" max="2548" width="12.7109375" customWidth="1"/>
    <col min="2549" max="2549" width="2.5703125" customWidth="1"/>
    <col min="2550" max="2551" width="12.7109375" customWidth="1"/>
    <col min="2552" max="2552" width="2.5703125" customWidth="1"/>
    <col min="2553" max="2554" width="12.7109375" customWidth="1"/>
    <col min="2555" max="2555" width="2.5703125" customWidth="1"/>
    <col min="2556" max="2557" width="12.7109375" customWidth="1"/>
    <col min="2558" max="2558" width="2.5703125" customWidth="1"/>
    <col min="2559" max="2560" width="12.7109375" customWidth="1"/>
    <col min="2561" max="2561" width="2.5703125" customWidth="1"/>
    <col min="2562" max="2563" width="12.7109375" customWidth="1"/>
    <col min="2564" max="2564" width="2.5703125" customWidth="1"/>
    <col min="2565" max="2566" width="12.7109375" customWidth="1"/>
    <col min="2779" max="2780" width="12.42578125" customWidth="1"/>
    <col min="2781" max="2781" width="39.140625" customWidth="1"/>
    <col min="2782" max="2782" width="12.42578125" customWidth="1"/>
    <col min="2783" max="2783" width="2.7109375" customWidth="1"/>
    <col min="2784" max="2784" width="15.28515625" bestFit="1" customWidth="1"/>
    <col min="2785" max="2786" width="12.7109375" customWidth="1"/>
    <col min="2787" max="2787" width="2.5703125" customWidth="1"/>
    <col min="2788" max="2789" width="12.7109375" customWidth="1"/>
    <col min="2790" max="2790" width="2.5703125" customWidth="1"/>
    <col min="2791" max="2792" width="12.7109375" customWidth="1"/>
    <col min="2793" max="2793" width="2.5703125" customWidth="1"/>
    <col min="2794" max="2795" width="12.7109375" customWidth="1"/>
    <col min="2796" max="2796" width="2.5703125" customWidth="1"/>
    <col min="2797" max="2798" width="12.7109375" customWidth="1"/>
    <col min="2799" max="2799" width="2.5703125" customWidth="1"/>
    <col min="2800" max="2801" width="12.7109375" customWidth="1"/>
    <col min="2802" max="2802" width="2.5703125" customWidth="1"/>
    <col min="2803" max="2804" width="12.7109375" customWidth="1"/>
    <col min="2805" max="2805" width="2.5703125" customWidth="1"/>
    <col min="2806" max="2807" width="12.7109375" customWidth="1"/>
    <col min="2808" max="2808" width="2.5703125" customWidth="1"/>
    <col min="2809" max="2810" width="12.7109375" customWidth="1"/>
    <col min="2811" max="2811" width="2.5703125" customWidth="1"/>
    <col min="2812" max="2813" width="12.7109375" customWidth="1"/>
    <col min="2814" max="2814" width="2.5703125" customWidth="1"/>
    <col min="2815" max="2816" width="12.7109375" customWidth="1"/>
    <col min="2817" max="2817" width="2.5703125" customWidth="1"/>
    <col min="2818" max="2819" width="12.7109375" customWidth="1"/>
    <col min="2820" max="2820" width="2.5703125" customWidth="1"/>
    <col min="2821" max="2822" width="12.7109375" customWidth="1"/>
    <col min="3035" max="3036" width="12.42578125" customWidth="1"/>
    <col min="3037" max="3037" width="39.140625" customWidth="1"/>
    <col min="3038" max="3038" width="12.42578125" customWidth="1"/>
    <col min="3039" max="3039" width="2.7109375" customWidth="1"/>
    <col min="3040" max="3040" width="15.28515625" bestFit="1" customWidth="1"/>
    <col min="3041" max="3042" width="12.7109375" customWidth="1"/>
    <col min="3043" max="3043" width="2.5703125" customWidth="1"/>
    <col min="3044" max="3045" width="12.7109375" customWidth="1"/>
    <col min="3046" max="3046" width="2.5703125" customWidth="1"/>
    <col min="3047" max="3048" width="12.7109375" customWidth="1"/>
    <col min="3049" max="3049" width="2.5703125" customWidth="1"/>
    <col min="3050" max="3051" width="12.7109375" customWidth="1"/>
    <col min="3052" max="3052" width="2.5703125" customWidth="1"/>
    <col min="3053" max="3054" width="12.7109375" customWidth="1"/>
    <col min="3055" max="3055" width="2.5703125" customWidth="1"/>
    <col min="3056" max="3057" width="12.7109375" customWidth="1"/>
    <col min="3058" max="3058" width="2.5703125" customWidth="1"/>
    <col min="3059" max="3060" width="12.7109375" customWidth="1"/>
    <col min="3061" max="3061" width="2.5703125" customWidth="1"/>
    <col min="3062" max="3063" width="12.7109375" customWidth="1"/>
    <col min="3064" max="3064" width="2.5703125" customWidth="1"/>
    <col min="3065" max="3066" width="12.7109375" customWidth="1"/>
    <col min="3067" max="3067" width="2.5703125" customWidth="1"/>
    <col min="3068" max="3069" width="12.7109375" customWidth="1"/>
    <col min="3070" max="3070" width="2.5703125" customWidth="1"/>
    <col min="3071" max="3072" width="12.7109375" customWidth="1"/>
    <col min="3073" max="3073" width="2.5703125" customWidth="1"/>
    <col min="3074" max="3075" width="12.7109375" customWidth="1"/>
    <col min="3076" max="3076" width="2.5703125" customWidth="1"/>
    <col min="3077" max="3078" width="12.7109375" customWidth="1"/>
    <col min="3291" max="3292" width="12.42578125" customWidth="1"/>
    <col min="3293" max="3293" width="39.140625" customWidth="1"/>
    <col min="3294" max="3294" width="12.42578125" customWidth="1"/>
    <col min="3295" max="3295" width="2.7109375" customWidth="1"/>
    <col min="3296" max="3296" width="15.28515625" bestFit="1" customWidth="1"/>
    <col min="3297" max="3298" width="12.7109375" customWidth="1"/>
    <col min="3299" max="3299" width="2.5703125" customWidth="1"/>
    <col min="3300" max="3301" width="12.7109375" customWidth="1"/>
    <col min="3302" max="3302" width="2.5703125" customWidth="1"/>
    <col min="3303" max="3304" width="12.7109375" customWidth="1"/>
    <col min="3305" max="3305" width="2.5703125" customWidth="1"/>
    <col min="3306" max="3307" width="12.7109375" customWidth="1"/>
    <col min="3308" max="3308" width="2.5703125" customWidth="1"/>
    <col min="3309" max="3310" width="12.7109375" customWidth="1"/>
    <col min="3311" max="3311" width="2.5703125" customWidth="1"/>
    <col min="3312" max="3313" width="12.7109375" customWidth="1"/>
    <col min="3314" max="3314" width="2.5703125" customWidth="1"/>
    <col min="3315" max="3316" width="12.7109375" customWidth="1"/>
    <col min="3317" max="3317" width="2.5703125" customWidth="1"/>
    <col min="3318" max="3319" width="12.7109375" customWidth="1"/>
    <col min="3320" max="3320" width="2.5703125" customWidth="1"/>
    <col min="3321" max="3322" width="12.7109375" customWidth="1"/>
    <col min="3323" max="3323" width="2.5703125" customWidth="1"/>
    <col min="3324" max="3325" width="12.7109375" customWidth="1"/>
    <col min="3326" max="3326" width="2.5703125" customWidth="1"/>
    <col min="3327" max="3328" width="12.7109375" customWidth="1"/>
    <col min="3329" max="3329" width="2.5703125" customWidth="1"/>
    <col min="3330" max="3331" width="12.7109375" customWidth="1"/>
    <col min="3332" max="3332" width="2.5703125" customWidth="1"/>
    <col min="3333" max="3334" width="12.7109375" customWidth="1"/>
    <col min="3547" max="3548" width="12.42578125" customWidth="1"/>
    <col min="3549" max="3549" width="39.140625" customWidth="1"/>
    <col min="3550" max="3550" width="12.42578125" customWidth="1"/>
    <col min="3551" max="3551" width="2.7109375" customWidth="1"/>
    <col min="3552" max="3552" width="15.28515625" bestFit="1" customWidth="1"/>
    <col min="3553" max="3554" width="12.7109375" customWidth="1"/>
    <col min="3555" max="3555" width="2.5703125" customWidth="1"/>
    <col min="3556" max="3557" width="12.7109375" customWidth="1"/>
    <col min="3558" max="3558" width="2.5703125" customWidth="1"/>
    <col min="3559" max="3560" width="12.7109375" customWidth="1"/>
    <col min="3561" max="3561" width="2.5703125" customWidth="1"/>
    <col min="3562" max="3563" width="12.7109375" customWidth="1"/>
    <col min="3564" max="3564" width="2.5703125" customWidth="1"/>
    <col min="3565" max="3566" width="12.7109375" customWidth="1"/>
    <col min="3567" max="3567" width="2.5703125" customWidth="1"/>
    <col min="3568" max="3569" width="12.7109375" customWidth="1"/>
    <col min="3570" max="3570" width="2.5703125" customWidth="1"/>
    <col min="3571" max="3572" width="12.7109375" customWidth="1"/>
    <col min="3573" max="3573" width="2.5703125" customWidth="1"/>
    <col min="3574" max="3575" width="12.7109375" customWidth="1"/>
    <col min="3576" max="3576" width="2.5703125" customWidth="1"/>
    <col min="3577" max="3578" width="12.7109375" customWidth="1"/>
    <col min="3579" max="3579" width="2.5703125" customWidth="1"/>
    <col min="3580" max="3581" width="12.7109375" customWidth="1"/>
    <col min="3582" max="3582" width="2.5703125" customWidth="1"/>
    <col min="3583" max="3584" width="12.7109375" customWidth="1"/>
    <col min="3585" max="3585" width="2.5703125" customWidth="1"/>
    <col min="3586" max="3587" width="12.7109375" customWidth="1"/>
    <col min="3588" max="3588" width="2.5703125" customWidth="1"/>
    <col min="3589" max="3590" width="12.7109375" customWidth="1"/>
    <col min="3803" max="3804" width="12.42578125" customWidth="1"/>
    <col min="3805" max="3805" width="39.140625" customWidth="1"/>
    <col min="3806" max="3806" width="12.42578125" customWidth="1"/>
    <col min="3807" max="3807" width="2.7109375" customWidth="1"/>
    <col min="3808" max="3808" width="15.28515625" bestFit="1" customWidth="1"/>
    <col min="3809" max="3810" width="12.7109375" customWidth="1"/>
    <col min="3811" max="3811" width="2.5703125" customWidth="1"/>
    <col min="3812" max="3813" width="12.7109375" customWidth="1"/>
    <col min="3814" max="3814" width="2.5703125" customWidth="1"/>
    <col min="3815" max="3816" width="12.7109375" customWidth="1"/>
    <col min="3817" max="3817" width="2.5703125" customWidth="1"/>
    <col min="3818" max="3819" width="12.7109375" customWidth="1"/>
    <col min="3820" max="3820" width="2.5703125" customWidth="1"/>
    <col min="3821" max="3822" width="12.7109375" customWidth="1"/>
    <col min="3823" max="3823" width="2.5703125" customWidth="1"/>
    <col min="3824" max="3825" width="12.7109375" customWidth="1"/>
    <col min="3826" max="3826" width="2.5703125" customWidth="1"/>
    <col min="3827" max="3828" width="12.7109375" customWidth="1"/>
    <col min="3829" max="3829" width="2.5703125" customWidth="1"/>
    <col min="3830" max="3831" width="12.7109375" customWidth="1"/>
    <col min="3832" max="3832" width="2.5703125" customWidth="1"/>
    <col min="3833" max="3834" width="12.7109375" customWidth="1"/>
    <col min="3835" max="3835" width="2.5703125" customWidth="1"/>
    <col min="3836" max="3837" width="12.7109375" customWidth="1"/>
    <col min="3838" max="3838" width="2.5703125" customWidth="1"/>
    <col min="3839" max="3840" width="12.7109375" customWidth="1"/>
    <col min="3841" max="3841" width="2.5703125" customWidth="1"/>
    <col min="3842" max="3843" width="12.7109375" customWidth="1"/>
    <col min="3844" max="3844" width="2.5703125" customWidth="1"/>
    <col min="3845" max="3846" width="12.7109375" customWidth="1"/>
    <col min="4059" max="4060" width="12.42578125" customWidth="1"/>
    <col min="4061" max="4061" width="39.140625" customWidth="1"/>
    <col min="4062" max="4062" width="12.42578125" customWidth="1"/>
    <col min="4063" max="4063" width="2.7109375" customWidth="1"/>
    <col min="4064" max="4064" width="15.28515625" bestFit="1" customWidth="1"/>
    <col min="4065" max="4066" width="12.7109375" customWidth="1"/>
    <col min="4067" max="4067" width="2.5703125" customWidth="1"/>
    <col min="4068" max="4069" width="12.7109375" customWidth="1"/>
    <col min="4070" max="4070" width="2.5703125" customWidth="1"/>
    <col min="4071" max="4072" width="12.7109375" customWidth="1"/>
    <col min="4073" max="4073" width="2.5703125" customWidth="1"/>
    <col min="4074" max="4075" width="12.7109375" customWidth="1"/>
    <col min="4076" max="4076" width="2.5703125" customWidth="1"/>
    <col min="4077" max="4078" width="12.7109375" customWidth="1"/>
    <col min="4079" max="4079" width="2.5703125" customWidth="1"/>
    <col min="4080" max="4081" width="12.7109375" customWidth="1"/>
    <col min="4082" max="4082" width="2.5703125" customWidth="1"/>
    <col min="4083" max="4084" width="12.7109375" customWidth="1"/>
    <col min="4085" max="4085" width="2.5703125" customWidth="1"/>
    <col min="4086" max="4087" width="12.7109375" customWidth="1"/>
    <col min="4088" max="4088" width="2.5703125" customWidth="1"/>
    <col min="4089" max="4090" width="12.7109375" customWidth="1"/>
    <col min="4091" max="4091" width="2.5703125" customWidth="1"/>
    <col min="4092" max="4093" width="12.7109375" customWidth="1"/>
    <col min="4094" max="4094" width="2.5703125" customWidth="1"/>
    <col min="4095" max="4096" width="12.7109375" customWidth="1"/>
    <col min="4097" max="4097" width="2.5703125" customWidth="1"/>
    <col min="4098" max="4099" width="12.7109375" customWidth="1"/>
    <col min="4100" max="4100" width="2.5703125" customWidth="1"/>
    <col min="4101" max="4102" width="12.7109375" customWidth="1"/>
    <col min="4315" max="4316" width="12.42578125" customWidth="1"/>
    <col min="4317" max="4317" width="39.140625" customWidth="1"/>
    <col min="4318" max="4318" width="12.42578125" customWidth="1"/>
    <col min="4319" max="4319" width="2.7109375" customWidth="1"/>
    <col min="4320" max="4320" width="15.28515625" bestFit="1" customWidth="1"/>
    <col min="4321" max="4322" width="12.7109375" customWidth="1"/>
    <col min="4323" max="4323" width="2.5703125" customWidth="1"/>
    <col min="4324" max="4325" width="12.7109375" customWidth="1"/>
    <col min="4326" max="4326" width="2.5703125" customWidth="1"/>
    <col min="4327" max="4328" width="12.7109375" customWidth="1"/>
    <col min="4329" max="4329" width="2.5703125" customWidth="1"/>
    <col min="4330" max="4331" width="12.7109375" customWidth="1"/>
    <col min="4332" max="4332" width="2.5703125" customWidth="1"/>
    <col min="4333" max="4334" width="12.7109375" customWidth="1"/>
    <col min="4335" max="4335" width="2.5703125" customWidth="1"/>
    <col min="4336" max="4337" width="12.7109375" customWidth="1"/>
    <col min="4338" max="4338" width="2.5703125" customWidth="1"/>
    <col min="4339" max="4340" width="12.7109375" customWidth="1"/>
    <col min="4341" max="4341" width="2.5703125" customWidth="1"/>
    <col min="4342" max="4343" width="12.7109375" customWidth="1"/>
    <col min="4344" max="4344" width="2.5703125" customWidth="1"/>
    <col min="4345" max="4346" width="12.7109375" customWidth="1"/>
    <col min="4347" max="4347" width="2.5703125" customWidth="1"/>
    <col min="4348" max="4349" width="12.7109375" customWidth="1"/>
    <col min="4350" max="4350" width="2.5703125" customWidth="1"/>
    <col min="4351" max="4352" width="12.7109375" customWidth="1"/>
    <col min="4353" max="4353" width="2.5703125" customWidth="1"/>
    <col min="4354" max="4355" width="12.7109375" customWidth="1"/>
    <col min="4356" max="4356" width="2.5703125" customWidth="1"/>
    <col min="4357" max="4358" width="12.7109375" customWidth="1"/>
    <col min="4571" max="4572" width="12.42578125" customWidth="1"/>
    <col min="4573" max="4573" width="39.140625" customWidth="1"/>
    <col min="4574" max="4574" width="12.42578125" customWidth="1"/>
    <col min="4575" max="4575" width="2.7109375" customWidth="1"/>
    <col min="4576" max="4576" width="15.28515625" bestFit="1" customWidth="1"/>
    <col min="4577" max="4578" width="12.7109375" customWidth="1"/>
    <col min="4579" max="4579" width="2.5703125" customWidth="1"/>
    <col min="4580" max="4581" width="12.7109375" customWidth="1"/>
    <col min="4582" max="4582" width="2.5703125" customWidth="1"/>
    <col min="4583" max="4584" width="12.7109375" customWidth="1"/>
    <col min="4585" max="4585" width="2.5703125" customWidth="1"/>
    <col min="4586" max="4587" width="12.7109375" customWidth="1"/>
    <col min="4588" max="4588" width="2.5703125" customWidth="1"/>
    <col min="4589" max="4590" width="12.7109375" customWidth="1"/>
    <col min="4591" max="4591" width="2.5703125" customWidth="1"/>
    <col min="4592" max="4593" width="12.7109375" customWidth="1"/>
    <col min="4594" max="4594" width="2.5703125" customWidth="1"/>
    <col min="4595" max="4596" width="12.7109375" customWidth="1"/>
    <col min="4597" max="4597" width="2.5703125" customWidth="1"/>
    <col min="4598" max="4599" width="12.7109375" customWidth="1"/>
    <col min="4600" max="4600" width="2.5703125" customWidth="1"/>
    <col min="4601" max="4602" width="12.7109375" customWidth="1"/>
    <col min="4603" max="4603" width="2.5703125" customWidth="1"/>
    <col min="4604" max="4605" width="12.7109375" customWidth="1"/>
    <col min="4606" max="4606" width="2.5703125" customWidth="1"/>
    <col min="4607" max="4608" width="12.7109375" customWidth="1"/>
    <col min="4609" max="4609" width="2.5703125" customWidth="1"/>
    <col min="4610" max="4611" width="12.7109375" customWidth="1"/>
    <col min="4612" max="4612" width="2.5703125" customWidth="1"/>
    <col min="4613" max="4614" width="12.7109375" customWidth="1"/>
    <col min="4827" max="4828" width="12.42578125" customWidth="1"/>
    <col min="4829" max="4829" width="39.140625" customWidth="1"/>
    <col min="4830" max="4830" width="12.42578125" customWidth="1"/>
    <col min="4831" max="4831" width="2.7109375" customWidth="1"/>
    <col min="4832" max="4832" width="15.28515625" bestFit="1" customWidth="1"/>
    <col min="4833" max="4834" width="12.7109375" customWidth="1"/>
    <col min="4835" max="4835" width="2.5703125" customWidth="1"/>
    <col min="4836" max="4837" width="12.7109375" customWidth="1"/>
    <col min="4838" max="4838" width="2.5703125" customWidth="1"/>
    <col min="4839" max="4840" width="12.7109375" customWidth="1"/>
    <col min="4841" max="4841" width="2.5703125" customWidth="1"/>
    <col min="4842" max="4843" width="12.7109375" customWidth="1"/>
    <col min="4844" max="4844" width="2.5703125" customWidth="1"/>
    <col min="4845" max="4846" width="12.7109375" customWidth="1"/>
    <col min="4847" max="4847" width="2.5703125" customWidth="1"/>
    <col min="4848" max="4849" width="12.7109375" customWidth="1"/>
    <col min="4850" max="4850" width="2.5703125" customWidth="1"/>
    <col min="4851" max="4852" width="12.7109375" customWidth="1"/>
    <col min="4853" max="4853" width="2.5703125" customWidth="1"/>
    <col min="4854" max="4855" width="12.7109375" customWidth="1"/>
    <col min="4856" max="4856" width="2.5703125" customWidth="1"/>
    <col min="4857" max="4858" width="12.7109375" customWidth="1"/>
    <col min="4859" max="4859" width="2.5703125" customWidth="1"/>
    <col min="4860" max="4861" width="12.7109375" customWidth="1"/>
    <col min="4862" max="4862" width="2.5703125" customWidth="1"/>
    <col min="4863" max="4864" width="12.7109375" customWidth="1"/>
    <col min="4865" max="4865" width="2.5703125" customWidth="1"/>
    <col min="4866" max="4867" width="12.7109375" customWidth="1"/>
    <col min="4868" max="4868" width="2.5703125" customWidth="1"/>
    <col min="4869" max="4870" width="12.7109375" customWidth="1"/>
    <col min="5083" max="5084" width="12.42578125" customWidth="1"/>
    <col min="5085" max="5085" width="39.140625" customWidth="1"/>
    <col min="5086" max="5086" width="12.42578125" customWidth="1"/>
    <col min="5087" max="5087" width="2.7109375" customWidth="1"/>
    <col min="5088" max="5088" width="15.28515625" bestFit="1" customWidth="1"/>
    <col min="5089" max="5090" width="12.7109375" customWidth="1"/>
    <col min="5091" max="5091" width="2.5703125" customWidth="1"/>
    <col min="5092" max="5093" width="12.7109375" customWidth="1"/>
    <col min="5094" max="5094" width="2.5703125" customWidth="1"/>
    <col min="5095" max="5096" width="12.7109375" customWidth="1"/>
    <col min="5097" max="5097" width="2.5703125" customWidth="1"/>
    <col min="5098" max="5099" width="12.7109375" customWidth="1"/>
    <col min="5100" max="5100" width="2.5703125" customWidth="1"/>
    <col min="5101" max="5102" width="12.7109375" customWidth="1"/>
    <col min="5103" max="5103" width="2.5703125" customWidth="1"/>
    <col min="5104" max="5105" width="12.7109375" customWidth="1"/>
    <col min="5106" max="5106" width="2.5703125" customWidth="1"/>
    <col min="5107" max="5108" width="12.7109375" customWidth="1"/>
    <col min="5109" max="5109" width="2.5703125" customWidth="1"/>
    <col min="5110" max="5111" width="12.7109375" customWidth="1"/>
    <col min="5112" max="5112" width="2.5703125" customWidth="1"/>
    <col min="5113" max="5114" width="12.7109375" customWidth="1"/>
    <col min="5115" max="5115" width="2.5703125" customWidth="1"/>
    <col min="5116" max="5117" width="12.7109375" customWidth="1"/>
    <col min="5118" max="5118" width="2.5703125" customWidth="1"/>
    <col min="5119" max="5120" width="12.7109375" customWidth="1"/>
    <col min="5121" max="5121" width="2.5703125" customWidth="1"/>
    <col min="5122" max="5123" width="12.7109375" customWidth="1"/>
    <col min="5124" max="5124" width="2.5703125" customWidth="1"/>
    <col min="5125" max="5126" width="12.7109375" customWidth="1"/>
    <col min="5339" max="5340" width="12.42578125" customWidth="1"/>
    <col min="5341" max="5341" width="39.140625" customWidth="1"/>
    <col min="5342" max="5342" width="12.42578125" customWidth="1"/>
    <col min="5343" max="5343" width="2.7109375" customWidth="1"/>
    <col min="5344" max="5344" width="15.28515625" bestFit="1" customWidth="1"/>
    <col min="5345" max="5346" width="12.7109375" customWidth="1"/>
    <col min="5347" max="5347" width="2.5703125" customWidth="1"/>
    <col min="5348" max="5349" width="12.7109375" customWidth="1"/>
    <col min="5350" max="5350" width="2.5703125" customWidth="1"/>
    <col min="5351" max="5352" width="12.7109375" customWidth="1"/>
    <col min="5353" max="5353" width="2.5703125" customWidth="1"/>
    <col min="5354" max="5355" width="12.7109375" customWidth="1"/>
    <col min="5356" max="5356" width="2.5703125" customWidth="1"/>
    <col min="5357" max="5358" width="12.7109375" customWidth="1"/>
    <col min="5359" max="5359" width="2.5703125" customWidth="1"/>
    <col min="5360" max="5361" width="12.7109375" customWidth="1"/>
    <col min="5362" max="5362" width="2.5703125" customWidth="1"/>
    <col min="5363" max="5364" width="12.7109375" customWidth="1"/>
    <col min="5365" max="5365" width="2.5703125" customWidth="1"/>
    <col min="5366" max="5367" width="12.7109375" customWidth="1"/>
    <col min="5368" max="5368" width="2.5703125" customWidth="1"/>
    <col min="5369" max="5370" width="12.7109375" customWidth="1"/>
    <col min="5371" max="5371" width="2.5703125" customWidth="1"/>
    <col min="5372" max="5373" width="12.7109375" customWidth="1"/>
    <col min="5374" max="5374" width="2.5703125" customWidth="1"/>
    <col min="5375" max="5376" width="12.7109375" customWidth="1"/>
    <col min="5377" max="5377" width="2.5703125" customWidth="1"/>
    <col min="5378" max="5379" width="12.7109375" customWidth="1"/>
    <col min="5380" max="5380" width="2.5703125" customWidth="1"/>
    <col min="5381" max="5382" width="12.7109375" customWidth="1"/>
    <col min="5595" max="5596" width="12.42578125" customWidth="1"/>
    <col min="5597" max="5597" width="39.140625" customWidth="1"/>
    <col min="5598" max="5598" width="12.42578125" customWidth="1"/>
    <col min="5599" max="5599" width="2.7109375" customWidth="1"/>
    <col min="5600" max="5600" width="15.28515625" bestFit="1" customWidth="1"/>
    <col min="5601" max="5602" width="12.7109375" customWidth="1"/>
    <col min="5603" max="5603" width="2.5703125" customWidth="1"/>
    <col min="5604" max="5605" width="12.7109375" customWidth="1"/>
    <col min="5606" max="5606" width="2.5703125" customWidth="1"/>
    <col min="5607" max="5608" width="12.7109375" customWidth="1"/>
    <col min="5609" max="5609" width="2.5703125" customWidth="1"/>
    <col min="5610" max="5611" width="12.7109375" customWidth="1"/>
    <col min="5612" max="5612" width="2.5703125" customWidth="1"/>
    <col min="5613" max="5614" width="12.7109375" customWidth="1"/>
    <col min="5615" max="5615" width="2.5703125" customWidth="1"/>
    <col min="5616" max="5617" width="12.7109375" customWidth="1"/>
    <col min="5618" max="5618" width="2.5703125" customWidth="1"/>
    <col min="5619" max="5620" width="12.7109375" customWidth="1"/>
    <col min="5621" max="5621" width="2.5703125" customWidth="1"/>
    <col min="5622" max="5623" width="12.7109375" customWidth="1"/>
    <col min="5624" max="5624" width="2.5703125" customWidth="1"/>
    <col min="5625" max="5626" width="12.7109375" customWidth="1"/>
    <col min="5627" max="5627" width="2.5703125" customWidth="1"/>
    <col min="5628" max="5629" width="12.7109375" customWidth="1"/>
    <col min="5630" max="5630" width="2.5703125" customWidth="1"/>
    <col min="5631" max="5632" width="12.7109375" customWidth="1"/>
    <col min="5633" max="5633" width="2.5703125" customWidth="1"/>
    <col min="5634" max="5635" width="12.7109375" customWidth="1"/>
    <col min="5636" max="5636" width="2.5703125" customWidth="1"/>
    <col min="5637" max="5638" width="12.7109375" customWidth="1"/>
    <col min="5851" max="5852" width="12.42578125" customWidth="1"/>
    <col min="5853" max="5853" width="39.140625" customWidth="1"/>
    <col min="5854" max="5854" width="12.42578125" customWidth="1"/>
    <col min="5855" max="5855" width="2.7109375" customWidth="1"/>
    <col min="5856" max="5856" width="15.28515625" bestFit="1" customWidth="1"/>
    <col min="5857" max="5858" width="12.7109375" customWidth="1"/>
    <col min="5859" max="5859" width="2.5703125" customWidth="1"/>
    <col min="5860" max="5861" width="12.7109375" customWidth="1"/>
    <col min="5862" max="5862" width="2.5703125" customWidth="1"/>
    <col min="5863" max="5864" width="12.7109375" customWidth="1"/>
    <col min="5865" max="5865" width="2.5703125" customWidth="1"/>
    <col min="5866" max="5867" width="12.7109375" customWidth="1"/>
    <col min="5868" max="5868" width="2.5703125" customWidth="1"/>
    <col min="5869" max="5870" width="12.7109375" customWidth="1"/>
    <col min="5871" max="5871" width="2.5703125" customWidth="1"/>
    <col min="5872" max="5873" width="12.7109375" customWidth="1"/>
    <col min="5874" max="5874" width="2.5703125" customWidth="1"/>
    <col min="5875" max="5876" width="12.7109375" customWidth="1"/>
    <col min="5877" max="5877" width="2.5703125" customWidth="1"/>
    <col min="5878" max="5879" width="12.7109375" customWidth="1"/>
    <col min="5880" max="5880" width="2.5703125" customWidth="1"/>
    <col min="5881" max="5882" width="12.7109375" customWidth="1"/>
    <col min="5883" max="5883" width="2.5703125" customWidth="1"/>
    <col min="5884" max="5885" width="12.7109375" customWidth="1"/>
    <col min="5886" max="5886" width="2.5703125" customWidth="1"/>
    <col min="5887" max="5888" width="12.7109375" customWidth="1"/>
    <col min="5889" max="5889" width="2.5703125" customWidth="1"/>
    <col min="5890" max="5891" width="12.7109375" customWidth="1"/>
    <col min="5892" max="5892" width="2.5703125" customWidth="1"/>
    <col min="5893" max="5894" width="12.7109375" customWidth="1"/>
    <col min="6107" max="6108" width="12.42578125" customWidth="1"/>
    <col min="6109" max="6109" width="39.140625" customWidth="1"/>
    <col min="6110" max="6110" width="12.42578125" customWidth="1"/>
    <col min="6111" max="6111" width="2.7109375" customWidth="1"/>
    <col min="6112" max="6112" width="15.28515625" bestFit="1" customWidth="1"/>
    <col min="6113" max="6114" width="12.7109375" customWidth="1"/>
    <col min="6115" max="6115" width="2.5703125" customWidth="1"/>
    <col min="6116" max="6117" width="12.7109375" customWidth="1"/>
    <col min="6118" max="6118" width="2.5703125" customWidth="1"/>
    <col min="6119" max="6120" width="12.7109375" customWidth="1"/>
    <col min="6121" max="6121" width="2.5703125" customWidth="1"/>
    <col min="6122" max="6123" width="12.7109375" customWidth="1"/>
    <col min="6124" max="6124" width="2.5703125" customWidth="1"/>
    <col min="6125" max="6126" width="12.7109375" customWidth="1"/>
    <col min="6127" max="6127" width="2.5703125" customWidth="1"/>
    <col min="6128" max="6129" width="12.7109375" customWidth="1"/>
    <col min="6130" max="6130" width="2.5703125" customWidth="1"/>
    <col min="6131" max="6132" width="12.7109375" customWidth="1"/>
    <col min="6133" max="6133" width="2.5703125" customWidth="1"/>
    <col min="6134" max="6135" width="12.7109375" customWidth="1"/>
    <col min="6136" max="6136" width="2.5703125" customWidth="1"/>
    <col min="6137" max="6138" width="12.7109375" customWidth="1"/>
    <col min="6139" max="6139" width="2.5703125" customWidth="1"/>
    <col min="6140" max="6141" width="12.7109375" customWidth="1"/>
    <col min="6142" max="6142" width="2.5703125" customWidth="1"/>
    <col min="6143" max="6144" width="12.7109375" customWidth="1"/>
    <col min="6145" max="6145" width="2.5703125" customWidth="1"/>
    <col min="6146" max="6147" width="12.7109375" customWidth="1"/>
    <col min="6148" max="6148" width="2.5703125" customWidth="1"/>
    <col min="6149" max="6150" width="12.7109375" customWidth="1"/>
    <col min="6363" max="6364" width="12.42578125" customWidth="1"/>
    <col min="6365" max="6365" width="39.140625" customWidth="1"/>
    <col min="6366" max="6366" width="12.42578125" customWidth="1"/>
    <col min="6367" max="6367" width="2.7109375" customWidth="1"/>
    <col min="6368" max="6368" width="15.28515625" bestFit="1" customWidth="1"/>
    <col min="6369" max="6370" width="12.7109375" customWidth="1"/>
    <col min="6371" max="6371" width="2.5703125" customWidth="1"/>
    <col min="6372" max="6373" width="12.7109375" customWidth="1"/>
    <col min="6374" max="6374" width="2.5703125" customWidth="1"/>
    <col min="6375" max="6376" width="12.7109375" customWidth="1"/>
    <col min="6377" max="6377" width="2.5703125" customWidth="1"/>
    <col min="6378" max="6379" width="12.7109375" customWidth="1"/>
    <col min="6380" max="6380" width="2.5703125" customWidth="1"/>
    <col min="6381" max="6382" width="12.7109375" customWidth="1"/>
    <col min="6383" max="6383" width="2.5703125" customWidth="1"/>
    <col min="6384" max="6385" width="12.7109375" customWidth="1"/>
    <col min="6386" max="6386" width="2.5703125" customWidth="1"/>
    <col min="6387" max="6388" width="12.7109375" customWidth="1"/>
    <col min="6389" max="6389" width="2.5703125" customWidth="1"/>
    <col min="6390" max="6391" width="12.7109375" customWidth="1"/>
    <col min="6392" max="6392" width="2.5703125" customWidth="1"/>
    <col min="6393" max="6394" width="12.7109375" customWidth="1"/>
    <col min="6395" max="6395" width="2.5703125" customWidth="1"/>
    <col min="6396" max="6397" width="12.7109375" customWidth="1"/>
    <col min="6398" max="6398" width="2.5703125" customWidth="1"/>
    <col min="6399" max="6400" width="12.7109375" customWidth="1"/>
    <col min="6401" max="6401" width="2.5703125" customWidth="1"/>
    <col min="6402" max="6403" width="12.7109375" customWidth="1"/>
    <col min="6404" max="6404" width="2.5703125" customWidth="1"/>
    <col min="6405" max="6406" width="12.7109375" customWidth="1"/>
    <col min="6619" max="6620" width="12.42578125" customWidth="1"/>
    <col min="6621" max="6621" width="39.140625" customWidth="1"/>
    <col min="6622" max="6622" width="12.42578125" customWidth="1"/>
    <col min="6623" max="6623" width="2.7109375" customWidth="1"/>
    <col min="6624" max="6624" width="15.28515625" bestFit="1" customWidth="1"/>
    <col min="6625" max="6626" width="12.7109375" customWidth="1"/>
    <col min="6627" max="6627" width="2.5703125" customWidth="1"/>
    <col min="6628" max="6629" width="12.7109375" customWidth="1"/>
    <col min="6630" max="6630" width="2.5703125" customWidth="1"/>
    <col min="6631" max="6632" width="12.7109375" customWidth="1"/>
    <col min="6633" max="6633" width="2.5703125" customWidth="1"/>
    <col min="6634" max="6635" width="12.7109375" customWidth="1"/>
    <col min="6636" max="6636" width="2.5703125" customWidth="1"/>
    <col min="6637" max="6638" width="12.7109375" customWidth="1"/>
    <col min="6639" max="6639" width="2.5703125" customWidth="1"/>
    <col min="6640" max="6641" width="12.7109375" customWidth="1"/>
    <col min="6642" max="6642" width="2.5703125" customWidth="1"/>
    <col min="6643" max="6644" width="12.7109375" customWidth="1"/>
    <col min="6645" max="6645" width="2.5703125" customWidth="1"/>
    <col min="6646" max="6647" width="12.7109375" customWidth="1"/>
    <col min="6648" max="6648" width="2.5703125" customWidth="1"/>
    <col min="6649" max="6650" width="12.7109375" customWidth="1"/>
    <col min="6651" max="6651" width="2.5703125" customWidth="1"/>
    <col min="6652" max="6653" width="12.7109375" customWidth="1"/>
    <col min="6654" max="6654" width="2.5703125" customWidth="1"/>
    <col min="6655" max="6656" width="12.7109375" customWidth="1"/>
    <col min="6657" max="6657" width="2.5703125" customWidth="1"/>
    <col min="6658" max="6659" width="12.7109375" customWidth="1"/>
    <col min="6660" max="6660" width="2.5703125" customWidth="1"/>
    <col min="6661" max="6662" width="12.7109375" customWidth="1"/>
    <col min="6875" max="6876" width="12.42578125" customWidth="1"/>
    <col min="6877" max="6877" width="39.140625" customWidth="1"/>
    <col min="6878" max="6878" width="12.42578125" customWidth="1"/>
    <col min="6879" max="6879" width="2.7109375" customWidth="1"/>
    <col min="6880" max="6880" width="15.28515625" bestFit="1" customWidth="1"/>
    <col min="6881" max="6882" width="12.7109375" customWidth="1"/>
    <col min="6883" max="6883" width="2.5703125" customWidth="1"/>
    <col min="6884" max="6885" width="12.7109375" customWidth="1"/>
    <col min="6886" max="6886" width="2.5703125" customWidth="1"/>
    <col min="6887" max="6888" width="12.7109375" customWidth="1"/>
    <col min="6889" max="6889" width="2.5703125" customWidth="1"/>
    <col min="6890" max="6891" width="12.7109375" customWidth="1"/>
    <col min="6892" max="6892" width="2.5703125" customWidth="1"/>
    <col min="6893" max="6894" width="12.7109375" customWidth="1"/>
    <col min="6895" max="6895" width="2.5703125" customWidth="1"/>
    <col min="6896" max="6897" width="12.7109375" customWidth="1"/>
    <col min="6898" max="6898" width="2.5703125" customWidth="1"/>
    <col min="6899" max="6900" width="12.7109375" customWidth="1"/>
    <col min="6901" max="6901" width="2.5703125" customWidth="1"/>
    <col min="6902" max="6903" width="12.7109375" customWidth="1"/>
    <col min="6904" max="6904" width="2.5703125" customWidth="1"/>
    <col min="6905" max="6906" width="12.7109375" customWidth="1"/>
    <col min="6907" max="6907" width="2.5703125" customWidth="1"/>
    <col min="6908" max="6909" width="12.7109375" customWidth="1"/>
    <col min="6910" max="6910" width="2.5703125" customWidth="1"/>
    <col min="6911" max="6912" width="12.7109375" customWidth="1"/>
    <col min="6913" max="6913" width="2.5703125" customWidth="1"/>
    <col min="6914" max="6915" width="12.7109375" customWidth="1"/>
    <col min="6916" max="6916" width="2.5703125" customWidth="1"/>
    <col min="6917" max="6918" width="12.7109375" customWidth="1"/>
    <col min="7131" max="7132" width="12.42578125" customWidth="1"/>
    <col min="7133" max="7133" width="39.140625" customWidth="1"/>
    <col min="7134" max="7134" width="12.42578125" customWidth="1"/>
    <col min="7135" max="7135" width="2.7109375" customWidth="1"/>
    <col min="7136" max="7136" width="15.28515625" bestFit="1" customWidth="1"/>
    <col min="7137" max="7138" width="12.7109375" customWidth="1"/>
    <col min="7139" max="7139" width="2.5703125" customWidth="1"/>
    <col min="7140" max="7141" width="12.7109375" customWidth="1"/>
    <col min="7142" max="7142" width="2.5703125" customWidth="1"/>
    <col min="7143" max="7144" width="12.7109375" customWidth="1"/>
    <col min="7145" max="7145" width="2.5703125" customWidth="1"/>
    <col min="7146" max="7147" width="12.7109375" customWidth="1"/>
    <col min="7148" max="7148" width="2.5703125" customWidth="1"/>
    <col min="7149" max="7150" width="12.7109375" customWidth="1"/>
    <col min="7151" max="7151" width="2.5703125" customWidth="1"/>
    <col min="7152" max="7153" width="12.7109375" customWidth="1"/>
    <col min="7154" max="7154" width="2.5703125" customWidth="1"/>
    <col min="7155" max="7156" width="12.7109375" customWidth="1"/>
    <col min="7157" max="7157" width="2.5703125" customWidth="1"/>
    <col min="7158" max="7159" width="12.7109375" customWidth="1"/>
    <col min="7160" max="7160" width="2.5703125" customWidth="1"/>
    <col min="7161" max="7162" width="12.7109375" customWidth="1"/>
    <col min="7163" max="7163" width="2.5703125" customWidth="1"/>
    <col min="7164" max="7165" width="12.7109375" customWidth="1"/>
    <col min="7166" max="7166" width="2.5703125" customWidth="1"/>
    <col min="7167" max="7168" width="12.7109375" customWidth="1"/>
    <col min="7169" max="7169" width="2.5703125" customWidth="1"/>
    <col min="7170" max="7171" width="12.7109375" customWidth="1"/>
    <col min="7172" max="7172" width="2.5703125" customWidth="1"/>
    <col min="7173" max="7174" width="12.7109375" customWidth="1"/>
    <col min="7387" max="7388" width="12.42578125" customWidth="1"/>
    <col min="7389" max="7389" width="39.140625" customWidth="1"/>
    <col min="7390" max="7390" width="12.42578125" customWidth="1"/>
    <col min="7391" max="7391" width="2.7109375" customWidth="1"/>
    <col min="7392" max="7392" width="15.28515625" bestFit="1" customWidth="1"/>
    <col min="7393" max="7394" width="12.7109375" customWidth="1"/>
    <col min="7395" max="7395" width="2.5703125" customWidth="1"/>
    <col min="7396" max="7397" width="12.7109375" customWidth="1"/>
    <col min="7398" max="7398" width="2.5703125" customWidth="1"/>
    <col min="7399" max="7400" width="12.7109375" customWidth="1"/>
    <col min="7401" max="7401" width="2.5703125" customWidth="1"/>
    <col min="7402" max="7403" width="12.7109375" customWidth="1"/>
    <col min="7404" max="7404" width="2.5703125" customWidth="1"/>
    <col min="7405" max="7406" width="12.7109375" customWidth="1"/>
    <col min="7407" max="7407" width="2.5703125" customWidth="1"/>
    <col min="7408" max="7409" width="12.7109375" customWidth="1"/>
    <col min="7410" max="7410" width="2.5703125" customWidth="1"/>
    <col min="7411" max="7412" width="12.7109375" customWidth="1"/>
    <col min="7413" max="7413" width="2.5703125" customWidth="1"/>
    <col min="7414" max="7415" width="12.7109375" customWidth="1"/>
    <col min="7416" max="7416" width="2.5703125" customWidth="1"/>
    <col min="7417" max="7418" width="12.7109375" customWidth="1"/>
    <col min="7419" max="7419" width="2.5703125" customWidth="1"/>
    <col min="7420" max="7421" width="12.7109375" customWidth="1"/>
    <col min="7422" max="7422" width="2.5703125" customWidth="1"/>
    <col min="7423" max="7424" width="12.7109375" customWidth="1"/>
    <col min="7425" max="7425" width="2.5703125" customWidth="1"/>
    <col min="7426" max="7427" width="12.7109375" customWidth="1"/>
    <col min="7428" max="7428" width="2.5703125" customWidth="1"/>
    <col min="7429" max="7430" width="12.7109375" customWidth="1"/>
    <col min="7643" max="7644" width="12.42578125" customWidth="1"/>
    <col min="7645" max="7645" width="39.140625" customWidth="1"/>
    <col min="7646" max="7646" width="12.42578125" customWidth="1"/>
    <col min="7647" max="7647" width="2.7109375" customWidth="1"/>
    <col min="7648" max="7648" width="15.28515625" bestFit="1" customWidth="1"/>
    <col min="7649" max="7650" width="12.7109375" customWidth="1"/>
    <col min="7651" max="7651" width="2.5703125" customWidth="1"/>
    <col min="7652" max="7653" width="12.7109375" customWidth="1"/>
    <col min="7654" max="7654" width="2.5703125" customWidth="1"/>
    <col min="7655" max="7656" width="12.7109375" customWidth="1"/>
    <col min="7657" max="7657" width="2.5703125" customWidth="1"/>
    <col min="7658" max="7659" width="12.7109375" customWidth="1"/>
    <col min="7660" max="7660" width="2.5703125" customWidth="1"/>
    <col min="7661" max="7662" width="12.7109375" customWidth="1"/>
    <col min="7663" max="7663" width="2.5703125" customWidth="1"/>
    <col min="7664" max="7665" width="12.7109375" customWidth="1"/>
    <col min="7666" max="7666" width="2.5703125" customWidth="1"/>
    <col min="7667" max="7668" width="12.7109375" customWidth="1"/>
    <col min="7669" max="7669" width="2.5703125" customWidth="1"/>
    <col min="7670" max="7671" width="12.7109375" customWidth="1"/>
    <col min="7672" max="7672" width="2.5703125" customWidth="1"/>
    <col min="7673" max="7674" width="12.7109375" customWidth="1"/>
    <col min="7675" max="7675" width="2.5703125" customWidth="1"/>
    <col min="7676" max="7677" width="12.7109375" customWidth="1"/>
    <col min="7678" max="7678" width="2.5703125" customWidth="1"/>
    <col min="7679" max="7680" width="12.7109375" customWidth="1"/>
    <col min="7681" max="7681" width="2.5703125" customWidth="1"/>
    <col min="7682" max="7683" width="12.7109375" customWidth="1"/>
    <col min="7684" max="7684" width="2.5703125" customWidth="1"/>
    <col min="7685" max="7686" width="12.7109375" customWidth="1"/>
    <col min="7899" max="7900" width="12.42578125" customWidth="1"/>
    <col min="7901" max="7901" width="39.140625" customWidth="1"/>
    <col min="7902" max="7902" width="12.42578125" customWidth="1"/>
    <col min="7903" max="7903" width="2.7109375" customWidth="1"/>
    <col min="7904" max="7904" width="15.28515625" bestFit="1" customWidth="1"/>
    <col min="7905" max="7906" width="12.7109375" customWidth="1"/>
    <col min="7907" max="7907" width="2.5703125" customWidth="1"/>
    <col min="7908" max="7909" width="12.7109375" customWidth="1"/>
    <col min="7910" max="7910" width="2.5703125" customWidth="1"/>
    <col min="7911" max="7912" width="12.7109375" customWidth="1"/>
    <col min="7913" max="7913" width="2.5703125" customWidth="1"/>
    <col min="7914" max="7915" width="12.7109375" customWidth="1"/>
    <col min="7916" max="7916" width="2.5703125" customWidth="1"/>
    <col min="7917" max="7918" width="12.7109375" customWidth="1"/>
    <col min="7919" max="7919" width="2.5703125" customWidth="1"/>
    <col min="7920" max="7921" width="12.7109375" customWidth="1"/>
    <col min="7922" max="7922" width="2.5703125" customWidth="1"/>
    <col min="7923" max="7924" width="12.7109375" customWidth="1"/>
    <col min="7925" max="7925" width="2.5703125" customWidth="1"/>
    <col min="7926" max="7927" width="12.7109375" customWidth="1"/>
    <col min="7928" max="7928" width="2.5703125" customWidth="1"/>
    <col min="7929" max="7930" width="12.7109375" customWidth="1"/>
    <col min="7931" max="7931" width="2.5703125" customWidth="1"/>
    <col min="7932" max="7933" width="12.7109375" customWidth="1"/>
    <col min="7934" max="7934" width="2.5703125" customWidth="1"/>
    <col min="7935" max="7936" width="12.7109375" customWidth="1"/>
    <col min="7937" max="7937" width="2.5703125" customWidth="1"/>
    <col min="7938" max="7939" width="12.7109375" customWidth="1"/>
    <col min="7940" max="7940" width="2.5703125" customWidth="1"/>
    <col min="7941" max="7942" width="12.7109375" customWidth="1"/>
    <col min="8155" max="8156" width="12.42578125" customWidth="1"/>
    <col min="8157" max="8157" width="39.140625" customWidth="1"/>
    <col min="8158" max="8158" width="12.42578125" customWidth="1"/>
    <col min="8159" max="8159" width="2.7109375" customWidth="1"/>
    <col min="8160" max="8160" width="15.28515625" bestFit="1" customWidth="1"/>
    <col min="8161" max="8162" width="12.7109375" customWidth="1"/>
    <col min="8163" max="8163" width="2.5703125" customWidth="1"/>
    <col min="8164" max="8165" width="12.7109375" customWidth="1"/>
    <col min="8166" max="8166" width="2.5703125" customWidth="1"/>
    <col min="8167" max="8168" width="12.7109375" customWidth="1"/>
    <col min="8169" max="8169" width="2.5703125" customWidth="1"/>
    <col min="8170" max="8171" width="12.7109375" customWidth="1"/>
    <col min="8172" max="8172" width="2.5703125" customWidth="1"/>
    <col min="8173" max="8174" width="12.7109375" customWidth="1"/>
    <col min="8175" max="8175" width="2.5703125" customWidth="1"/>
    <col min="8176" max="8177" width="12.7109375" customWidth="1"/>
    <col min="8178" max="8178" width="2.5703125" customWidth="1"/>
    <col min="8179" max="8180" width="12.7109375" customWidth="1"/>
    <col min="8181" max="8181" width="2.5703125" customWidth="1"/>
    <col min="8182" max="8183" width="12.7109375" customWidth="1"/>
    <col min="8184" max="8184" width="2.5703125" customWidth="1"/>
    <col min="8185" max="8186" width="12.7109375" customWidth="1"/>
    <col min="8187" max="8187" width="2.5703125" customWidth="1"/>
    <col min="8188" max="8189" width="12.7109375" customWidth="1"/>
    <col min="8190" max="8190" width="2.5703125" customWidth="1"/>
    <col min="8191" max="8192" width="12.7109375" customWidth="1"/>
    <col min="8193" max="8193" width="2.5703125" customWidth="1"/>
    <col min="8194" max="8195" width="12.7109375" customWidth="1"/>
    <col min="8196" max="8196" width="2.5703125" customWidth="1"/>
    <col min="8197" max="8198" width="12.7109375" customWidth="1"/>
    <col min="8411" max="8412" width="12.42578125" customWidth="1"/>
    <col min="8413" max="8413" width="39.140625" customWidth="1"/>
    <col min="8414" max="8414" width="12.42578125" customWidth="1"/>
    <col min="8415" max="8415" width="2.7109375" customWidth="1"/>
    <col min="8416" max="8416" width="15.28515625" bestFit="1" customWidth="1"/>
    <col min="8417" max="8418" width="12.7109375" customWidth="1"/>
    <col min="8419" max="8419" width="2.5703125" customWidth="1"/>
    <col min="8420" max="8421" width="12.7109375" customWidth="1"/>
    <col min="8422" max="8422" width="2.5703125" customWidth="1"/>
    <col min="8423" max="8424" width="12.7109375" customWidth="1"/>
    <col min="8425" max="8425" width="2.5703125" customWidth="1"/>
    <col min="8426" max="8427" width="12.7109375" customWidth="1"/>
    <col min="8428" max="8428" width="2.5703125" customWidth="1"/>
    <col min="8429" max="8430" width="12.7109375" customWidth="1"/>
    <col min="8431" max="8431" width="2.5703125" customWidth="1"/>
    <col min="8432" max="8433" width="12.7109375" customWidth="1"/>
    <col min="8434" max="8434" width="2.5703125" customWidth="1"/>
    <col min="8435" max="8436" width="12.7109375" customWidth="1"/>
    <col min="8437" max="8437" width="2.5703125" customWidth="1"/>
    <col min="8438" max="8439" width="12.7109375" customWidth="1"/>
    <col min="8440" max="8440" width="2.5703125" customWidth="1"/>
    <col min="8441" max="8442" width="12.7109375" customWidth="1"/>
    <col min="8443" max="8443" width="2.5703125" customWidth="1"/>
    <col min="8444" max="8445" width="12.7109375" customWidth="1"/>
    <col min="8446" max="8446" width="2.5703125" customWidth="1"/>
    <col min="8447" max="8448" width="12.7109375" customWidth="1"/>
    <col min="8449" max="8449" width="2.5703125" customWidth="1"/>
    <col min="8450" max="8451" width="12.7109375" customWidth="1"/>
    <col min="8452" max="8452" width="2.5703125" customWidth="1"/>
    <col min="8453" max="8454" width="12.7109375" customWidth="1"/>
    <col min="8667" max="8668" width="12.42578125" customWidth="1"/>
    <col min="8669" max="8669" width="39.140625" customWidth="1"/>
    <col min="8670" max="8670" width="12.42578125" customWidth="1"/>
    <col min="8671" max="8671" width="2.7109375" customWidth="1"/>
    <col min="8672" max="8672" width="15.28515625" bestFit="1" customWidth="1"/>
    <col min="8673" max="8674" width="12.7109375" customWidth="1"/>
    <col min="8675" max="8675" width="2.5703125" customWidth="1"/>
    <col min="8676" max="8677" width="12.7109375" customWidth="1"/>
    <col min="8678" max="8678" width="2.5703125" customWidth="1"/>
    <col min="8679" max="8680" width="12.7109375" customWidth="1"/>
    <col min="8681" max="8681" width="2.5703125" customWidth="1"/>
    <col min="8682" max="8683" width="12.7109375" customWidth="1"/>
    <col min="8684" max="8684" width="2.5703125" customWidth="1"/>
    <col min="8685" max="8686" width="12.7109375" customWidth="1"/>
    <col min="8687" max="8687" width="2.5703125" customWidth="1"/>
    <col min="8688" max="8689" width="12.7109375" customWidth="1"/>
    <col min="8690" max="8690" width="2.5703125" customWidth="1"/>
    <col min="8691" max="8692" width="12.7109375" customWidth="1"/>
    <col min="8693" max="8693" width="2.5703125" customWidth="1"/>
    <col min="8694" max="8695" width="12.7109375" customWidth="1"/>
    <col min="8696" max="8696" width="2.5703125" customWidth="1"/>
    <col min="8697" max="8698" width="12.7109375" customWidth="1"/>
    <col min="8699" max="8699" width="2.5703125" customWidth="1"/>
    <col min="8700" max="8701" width="12.7109375" customWidth="1"/>
    <col min="8702" max="8702" width="2.5703125" customWidth="1"/>
    <col min="8703" max="8704" width="12.7109375" customWidth="1"/>
    <col min="8705" max="8705" width="2.5703125" customWidth="1"/>
    <col min="8706" max="8707" width="12.7109375" customWidth="1"/>
    <col min="8708" max="8708" width="2.5703125" customWidth="1"/>
    <col min="8709" max="8710" width="12.7109375" customWidth="1"/>
    <col min="8923" max="8924" width="12.42578125" customWidth="1"/>
    <col min="8925" max="8925" width="39.140625" customWidth="1"/>
    <col min="8926" max="8926" width="12.42578125" customWidth="1"/>
    <col min="8927" max="8927" width="2.7109375" customWidth="1"/>
    <col min="8928" max="8928" width="15.28515625" bestFit="1" customWidth="1"/>
    <col min="8929" max="8930" width="12.7109375" customWidth="1"/>
    <col min="8931" max="8931" width="2.5703125" customWidth="1"/>
    <col min="8932" max="8933" width="12.7109375" customWidth="1"/>
    <col min="8934" max="8934" width="2.5703125" customWidth="1"/>
    <col min="8935" max="8936" width="12.7109375" customWidth="1"/>
    <col min="8937" max="8937" width="2.5703125" customWidth="1"/>
    <col min="8938" max="8939" width="12.7109375" customWidth="1"/>
    <col min="8940" max="8940" width="2.5703125" customWidth="1"/>
    <col min="8941" max="8942" width="12.7109375" customWidth="1"/>
    <col min="8943" max="8943" width="2.5703125" customWidth="1"/>
    <col min="8944" max="8945" width="12.7109375" customWidth="1"/>
    <col min="8946" max="8946" width="2.5703125" customWidth="1"/>
    <col min="8947" max="8948" width="12.7109375" customWidth="1"/>
    <col min="8949" max="8949" width="2.5703125" customWidth="1"/>
    <col min="8950" max="8951" width="12.7109375" customWidth="1"/>
    <col min="8952" max="8952" width="2.5703125" customWidth="1"/>
    <col min="8953" max="8954" width="12.7109375" customWidth="1"/>
    <col min="8955" max="8955" width="2.5703125" customWidth="1"/>
    <col min="8956" max="8957" width="12.7109375" customWidth="1"/>
    <col min="8958" max="8958" width="2.5703125" customWidth="1"/>
    <col min="8959" max="8960" width="12.7109375" customWidth="1"/>
    <col min="8961" max="8961" width="2.5703125" customWidth="1"/>
    <col min="8962" max="8963" width="12.7109375" customWidth="1"/>
    <col min="8964" max="8964" width="2.5703125" customWidth="1"/>
    <col min="8965" max="8966" width="12.7109375" customWidth="1"/>
    <col min="9179" max="9180" width="12.42578125" customWidth="1"/>
    <col min="9181" max="9181" width="39.140625" customWidth="1"/>
    <col min="9182" max="9182" width="12.42578125" customWidth="1"/>
    <col min="9183" max="9183" width="2.7109375" customWidth="1"/>
    <col min="9184" max="9184" width="15.28515625" bestFit="1" customWidth="1"/>
    <col min="9185" max="9186" width="12.7109375" customWidth="1"/>
    <col min="9187" max="9187" width="2.5703125" customWidth="1"/>
    <col min="9188" max="9189" width="12.7109375" customWidth="1"/>
    <col min="9190" max="9190" width="2.5703125" customWidth="1"/>
    <col min="9191" max="9192" width="12.7109375" customWidth="1"/>
    <col min="9193" max="9193" width="2.5703125" customWidth="1"/>
    <col min="9194" max="9195" width="12.7109375" customWidth="1"/>
    <col min="9196" max="9196" width="2.5703125" customWidth="1"/>
    <col min="9197" max="9198" width="12.7109375" customWidth="1"/>
    <col min="9199" max="9199" width="2.5703125" customWidth="1"/>
    <col min="9200" max="9201" width="12.7109375" customWidth="1"/>
    <col min="9202" max="9202" width="2.5703125" customWidth="1"/>
    <col min="9203" max="9204" width="12.7109375" customWidth="1"/>
    <col min="9205" max="9205" width="2.5703125" customWidth="1"/>
    <col min="9206" max="9207" width="12.7109375" customWidth="1"/>
    <col min="9208" max="9208" width="2.5703125" customWidth="1"/>
    <col min="9209" max="9210" width="12.7109375" customWidth="1"/>
    <col min="9211" max="9211" width="2.5703125" customWidth="1"/>
    <col min="9212" max="9213" width="12.7109375" customWidth="1"/>
    <col min="9214" max="9214" width="2.5703125" customWidth="1"/>
    <col min="9215" max="9216" width="12.7109375" customWidth="1"/>
    <col min="9217" max="9217" width="2.5703125" customWidth="1"/>
    <col min="9218" max="9219" width="12.7109375" customWidth="1"/>
    <col min="9220" max="9220" width="2.5703125" customWidth="1"/>
    <col min="9221" max="9222" width="12.7109375" customWidth="1"/>
    <col min="9435" max="9436" width="12.42578125" customWidth="1"/>
    <col min="9437" max="9437" width="39.140625" customWidth="1"/>
    <col min="9438" max="9438" width="12.42578125" customWidth="1"/>
    <col min="9439" max="9439" width="2.7109375" customWidth="1"/>
    <col min="9440" max="9440" width="15.28515625" bestFit="1" customWidth="1"/>
    <col min="9441" max="9442" width="12.7109375" customWidth="1"/>
    <col min="9443" max="9443" width="2.5703125" customWidth="1"/>
    <col min="9444" max="9445" width="12.7109375" customWidth="1"/>
    <col min="9446" max="9446" width="2.5703125" customWidth="1"/>
    <col min="9447" max="9448" width="12.7109375" customWidth="1"/>
    <col min="9449" max="9449" width="2.5703125" customWidth="1"/>
    <col min="9450" max="9451" width="12.7109375" customWidth="1"/>
    <col min="9452" max="9452" width="2.5703125" customWidth="1"/>
    <col min="9453" max="9454" width="12.7109375" customWidth="1"/>
    <col min="9455" max="9455" width="2.5703125" customWidth="1"/>
    <col min="9456" max="9457" width="12.7109375" customWidth="1"/>
    <col min="9458" max="9458" width="2.5703125" customWidth="1"/>
    <col min="9459" max="9460" width="12.7109375" customWidth="1"/>
    <col min="9461" max="9461" width="2.5703125" customWidth="1"/>
    <col min="9462" max="9463" width="12.7109375" customWidth="1"/>
    <col min="9464" max="9464" width="2.5703125" customWidth="1"/>
    <col min="9465" max="9466" width="12.7109375" customWidth="1"/>
    <col min="9467" max="9467" width="2.5703125" customWidth="1"/>
    <col min="9468" max="9469" width="12.7109375" customWidth="1"/>
    <col min="9470" max="9470" width="2.5703125" customWidth="1"/>
    <col min="9471" max="9472" width="12.7109375" customWidth="1"/>
    <col min="9473" max="9473" width="2.5703125" customWidth="1"/>
    <col min="9474" max="9475" width="12.7109375" customWidth="1"/>
    <col min="9476" max="9476" width="2.5703125" customWidth="1"/>
    <col min="9477" max="9478" width="12.7109375" customWidth="1"/>
    <col min="9691" max="9692" width="12.42578125" customWidth="1"/>
    <col min="9693" max="9693" width="39.140625" customWidth="1"/>
    <col min="9694" max="9694" width="12.42578125" customWidth="1"/>
    <col min="9695" max="9695" width="2.7109375" customWidth="1"/>
    <col min="9696" max="9696" width="15.28515625" bestFit="1" customWidth="1"/>
    <col min="9697" max="9698" width="12.7109375" customWidth="1"/>
    <col min="9699" max="9699" width="2.5703125" customWidth="1"/>
    <col min="9700" max="9701" width="12.7109375" customWidth="1"/>
    <col min="9702" max="9702" width="2.5703125" customWidth="1"/>
    <col min="9703" max="9704" width="12.7109375" customWidth="1"/>
    <col min="9705" max="9705" width="2.5703125" customWidth="1"/>
    <col min="9706" max="9707" width="12.7109375" customWidth="1"/>
    <col min="9708" max="9708" width="2.5703125" customWidth="1"/>
    <col min="9709" max="9710" width="12.7109375" customWidth="1"/>
    <col min="9711" max="9711" width="2.5703125" customWidth="1"/>
    <col min="9712" max="9713" width="12.7109375" customWidth="1"/>
    <col min="9714" max="9714" width="2.5703125" customWidth="1"/>
    <col min="9715" max="9716" width="12.7109375" customWidth="1"/>
    <col min="9717" max="9717" width="2.5703125" customWidth="1"/>
    <col min="9718" max="9719" width="12.7109375" customWidth="1"/>
    <col min="9720" max="9720" width="2.5703125" customWidth="1"/>
    <col min="9721" max="9722" width="12.7109375" customWidth="1"/>
    <col min="9723" max="9723" width="2.5703125" customWidth="1"/>
    <col min="9724" max="9725" width="12.7109375" customWidth="1"/>
    <col min="9726" max="9726" width="2.5703125" customWidth="1"/>
    <col min="9727" max="9728" width="12.7109375" customWidth="1"/>
    <col min="9729" max="9729" width="2.5703125" customWidth="1"/>
    <col min="9730" max="9731" width="12.7109375" customWidth="1"/>
    <col min="9732" max="9732" width="2.5703125" customWidth="1"/>
    <col min="9733" max="9734" width="12.7109375" customWidth="1"/>
    <col min="9947" max="9948" width="12.42578125" customWidth="1"/>
    <col min="9949" max="9949" width="39.140625" customWidth="1"/>
    <col min="9950" max="9950" width="12.42578125" customWidth="1"/>
    <col min="9951" max="9951" width="2.7109375" customWidth="1"/>
    <col min="9952" max="9952" width="15.28515625" bestFit="1" customWidth="1"/>
    <col min="9953" max="9954" width="12.7109375" customWidth="1"/>
    <col min="9955" max="9955" width="2.5703125" customWidth="1"/>
    <col min="9956" max="9957" width="12.7109375" customWidth="1"/>
    <col min="9958" max="9958" width="2.5703125" customWidth="1"/>
    <col min="9959" max="9960" width="12.7109375" customWidth="1"/>
    <col min="9961" max="9961" width="2.5703125" customWidth="1"/>
    <col min="9962" max="9963" width="12.7109375" customWidth="1"/>
    <col min="9964" max="9964" width="2.5703125" customWidth="1"/>
    <col min="9965" max="9966" width="12.7109375" customWidth="1"/>
    <col min="9967" max="9967" width="2.5703125" customWidth="1"/>
    <col min="9968" max="9969" width="12.7109375" customWidth="1"/>
    <col min="9970" max="9970" width="2.5703125" customWidth="1"/>
    <col min="9971" max="9972" width="12.7109375" customWidth="1"/>
    <col min="9973" max="9973" width="2.5703125" customWidth="1"/>
    <col min="9974" max="9975" width="12.7109375" customWidth="1"/>
    <col min="9976" max="9976" width="2.5703125" customWidth="1"/>
    <col min="9977" max="9978" width="12.7109375" customWidth="1"/>
    <col min="9979" max="9979" width="2.5703125" customWidth="1"/>
    <col min="9980" max="9981" width="12.7109375" customWidth="1"/>
    <col min="9982" max="9982" width="2.5703125" customWidth="1"/>
    <col min="9983" max="9984" width="12.7109375" customWidth="1"/>
    <col min="9985" max="9985" width="2.5703125" customWidth="1"/>
    <col min="9986" max="9987" width="12.7109375" customWidth="1"/>
    <col min="9988" max="9988" width="2.5703125" customWidth="1"/>
    <col min="9989" max="9990" width="12.7109375" customWidth="1"/>
    <col min="10203" max="10204" width="12.42578125" customWidth="1"/>
    <col min="10205" max="10205" width="39.140625" customWidth="1"/>
    <col min="10206" max="10206" width="12.42578125" customWidth="1"/>
    <col min="10207" max="10207" width="2.7109375" customWidth="1"/>
    <col min="10208" max="10208" width="15.28515625" bestFit="1" customWidth="1"/>
    <col min="10209" max="10210" width="12.7109375" customWidth="1"/>
    <col min="10211" max="10211" width="2.5703125" customWidth="1"/>
    <col min="10212" max="10213" width="12.7109375" customWidth="1"/>
    <col min="10214" max="10214" width="2.5703125" customWidth="1"/>
    <col min="10215" max="10216" width="12.7109375" customWidth="1"/>
    <col min="10217" max="10217" width="2.5703125" customWidth="1"/>
    <col min="10218" max="10219" width="12.7109375" customWidth="1"/>
    <col min="10220" max="10220" width="2.5703125" customWidth="1"/>
    <col min="10221" max="10222" width="12.7109375" customWidth="1"/>
    <col min="10223" max="10223" width="2.5703125" customWidth="1"/>
    <col min="10224" max="10225" width="12.7109375" customWidth="1"/>
    <col min="10226" max="10226" width="2.5703125" customWidth="1"/>
    <col min="10227" max="10228" width="12.7109375" customWidth="1"/>
    <col min="10229" max="10229" width="2.5703125" customWidth="1"/>
    <col min="10230" max="10231" width="12.7109375" customWidth="1"/>
    <col min="10232" max="10232" width="2.5703125" customWidth="1"/>
    <col min="10233" max="10234" width="12.7109375" customWidth="1"/>
    <col min="10235" max="10235" width="2.5703125" customWidth="1"/>
    <col min="10236" max="10237" width="12.7109375" customWidth="1"/>
    <col min="10238" max="10238" width="2.5703125" customWidth="1"/>
    <col min="10239" max="10240" width="12.7109375" customWidth="1"/>
    <col min="10241" max="10241" width="2.5703125" customWidth="1"/>
    <col min="10242" max="10243" width="12.7109375" customWidth="1"/>
    <col min="10244" max="10244" width="2.5703125" customWidth="1"/>
    <col min="10245" max="10246" width="12.7109375" customWidth="1"/>
    <col min="10459" max="10460" width="12.42578125" customWidth="1"/>
    <col min="10461" max="10461" width="39.140625" customWidth="1"/>
    <col min="10462" max="10462" width="12.42578125" customWidth="1"/>
    <col min="10463" max="10463" width="2.7109375" customWidth="1"/>
    <col min="10464" max="10464" width="15.28515625" bestFit="1" customWidth="1"/>
    <col min="10465" max="10466" width="12.7109375" customWidth="1"/>
    <col min="10467" max="10467" width="2.5703125" customWidth="1"/>
    <col min="10468" max="10469" width="12.7109375" customWidth="1"/>
    <col min="10470" max="10470" width="2.5703125" customWidth="1"/>
    <col min="10471" max="10472" width="12.7109375" customWidth="1"/>
    <col min="10473" max="10473" width="2.5703125" customWidth="1"/>
    <col min="10474" max="10475" width="12.7109375" customWidth="1"/>
    <col min="10476" max="10476" width="2.5703125" customWidth="1"/>
    <col min="10477" max="10478" width="12.7109375" customWidth="1"/>
    <col min="10479" max="10479" width="2.5703125" customWidth="1"/>
    <col min="10480" max="10481" width="12.7109375" customWidth="1"/>
    <col min="10482" max="10482" width="2.5703125" customWidth="1"/>
    <col min="10483" max="10484" width="12.7109375" customWidth="1"/>
    <col min="10485" max="10485" width="2.5703125" customWidth="1"/>
    <col min="10486" max="10487" width="12.7109375" customWidth="1"/>
    <col min="10488" max="10488" width="2.5703125" customWidth="1"/>
    <col min="10489" max="10490" width="12.7109375" customWidth="1"/>
    <col min="10491" max="10491" width="2.5703125" customWidth="1"/>
    <col min="10492" max="10493" width="12.7109375" customWidth="1"/>
    <col min="10494" max="10494" width="2.5703125" customWidth="1"/>
    <col min="10495" max="10496" width="12.7109375" customWidth="1"/>
    <col min="10497" max="10497" width="2.5703125" customWidth="1"/>
    <col min="10498" max="10499" width="12.7109375" customWidth="1"/>
    <col min="10500" max="10500" width="2.5703125" customWidth="1"/>
    <col min="10501" max="10502" width="12.7109375" customWidth="1"/>
    <col min="10715" max="10716" width="12.42578125" customWidth="1"/>
    <col min="10717" max="10717" width="39.140625" customWidth="1"/>
    <col min="10718" max="10718" width="12.42578125" customWidth="1"/>
    <col min="10719" max="10719" width="2.7109375" customWidth="1"/>
    <col min="10720" max="10720" width="15.28515625" bestFit="1" customWidth="1"/>
    <col min="10721" max="10722" width="12.7109375" customWidth="1"/>
    <col min="10723" max="10723" width="2.5703125" customWidth="1"/>
    <col min="10724" max="10725" width="12.7109375" customWidth="1"/>
    <col min="10726" max="10726" width="2.5703125" customWidth="1"/>
    <col min="10727" max="10728" width="12.7109375" customWidth="1"/>
    <col min="10729" max="10729" width="2.5703125" customWidth="1"/>
    <col min="10730" max="10731" width="12.7109375" customWidth="1"/>
    <col min="10732" max="10732" width="2.5703125" customWidth="1"/>
    <col min="10733" max="10734" width="12.7109375" customWidth="1"/>
    <col min="10735" max="10735" width="2.5703125" customWidth="1"/>
    <col min="10736" max="10737" width="12.7109375" customWidth="1"/>
    <col min="10738" max="10738" width="2.5703125" customWidth="1"/>
    <col min="10739" max="10740" width="12.7109375" customWidth="1"/>
    <col min="10741" max="10741" width="2.5703125" customWidth="1"/>
    <col min="10742" max="10743" width="12.7109375" customWidth="1"/>
    <col min="10744" max="10744" width="2.5703125" customWidth="1"/>
    <col min="10745" max="10746" width="12.7109375" customWidth="1"/>
    <col min="10747" max="10747" width="2.5703125" customWidth="1"/>
    <col min="10748" max="10749" width="12.7109375" customWidth="1"/>
    <col min="10750" max="10750" width="2.5703125" customWidth="1"/>
    <col min="10751" max="10752" width="12.7109375" customWidth="1"/>
    <col min="10753" max="10753" width="2.5703125" customWidth="1"/>
    <col min="10754" max="10755" width="12.7109375" customWidth="1"/>
    <col min="10756" max="10756" width="2.5703125" customWidth="1"/>
    <col min="10757" max="10758" width="12.7109375" customWidth="1"/>
    <col min="10971" max="10972" width="12.42578125" customWidth="1"/>
    <col min="10973" max="10973" width="39.140625" customWidth="1"/>
    <col min="10974" max="10974" width="12.42578125" customWidth="1"/>
    <col min="10975" max="10975" width="2.7109375" customWidth="1"/>
    <col min="10976" max="10976" width="15.28515625" bestFit="1" customWidth="1"/>
    <col min="10977" max="10978" width="12.7109375" customWidth="1"/>
    <col min="10979" max="10979" width="2.5703125" customWidth="1"/>
    <col min="10980" max="10981" width="12.7109375" customWidth="1"/>
    <col min="10982" max="10982" width="2.5703125" customWidth="1"/>
    <col min="10983" max="10984" width="12.7109375" customWidth="1"/>
    <col min="10985" max="10985" width="2.5703125" customWidth="1"/>
    <col min="10986" max="10987" width="12.7109375" customWidth="1"/>
    <col min="10988" max="10988" width="2.5703125" customWidth="1"/>
    <col min="10989" max="10990" width="12.7109375" customWidth="1"/>
    <col min="10991" max="10991" width="2.5703125" customWidth="1"/>
    <col min="10992" max="10993" width="12.7109375" customWidth="1"/>
    <col min="10994" max="10994" width="2.5703125" customWidth="1"/>
    <col min="10995" max="10996" width="12.7109375" customWidth="1"/>
    <col min="10997" max="10997" width="2.5703125" customWidth="1"/>
    <col min="10998" max="10999" width="12.7109375" customWidth="1"/>
    <col min="11000" max="11000" width="2.5703125" customWidth="1"/>
    <col min="11001" max="11002" width="12.7109375" customWidth="1"/>
    <col min="11003" max="11003" width="2.5703125" customWidth="1"/>
    <col min="11004" max="11005" width="12.7109375" customWidth="1"/>
    <col min="11006" max="11006" width="2.5703125" customWidth="1"/>
    <col min="11007" max="11008" width="12.7109375" customWidth="1"/>
    <col min="11009" max="11009" width="2.5703125" customWidth="1"/>
    <col min="11010" max="11011" width="12.7109375" customWidth="1"/>
    <col min="11012" max="11012" width="2.5703125" customWidth="1"/>
    <col min="11013" max="11014" width="12.7109375" customWidth="1"/>
    <col min="11227" max="11228" width="12.42578125" customWidth="1"/>
    <col min="11229" max="11229" width="39.140625" customWidth="1"/>
    <col min="11230" max="11230" width="12.42578125" customWidth="1"/>
    <col min="11231" max="11231" width="2.7109375" customWidth="1"/>
    <col min="11232" max="11232" width="15.28515625" bestFit="1" customWidth="1"/>
    <col min="11233" max="11234" width="12.7109375" customWidth="1"/>
    <col min="11235" max="11235" width="2.5703125" customWidth="1"/>
    <col min="11236" max="11237" width="12.7109375" customWidth="1"/>
    <col min="11238" max="11238" width="2.5703125" customWidth="1"/>
    <col min="11239" max="11240" width="12.7109375" customWidth="1"/>
    <col min="11241" max="11241" width="2.5703125" customWidth="1"/>
    <col min="11242" max="11243" width="12.7109375" customWidth="1"/>
    <col min="11244" max="11244" width="2.5703125" customWidth="1"/>
    <col min="11245" max="11246" width="12.7109375" customWidth="1"/>
    <col min="11247" max="11247" width="2.5703125" customWidth="1"/>
    <col min="11248" max="11249" width="12.7109375" customWidth="1"/>
    <col min="11250" max="11250" width="2.5703125" customWidth="1"/>
    <col min="11251" max="11252" width="12.7109375" customWidth="1"/>
    <col min="11253" max="11253" width="2.5703125" customWidth="1"/>
    <col min="11254" max="11255" width="12.7109375" customWidth="1"/>
    <col min="11256" max="11256" width="2.5703125" customWidth="1"/>
    <col min="11257" max="11258" width="12.7109375" customWidth="1"/>
    <col min="11259" max="11259" width="2.5703125" customWidth="1"/>
    <col min="11260" max="11261" width="12.7109375" customWidth="1"/>
    <col min="11262" max="11262" width="2.5703125" customWidth="1"/>
    <col min="11263" max="11264" width="12.7109375" customWidth="1"/>
    <col min="11265" max="11265" width="2.5703125" customWidth="1"/>
    <col min="11266" max="11267" width="12.7109375" customWidth="1"/>
    <col min="11268" max="11268" width="2.5703125" customWidth="1"/>
    <col min="11269" max="11270" width="12.7109375" customWidth="1"/>
    <col min="11483" max="11484" width="12.42578125" customWidth="1"/>
    <col min="11485" max="11485" width="39.140625" customWidth="1"/>
    <col min="11486" max="11486" width="12.42578125" customWidth="1"/>
    <col min="11487" max="11487" width="2.7109375" customWidth="1"/>
    <col min="11488" max="11488" width="15.28515625" bestFit="1" customWidth="1"/>
    <col min="11489" max="11490" width="12.7109375" customWidth="1"/>
    <col min="11491" max="11491" width="2.5703125" customWidth="1"/>
    <col min="11492" max="11493" width="12.7109375" customWidth="1"/>
    <col min="11494" max="11494" width="2.5703125" customWidth="1"/>
    <col min="11495" max="11496" width="12.7109375" customWidth="1"/>
    <col min="11497" max="11497" width="2.5703125" customWidth="1"/>
    <col min="11498" max="11499" width="12.7109375" customWidth="1"/>
    <col min="11500" max="11500" width="2.5703125" customWidth="1"/>
    <col min="11501" max="11502" width="12.7109375" customWidth="1"/>
    <col min="11503" max="11503" width="2.5703125" customWidth="1"/>
    <col min="11504" max="11505" width="12.7109375" customWidth="1"/>
    <col min="11506" max="11506" width="2.5703125" customWidth="1"/>
    <col min="11507" max="11508" width="12.7109375" customWidth="1"/>
    <col min="11509" max="11509" width="2.5703125" customWidth="1"/>
    <col min="11510" max="11511" width="12.7109375" customWidth="1"/>
    <col min="11512" max="11512" width="2.5703125" customWidth="1"/>
    <col min="11513" max="11514" width="12.7109375" customWidth="1"/>
    <col min="11515" max="11515" width="2.5703125" customWidth="1"/>
    <col min="11516" max="11517" width="12.7109375" customWidth="1"/>
    <col min="11518" max="11518" width="2.5703125" customWidth="1"/>
    <col min="11519" max="11520" width="12.7109375" customWidth="1"/>
    <col min="11521" max="11521" width="2.5703125" customWidth="1"/>
    <col min="11522" max="11523" width="12.7109375" customWidth="1"/>
    <col min="11524" max="11524" width="2.5703125" customWidth="1"/>
    <col min="11525" max="11526" width="12.7109375" customWidth="1"/>
    <col min="11739" max="11740" width="12.42578125" customWidth="1"/>
    <col min="11741" max="11741" width="39.140625" customWidth="1"/>
    <col min="11742" max="11742" width="12.42578125" customWidth="1"/>
    <col min="11743" max="11743" width="2.7109375" customWidth="1"/>
    <col min="11744" max="11744" width="15.28515625" bestFit="1" customWidth="1"/>
    <col min="11745" max="11746" width="12.7109375" customWidth="1"/>
    <col min="11747" max="11747" width="2.5703125" customWidth="1"/>
    <col min="11748" max="11749" width="12.7109375" customWidth="1"/>
    <col min="11750" max="11750" width="2.5703125" customWidth="1"/>
    <col min="11751" max="11752" width="12.7109375" customWidth="1"/>
    <col min="11753" max="11753" width="2.5703125" customWidth="1"/>
    <col min="11754" max="11755" width="12.7109375" customWidth="1"/>
    <col min="11756" max="11756" width="2.5703125" customWidth="1"/>
    <col min="11757" max="11758" width="12.7109375" customWidth="1"/>
    <col min="11759" max="11759" width="2.5703125" customWidth="1"/>
    <col min="11760" max="11761" width="12.7109375" customWidth="1"/>
    <col min="11762" max="11762" width="2.5703125" customWidth="1"/>
    <col min="11763" max="11764" width="12.7109375" customWidth="1"/>
    <col min="11765" max="11765" width="2.5703125" customWidth="1"/>
    <col min="11766" max="11767" width="12.7109375" customWidth="1"/>
    <col min="11768" max="11768" width="2.5703125" customWidth="1"/>
    <col min="11769" max="11770" width="12.7109375" customWidth="1"/>
    <col min="11771" max="11771" width="2.5703125" customWidth="1"/>
    <col min="11772" max="11773" width="12.7109375" customWidth="1"/>
    <col min="11774" max="11774" width="2.5703125" customWidth="1"/>
    <col min="11775" max="11776" width="12.7109375" customWidth="1"/>
    <col min="11777" max="11777" width="2.5703125" customWidth="1"/>
    <col min="11778" max="11779" width="12.7109375" customWidth="1"/>
    <col min="11780" max="11780" width="2.5703125" customWidth="1"/>
    <col min="11781" max="11782" width="12.7109375" customWidth="1"/>
    <col min="11995" max="11996" width="12.42578125" customWidth="1"/>
    <col min="11997" max="11997" width="39.140625" customWidth="1"/>
    <col min="11998" max="11998" width="12.42578125" customWidth="1"/>
    <col min="11999" max="11999" width="2.7109375" customWidth="1"/>
    <col min="12000" max="12000" width="15.28515625" bestFit="1" customWidth="1"/>
    <col min="12001" max="12002" width="12.7109375" customWidth="1"/>
    <col min="12003" max="12003" width="2.5703125" customWidth="1"/>
    <col min="12004" max="12005" width="12.7109375" customWidth="1"/>
    <col min="12006" max="12006" width="2.5703125" customWidth="1"/>
    <col min="12007" max="12008" width="12.7109375" customWidth="1"/>
    <col min="12009" max="12009" width="2.5703125" customWidth="1"/>
    <col min="12010" max="12011" width="12.7109375" customWidth="1"/>
    <col min="12012" max="12012" width="2.5703125" customWidth="1"/>
    <col min="12013" max="12014" width="12.7109375" customWidth="1"/>
    <col min="12015" max="12015" width="2.5703125" customWidth="1"/>
    <col min="12016" max="12017" width="12.7109375" customWidth="1"/>
    <col min="12018" max="12018" width="2.5703125" customWidth="1"/>
    <col min="12019" max="12020" width="12.7109375" customWidth="1"/>
    <col min="12021" max="12021" width="2.5703125" customWidth="1"/>
    <col min="12022" max="12023" width="12.7109375" customWidth="1"/>
    <col min="12024" max="12024" width="2.5703125" customWidth="1"/>
    <col min="12025" max="12026" width="12.7109375" customWidth="1"/>
    <col min="12027" max="12027" width="2.5703125" customWidth="1"/>
    <col min="12028" max="12029" width="12.7109375" customWidth="1"/>
    <col min="12030" max="12030" width="2.5703125" customWidth="1"/>
    <col min="12031" max="12032" width="12.7109375" customWidth="1"/>
    <col min="12033" max="12033" width="2.5703125" customWidth="1"/>
    <col min="12034" max="12035" width="12.7109375" customWidth="1"/>
    <col min="12036" max="12036" width="2.5703125" customWidth="1"/>
    <col min="12037" max="12038" width="12.7109375" customWidth="1"/>
    <col min="12251" max="12252" width="12.42578125" customWidth="1"/>
    <col min="12253" max="12253" width="39.140625" customWidth="1"/>
    <col min="12254" max="12254" width="12.42578125" customWidth="1"/>
    <col min="12255" max="12255" width="2.7109375" customWidth="1"/>
    <col min="12256" max="12256" width="15.28515625" bestFit="1" customWidth="1"/>
    <col min="12257" max="12258" width="12.7109375" customWidth="1"/>
    <col min="12259" max="12259" width="2.5703125" customWidth="1"/>
    <col min="12260" max="12261" width="12.7109375" customWidth="1"/>
    <col min="12262" max="12262" width="2.5703125" customWidth="1"/>
    <col min="12263" max="12264" width="12.7109375" customWidth="1"/>
    <col min="12265" max="12265" width="2.5703125" customWidth="1"/>
    <col min="12266" max="12267" width="12.7109375" customWidth="1"/>
    <col min="12268" max="12268" width="2.5703125" customWidth="1"/>
    <col min="12269" max="12270" width="12.7109375" customWidth="1"/>
    <col min="12271" max="12271" width="2.5703125" customWidth="1"/>
    <col min="12272" max="12273" width="12.7109375" customWidth="1"/>
    <col min="12274" max="12274" width="2.5703125" customWidth="1"/>
    <col min="12275" max="12276" width="12.7109375" customWidth="1"/>
    <col min="12277" max="12277" width="2.5703125" customWidth="1"/>
    <col min="12278" max="12279" width="12.7109375" customWidth="1"/>
    <col min="12280" max="12280" width="2.5703125" customWidth="1"/>
    <col min="12281" max="12282" width="12.7109375" customWidth="1"/>
    <col min="12283" max="12283" width="2.5703125" customWidth="1"/>
    <col min="12284" max="12285" width="12.7109375" customWidth="1"/>
    <col min="12286" max="12286" width="2.5703125" customWidth="1"/>
    <col min="12287" max="12288" width="12.7109375" customWidth="1"/>
    <col min="12289" max="12289" width="2.5703125" customWidth="1"/>
    <col min="12290" max="12291" width="12.7109375" customWidth="1"/>
    <col min="12292" max="12292" width="2.5703125" customWidth="1"/>
    <col min="12293" max="12294" width="12.7109375" customWidth="1"/>
    <col min="12507" max="12508" width="12.42578125" customWidth="1"/>
    <col min="12509" max="12509" width="39.140625" customWidth="1"/>
    <col min="12510" max="12510" width="12.42578125" customWidth="1"/>
    <col min="12511" max="12511" width="2.7109375" customWidth="1"/>
    <col min="12512" max="12512" width="15.28515625" bestFit="1" customWidth="1"/>
    <col min="12513" max="12514" width="12.7109375" customWidth="1"/>
    <col min="12515" max="12515" width="2.5703125" customWidth="1"/>
    <col min="12516" max="12517" width="12.7109375" customWidth="1"/>
    <col min="12518" max="12518" width="2.5703125" customWidth="1"/>
    <col min="12519" max="12520" width="12.7109375" customWidth="1"/>
    <col min="12521" max="12521" width="2.5703125" customWidth="1"/>
    <col min="12522" max="12523" width="12.7109375" customWidth="1"/>
    <col min="12524" max="12524" width="2.5703125" customWidth="1"/>
    <col min="12525" max="12526" width="12.7109375" customWidth="1"/>
    <col min="12527" max="12527" width="2.5703125" customWidth="1"/>
    <col min="12528" max="12529" width="12.7109375" customWidth="1"/>
    <col min="12530" max="12530" width="2.5703125" customWidth="1"/>
    <col min="12531" max="12532" width="12.7109375" customWidth="1"/>
    <col min="12533" max="12533" width="2.5703125" customWidth="1"/>
    <col min="12534" max="12535" width="12.7109375" customWidth="1"/>
    <col min="12536" max="12536" width="2.5703125" customWidth="1"/>
    <col min="12537" max="12538" width="12.7109375" customWidth="1"/>
    <col min="12539" max="12539" width="2.5703125" customWidth="1"/>
    <col min="12540" max="12541" width="12.7109375" customWidth="1"/>
    <col min="12542" max="12542" width="2.5703125" customWidth="1"/>
    <col min="12543" max="12544" width="12.7109375" customWidth="1"/>
    <col min="12545" max="12545" width="2.5703125" customWidth="1"/>
    <col min="12546" max="12547" width="12.7109375" customWidth="1"/>
    <col min="12548" max="12548" width="2.5703125" customWidth="1"/>
    <col min="12549" max="12550" width="12.7109375" customWidth="1"/>
    <col min="12763" max="12764" width="12.42578125" customWidth="1"/>
    <col min="12765" max="12765" width="39.140625" customWidth="1"/>
    <col min="12766" max="12766" width="12.42578125" customWidth="1"/>
    <col min="12767" max="12767" width="2.7109375" customWidth="1"/>
    <col min="12768" max="12768" width="15.28515625" bestFit="1" customWidth="1"/>
    <col min="12769" max="12770" width="12.7109375" customWidth="1"/>
    <col min="12771" max="12771" width="2.5703125" customWidth="1"/>
    <col min="12772" max="12773" width="12.7109375" customWidth="1"/>
    <col min="12774" max="12774" width="2.5703125" customWidth="1"/>
    <col min="12775" max="12776" width="12.7109375" customWidth="1"/>
    <col min="12777" max="12777" width="2.5703125" customWidth="1"/>
    <col min="12778" max="12779" width="12.7109375" customWidth="1"/>
    <col min="12780" max="12780" width="2.5703125" customWidth="1"/>
    <col min="12781" max="12782" width="12.7109375" customWidth="1"/>
    <col min="12783" max="12783" width="2.5703125" customWidth="1"/>
    <col min="12784" max="12785" width="12.7109375" customWidth="1"/>
    <col min="12786" max="12786" width="2.5703125" customWidth="1"/>
    <col min="12787" max="12788" width="12.7109375" customWidth="1"/>
    <col min="12789" max="12789" width="2.5703125" customWidth="1"/>
    <col min="12790" max="12791" width="12.7109375" customWidth="1"/>
    <col min="12792" max="12792" width="2.5703125" customWidth="1"/>
    <col min="12793" max="12794" width="12.7109375" customWidth="1"/>
    <col min="12795" max="12795" width="2.5703125" customWidth="1"/>
    <col min="12796" max="12797" width="12.7109375" customWidth="1"/>
    <col min="12798" max="12798" width="2.5703125" customWidth="1"/>
    <col min="12799" max="12800" width="12.7109375" customWidth="1"/>
    <col min="12801" max="12801" width="2.5703125" customWidth="1"/>
    <col min="12802" max="12803" width="12.7109375" customWidth="1"/>
    <col min="12804" max="12804" width="2.5703125" customWidth="1"/>
    <col min="12805" max="12806" width="12.7109375" customWidth="1"/>
    <col min="13019" max="13020" width="12.42578125" customWidth="1"/>
    <col min="13021" max="13021" width="39.140625" customWidth="1"/>
    <col min="13022" max="13022" width="12.42578125" customWidth="1"/>
    <col min="13023" max="13023" width="2.7109375" customWidth="1"/>
    <col min="13024" max="13024" width="15.28515625" bestFit="1" customWidth="1"/>
    <col min="13025" max="13026" width="12.7109375" customWidth="1"/>
    <col min="13027" max="13027" width="2.5703125" customWidth="1"/>
    <col min="13028" max="13029" width="12.7109375" customWidth="1"/>
    <col min="13030" max="13030" width="2.5703125" customWidth="1"/>
    <col min="13031" max="13032" width="12.7109375" customWidth="1"/>
    <col min="13033" max="13033" width="2.5703125" customWidth="1"/>
    <col min="13034" max="13035" width="12.7109375" customWidth="1"/>
    <col min="13036" max="13036" width="2.5703125" customWidth="1"/>
    <col min="13037" max="13038" width="12.7109375" customWidth="1"/>
    <col min="13039" max="13039" width="2.5703125" customWidth="1"/>
    <col min="13040" max="13041" width="12.7109375" customWidth="1"/>
    <col min="13042" max="13042" width="2.5703125" customWidth="1"/>
    <col min="13043" max="13044" width="12.7109375" customWidth="1"/>
    <col min="13045" max="13045" width="2.5703125" customWidth="1"/>
    <col min="13046" max="13047" width="12.7109375" customWidth="1"/>
    <col min="13048" max="13048" width="2.5703125" customWidth="1"/>
    <col min="13049" max="13050" width="12.7109375" customWidth="1"/>
    <col min="13051" max="13051" width="2.5703125" customWidth="1"/>
    <col min="13052" max="13053" width="12.7109375" customWidth="1"/>
    <col min="13054" max="13054" width="2.5703125" customWidth="1"/>
    <col min="13055" max="13056" width="12.7109375" customWidth="1"/>
    <col min="13057" max="13057" width="2.5703125" customWidth="1"/>
    <col min="13058" max="13059" width="12.7109375" customWidth="1"/>
    <col min="13060" max="13060" width="2.5703125" customWidth="1"/>
    <col min="13061" max="13062" width="12.7109375" customWidth="1"/>
    <col min="13275" max="13276" width="12.42578125" customWidth="1"/>
    <col min="13277" max="13277" width="39.140625" customWidth="1"/>
    <col min="13278" max="13278" width="12.42578125" customWidth="1"/>
    <col min="13279" max="13279" width="2.7109375" customWidth="1"/>
    <col min="13280" max="13280" width="15.28515625" bestFit="1" customWidth="1"/>
    <col min="13281" max="13282" width="12.7109375" customWidth="1"/>
    <col min="13283" max="13283" width="2.5703125" customWidth="1"/>
    <col min="13284" max="13285" width="12.7109375" customWidth="1"/>
    <col min="13286" max="13286" width="2.5703125" customWidth="1"/>
    <col min="13287" max="13288" width="12.7109375" customWidth="1"/>
    <col min="13289" max="13289" width="2.5703125" customWidth="1"/>
    <col min="13290" max="13291" width="12.7109375" customWidth="1"/>
    <col min="13292" max="13292" width="2.5703125" customWidth="1"/>
    <col min="13293" max="13294" width="12.7109375" customWidth="1"/>
    <col min="13295" max="13295" width="2.5703125" customWidth="1"/>
    <col min="13296" max="13297" width="12.7109375" customWidth="1"/>
    <col min="13298" max="13298" width="2.5703125" customWidth="1"/>
    <col min="13299" max="13300" width="12.7109375" customWidth="1"/>
    <col min="13301" max="13301" width="2.5703125" customWidth="1"/>
    <col min="13302" max="13303" width="12.7109375" customWidth="1"/>
    <col min="13304" max="13304" width="2.5703125" customWidth="1"/>
    <col min="13305" max="13306" width="12.7109375" customWidth="1"/>
    <col min="13307" max="13307" width="2.5703125" customWidth="1"/>
    <col min="13308" max="13309" width="12.7109375" customWidth="1"/>
    <col min="13310" max="13310" width="2.5703125" customWidth="1"/>
    <col min="13311" max="13312" width="12.7109375" customWidth="1"/>
    <col min="13313" max="13313" width="2.5703125" customWidth="1"/>
    <col min="13314" max="13315" width="12.7109375" customWidth="1"/>
    <col min="13316" max="13316" width="2.5703125" customWidth="1"/>
    <col min="13317" max="13318" width="12.7109375" customWidth="1"/>
    <col min="13531" max="13532" width="12.42578125" customWidth="1"/>
    <col min="13533" max="13533" width="39.140625" customWidth="1"/>
    <col min="13534" max="13534" width="12.42578125" customWidth="1"/>
    <col min="13535" max="13535" width="2.7109375" customWidth="1"/>
    <col min="13536" max="13536" width="15.28515625" bestFit="1" customWidth="1"/>
    <col min="13537" max="13538" width="12.7109375" customWidth="1"/>
    <col min="13539" max="13539" width="2.5703125" customWidth="1"/>
    <col min="13540" max="13541" width="12.7109375" customWidth="1"/>
    <col min="13542" max="13542" width="2.5703125" customWidth="1"/>
    <col min="13543" max="13544" width="12.7109375" customWidth="1"/>
    <col min="13545" max="13545" width="2.5703125" customWidth="1"/>
    <col min="13546" max="13547" width="12.7109375" customWidth="1"/>
    <col min="13548" max="13548" width="2.5703125" customWidth="1"/>
    <col min="13549" max="13550" width="12.7109375" customWidth="1"/>
    <col min="13551" max="13551" width="2.5703125" customWidth="1"/>
    <col min="13552" max="13553" width="12.7109375" customWidth="1"/>
    <col min="13554" max="13554" width="2.5703125" customWidth="1"/>
    <col min="13555" max="13556" width="12.7109375" customWidth="1"/>
    <col min="13557" max="13557" width="2.5703125" customWidth="1"/>
    <col min="13558" max="13559" width="12.7109375" customWidth="1"/>
    <col min="13560" max="13560" width="2.5703125" customWidth="1"/>
    <col min="13561" max="13562" width="12.7109375" customWidth="1"/>
    <col min="13563" max="13563" width="2.5703125" customWidth="1"/>
    <col min="13564" max="13565" width="12.7109375" customWidth="1"/>
    <col min="13566" max="13566" width="2.5703125" customWidth="1"/>
    <col min="13567" max="13568" width="12.7109375" customWidth="1"/>
    <col min="13569" max="13569" width="2.5703125" customWidth="1"/>
    <col min="13570" max="13571" width="12.7109375" customWidth="1"/>
    <col min="13572" max="13572" width="2.5703125" customWidth="1"/>
    <col min="13573" max="13574" width="12.7109375" customWidth="1"/>
    <col min="13787" max="13788" width="12.42578125" customWidth="1"/>
    <col min="13789" max="13789" width="39.140625" customWidth="1"/>
    <col min="13790" max="13790" width="12.42578125" customWidth="1"/>
    <col min="13791" max="13791" width="2.7109375" customWidth="1"/>
    <col min="13792" max="13792" width="15.28515625" bestFit="1" customWidth="1"/>
    <col min="13793" max="13794" width="12.7109375" customWidth="1"/>
    <col min="13795" max="13795" width="2.5703125" customWidth="1"/>
    <col min="13796" max="13797" width="12.7109375" customWidth="1"/>
    <col min="13798" max="13798" width="2.5703125" customWidth="1"/>
    <col min="13799" max="13800" width="12.7109375" customWidth="1"/>
    <col min="13801" max="13801" width="2.5703125" customWidth="1"/>
    <col min="13802" max="13803" width="12.7109375" customWidth="1"/>
    <col min="13804" max="13804" width="2.5703125" customWidth="1"/>
    <col min="13805" max="13806" width="12.7109375" customWidth="1"/>
    <col min="13807" max="13807" width="2.5703125" customWidth="1"/>
    <col min="13808" max="13809" width="12.7109375" customWidth="1"/>
    <col min="13810" max="13810" width="2.5703125" customWidth="1"/>
    <col min="13811" max="13812" width="12.7109375" customWidth="1"/>
    <col min="13813" max="13813" width="2.5703125" customWidth="1"/>
    <col min="13814" max="13815" width="12.7109375" customWidth="1"/>
    <col min="13816" max="13816" width="2.5703125" customWidth="1"/>
    <col min="13817" max="13818" width="12.7109375" customWidth="1"/>
    <col min="13819" max="13819" width="2.5703125" customWidth="1"/>
    <col min="13820" max="13821" width="12.7109375" customWidth="1"/>
    <col min="13822" max="13822" width="2.5703125" customWidth="1"/>
    <col min="13823" max="13824" width="12.7109375" customWidth="1"/>
    <col min="13825" max="13825" width="2.5703125" customWidth="1"/>
    <col min="13826" max="13827" width="12.7109375" customWidth="1"/>
    <col min="13828" max="13828" width="2.5703125" customWidth="1"/>
    <col min="13829" max="13830" width="12.7109375" customWidth="1"/>
    <col min="14043" max="14044" width="12.42578125" customWidth="1"/>
    <col min="14045" max="14045" width="39.140625" customWidth="1"/>
    <col min="14046" max="14046" width="12.42578125" customWidth="1"/>
    <col min="14047" max="14047" width="2.7109375" customWidth="1"/>
    <col min="14048" max="14048" width="15.28515625" bestFit="1" customWidth="1"/>
    <col min="14049" max="14050" width="12.7109375" customWidth="1"/>
    <col min="14051" max="14051" width="2.5703125" customWidth="1"/>
    <col min="14052" max="14053" width="12.7109375" customWidth="1"/>
    <col min="14054" max="14054" width="2.5703125" customWidth="1"/>
    <col min="14055" max="14056" width="12.7109375" customWidth="1"/>
    <col min="14057" max="14057" width="2.5703125" customWidth="1"/>
    <col min="14058" max="14059" width="12.7109375" customWidth="1"/>
    <col min="14060" max="14060" width="2.5703125" customWidth="1"/>
    <col min="14061" max="14062" width="12.7109375" customWidth="1"/>
    <col min="14063" max="14063" width="2.5703125" customWidth="1"/>
    <col min="14064" max="14065" width="12.7109375" customWidth="1"/>
    <col min="14066" max="14066" width="2.5703125" customWidth="1"/>
    <col min="14067" max="14068" width="12.7109375" customWidth="1"/>
    <col min="14069" max="14069" width="2.5703125" customWidth="1"/>
    <col min="14070" max="14071" width="12.7109375" customWidth="1"/>
    <col min="14072" max="14072" width="2.5703125" customWidth="1"/>
    <col min="14073" max="14074" width="12.7109375" customWidth="1"/>
    <col min="14075" max="14075" width="2.5703125" customWidth="1"/>
    <col min="14076" max="14077" width="12.7109375" customWidth="1"/>
    <col min="14078" max="14078" width="2.5703125" customWidth="1"/>
    <col min="14079" max="14080" width="12.7109375" customWidth="1"/>
    <col min="14081" max="14081" width="2.5703125" customWidth="1"/>
    <col min="14082" max="14083" width="12.7109375" customWidth="1"/>
    <col min="14084" max="14084" width="2.5703125" customWidth="1"/>
    <col min="14085" max="14086" width="12.7109375" customWidth="1"/>
    <col min="14299" max="14300" width="12.42578125" customWidth="1"/>
    <col min="14301" max="14301" width="39.140625" customWidth="1"/>
    <col min="14302" max="14302" width="12.42578125" customWidth="1"/>
    <col min="14303" max="14303" width="2.7109375" customWidth="1"/>
    <col min="14304" max="14304" width="15.28515625" bestFit="1" customWidth="1"/>
    <col min="14305" max="14306" width="12.7109375" customWidth="1"/>
    <col min="14307" max="14307" width="2.5703125" customWidth="1"/>
    <col min="14308" max="14309" width="12.7109375" customWidth="1"/>
    <col min="14310" max="14310" width="2.5703125" customWidth="1"/>
    <col min="14311" max="14312" width="12.7109375" customWidth="1"/>
    <col min="14313" max="14313" width="2.5703125" customWidth="1"/>
    <col min="14314" max="14315" width="12.7109375" customWidth="1"/>
    <col min="14316" max="14316" width="2.5703125" customWidth="1"/>
    <col min="14317" max="14318" width="12.7109375" customWidth="1"/>
    <col min="14319" max="14319" width="2.5703125" customWidth="1"/>
    <col min="14320" max="14321" width="12.7109375" customWidth="1"/>
    <col min="14322" max="14322" width="2.5703125" customWidth="1"/>
    <col min="14323" max="14324" width="12.7109375" customWidth="1"/>
    <col min="14325" max="14325" width="2.5703125" customWidth="1"/>
    <col min="14326" max="14327" width="12.7109375" customWidth="1"/>
    <col min="14328" max="14328" width="2.5703125" customWidth="1"/>
    <col min="14329" max="14330" width="12.7109375" customWidth="1"/>
    <col min="14331" max="14331" width="2.5703125" customWidth="1"/>
    <col min="14332" max="14333" width="12.7109375" customWidth="1"/>
    <col min="14334" max="14334" width="2.5703125" customWidth="1"/>
    <col min="14335" max="14336" width="12.7109375" customWidth="1"/>
    <col min="14337" max="14337" width="2.5703125" customWidth="1"/>
    <col min="14338" max="14339" width="12.7109375" customWidth="1"/>
    <col min="14340" max="14340" width="2.5703125" customWidth="1"/>
    <col min="14341" max="14342" width="12.7109375" customWidth="1"/>
    <col min="14555" max="14556" width="12.42578125" customWidth="1"/>
    <col min="14557" max="14557" width="39.140625" customWidth="1"/>
    <col min="14558" max="14558" width="12.42578125" customWidth="1"/>
    <col min="14559" max="14559" width="2.7109375" customWidth="1"/>
    <col min="14560" max="14560" width="15.28515625" bestFit="1" customWidth="1"/>
    <col min="14561" max="14562" width="12.7109375" customWidth="1"/>
    <col min="14563" max="14563" width="2.5703125" customWidth="1"/>
    <col min="14564" max="14565" width="12.7109375" customWidth="1"/>
    <col min="14566" max="14566" width="2.5703125" customWidth="1"/>
    <col min="14567" max="14568" width="12.7109375" customWidth="1"/>
    <col min="14569" max="14569" width="2.5703125" customWidth="1"/>
    <col min="14570" max="14571" width="12.7109375" customWidth="1"/>
    <col min="14572" max="14572" width="2.5703125" customWidth="1"/>
    <col min="14573" max="14574" width="12.7109375" customWidth="1"/>
    <col min="14575" max="14575" width="2.5703125" customWidth="1"/>
    <col min="14576" max="14577" width="12.7109375" customWidth="1"/>
    <col min="14578" max="14578" width="2.5703125" customWidth="1"/>
    <col min="14579" max="14580" width="12.7109375" customWidth="1"/>
    <col min="14581" max="14581" width="2.5703125" customWidth="1"/>
    <col min="14582" max="14583" width="12.7109375" customWidth="1"/>
    <col min="14584" max="14584" width="2.5703125" customWidth="1"/>
    <col min="14585" max="14586" width="12.7109375" customWidth="1"/>
    <col min="14587" max="14587" width="2.5703125" customWidth="1"/>
    <col min="14588" max="14589" width="12.7109375" customWidth="1"/>
    <col min="14590" max="14590" width="2.5703125" customWidth="1"/>
    <col min="14591" max="14592" width="12.7109375" customWidth="1"/>
    <col min="14593" max="14593" width="2.5703125" customWidth="1"/>
    <col min="14594" max="14595" width="12.7109375" customWidth="1"/>
    <col min="14596" max="14596" width="2.5703125" customWidth="1"/>
    <col min="14597" max="14598" width="12.7109375" customWidth="1"/>
    <col min="14811" max="14812" width="12.42578125" customWidth="1"/>
    <col min="14813" max="14813" width="39.140625" customWidth="1"/>
    <col min="14814" max="14814" width="12.42578125" customWidth="1"/>
    <col min="14815" max="14815" width="2.7109375" customWidth="1"/>
    <col min="14816" max="14816" width="15.28515625" bestFit="1" customWidth="1"/>
    <col min="14817" max="14818" width="12.7109375" customWidth="1"/>
    <col min="14819" max="14819" width="2.5703125" customWidth="1"/>
    <col min="14820" max="14821" width="12.7109375" customWidth="1"/>
    <col min="14822" max="14822" width="2.5703125" customWidth="1"/>
    <col min="14823" max="14824" width="12.7109375" customWidth="1"/>
    <col min="14825" max="14825" width="2.5703125" customWidth="1"/>
    <col min="14826" max="14827" width="12.7109375" customWidth="1"/>
    <col min="14828" max="14828" width="2.5703125" customWidth="1"/>
    <col min="14829" max="14830" width="12.7109375" customWidth="1"/>
    <col min="14831" max="14831" width="2.5703125" customWidth="1"/>
    <col min="14832" max="14833" width="12.7109375" customWidth="1"/>
    <col min="14834" max="14834" width="2.5703125" customWidth="1"/>
    <col min="14835" max="14836" width="12.7109375" customWidth="1"/>
    <col min="14837" max="14837" width="2.5703125" customWidth="1"/>
    <col min="14838" max="14839" width="12.7109375" customWidth="1"/>
    <col min="14840" max="14840" width="2.5703125" customWidth="1"/>
    <col min="14841" max="14842" width="12.7109375" customWidth="1"/>
    <col min="14843" max="14843" width="2.5703125" customWidth="1"/>
    <col min="14844" max="14845" width="12.7109375" customWidth="1"/>
    <col min="14846" max="14846" width="2.5703125" customWidth="1"/>
    <col min="14847" max="14848" width="12.7109375" customWidth="1"/>
    <col min="14849" max="14849" width="2.5703125" customWidth="1"/>
    <col min="14850" max="14851" width="12.7109375" customWidth="1"/>
    <col min="14852" max="14852" width="2.5703125" customWidth="1"/>
    <col min="14853" max="14854" width="12.7109375" customWidth="1"/>
    <col min="15067" max="15068" width="12.42578125" customWidth="1"/>
    <col min="15069" max="15069" width="39.140625" customWidth="1"/>
    <col min="15070" max="15070" width="12.42578125" customWidth="1"/>
    <col min="15071" max="15071" width="2.7109375" customWidth="1"/>
    <col min="15072" max="15072" width="15.28515625" bestFit="1" customWidth="1"/>
    <col min="15073" max="15074" width="12.7109375" customWidth="1"/>
    <col min="15075" max="15075" width="2.5703125" customWidth="1"/>
    <col min="15076" max="15077" width="12.7109375" customWidth="1"/>
    <col min="15078" max="15078" width="2.5703125" customWidth="1"/>
    <col min="15079" max="15080" width="12.7109375" customWidth="1"/>
    <col min="15081" max="15081" width="2.5703125" customWidth="1"/>
    <col min="15082" max="15083" width="12.7109375" customWidth="1"/>
    <col min="15084" max="15084" width="2.5703125" customWidth="1"/>
    <col min="15085" max="15086" width="12.7109375" customWidth="1"/>
    <col min="15087" max="15087" width="2.5703125" customWidth="1"/>
    <col min="15088" max="15089" width="12.7109375" customWidth="1"/>
    <col min="15090" max="15090" width="2.5703125" customWidth="1"/>
    <col min="15091" max="15092" width="12.7109375" customWidth="1"/>
    <col min="15093" max="15093" width="2.5703125" customWidth="1"/>
    <col min="15094" max="15095" width="12.7109375" customWidth="1"/>
    <col min="15096" max="15096" width="2.5703125" customWidth="1"/>
    <col min="15097" max="15098" width="12.7109375" customWidth="1"/>
    <col min="15099" max="15099" width="2.5703125" customWidth="1"/>
    <col min="15100" max="15101" width="12.7109375" customWidth="1"/>
    <col min="15102" max="15102" width="2.5703125" customWidth="1"/>
    <col min="15103" max="15104" width="12.7109375" customWidth="1"/>
    <col min="15105" max="15105" width="2.5703125" customWidth="1"/>
    <col min="15106" max="15107" width="12.7109375" customWidth="1"/>
    <col min="15108" max="15108" width="2.5703125" customWidth="1"/>
    <col min="15109" max="15110" width="12.7109375" customWidth="1"/>
    <col min="15323" max="15324" width="12.42578125" customWidth="1"/>
    <col min="15325" max="15325" width="39.140625" customWidth="1"/>
    <col min="15326" max="15326" width="12.42578125" customWidth="1"/>
    <col min="15327" max="15327" width="2.7109375" customWidth="1"/>
    <col min="15328" max="15328" width="15.28515625" bestFit="1" customWidth="1"/>
    <col min="15329" max="15330" width="12.7109375" customWidth="1"/>
    <col min="15331" max="15331" width="2.5703125" customWidth="1"/>
    <col min="15332" max="15333" width="12.7109375" customWidth="1"/>
    <col min="15334" max="15334" width="2.5703125" customWidth="1"/>
    <col min="15335" max="15336" width="12.7109375" customWidth="1"/>
    <col min="15337" max="15337" width="2.5703125" customWidth="1"/>
    <col min="15338" max="15339" width="12.7109375" customWidth="1"/>
    <col min="15340" max="15340" width="2.5703125" customWidth="1"/>
    <col min="15341" max="15342" width="12.7109375" customWidth="1"/>
    <col min="15343" max="15343" width="2.5703125" customWidth="1"/>
    <col min="15344" max="15345" width="12.7109375" customWidth="1"/>
    <col min="15346" max="15346" width="2.5703125" customWidth="1"/>
    <col min="15347" max="15348" width="12.7109375" customWidth="1"/>
    <col min="15349" max="15349" width="2.5703125" customWidth="1"/>
    <col min="15350" max="15351" width="12.7109375" customWidth="1"/>
    <col min="15352" max="15352" width="2.5703125" customWidth="1"/>
    <col min="15353" max="15354" width="12.7109375" customWidth="1"/>
    <col min="15355" max="15355" width="2.5703125" customWidth="1"/>
    <col min="15356" max="15357" width="12.7109375" customWidth="1"/>
    <col min="15358" max="15358" width="2.5703125" customWidth="1"/>
    <col min="15359" max="15360" width="12.7109375" customWidth="1"/>
    <col min="15361" max="15361" width="2.5703125" customWidth="1"/>
    <col min="15362" max="15363" width="12.7109375" customWidth="1"/>
    <col min="15364" max="15364" width="2.5703125" customWidth="1"/>
    <col min="15365" max="15366" width="12.7109375" customWidth="1"/>
    <col min="15579" max="15580" width="12.42578125" customWidth="1"/>
    <col min="15581" max="15581" width="39.140625" customWidth="1"/>
    <col min="15582" max="15582" width="12.42578125" customWidth="1"/>
    <col min="15583" max="15583" width="2.7109375" customWidth="1"/>
    <col min="15584" max="15584" width="15.28515625" bestFit="1" customWidth="1"/>
    <col min="15585" max="15586" width="12.7109375" customWidth="1"/>
    <col min="15587" max="15587" width="2.5703125" customWidth="1"/>
    <col min="15588" max="15589" width="12.7109375" customWidth="1"/>
    <col min="15590" max="15590" width="2.5703125" customWidth="1"/>
    <col min="15591" max="15592" width="12.7109375" customWidth="1"/>
    <col min="15593" max="15593" width="2.5703125" customWidth="1"/>
    <col min="15594" max="15595" width="12.7109375" customWidth="1"/>
    <col min="15596" max="15596" width="2.5703125" customWidth="1"/>
    <col min="15597" max="15598" width="12.7109375" customWidth="1"/>
    <col min="15599" max="15599" width="2.5703125" customWidth="1"/>
    <col min="15600" max="15601" width="12.7109375" customWidth="1"/>
    <col min="15602" max="15602" width="2.5703125" customWidth="1"/>
    <col min="15603" max="15604" width="12.7109375" customWidth="1"/>
    <col min="15605" max="15605" width="2.5703125" customWidth="1"/>
    <col min="15606" max="15607" width="12.7109375" customWidth="1"/>
    <col min="15608" max="15608" width="2.5703125" customWidth="1"/>
    <col min="15609" max="15610" width="12.7109375" customWidth="1"/>
    <col min="15611" max="15611" width="2.5703125" customWidth="1"/>
    <col min="15612" max="15613" width="12.7109375" customWidth="1"/>
    <col min="15614" max="15614" width="2.5703125" customWidth="1"/>
    <col min="15615" max="15616" width="12.7109375" customWidth="1"/>
    <col min="15617" max="15617" width="2.5703125" customWidth="1"/>
    <col min="15618" max="15619" width="12.7109375" customWidth="1"/>
    <col min="15620" max="15620" width="2.5703125" customWidth="1"/>
    <col min="15621" max="15622" width="12.7109375" customWidth="1"/>
    <col min="15835" max="15836" width="12.42578125" customWidth="1"/>
    <col min="15837" max="15837" width="39.140625" customWidth="1"/>
    <col min="15838" max="15838" width="12.42578125" customWidth="1"/>
    <col min="15839" max="15839" width="2.7109375" customWidth="1"/>
    <col min="15840" max="15840" width="15.28515625" bestFit="1" customWidth="1"/>
    <col min="15841" max="15842" width="12.7109375" customWidth="1"/>
    <col min="15843" max="15843" width="2.5703125" customWidth="1"/>
    <col min="15844" max="15845" width="12.7109375" customWidth="1"/>
    <col min="15846" max="15846" width="2.5703125" customWidth="1"/>
    <col min="15847" max="15848" width="12.7109375" customWidth="1"/>
    <col min="15849" max="15849" width="2.5703125" customWidth="1"/>
    <col min="15850" max="15851" width="12.7109375" customWidth="1"/>
    <col min="15852" max="15852" width="2.5703125" customWidth="1"/>
    <col min="15853" max="15854" width="12.7109375" customWidth="1"/>
    <col min="15855" max="15855" width="2.5703125" customWidth="1"/>
    <col min="15856" max="15857" width="12.7109375" customWidth="1"/>
    <col min="15858" max="15858" width="2.5703125" customWidth="1"/>
    <col min="15859" max="15860" width="12.7109375" customWidth="1"/>
    <col min="15861" max="15861" width="2.5703125" customWidth="1"/>
    <col min="15862" max="15863" width="12.7109375" customWidth="1"/>
    <col min="15864" max="15864" width="2.5703125" customWidth="1"/>
    <col min="15865" max="15866" width="12.7109375" customWidth="1"/>
    <col min="15867" max="15867" width="2.5703125" customWidth="1"/>
    <col min="15868" max="15869" width="12.7109375" customWidth="1"/>
    <col min="15870" max="15870" width="2.5703125" customWidth="1"/>
    <col min="15871" max="15872" width="12.7109375" customWidth="1"/>
    <col min="15873" max="15873" width="2.5703125" customWidth="1"/>
    <col min="15874" max="15875" width="12.7109375" customWidth="1"/>
    <col min="15876" max="15876" width="2.5703125" customWidth="1"/>
    <col min="15877" max="15878" width="12.7109375" customWidth="1"/>
    <col min="16091" max="16092" width="12.42578125" customWidth="1"/>
    <col min="16093" max="16093" width="39.140625" customWidth="1"/>
    <col min="16094" max="16094" width="12.42578125" customWidth="1"/>
    <col min="16095" max="16095" width="2.7109375" customWidth="1"/>
    <col min="16096" max="16096" width="15.28515625" bestFit="1" customWidth="1"/>
    <col min="16097" max="16098" width="12.7109375" customWidth="1"/>
    <col min="16099" max="16099" width="2.5703125" customWidth="1"/>
    <col min="16100" max="16101" width="12.7109375" customWidth="1"/>
    <col min="16102" max="16102" width="2.5703125" customWidth="1"/>
    <col min="16103" max="16104" width="12.7109375" customWidth="1"/>
    <col min="16105" max="16105" width="2.5703125" customWidth="1"/>
    <col min="16106" max="16107" width="12.7109375" customWidth="1"/>
    <col min="16108" max="16108" width="2.5703125" customWidth="1"/>
    <col min="16109" max="16110" width="12.7109375" customWidth="1"/>
    <col min="16111" max="16111" width="2.5703125" customWidth="1"/>
    <col min="16112" max="16113" width="12.7109375" customWidth="1"/>
    <col min="16114" max="16114" width="2.5703125" customWidth="1"/>
    <col min="16115" max="16116" width="12.7109375" customWidth="1"/>
    <col min="16117" max="16117" width="2.5703125" customWidth="1"/>
    <col min="16118" max="16119" width="12.7109375" customWidth="1"/>
    <col min="16120" max="16120" width="2.5703125" customWidth="1"/>
    <col min="16121" max="16122" width="12.7109375" customWidth="1"/>
    <col min="16123" max="16123" width="2.5703125" customWidth="1"/>
    <col min="16124" max="16125" width="12.7109375" customWidth="1"/>
    <col min="16126" max="16126" width="2.5703125" customWidth="1"/>
    <col min="16127" max="16128" width="12.7109375" customWidth="1"/>
    <col min="16129" max="16129" width="2.5703125" customWidth="1"/>
    <col min="16130" max="16131" width="12.7109375" customWidth="1"/>
    <col min="16132" max="16132" width="2.5703125" customWidth="1"/>
    <col min="16133" max="16134" width="12.7109375" customWidth="1"/>
  </cols>
  <sheetData>
    <row r="1" spans="1:17" s="1" customFormat="1" ht="28.5" customHeight="1" x14ac:dyDescent="0.2">
      <c r="A1" s="85"/>
      <c r="B1" s="85"/>
      <c r="C1" s="101" t="s">
        <v>0</v>
      </c>
      <c r="D1" s="102"/>
      <c r="E1" s="15"/>
      <c r="F1" s="91" t="s">
        <v>1</v>
      </c>
      <c r="G1" s="91"/>
      <c r="H1" s="95"/>
      <c r="I1" s="96"/>
      <c r="J1" s="96"/>
      <c r="K1" s="97"/>
      <c r="L1" s="93" t="s">
        <v>2</v>
      </c>
      <c r="M1" s="93"/>
      <c r="N1" s="25"/>
      <c r="O1" s="92" t="s">
        <v>3</v>
      </c>
      <c r="P1" s="92"/>
      <c r="Q1" s="26">
        <f>SUM(N1-Q6)</f>
        <v>0</v>
      </c>
    </row>
    <row r="2" spans="1:17" s="1" customFormat="1" ht="28.5" customHeight="1" x14ac:dyDescent="0.2">
      <c r="A2" s="85"/>
      <c r="B2" s="85"/>
      <c r="C2" s="101"/>
      <c r="D2" s="102"/>
      <c r="E2" s="16"/>
      <c r="F2" s="91" t="s">
        <v>4</v>
      </c>
      <c r="G2" s="91"/>
      <c r="H2" s="98"/>
      <c r="I2" s="99"/>
      <c r="J2" s="99"/>
      <c r="K2" s="100"/>
      <c r="L2" s="94" t="s">
        <v>5</v>
      </c>
      <c r="M2" s="94"/>
      <c r="N2" s="25"/>
      <c r="O2" s="92"/>
      <c r="P2" s="92"/>
      <c r="Q2" s="26">
        <f>SUM(N2-Q6)</f>
        <v>0</v>
      </c>
    </row>
    <row r="3" spans="1:17" s="1" customFormat="1" ht="14.25" customHeight="1" x14ac:dyDescent="0.2">
      <c r="A3" s="86"/>
      <c r="B3" s="86"/>
      <c r="C3" s="86"/>
      <c r="D3" s="8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  <c r="Q3" s="23"/>
    </row>
    <row r="4" spans="1:17" s="1" customFormat="1" ht="51" customHeight="1" x14ac:dyDescent="0.2">
      <c r="A4" s="27" t="s">
        <v>6</v>
      </c>
      <c r="B4" s="27" t="s">
        <v>7</v>
      </c>
      <c r="C4" s="28" t="s">
        <v>8</v>
      </c>
      <c r="D4" s="28" t="s">
        <v>9</v>
      </c>
      <c r="E4" s="2"/>
      <c r="F4" s="29" t="s">
        <v>10</v>
      </c>
      <c r="G4" s="2"/>
      <c r="H4" s="88" t="s">
        <v>11</v>
      </c>
      <c r="I4" s="88"/>
      <c r="J4" s="3"/>
      <c r="K4" s="30" t="s">
        <v>12</v>
      </c>
      <c r="L4" s="31" t="s">
        <v>13</v>
      </c>
      <c r="M4" s="4"/>
      <c r="N4" s="89" t="s">
        <v>14</v>
      </c>
      <c r="O4" s="90"/>
      <c r="P4" s="19"/>
      <c r="Q4" s="32" t="s">
        <v>15</v>
      </c>
    </row>
    <row r="5" spans="1:17" s="1" customFormat="1" ht="14.25" customHeight="1" thickBot="1" x14ac:dyDescent="0.25">
      <c r="A5" s="33"/>
      <c r="B5" s="34"/>
      <c r="C5" s="34"/>
      <c r="D5" s="35"/>
      <c r="E5" s="2"/>
      <c r="F5" s="36" t="s">
        <v>16</v>
      </c>
      <c r="G5" s="2"/>
      <c r="H5" s="37" t="s">
        <v>17</v>
      </c>
      <c r="I5" s="38" t="s">
        <v>16</v>
      </c>
      <c r="J5" s="3"/>
      <c r="K5" s="39" t="s">
        <v>16</v>
      </c>
      <c r="L5" s="40" t="s">
        <v>17</v>
      </c>
      <c r="M5" s="2"/>
      <c r="N5" s="39" t="s">
        <v>16</v>
      </c>
      <c r="O5" s="41" t="s">
        <v>17</v>
      </c>
      <c r="P5" s="20"/>
      <c r="Q5" s="42" t="s">
        <v>16</v>
      </c>
    </row>
    <row r="6" spans="1:17" s="1" customFormat="1" ht="19.5" customHeight="1" thickTop="1" thickBot="1" x14ac:dyDescent="0.25">
      <c r="A6" s="43"/>
      <c r="B6" s="44"/>
      <c r="C6" s="45"/>
      <c r="D6" s="45"/>
      <c r="E6" s="5"/>
      <c r="F6" s="6">
        <f>SUM(F7:F122)</f>
        <v>0</v>
      </c>
      <c r="G6" s="5"/>
      <c r="H6" s="7">
        <f>IF(SUM(H7:H122)=0,0,SUM(H7:H122)/(COUNT(H7:H122)-COUNTIF(H7:H122,0)))</f>
        <v>0</v>
      </c>
      <c r="I6" s="8">
        <f>SUM(I7:I122)</f>
        <v>0</v>
      </c>
      <c r="J6" s="9"/>
      <c r="K6" s="10">
        <f>SUM(K7:K122)</f>
        <v>0</v>
      </c>
      <c r="L6" s="11">
        <f>IF(SUM(L7:L122)=0,0,SUM(L7:L122)/(COUNT(L7:L122)-COUNTIF(L7:L122,0)))</f>
        <v>0</v>
      </c>
      <c r="M6" s="5"/>
      <c r="N6" s="10">
        <f>SUM(N7:N122)</f>
        <v>0</v>
      </c>
      <c r="O6" s="11">
        <f>IF(N6=0,0,(N6/F6))</f>
        <v>0</v>
      </c>
      <c r="P6" s="21"/>
      <c r="Q6" s="24">
        <f>SUM(Q7:Q122)</f>
        <v>0</v>
      </c>
    </row>
    <row r="7" spans="1:17" s="1" customFormat="1" ht="12.75" x14ac:dyDescent="0.2">
      <c r="A7" s="46"/>
      <c r="B7" s="47"/>
      <c r="C7" s="48"/>
      <c r="D7" s="49"/>
      <c r="E7" s="12"/>
      <c r="F7" s="50"/>
      <c r="G7" s="12"/>
      <c r="H7" s="51"/>
      <c r="I7" s="52">
        <f t="shared" ref="I7:I68" si="0">F7*H7</f>
        <v>0</v>
      </c>
      <c r="J7" s="13"/>
      <c r="K7" s="53"/>
      <c r="L7" s="54">
        <f>IF(F7=0,0,(F7-K7)/F7)</f>
        <v>0</v>
      </c>
      <c r="M7" s="14"/>
      <c r="N7" s="55">
        <f>F7-K7-I7</f>
        <v>0</v>
      </c>
      <c r="O7" s="56">
        <f>IF(N7=0,0,(N7/F7))</f>
        <v>0</v>
      </c>
      <c r="P7" s="22"/>
      <c r="Q7" s="57">
        <f>SUM(N7*D7)</f>
        <v>0</v>
      </c>
    </row>
    <row r="8" spans="1:17" s="1" customFormat="1" ht="12.75" x14ac:dyDescent="0.2">
      <c r="A8" s="46"/>
      <c r="B8" s="58"/>
      <c r="C8" s="59"/>
      <c r="D8" s="49"/>
      <c r="E8" s="12"/>
      <c r="F8" s="50"/>
      <c r="G8" s="12"/>
      <c r="H8" s="51"/>
      <c r="I8" s="52">
        <f t="shared" si="0"/>
        <v>0</v>
      </c>
      <c r="J8" s="13"/>
      <c r="K8" s="53"/>
      <c r="L8" s="54">
        <f t="shared" ref="L8:L10" si="1">IF(F8=0,0,(F8-K8)/F8)</f>
        <v>0</v>
      </c>
      <c r="M8" s="14"/>
      <c r="N8" s="55">
        <f t="shared" ref="N8:N69" si="2">F8-K8-I8</f>
        <v>0</v>
      </c>
      <c r="O8" s="56">
        <f t="shared" ref="O8:O71" si="3">IF(N8=0,0,(N8/F8))</f>
        <v>0</v>
      </c>
      <c r="P8" s="22"/>
      <c r="Q8" s="57">
        <f t="shared" ref="Q8:Q71" si="4">SUM(N8*D8)</f>
        <v>0</v>
      </c>
    </row>
    <row r="9" spans="1:17" s="1" customFormat="1" ht="12.75" x14ac:dyDescent="0.2">
      <c r="A9" s="46"/>
      <c r="B9" s="58"/>
      <c r="C9" s="59"/>
      <c r="D9" s="49"/>
      <c r="E9" s="12"/>
      <c r="F9" s="50"/>
      <c r="G9" s="12"/>
      <c r="H9" s="60"/>
      <c r="I9" s="61">
        <f t="shared" si="0"/>
        <v>0</v>
      </c>
      <c r="J9" s="13"/>
      <c r="K9" s="53"/>
      <c r="L9" s="54">
        <f t="shared" si="1"/>
        <v>0</v>
      </c>
      <c r="M9" s="12"/>
      <c r="N9" s="55">
        <f t="shared" si="2"/>
        <v>0</v>
      </c>
      <c r="O9" s="56">
        <f t="shared" si="3"/>
        <v>0</v>
      </c>
      <c r="P9" s="22"/>
      <c r="Q9" s="57">
        <f t="shared" si="4"/>
        <v>0</v>
      </c>
    </row>
    <row r="10" spans="1:17" s="1" customFormat="1" ht="12.75" x14ac:dyDescent="0.2">
      <c r="A10" s="46"/>
      <c r="B10" s="58"/>
      <c r="C10" s="59"/>
      <c r="D10" s="49"/>
      <c r="E10" s="12"/>
      <c r="F10" s="50"/>
      <c r="G10" s="12"/>
      <c r="H10" s="51"/>
      <c r="I10" s="52">
        <f>F10*H10</f>
        <v>0</v>
      </c>
      <c r="J10" s="13"/>
      <c r="K10" s="53"/>
      <c r="L10" s="54">
        <f t="shared" si="1"/>
        <v>0</v>
      </c>
      <c r="M10" s="14"/>
      <c r="N10" s="55">
        <f t="shared" si="2"/>
        <v>0</v>
      </c>
      <c r="O10" s="56">
        <f t="shared" si="3"/>
        <v>0</v>
      </c>
      <c r="P10" s="22"/>
      <c r="Q10" s="57">
        <f t="shared" si="4"/>
        <v>0</v>
      </c>
    </row>
    <row r="11" spans="1:17" s="1" customFormat="1" ht="12.75" x14ac:dyDescent="0.2">
      <c r="A11" s="46"/>
      <c r="B11" s="58"/>
      <c r="C11" s="59"/>
      <c r="D11" s="49"/>
      <c r="E11" s="12"/>
      <c r="F11" s="50"/>
      <c r="G11" s="12"/>
      <c r="H11" s="51"/>
      <c r="I11" s="52">
        <f>F11*H11</f>
        <v>0</v>
      </c>
      <c r="J11" s="13"/>
      <c r="K11" s="53"/>
      <c r="L11" s="54">
        <f>IF(F11=0,0,(F11-K11)/F11)</f>
        <v>0</v>
      </c>
      <c r="M11" s="12"/>
      <c r="N11" s="55">
        <f t="shared" si="2"/>
        <v>0</v>
      </c>
      <c r="O11" s="56">
        <f t="shared" si="3"/>
        <v>0</v>
      </c>
      <c r="P11" s="22"/>
      <c r="Q11" s="57">
        <f t="shared" si="4"/>
        <v>0</v>
      </c>
    </row>
    <row r="12" spans="1:17" s="1" customFormat="1" ht="12.75" x14ac:dyDescent="0.2">
      <c r="A12" s="62"/>
      <c r="B12" s="58"/>
      <c r="C12" s="58"/>
      <c r="D12" s="63"/>
      <c r="E12" s="12"/>
      <c r="F12" s="50"/>
      <c r="G12" s="12"/>
      <c r="H12" s="51"/>
      <c r="I12" s="52">
        <f t="shared" si="0"/>
        <v>0</v>
      </c>
      <c r="J12" s="13"/>
      <c r="K12" s="53"/>
      <c r="L12" s="54">
        <f>IF(F12=0,0,(F12-K12)/F12)</f>
        <v>0</v>
      </c>
      <c r="M12" s="14"/>
      <c r="N12" s="55">
        <f t="shared" si="2"/>
        <v>0</v>
      </c>
      <c r="O12" s="56">
        <f t="shared" si="3"/>
        <v>0</v>
      </c>
      <c r="P12" s="22"/>
      <c r="Q12" s="57">
        <f t="shared" si="4"/>
        <v>0</v>
      </c>
    </row>
    <row r="13" spans="1:17" s="1" customFormat="1" ht="12.75" x14ac:dyDescent="0.2">
      <c r="A13" s="46"/>
      <c r="B13" s="58"/>
      <c r="C13" s="59"/>
      <c r="D13" s="49"/>
      <c r="E13" s="12"/>
      <c r="F13" s="50"/>
      <c r="G13" s="12"/>
      <c r="H13" s="51"/>
      <c r="I13" s="52">
        <f t="shared" si="0"/>
        <v>0</v>
      </c>
      <c r="J13" s="13"/>
      <c r="K13" s="53"/>
      <c r="L13" s="54">
        <f t="shared" ref="L13:L73" si="5">IF(F13=0,0,(F13-K13)/F13)</f>
        <v>0</v>
      </c>
      <c r="M13" s="14"/>
      <c r="N13" s="55">
        <f t="shared" si="2"/>
        <v>0</v>
      </c>
      <c r="O13" s="56">
        <f t="shared" si="3"/>
        <v>0</v>
      </c>
      <c r="P13" s="22"/>
      <c r="Q13" s="57">
        <f t="shared" si="4"/>
        <v>0</v>
      </c>
    </row>
    <row r="14" spans="1:17" s="1" customFormat="1" ht="12.75" x14ac:dyDescent="0.2">
      <c r="A14" s="46"/>
      <c r="B14" s="58"/>
      <c r="C14" s="59"/>
      <c r="D14" s="49"/>
      <c r="E14" s="12"/>
      <c r="F14" s="50"/>
      <c r="G14" s="12"/>
      <c r="H14" s="51"/>
      <c r="I14" s="52">
        <f t="shared" si="0"/>
        <v>0</v>
      </c>
      <c r="J14" s="13"/>
      <c r="K14" s="53"/>
      <c r="L14" s="54">
        <f t="shared" si="5"/>
        <v>0</v>
      </c>
      <c r="M14" s="12"/>
      <c r="N14" s="55">
        <f t="shared" si="2"/>
        <v>0</v>
      </c>
      <c r="O14" s="56">
        <f t="shared" si="3"/>
        <v>0</v>
      </c>
      <c r="P14" s="22"/>
      <c r="Q14" s="57">
        <f t="shared" si="4"/>
        <v>0</v>
      </c>
    </row>
    <row r="15" spans="1:17" s="1" customFormat="1" ht="12.75" x14ac:dyDescent="0.2">
      <c r="A15" s="46"/>
      <c r="B15" s="58"/>
      <c r="C15" s="59"/>
      <c r="D15" s="49"/>
      <c r="E15" s="12"/>
      <c r="F15" s="50"/>
      <c r="G15" s="12"/>
      <c r="H15" s="51"/>
      <c r="I15" s="52">
        <f t="shared" si="0"/>
        <v>0</v>
      </c>
      <c r="J15" s="13"/>
      <c r="K15" s="53"/>
      <c r="L15" s="54">
        <f t="shared" si="5"/>
        <v>0</v>
      </c>
      <c r="M15" s="12"/>
      <c r="N15" s="55">
        <f t="shared" si="2"/>
        <v>0</v>
      </c>
      <c r="O15" s="56">
        <f t="shared" si="3"/>
        <v>0</v>
      </c>
      <c r="P15" s="22"/>
      <c r="Q15" s="57">
        <f t="shared" si="4"/>
        <v>0</v>
      </c>
    </row>
    <row r="16" spans="1:17" s="1" customFormat="1" ht="12.75" x14ac:dyDescent="0.2">
      <c r="A16" s="46"/>
      <c r="B16" s="58"/>
      <c r="C16" s="59"/>
      <c r="D16" s="49"/>
      <c r="E16" s="12"/>
      <c r="F16" s="50"/>
      <c r="G16" s="12"/>
      <c r="H16" s="51"/>
      <c r="I16" s="52">
        <f t="shared" si="0"/>
        <v>0</v>
      </c>
      <c r="J16" s="13"/>
      <c r="K16" s="53"/>
      <c r="L16" s="54">
        <f t="shared" si="5"/>
        <v>0</v>
      </c>
      <c r="M16" s="12"/>
      <c r="N16" s="55">
        <f t="shared" si="2"/>
        <v>0</v>
      </c>
      <c r="O16" s="56">
        <f t="shared" si="3"/>
        <v>0</v>
      </c>
      <c r="P16" s="22"/>
      <c r="Q16" s="57">
        <f t="shared" si="4"/>
        <v>0</v>
      </c>
    </row>
    <row r="17" spans="1:17" s="1" customFormat="1" ht="12.75" x14ac:dyDescent="0.2">
      <c r="A17" s="46"/>
      <c r="B17" s="58"/>
      <c r="C17" s="59"/>
      <c r="D17" s="49"/>
      <c r="E17" s="12"/>
      <c r="F17" s="50"/>
      <c r="G17" s="12"/>
      <c r="H17" s="51"/>
      <c r="I17" s="52">
        <f t="shared" si="0"/>
        <v>0</v>
      </c>
      <c r="J17" s="13"/>
      <c r="K17" s="53"/>
      <c r="L17" s="54">
        <f t="shared" si="5"/>
        <v>0</v>
      </c>
      <c r="M17" s="12"/>
      <c r="N17" s="55">
        <f t="shared" si="2"/>
        <v>0</v>
      </c>
      <c r="O17" s="56">
        <f t="shared" si="3"/>
        <v>0</v>
      </c>
      <c r="P17" s="22"/>
      <c r="Q17" s="57">
        <f t="shared" si="4"/>
        <v>0</v>
      </c>
    </row>
    <row r="18" spans="1:17" s="1" customFormat="1" ht="12.75" x14ac:dyDescent="0.2">
      <c r="A18" s="46"/>
      <c r="B18" s="58"/>
      <c r="C18" s="59"/>
      <c r="D18" s="49"/>
      <c r="E18" s="12"/>
      <c r="F18" s="50"/>
      <c r="G18" s="12"/>
      <c r="H18" s="51"/>
      <c r="I18" s="52">
        <f t="shared" si="0"/>
        <v>0</v>
      </c>
      <c r="J18" s="13"/>
      <c r="K18" s="53"/>
      <c r="L18" s="54">
        <f t="shared" si="5"/>
        <v>0</v>
      </c>
      <c r="M18" s="12"/>
      <c r="N18" s="55">
        <f t="shared" si="2"/>
        <v>0</v>
      </c>
      <c r="O18" s="56">
        <f t="shared" si="3"/>
        <v>0</v>
      </c>
      <c r="P18" s="22"/>
      <c r="Q18" s="57">
        <f t="shared" si="4"/>
        <v>0</v>
      </c>
    </row>
    <row r="19" spans="1:17" s="1" customFormat="1" ht="12.75" x14ac:dyDescent="0.2">
      <c r="A19" s="46"/>
      <c r="B19" s="58"/>
      <c r="C19" s="59"/>
      <c r="D19" s="49"/>
      <c r="E19" s="12"/>
      <c r="F19" s="50"/>
      <c r="G19" s="12"/>
      <c r="H19" s="51"/>
      <c r="I19" s="52">
        <f t="shared" si="0"/>
        <v>0</v>
      </c>
      <c r="J19" s="13"/>
      <c r="K19" s="53"/>
      <c r="L19" s="54">
        <f t="shared" si="5"/>
        <v>0</v>
      </c>
      <c r="M19" s="12"/>
      <c r="N19" s="55">
        <f t="shared" si="2"/>
        <v>0</v>
      </c>
      <c r="O19" s="56">
        <f t="shared" si="3"/>
        <v>0</v>
      </c>
      <c r="P19" s="22"/>
      <c r="Q19" s="57">
        <f t="shared" si="4"/>
        <v>0</v>
      </c>
    </row>
    <row r="20" spans="1:17" s="1" customFormat="1" ht="12.75" x14ac:dyDescent="0.2">
      <c r="A20" s="64"/>
      <c r="B20" s="65"/>
      <c r="C20" s="65"/>
      <c r="D20" s="66"/>
      <c r="E20" s="12"/>
      <c r="F20" s="50"/>
      <c r="G20" s="12"/>
      <c r="H20" s="51"/>
      <c r="I20" s="52">
        <f t="shared" si="0"/>
        <v>0</v>
      </c>
      <c r="J20" s="13"/>
      <c r="K20" s="53"/>
      <c r="L20" s="54">
        <f t="shared" si="5"/>
        <v>0</v>
      </c>
      <c r="M20" s="12"/>
      <c r="N20" s="55">
        <f t="shared" si="2"/>
        <v>0</v>
      </c>
      <c r="O20" s="56">
        <f t="shared" si="3"/>
        <v>0</v>
      </c>
      <c r="P20" s="22"/>
      <c r="Q20" s="57">
        <f t="shared" si="4"/>
        <v>0</v>
      </c>
    </row>
    <row r="21" spans="1:17" s="1" customFormat="1" ht="12.75" x14ac:dyDescent="0.2">
      <c r="A21" s="64"/>
      <c r="B21" s="65"/>
      <c r="C21" s="65"/>
      <c r="D21" s="66"/>
      <c r="E21" s="12"/>
      <c r="F21" s="50"/>
      <c r="G21" s="12"/>
      <c r="H21" s="51"/>
      <c r="I21" s="52">
        <f t="shared" si="0"/>
        <v>0</v>
      </c>
      <c r="J21" s="13"/>
      <c r="K21" s="53"/>
      <c r="L21" s="54">
        <f t="shared" si="5"/>
        <v>0</v>
      </c>
      <c r="M21" s="12"/>
      <c r="N21" s="55">
        <f t="shared" si="2"/>
        <v>0</v>
      </c>
      <c r="O21" s="56">
        <f t="shared" si="3"/>
        <v>0</v>
      </c>
      <c r="P21" s="22"/>
      <c r="Q21" s="57">
        <f t="shared" si="4"/>
        <v>0</v>
      </c>
    </row>
    <row r="22" spans="1:17" s="1" customFormat="1" ht="12.75" x14ac:dyDescent="0.2">
      <c r="A22" s="64"/>
      <c r="B22" s="65"/>
      <c r="C22" s="65"/>
      <c r="D22" s="66"/>
      <c r="E22" s="12"/>
      <c r="F22" s="50"/>
      <c r="G22" s="12"/>
      <c r="H22" s="51"/>
      <c r="I22" s="52">
        <f t="shared" si="0"/>
        <v>0</v>
      </c>
      <c r="J22" s="13"/>
      <c r="K22" s="53"/>
      <c r="L22" s="54">
        <f t="shared" si="5"/>
        <v>0</v>
      </c>
      <c r="M22" s="12"/>
      <c r="N22" s="55">
        <f t="shared" si="2"/>
        <v>0</v>
      </c>
      <c r="O22" s="56">
        <f t="shared" si="3"/>
        <v>0</v>
      </c>
      <c r="P22" s="22"/>
      <c r="Q22" s="57">
        <f t="shared" si="4"/>
        <v>0</v>
      </c>
    </row>
    <row r="23" spans="1:17" s="1" customFormat="1" ht="12.75" x14ac:dyDescent="0.2">
      <c r="A23" s="64"/>
      <c r="B23" s="65"/>
      <c r="C23" s="65"/>
      <c r="D23" s="66"/>
      <c r="E23" s="12"/>
      <c r="F23" s="50"/>
      <c r="G23" s="12"/>
      <c r="H23" s="51"/>
      <c r="I23" s="52">
        <f t="shared" si="0"/>
        <v>0</v>
      </c>
      <c r="J23" s="13"/>
      <c r="K23" s="53"/>
      <c r="L23" s="54">
        <f t="shared" si="5"/>
        <v>0</v>
      </c>
      <c r="M23" s="12"/>
      <c r="N23" s="55">
        <f t="shared" si="2"/>
        <v>0</v>
      </c>
      <c r="O23" s="56">
        <f t="shared" si="3"/>
        <v>0</v>
      </c>
      <c r="P23" s="22"/>
      <c r="Q23" s="57">
        <f t="shared" si="4"/>
        <v>0</v>
      </c>
    </row>
    <row r="24" spans="1:17" s="1" customFormat="1" ht="12.75" x14ac:dyDescent="0.2">
      <c r="A24" s="64"/>
      <c r="B24" s="65"/>
      <c r="C24" s="65"/>
      <c r="D24" s="66"/>
      <c r="E24" s="12"/>
      <c r="F24" s="50"/>
      <c r="G24" s="12"/>
      <c r="H24" s="51"/>
      <c r="I24" s="52">
        <f t="shared" si="0"/>
        <v>0</v>
      </c>
      <c r="J24" s="13"/>
      <c r="K24" s="53"/>
      <c r="L24" s="54">
        <f t="shared" si="5"/>
        <v>0</v>
      </c>
      <c r="M24" s="12"/>
      <c r="N24" s="55">
        <f t="shared" si="2"/>
        <v>0</v>
      </c>
      <c r="O24" s="56">
        <f t="shared" si="3"/>
        <v>0</v>
      </c>
      <c r="P24" s="22"/>
      <c r="Q24" s="57">
        <f t="shared" si="4"/>
        <v>0</v>
      </c>
    </row>
    <row r="25" spans="1:17" s="1" customFormat="1" ht="12.75" x14ac:dyDescent="0.2">
      <c r="A25" s="64"/>
      <c r="B25" s="65"/>
      <c r="C25" s="65"/>
      <c r="D25" s="66"/>
      <c r="E25" s="12"/>
      <c r="F25" s="50"/>
      <c r="G25" s="12"/>
      <c r="H25" s="51"/>
      <c r="I25" s="52">
        <f t="shared" si="0"/>
        <v>0</v>
      </c>
      <c r="J25" s="13"/>
      <c r="K25" s="53"/>
      <c r="L25" s="54">
        <f t="shared" si="5"/>
        <v>0</v>
      </c>
      <c r="M25" s="12"/>
      <c r="N25" s="55">
        <f t="shared" si="2"/>
        <v>0</v>
      </c>
      <c r="O25" s="56">
        <f t="shared" si="3"/>
        <v>0</v>
      </c>
      <c r="P25" s="22"/>
      <c r="Q25" s="57">
        <f t="shared" si="4"/>
        <v>0</v>
      </c>
    </row>
    <row r="26" spans="1:17" s="1" customFormat="1" ht="12.75" x14ac:dyDescent="0.2">
      <c r="A26" s="64"/>
      <c r="B26" s="65"/>
      <c r="C26" s="65"/>
      <c r="D26" s="66"/>
      <c r="E26" s="12"/>
      <c r="F26" s="50"/>
      <c r="G26" s="12"/>
      <c r="H26" s="51"/>
      <c r="I26" s="52">
        <f t="shared" si="0"/>
        <v>0</v>
      </c>
      <c r="J26" s="13"/>
      <c r="K26" s="53"/>
      <c r="L26" s="54">
        <f t="shared" si="5"/>
        <v>0</v>
      </c>
      <c r="M26" s="12"/>
      <c r="N26" s="55">
        <f t="shared" si="2"/>
        <v>0</v>
      </c>
      <c r="O26" s="56">
        <f t="shared" si="3"/>
        <v>0</v>
      </c>
      <c r="P26" s="22"/>
      <c r="Q26" s="57">
        <f t="shared" si="4"/>
        <v>0</v>
      </c>
    </row>
    <row r="27" spans="1:17" s="1" customFormat="1" ht="12.75" x14ac:dyDescent="0.2">
      <c r="A27" s="64"/>
      <c r="B27" s="65"/>
      <c r="C27" s="65"/>
      <c r="D27" s="66"/>
      <c r="E27" s="12"/>
      <c r="F27" s="50"/>
      <c r="G27" s="12"/>
      <c r="H27" s="51"/>
      <c r="I27" s="52">
        <f t="shared" si="0"/>
        <v>0</v>
      </c>
      <c r="J27" s="13"/>
      <c r="K27" s="53"/>
      <c r="L27" s="54">
        <f t="shared" si="5"/>
        <v>0</v>
      </c>
      <c r="M27" s="12"/>
      <c r="N27" s="55">
        <f t="shared" si="2"/>
        <v>0</v>
      </c>
      <c r="O27" s="56">
        <f t="shared" si="3"/>
        <v>0</v>
      </c>
      <c r="P27" s="22"/>
      <c r="Q27" s="57">
        <f t="shared" si="4"/>
        <v>0</v>
      </c>
    </row>
    <row r="28" spans="1:17" s="1" customFormat="1" ht="12.75" x14ac:dyDescent="0.2">
      <c r="A28" s="64"/>
      <c r="B28" s="65"/>
      <c r="C28" s="65"/>
      <c r="D28" s="66"/>
      <c r="E28" s="12"/>
      <c r="F28" s="50"/>
      <c r="G28" s="12"/>
      <c r="H28" s="51"/>
      <c r="I28" s="52">
        <f t="shared" si="0"/>
        <v>0</v>
      </c>
      <c r="J28" s="13"/>
      <c r="K28" s="53"/>
      <c r="L28" s="54">
        <f t="shared" si="5"/>
        <v>0</v>
      </c>
      <c r="M28" s="12"/>
      <c r="N28" s="55">
        <f t="shared" si="2"/>
        <v>0</v>
      </c>
      <c r="O28" s="56">
        <f t="shared" si="3"/>
        <v>0</v>
      </c>
      <c r="P28" s="22"/>
      <c r="Q28" s="57">
        <f t="shared" si="4"/>
        <v>0</v>
      </c>
    </row>
    <row r="29" spans="1:17" s="1" customFormat="1" ht="12.75" x14ac:dyDescent="0.2">
      <c r="A29" s="64"/>
      <c r="B29" s="65"/>
      <c r="C29" s="65"/>
      <c r="D29" s="66"/>
      <c r="E29" s="12"/>
      <c r="F29" s="50"/>
      <c r="G29" s="12"/>
      <c r="H29" s="51"/>
      <c r="I29" s="52">
        <f t="shared" si="0"/>
        <v>0</v>
      </c>
      <c r="J29" s="13"/>
      <c r="K29" s="53"/>
      <c r="L29" s="54">
        <f t="shared" si="5"/>
        <v>0</v>
      </c>
      <c r="M29" s="12"/>
      <c r="N29" s="55">
        <f t="shared" si="2"/>
        <v>0</v>
      </c>
      <c r="O29" s="56">
        <f t="shared" si="3"/>
        <v>0</v>
      </c>
      <c r="P29" s="22"/>
      <c r="Q29" s="57">
        <f t="shared" si="4"/>
        <v>0</v>
      </c>
    </row>
    <row r="30" spans="1:17" s="1" customFormat="1" ht="12.75" x14ac:dyDescent="0.2">
      <c r="A30" s="64"/>
      <c r="B30" s="65"/>
      <c r="C30" s="65"/>
      <c r="D30" s="66"/>
      <c r="E30" s="12"/>
      <c r="F30" s="50"/>
      <c r="G30" s="12"/>
      <c r="H30" s="51"/>
      <c r="I30" s="52">
        <f t="shared" si="0"/>
        <v>0</v>
      </c>
      <c r="J30" s="13"/>
      <c r="K30" s="53"/>
      <c r="L30" s="54">
        <f t="shared" si="5"/>
        <v>0</v>
      </c>
      <c r="M30" s="12"/>
      <c r="N30" s="55">
        <f t="shared" si="2"/>
        <v>0</v>
      </c>
      <c r="O30" s="56">
        <f t="shared" si="3"/>
        <v>0</v>
      </c>
      <c r="P30" s="22"/>
      <c r="Q30" s="57">
        <f t="shared" si="4"/>
        <v>0</v>
      </c>
    </row>
    <row r="31" spans="1:17" s="1" customFormat="1" ht="12.75" x14ac:dyDescent="0.2">
      <c r="A31" s="64"/>
      <c r="B31" s="65"/>
      <c r="C31" s="65"/>
      <c r="D31" s="66"/>
      <c r="E31" s="12"/>
      <c r="F31" s="50"/>
      <c r="G31" s="12"/>
      <c r="H31" s="51"/>
      <c r="I31" s="52">
        <f t="shared" si="0"/>
        <v>0</v>
      </c>
      <c r="J31" s="13"/>
      <c r="K31" s="53"/>
      <c r="L31" s="54">
        <f t="shared" si="5"/>
        <v>0</v>
      </c>
      <c r="M31" s="12"/>
      <c r="N31" s="55">
        <f t="shared" si="2"/>
        <v>0</v>
      </c>
      <c r="O31" s="56">
        <f t="shared" si="3"/>
        <v>0</v>
      </c>
      <c r="P31" s="22"/>
      <c r="Q31" s="57">
        <f t="shared" si="4"/>
        <v>0</v>
      </c>
    </row>
    <row r="32" spans="1:17" s="1" customFormat="1" ht="12.75" x14ac:dyDescent="0.2">
      <c r="A32" s="64"/>
      <c r="B32" s="65"/>
      <c r="C32" s="65"/>
      <c r="D32" s="66"/>
      <c r="E32" s="12"/>
      <c r="F32" s="50"/>
      <c r="G32" s="12"/>
      <c r="H32" s="51"/>
      <c r="I32" s="52">
        <f t="shared" si="0"/>
        <v>0</v>
      </c>
      <c r="J32" s="13"/>
      <c r="K32" s="53"/>
      <c r="L32" s="54">
        <f t="shared" si="5"/>
        <v>0</v>
      </c>
      <c r="M32" s="12"/>
      <c r="N32" s="55">
        <f t="shared" si="2"/>
        <v>0</v>
      </c>
      <c r="O32" s="56">
        <f t="shared" si="3"/>
        <v>0</v>
      </c>
      <c r="P32" s="22"/>
      <c r="Q32" s="57">
        <f t="shared" si="4"/>
        <v>0</v>
      </c>
    </row>
    <row r="33" spans="1:17" s="1" customFormat="1" ht="12.75" x14ac:dyDescent="0.2">
      <c r="A33" s="64"/>
      <c r="B33" s="65"/>
      <c r="C33" s="65"/>
      <c r="D33" s="66"/>
      <c r="E33" s="12"/>
      <c r="F33" s="50"/>
      <c r="G33" s="12"/>
      <c r="H33" s="51"/>
      <c r="I33" s="52">
        <f t="shared" si="0"/>
        <v>0</v>
      </c>
      <c r="J33" s="13"/>
      <c r="K33" s="53"/>
      <c r="L33" s="54">
        <f t="shared" si="5"/>
        <v>0</v>
      </c>
      <c r="M33" s="12"/>
      <c r="N33" s="55">
        <f t="shared" si="2"/>
        <v>0</v>
      </c>
      <c r="O33" s="56">
        <f t="shared" si="3"/>
        <v>0</v>
      </c>
      <c r="P33" s="22"/>
      <c r="Q33" s="57">
        <f t="shared" si="4"/>
        <v>0</v>
      </c>
    </row>
    <row r="34" spans="1:17" s="1" customFormat="1" ht="12.75" x14ac:dyDescent="0.2">
      <c r="A34" s="64"/>
      <c r="B34" s="65"/>
      <c r="C34" s="65"/>
      <c r="D34" s="66"/>
      <c r="E34" s="12"/>
      <c r="F34" s="50"/>
      <c r="G34" s="12"/>
      <c r="H34" s="51"/>
      <c r="I34" s="52">
        <f t="shared" si="0"/>
        <v>0</v>
      </c>
      <c r="J34" s="13"/>
      <c r="K34" s="53"/>
      <c r="L34" s="54">
        <f t="shared" si="5"/>
        <v>0</v>
      </c>
      <c r="M34" s="12"/>
      <c r="N34" s="55">
        <f t="shared" si="2"/>
        <v>0</v>
      </c>
      <c r="O34" s="56">
        <f t="shared" si="3"/>
        <v>0</v>
      </c>
      <c r="P34" s="22"/>
      <c r="Q34" s="57">
        <f t="shared" si="4"/>
        <v>0</v>
      </c>
    </row>
    <row r="35" spans="1:17" s="1" customFormat="1" ht="12.75" x14ac:dyDescent="0.2">
      <c r="A35" s="64"/>
      <c r="B35" s="65"/>
      <c r="C35" s="65"/>
      <c r="D35" s="67"/>
      <c r="E35" s="12"/>
      <c r="F35" s="50"/>
      <c r="G35" s="12"/>
      <c r="H35" s="51"/>
      <c r="I35" s="52">
        <f t="shared" si="0"/>
        <v>0</v>
      </c>
      <c r="J35" s="13"/>
      <c r="K35" s="53"/>
      <c r="L35" s="54">
        <f t="shared" si="5"/>
        <v>0</v>
      </c>
      <c r="M35" s="12"/>
      <c r="N35" s="55">
        <f t="shared" si="2"/>
        <v>0</v>
      </c>
      <c r="O35" s="56">
        <f t="shared" si="3"/>
        <v>0</v>
      </c>
      <c r="P35" s="22"/>
      <c r="Q35" s="57">
        <f t="shared" si="4"/>
        <v>0</v>
      </c>
    </row>
    <row r="36" spans="1:17" s="1" customFormat="1" ht="12.75" x14ac:dyDescent="0.2">
      <c r="A36" s="64"/>
      <c r="B36" s="65"/>
      <c r="C36" s="65"/>
      <c r="D36" s="67"/>
      <c r="E36" s="12"/>
      <c r="F36" s="50"/>
      <c r="G36" s="12"/>
      <c r="H36" s="51"/>
      <c r="I36" s="52">
        <f t="shared" si="0"/>
        <v>0</v>
      </c>
      <c r="J36" s="13"/>
      <c r="K36" s="53"/>
      <c r="L36" s="54">
        <f t="shared" si="5"/>
        <v>0</v>
      </c>
      <c r="M36" s="12"/>
      <c r="N36" s="55">
        <f t="shared" si="2"/>
        <v>0</v>
      </c>
      <c r="O36" s="56">
        <f t="shared" si="3"/>
        <v>0</v>
      </c>
      <c r="P36" s="22"/>
      <c r="Q36" s="57">
        <f t="shared" si="4"/>
        <v>0</v>
      </c>
    </row>
    <row r="37" spans="1:17" s="1" customFormat="1" ht="12.75" x14ac:dyDescent="0.2">
      <c r="A37" s="64"/>
      <c r="B37" s="65"/>
      <c r="C37" s="65"/>
      <c r="D37" s="67"/>
      <c r="E37" s="12"/>
      <c r="F37" s="50"/>
      <c r="G37" s="12"/>
      <c r="H37" s="51"/>
      <c r="I37" s="52">
        <f t="shared" si="0"/>
        <v>0</v>
      </c>
      <c r="J37" s="13"/>
      <c r="K37" s="53"/>
      <c r="L37" s="54">
        <f t="shared" si="5"/>
        <v>0</v>
      </c>
      <c r="M37" s="12"/>
      <c r="N37" s="55">
        <f t="shared" si="2"/>
        <v>0</v>
      </c>
      <c r="O37" s="56">
        <f t="shared" si="3"/>
        <v>0</v>
      </c>
      <c r="P37" s="22"/>
      <c r="Q37" s="57">
        <f t="shared" si="4"/>
        <v>0</v>
      </c>
    </row>
    <row r="38" spans="1:17" s="1" customFormat="1" ht="12.75" x14ac:dyDescent="0.2">
      <c r="A38" s="64"/>
      <c r="B38" s="65"/>
      <c r="C38" s="65"/>
      <c r="D38" s="66"/>
      <c r="E38" s="12"/>
      <c r="F38" s="50"/>
      <c r="G38" s="12"/>
      <c r="H38" s="51"/>
      <c r="I38" s="52">
        <f t="shared" si="0"/>
        <v>0</v>
      </c>
      <c r="J38" s="13"/>
      <c r="K38" s="53"/>
      <c r="L38" s="54">
        <f t="shared" si="5"/>
        <v>0</v>
      </c>
      <c r="M38" s="12"/>
      <c r="N38" s="55">
        <f t="shared" si="2"/>
        <v>0</v>
      </c>
      <c r="O38" s="56">
        <f t="shared" si="3"/>
        <v>0</v>
      </c>
      <c r="P38" s="22"/>
      <c r="Q38" s="57">
        <f t="shared" si="4"/>
        <v>0</v>
      </c>
    </row>
    <row r="39" spans="1:17" s="1" customFormat="1" ht="12.75" x14ac:dyDescent="0.2">
      <c r="A39" s="64"/>
      <c r="B39" s="65"/>
      <c r="C39" s="65"/>
      <c r="D39" s="66"/>
      <c r="E39" s="12"/>
      <c r="F39" s="50"/>
      <c r="G39" s="12"/>
      <c r="H39" s="51"/>
      <c r="I39" s="52">
        <f t="shared" si="0"/>
        <v>0</v>
      </c>
      <c r="J39" s="13"/>
      <c r="K39" s="53"/>
      <c r="L39" s="54">
        <f t="shared" si="5"/>
        <v>0</v>
      </c>
      <c r="M39" s="12"/>
      <c r="N39" s="55">
        <f t="shared" si="2"/>
        <v>0</v>
      </c>
      <c r="O39" s="56">
        <f t="shared" si="3"/>
        <v>0</v>
      </c>
      <c r="P39" s="22"/>
      <c r="Q39" s="57">
        <f t="shared" si="4"/>
        <v>0</v>
      </c>
    </row>
    <row r="40" spans="1:17" s="1" customFormat="1" ht="12.75" x14ac:dyDescent="0.2">
      <c r="A40" s="64"/>
      <c r="B40" s="65"/>
      <c r="C40" s="65"/>
      <c r="D40" s="66"/>
      <c r="E40" s="12"/>
      <c r="F40" s="50"/>
      <c r="G40" s="12"/>
      <c r="H40" s="51"/>
      <c r="I40" s="52">
        <f t="shared" si="0"/>
        <v>0</v>
      </c>
      <c r="J40" s="13"/>
      <c r="K40" s="53"/>
      <c r="L40" s="54">
        <f t="shared" si="5"/>
        <v>0</v>
      </c>
      <c r="M40" s="12"/>
      <c r="N40" s="55">
        <f t="shared" si="2"/>
        <v>0</v>
      </c>
      <c r="O40" s="56">
        <f t="shared" si="3"/>
        <v>0</v>
      </c>
      <c r="P40" s="22"/>
      <c r="Q40" s="57">
        <f t="shared" si="4"/>
        <v>0</v>
      </c>
    </row>
    <row r="41" spans="1:17" s="1" customFormat="1" ht="12.75" x14ac:dyDescent="0.2">
      <c r="A41" s="64"/>
      <c r="B41" s="65"/>
      <c r="C41" s="65"/>
      <c r="D41" s="66"/>
      <c r="E41" s="12"/>
      <c r="F41" s="50"/>
      <c r="G41" s="12"/>
      <c r="H41" s="51"/>
      <c r="I41" s="52">
        <f t="shared" si="0"/>
        <v>0</v>
      </c>
      <c r="J41" s="13"/>
      <c r="K41" s="53"/>
      <c r="L41" s="54">
        <f t="shared" si="5"/>
        <v>0</v>
      </c>
      <c r="M41" s="12"/>
      <c r="N41" s="55">
        <f t="shared" si="2"/>
        <v>0</v>
      </c>
      <c r="O41" s="56">
        <f t="shared" si="3"/>
        <v>0</v>
      </c>
      <c r="P41" s="22"/>
      <c r="Q41" s="57">
        <f t="shared" si="4"/>
        <v>0</v>
      </c>
    </row>
    <row r="42" spans="1:17" s="1" customFormat="1" ht="12.75" x14ac:dyDescent="0.2">
      <c r="A42" s="64"/>
      <c r="B42" s="68"/>
      <c r="C42" s="68"/>
      <c r="D42" s="63"/>
      <c r="E42" s="12"/>
      <c r="F42" s="50"/>
      <c r="G42" s="12"/>
      <c r="H42" s="51"/>
      <c r="I42" s="52">
        <f t="shared" si="0"/>
        <v>0</v>
      </c>
      <c r="J42" s="13"/>
      <c r="K42" s="53"/>
      <c r="L42" s="54">
        <f t="shared" si="5"/>
        <v>0</v>
      </c>
      <c r="M42" s="12"/>
      <c r="N42" s="55">
        <f t="shared" si="2"/>
        <v>0</v>
      </c>
      <c r="O42" s="56">
        <f t="shared" si="3"/>
        <v>0</v>
      </c>
      <c r="P42" s="22"/>
      <c r="Q42" s="57">
        <f t="shared" si="4"/>
        <v>0</v>
      </c>
    </row>
    <row r="43" spans="1:17" s="1" customFormat="1" ht="12.75" x14ac:dyDescent="0.2">
      <c r="A43" s="64"/>
      <c r="B43" s="68"/>
      <c r="C43" s="69"/>
      <c r="D43" s="49"/>
      <c r="E43" s="12"/>
      <c r="F43" s="50"/>
      <c r="G43" s="12"/>
      <c r="H43" s="51"/>
      <c r="I43" s="52">
        <f t="shared" si="0"/>
        <v>0</v>
      </c>
      <c r="J43" s="13"/>
      <c r="K43" s="53"/>
      <c r="L43" s="54">
        <f t="shared" si="5"/>
        <v>0</v>
      </c>
      <c r="M43" s="12"/>
      <c r="N43" s="55">
        <f t="shared" si="2"/>
        <v>0</v>
      </c>
      <c r="O43" s="56">
        <f t="shared" si="3"/>
        <v>0</v>
      </c>
      <c r="P43" s="22"/>
      <c r="Q43" s="57">
        <f t="shared" si="4"/>
        <v>0</v>
      </c>
    </row>
    <row r="44" spans="1:17" s="1" customFormat="1" ht="12.75" x14ac:dyDescent="0.2">
      <c r="A44" s="64"/>
      <c r="B44" s="68"/>
      <c r="C44" s="69"/>
      <c r="D44" s="49"/>
      <c r="E44" s="12"/>
      <c r="F44" s="50"/>
      <c r="G44" s="12"/>
      <c r="H44" s="51"/>
      <c r="I44" s="52">
        <f t="shared" si="0"/>
        <v>0</v>
      </c>
      <c r="J44" s="13"/>
      <c r="K44" s="53"/>
      <c r="L44" s="54">
        <f t="shared" si="5"/>
        <v>0</v>
      </c>
      <c r="M44" s="12"/>
      <c r="N44" s="55">
        <f t="shared" si="2"/>
        <v>0</v>
      </c>
      <c r="O44" s="56">
        <f t="shared" si="3"/>
        <v>0</v>
      </c>
      <c r="P44" s="22"/>
      <c r="Q44" s="57">
        <f t="shared" si="4"/>
        <v>0</v>
      </c>
    </row>
    <row r="45" spans="1:17" s="1" customFormat="1" ht="12.75" x14ac:dyDescent="0.2">
      <c r="A45" s="64"/>
      <c r="B45" s="68"/>
      <c r="C45" s="69"/>
      <c r="D45" s="49"/>
      <c r="E45" s="12"/>
      <c r="F45" s="50"/>
      <c r="G45" s="12"/>
      <c r="H45" s="51"/>
      <c r="I45" s="52">
        <f t="shared" si="0"/>
        <v>0</v>
      </c>
      <c r="J45" s="13"/>
      <c r="K45" s="53"/>
      <c r="L45" s="54">
        <f t="shared" si="5"/>
        <v>0</v>
      </c>
      <c r="M45" s="12"/>
      <c r="N45" s="55">
        <f t="shared" si="2"/>
        <v>0</v>
      </c>
      <c r="O45" s="56">
        <f t="shared" si="3"/>
        <v>0</v>
      </c>
      <c r="P45" s="22"/>
      <c r="Q45" s="57">
        <f t="shared" si="4"/>
        <v>0</v>
      </c>
    </row>
    <row r="46" spans="1:17" s="1" customFormat="1" ht="12.75" x14ac:dyDescent="0.2">
      <c r="A46" s="64"/>
      <c r="B46" s="68"/>
      <c r="C46" s="69"/>
      <c r="D46" s="49"/>
      <c r="E46" s="12"/>
      <c r="F46" s="50"/>
      <c r="G46" s="12"/>
      <c r="H46" s="60"/>
      <c r="I46" s="61">
        <f t="shared" si="0"/>
        <v>0</v>
      </c>
      <c r="J46" s="13"/>
      <c r="K46" s="53"/>
      <c r="L46" s="54">
        <f t="shared" si="5"/>
        <v>0</v>
      </c>
      <c r="M46" s="12"/>
      <c r="N46" s="55">
        <f t="shared" si="2"/>
        <v>0</v>
      </c>
      <c r="O46" s="56">
        <f t="shared" si="3"/>
        <v>0</v>
      </c>
      <c r="P46" s="22"/>
      <c r="Q46" s="57">
        <f t="shared" si="4"/>
        <v>0</v>
      </c>
    </row>
    <row r="47" spans="1:17" s="1" customFormat="1" ht="12.75" x14ac:dyDescent="0.2">
      <c r="A47" s="64"/>
      <c r="B47" s="68"/>
      <c r="C47" s="69"/>
      <c r="D47" s="49"/>
      <c r="E47" s="12"/>
      <c r="F47" s="50"/>
      <c r="G47" s="12"/>
      <c r="H47" s="60"/>
      <c r="I47" s="61">
        <f t="shared" si="0"/>
        <v>0</v>
      </c>
      <c r="J47" s="13"/>
      <c r="K47" s="53"/>
      <c r="L47" s="54">
        <f t="shared" si="5"/>
        <v>0</v>
      </c>
      <c r="M47" s="12"/>
      <c r="N47" s="55">
        <f t="shared" si="2"/>
        <v>0</v>
      </c>
      <c r="O47" s="56">
        <f t="shared" si="3"/>
        <v>0</v>
      </c>
      <c r="P47" s="22"/>
      <c r="Q47" s="57">
        <f t="shared" si="4"/>
        <v>0</v>
      </c>
    </row>
    <row r="48" spans="1:17" s="1" customFormat="1" ht="12.75" x14ac:dyDescent="0.2">
      <c r="A48" s="70"/>
      <c r="B48" s="68"/>
      <c r="C48" s="68"/>
      <c r="D48" s="63"/>
      <c r="E48" s="12"/>
      <c r="F48" s="50"/>
      <c r="G48" s="12"/>
      <c r="H48" s="60"/>
      <c r="I48" s="61">
        <f t="shared" si="0"/>
        <v>0</v>
      </c>
      <c r="J48" s="13"/>
      <c r="K48" s="53"/>
      <c r="L48" s="54">
        <f t="shared" si="5"/>
        <v>0</v>
      </c>
      <c r="M48" s="12"/>
      <c r="N48" s="55">
        <f t="shared" si="2"/>
        <v>0</v>
      </c>
      <c r="O48" s="56">
        <f t="shared" si="3"/>
        <v>0</v>
      </c>
      <c r="P48" s="22"/>
      <c r="Q48" s="57">
        <f t="shared" si="4"/>
        <v>0</v>
      </c>
    </row>
    <row r="49" spans="1:17" s="1" customFormat="1" ht="12.75" x14ac:dyDescent="0.2">
      <c r="A49" s="70"/>
      <c r="B49" s="68"/>
      <c r="C49" s="69"/>
      <c r="D49" s="49"/>
      <c r="E49" s="12"/>
      <c r="F49" s="50"/>
      <c r="G49" s="12"/>
      <c r="H49" s="60"/>
      <c r="I49" s="61">
        <f t="shared" si="0"/>
        <v>0</v>
      </c>
      <c r="J49" s="13"/>
      <c r="K49" s="53"/>
      <c r="L49" s="54">
        <f t="shared" si="5"/>
        <v>0</v>
      </c>
      <c r="M49" s="12"/>
      <c r="N49" s="55">
        <f t="shared" si="2"/>
        <v>0</v>
      </c>
      <c r="O49" s="56">
        <f t="shared" si="3"/>
        <v>0</v>
      </c>
      <c r="P49" s="22"/>
      <c r="Q49" s="57">
        <f t="shared" si="4"/>
        <v>0</v>
      </c>
    </row>
    <row r="50" spans="1:17" s="1" customFormat="1" ht="12.75" x14ac:dyDescent="0.2">
      <c r="A50" s="70"/>
      <c r="B50" s="68"/>
      <c r="C50" s="69"/>
      <c r="D50" s="49"/>
      <c r="E50" s="12"/>
      <c r="F50" s="50"/>
      <c r="G50" s="12"/>
      <c r="H50" s="60"/>
      <c r="I50" s="61">
        <f t="shared" si="0"/>
        <v>0</v>
      </c>
      <c r="J50" s="13"/>
      <c r="K50" s="53"/>
      <c r="L50" s="54">
        <f t="shared" si="5"/>
        <v>0</v>
      </c>
      <c r="M50" s="12"/>
      <c r="N50" s="55">
        <f t="shared" si="2"/>
        <v>0</v>
      </c>
      <c r="O50" s="56">
        <f t="shared" si="3"/>
        <v>0</v>
      </c>
      <c r="P50" s="22"/>
      <c r="Q50" s="57">
        <f t="shared" si="4"/>
        <v>0</v>
      </c>
    </row>
    <row r="51" spans="1:17" s="1" customFormat="1" ht="12.75" x14ac:dyDescent="0.2">
      <c r="A51" s="70"/>
      <c r="B51" s="71"/>
      <c r="C51" s="65"/>
      <c r="D51" s="66"/>
      <c r="E51" s="12"/>
      <c r="F51" s="50"/>
      <c r="G51" s="12"/>
      <c r="H51" s="60"/>
      <c r="I51" s="61">
        <f t="shared" si="0"/>
        <v>0</v>
      </c>
      <c r="J51" s="13"/>
      <c r="K51" s="53"/>
      <c r="L51" s="54">
        <f t="shared" si="5"/>
        <v>0</v>
      </c>
      <c r="M51" s="12"/>
      <c r="N51" s="55">
        <f t="shared" si="2"/>
        <v>0</v>
      </c>
      <c r="O51" s="56">
        <f t="shared" si="3"/>
        <v>0</v>
      </c>
      <c r="P51" s="22"/>
      <c r="Q51" s="57">
        <f t="shared" si="4"/>
        <v>0</v>
      </c>
    </row>
    <row r="52" spans="1:17" s="1" customFormat="1" ht="12.75" x14ac:dyDescent="0.2">
      <c r="A52" s="70"/>
      <c r="B52" s="71"/>
      <c r="C52" s="65"/>
      <c r="D52" s="66"/>
      <c r="E52" s="12"/>
      <c r="F52" s="50"/>
      <c r="G52" s="12"/>
      <c r="H52" s="60"/>
      <c r="I52" s="61">
        <f t="shared" si="0"/>
        <v>0</v>
      </c>
      <c r="J52" s="13"/>
      <c r="K52" s="53"/>
      <c r="L52" s="54">
        <f t="shared" si="5"/>
        <v>0</v>
      </c>
      <c r="M52" s="12"/>
      <c r="N52" s="55">
        <f t="shared" si="2"/>
        <v>0</v>
      </c>
      <c r="O52" s="56">
        <f t="shared" si="3"/>
        <v>0</v>
      </c>
      <c r="P52" s="22"/>
      <c r="Q52" s="57">
        <f t="shared" si="4"/>
        <v>0</v>
      </c>
    </row>
    <row r="53" spans="1:17" s="1" customFormat="1" ht="12.75" x14ac:dyDescent="0.2">
      <c r="A53" s="70"/>
      <c r="B53" s="71"/>
      <c r="C53" s="65"/>
      <c r="D53" s="66"/>
      <c r="E53" s="12"/>
      <c r="F53" s="50"/>
      <c r="G53" s="12"/>
      <c r="H53" s="60"/>
      <c r="I53" s="61">
        <f t="shared" si="0"/>
        <v>0</v>
      </c>
      <c r="J53" s="13"/>
      <c r="K53" s="53"/>
      <c r="L53" s="54">
        <f t="shared" si="5"/>
        <v>0</v>
      </c>
      <c r="M53" s="12"/>
      <c r="N53" s="55">
        <f t="shared" si="2"/>
        <v>0</v>
      </c>
      <c r="O53" s="56">
        <f t="shared" si="3"/>
        <v>0</v>
      </c>
      <c r="P53" s="22"/>
      <c r="Q53" s="57">
        <f t="shared" si="4"/>
        <v>0</v>
      </c>
    </row>
    <row r="54" spans="1:17" s="1" customFormat="1" ht="12.75" x14ac:dyDescent="0.2">
      <c r="A54" s="64"/>
      <c r="B54" s="65"/>
      <c r="C54" s="65"/>
      <c r="D54" s="67"/>
      <c r="E54" s="12"/>
      <c r="F54" s="50"/>
      <c r="G54" s="12"/>
      <c r="H54" s="60"/>
      <c r="I54" s="61">
        <f t="shared" si="0"/>
        <v>0</v>
      </c>
      <c r="J54" s="13"/>
      <c r="K54" s="53"/>
      <c r="L54" s="54">
        <f t="shared" si="5"/>
        <v>0</v>
      </c>
      <c r="M54" s="12"/>
      <c r="N54" s="55">
        <f t="shared" si="2"/>
        <v>0</v>
      </c>
      <c r="O54" s="56">
        <f t="shared" si="3"/>
        <v>0</v>
      </c>
      <c r="P54" s="22"/>
      <c r="Q54" s="57">
        <f t="shared" si="4"/>
        <v>0</v>
      </c>
    </row>
    <row r="55" spans="1:17" s="1" customFormat="1" ht="12.75" x14ac:dyDescent="0.2">
      <c r="A55" s="64"/>
      <c r="B55" s="65"/>
      <c r="C55" s="65"/>
      <c r="D55" s="67"/>
      <c r="E55" s="12"/>
      <c r="F55" s="50"/>
      <c r="G55" s="12"/>
      <c r="H55" s="60"/>
      <c r="I55" s="61">
        <f t="shared" si="0"/>
        <v>0</v>
      </c>
      <c r="J55" s="13"/>
      <c r="K55" s="53"/>
      <c r="L55" s="54">
        <f t="shared" si="5"/>
        <v>0</v>
      </c>
      <c r="M55" s="12"/>
      <c r="N55" s="55">
        <f t="shared" si="2"/>
        <v>0</v>
      </c>
      <c r="O55" s="56">
        <f t="shared" si="3"/>
        <v>0</v>
      </c>
      <c r="P55" s="22"/>
      <c r="Q55" s="57">
        <f t="shared" si="4"/>
        <v>0</v>
      </c>
    </row>
    <row r="56" spans="1:17" s="1" customFormat="1" ht="12.75" x14ac:dyDescent="0.2">
      <c r="A56" s="64"/>
      <c r="B56" s="65"/>
      <c r="C56" s="65"/>
      <c r="D56" s="67"/>
      <c r="E56" s="12"/>
      <c r="F56" s="50"/>
      <c r="G56" s="12"/>
      <c r="H56" s="60"/>
      <c r="I56" s="61">
        <f t="shared" si="0"/>
        <v>0</v>
      </c>
      <c r="J56" s="13"/>
      <c r="K56" s="53"/>
      <c r="L56" s="54">
        <f t="shared" si="5"/>
        <v>0</v>
      </c>
      <c r="M56" s="12"/>
      <c r="N56" s="55">
        <f t="shared" si="2"/>
        <v>0</v>
      </c>
      <c r="O56" s="56">
        <f t="shared" si="3"/>
        <v>0</v>
      </c>
      <c r="P56" s="22"/>
      <c r="Q56" s="57">
        <f t="shared" si="4"/>
        <v>0</v>
      </c>
    </row>
    <row r="57" spans="1:17" s="1" customFormat="1" ht="12.75" x14ac:dyDescent="0.2">
      <c r="A57" s="64"/>
      <c r="B57" s="65"/>
      <c r="C57" s="65"/>
      <c r="D57" s="67"/>
      <c r="E57" s="12"/>
      <c r="F57" s="50"/>
      <c r="G57" s="12"/>
      <c r="H57" s="60"/>
      <c r="I57" s="61">
        <f t="shared" si="0"/>
        <v>0</v>
      </c>
      <c r="J57" s="13"/>
      <c r="K57" s="53"/>
      <c r="L57" s="54">
        <f t="shared" si="5"/>
        <v>0</v>
      </c>
      <c r="M57" s="12"/>
      <c r="N57" s="55">
        <f t="shared" si="2"/>
        <v>0</v>
      </c>
      <c r="O57" s="56">
        <f t="shared" si="3"/>
        <v>0</v>
      </c>
      <c r="P57" s="22"/>
      <c r="Q57" s="57">
        <f t="shared" si="4"/>
        <v>0</v>
      </c>
    </row>
    <row r="58" spans="1:17" s="1" customFormat="1" ht="12.75" x14ac:dyDescent="0.2">
      <c r="A58" s="64"/>
      <c r="B58" s="65"/>
      <c r="C58" s="65"/>
      <c r="D58" s="72"/>
      <c r="E58" s="12"/>
      <c r="F58" s="50"/>
      <c r="G58" s="12"/>
      <c r="H58" s="60"/>
      <c r="I58" s="61">
        <f t="shared" si="0"/>
        <v>0</v>
      </c>
      <c r="J58" s="13"/>
      <c r="K58" s="53"/>
      <c r="L58" s="54">
        <f t="shared" si="5"/>
        <v>0</v>
      </c>
      <c r="M58" s="12"/>
      <c r="N58" s="55">
        <f t="shared" si="2"/>
        <v>0</v>
      </c>
      <c r="O58" s="56">
        <f t="shared" si="3"/>
        <v>0</v>
      </c>
      <c r="P58" s="22"/>
      <c r="Q58" s="57">
        <f t="shared" si="4"/>
        <v>0</v>
      </c>
    </row>
    <row r="59" spans="1:17" s="1" customFormat="1" ht="12.75" x14ac:dyDescent="0.2">
      <c r="A59" s="64"/>
      <c r="B59" s="65"/>
      <c r="C59" s="65"/>
      <c r="D59" s="67"/>
      <c r="E59" s="12"/>
      <c r="F59" s="50"/>
      <c r="G59" s="12"/>
      <c r="H59" s="60"/>
      <c r="I59" s="61">
        <f t="shared" si="0"/>
        <v>0</v>
      </c>
      <c r="J59" s="13"/>
      <c r="K59" s="53"/>
      <c r="L59" s="54">
        <f t="shared" si="5"/>
        <v>0</v>
      </c>
      <c r="M59" s="12"/>
      <c r="N59" s="55">
        <f t="shared" si="2"/>
        <v>0</v>
      </c>
      <c r="O59" s="56">
        <f t="shared" si="3"/>
        <v>0</v>
      </c>
      <c r="P59" s="22"/>
      <c r="Q59" s="57">
        <f t="shared" si="4"/>
        <v>0</v>
      </c>
    </row>
    <row r="60" spans="1:17" s="1" customFormat="1" ht="12.75" x14ac:dyDescent="0.2">
      <c r="A60" s="64"/>
      <c r="B60" s="65"/>
      <c r="C60" s="65"/>
      <c r="D60" s="67"/>
      <c r="E60" s="12"/>
      <c r="F60" s="50"/>
      <c r="G60" s="12"/>
      <c r="H60" s="60"/>
      <c r="I60" s="61">
        <f t="shared" si="0"/>
        <v>0</v>
      </c>
      <c r="J60" s="13"/>
      <c r="K60" s="53"/>
      <c r="L60" s="54">
        <f t="shared" si="5"/>
        <v>0</v>
      </c>
      <c r="M60" s="12"/>
      <c r="N60" s="55">
        <f t="shared" si="2"/>
        <v>0</v>
      </c>
      <c r="O60" s="56">
        <f t="shared" si="3"/>
        <v>0</v>
      </c>
      <c r="P60" s="22"/>
      <c r="Q60" s="57">
        <f t="shared" si="4"/>
        <v>0</v>
      </c>
    </row>
    <row r="61" spans="1:17" s="1" customFormat="1" ht="12.75" x14ac:dyDescent="0.2">
      <c r="A61" s="64"/>
      <c r="B61" s="65"/>
      <c r="C61" s="65"/>
      <c r="D61" s="67"/>
      <c r="E61" s="12"/>
      <c r="F61" s="50"/>
      <c r="G61" s="12"/>
      <c r="H61" s="60"/>
      <c r="I61" s="61">
        <f t="shared" si="0"/>
        <v>0</v>
      </c>
      <c r="J61" s="13"/>
      <c r="K61" s="53"/>
      <c r="L61" s="54">
        <f t="shared" si="5"/>
        <v>0</v>
      </c>
      <c r="M61" s="12"/>
      <c r="N61" s="55">
        <f t="shared" si="2"/>
        <v>0</v>
      </c>
      <c r="O61" s="56">
        <f t="shared" si="3"/>
        <v>0</v>
      </c>
      <c r="P61" s="22"/>
      <c r="Q61" s="57">
        <f t="shared" si="4"/>
        <v>0</v>
      </c>
    </row>
    <row r="62" spans="1:17" s="1" customFormat="1" ht="12.75" x14ac:dyDescent="0.2">
      <c r="A62" s="64"/>
      <c r="B62" s="65"/>
      <c r="C62" s="65"/>
      <c r="D62" s="67"/>
      <c r="E62" s="12"/>
      <c r="F62" s="50"/>
      <c r="G62" s="12"/>
      <c r="H62" s="60"/>
      <c r="I62" s="61">
        <f t="shared" si="0"/>
        <v>0</v>
      </c>
      <c r="J62" s="13"/>
      <c r="K62" s="53"/>
      <c r="L62" s="54">
        <f t="shared" si="5"/>
        <v>0</v>
      </c>
      <c r="M62" s="12"/>
      <c r="N62" s="55">
        <f t="shared" si="2"/>
        <v>0</v>
      </c>
      <c r="O62" s="56">
        <f t="shared" si="3"/>
        <v>0</v>
      </c>
      <c r="P62" s="22"/>
      <c r="Q62" s="57">
        <f t="shared" si="4"/>
        <v>0</v>
      </c>
    </row>
    <row r="63" spans="1:17" s="1" customFormat="1" ht="12.75" x14ac:dyDescent="0.2">
      <c r="A63" s="64"/>
      <c r="B63" s="65"/>
      <c r="C63" s="65"/>
      <c r="D63" s="67"/>
      <c r="E63" s="12"/>
      <c r="F63" s="50"/>
      <c r="G63" s="12"/>
      <c r="H63" s="60"/>
      <c r="I63" s="61">
        <f t="shared" si="0"/>
        <v>0</v>
      </c>
      <c r="J63" s="13"/>
      <c r="K63" s="53"/>
      <c r="L63" s="54">
        <f t="shared" si="5"/>
        <v>0</v>
      </c>
      <c r="M63" s="12"/>
      <c r="N63" s="55">
        <f t="shared" si="2"/>
        <v>0</v>
      </c>
      <c r="O63" s="56">
        <f t="shared" si="3"/>
        <v>0</v>
      </c>
      <c r="P63" s="22"/>
      <c r="Q63" s="57">
        <f t="shared" si="4"/>
        <v>0</v>
      </c>
    </row>
    <row r="64" spans="1:17" s="1" customFormat="1" ht="12.75" x14ac:dyDescent="0.2">
      <c r="A64" s="64"/>
      <c r="B64" s="65"/>
      <c r="C64" s="65"/>
      <c r="D64" s="67"/>
      <c r="E64" s="12"/>
      <c r="F64" s="50"/>
      <c r="G64" s="12"/>
      <c r="H64" s="60"/>
      <c r="I64" s="61">
        <f t="shared" si="0"/>
        <v>0</v>
      </c>
      <c r="J64" s="13"/>
      <c r="K64" s="53"/>
      <c r="L64" s="54">
        <f t="shared" si="5"/>
        <v>0</v>
      </c>
      <c r="M64" s="12"/>
      <c r="N64" s="55">
        <f t="shared" si="2"/>
        <v>0</v>
      </c>
      <c r="O64" s="56">
        <f t="shared" si="3"/>
        <v>0</v>
      </c>
      <c r="P64" s="22"/>
      <c r="Q64" s="57">
        <f t="shared" si="4"/>
        <v>0</v>
      </c>
    </row>
    <row r="65" spans="1:17" s="1" customFormat="1" ht="12.75" x14ac:dyDescent="0.2">
      <c r="A65" s="64"/>
      <c r="B65" s="65"/>
      <c r="C65" s="65"/>
      <c r="D65" s="67"/>
      <c r="E65" s="12"/>
      <c r="F65" s="50"/>
      <c r="G65" s="12"/>
      <c r="H65" s="60"/>
      <c r="I65" s="61">
        <f t="shared" si="0"/>
        <v>0</v>
      </c>
      <c r="J65" s="13"/>
      <c r="K65" s="53"/>
      <c r="L65" s="54">
        <f t="shared" si="5"/>
        <v>0</v>
      </c>
      <c r="M65" s="12"/>
      <c r="N65" s="55">
        <f t="shared" si="2"/>
        <v>0</v>
      </c>
      <c r="O65" s="56">
        <f t="shared" si="3"/>
        <v>0</v>
      </c>
      <c r="P65" s="22"/>
      <c r="Q65" s="57">
        <f t="shared" si="4"/>
        <v>0</v>
      </c>
    </row>
    <row r="66" spans="1:17" s="1" customFormat="1" ht="12.75" x14ac:dyDescent="0.2">
      <c r="A66" s="64"/>
      <c r="B66" s="65"/>
      <c r="C66" s="65"/>
      <c r="D66" s="67"/>
      <c r="E66" s="12"/>
      <c r="F66" s="50"/>
      <c r="G66" s="12"/>
      <c r="H66" s="60"/>
      <c r="I66" s="61">
        <f t="shared" si="0"/>
        <v>0</v>
      </c>
      <c r="J66" s="13"/>
      <c r="K66" s="73"/>
      <c r="L66" s="54">
        <f t="shared" si="5"/>
        <v>0</v>
      </c>
      <c r="M66" s="12"/>
      <c r="N66" s="55">
        <f t="shared" si="2"/>
        <v>0</v>
      </c>
      <c r="O66" s="56">
        <f t="shared" si="3"/>
        <v>0</v>
      </c>
      <c r="P66" s="22"/>
      <c r="Q66" s="57">
        <f t="shared" si="4"/>
        <v>0</v>
      </c>
    </row>
    <row r="67" spans="1:17" s="1" customFormat="1" ht="12.75" x14ac:dyDescent="0.2">
      <c r="A67" s="64"/>
      <c r="B67" s="65"/>
      <c r="C67" s="65"/>
      <c r="D67" s="67"/>
      <c r="E67" s="12"/>
      <c r="F67" s="50"/>
      <c r="G67" s="12"/>
      <c r="H67" s="60"/>
      <c r="I67" s="61">
        <f t="shared" si="0"/>
        <v>0</v>
      </c>
      <c r="J67" s="13"/>
      <c r="K67" s="73"/>
      <c r="L67" s="54">
        <f t="shared" si="5"/>
        <v>0</v>
      </c>
      <c r="M67" s="12"/>
      <c r="N67" s="55">
        <f t="shared" si="2"/>
        <v>0</v>
      </c>
      <c r="O67" s="56">
        <f t="shared" si="3"/>
        <v>0</v>
      </c>
      <c r="P67" s="22"/>
      <c r="Q67" s="57">
        <f t="shared" si="4"/>
        <v>0</v>
      </c>
    </row>
    <row r="68" spans="1:17" s="1" customFormat="1" ht="12.75" x14ac:dyDescent="0.2">
      <c r="A68" s="64"/>
      <c r="B68" s="65"/>
      <c r="C68" s="65"/>
      <c r="D68" s="67"/>
      <c r="E68" s="12"/>
      <c r="F68" s="50"/>
      <c r="G68" s="12"/>
      <c r="H68" s="60"/>
      <c r="I68" s="61">
        <f t="shared" si="0"/>
        <v>0</v>
      </c>
      <c r="J68" s="13"/>
      <c r="K68" s="73"/>
      <c r="L68" s="54">
        <f t="shared" si="5"/>
        <v>0</v>
      </c>
      <c r="M68" s="12"/>
      <c r="N68" s="55">
        <f t="shared" si="2"/>
        <v>0</v>
      </c>
      <c r="O68" s="56">
        <f t="shared" si="3"/>
        <v>0</v>
      </c>
      <c r="P68" s="22"/>
      <c r="Q68" s="57">
        <f t="shared" si="4"/>
        <v>0</v>
      </c>
    </row>
    <row r="69" spans="1:17" s="1" customFormat="1" ht="12.75" x14ac:dyDescent="0.2">
      <c r="A69" s="64"/>
      <c r="B69" s="65"/>
      <c r="C69" s="65"/>
      <c r="D69" s="67"/>
      <c r="E69" s="12"/>
      <c r="F69" s="50"/>
      <c r="G69" s="12"/>
      <c r="H69" s="60"/>
      <c r="I69" s="61">
        <f t="shared" ref="I69:I118" si="6">F69*H69</f>
        <v>0</v>
      </c>
      <c r="J69" s="13"/>
      <c r="K69" s="73"/>
      <c r="L69" s="54">
        <f t="shared" si="5"/>
        <v>0</v>
      </c>
      <c r="M69" s="12"/>
      <c r="N69" s="55">
        <f t="shared" si="2"/>
        <v>0</v>
      </c>
      <c r="O69" s="56">
        <f t="shared" si="3"/>
        <v>0</v>
      </c>
      <c r="P69" s="22"/>
      <c r="Q69" s="57">
        <f t="shared" si="4"/>
        <v>0</v>
      </c>
    </row>
    <row r="70" spans="1:17" s="1" customFormat="1" ht="12.75" x14ac:dyDescent="0.2">
      <c r="A70" s="64"/>
      <c r="B70" s="65"/>
      <c r="C70" s="65"/>
      <c r="D70" s="67"/>
      <c r="E70" s="12"/>
      <c r="F70" s="50"/>
      <c r="G70" s="12"/>
      <c r="H70" s="60"/>
      <c r="I70" s="61">
        <f t="shared" si="6"/>
        <v>0</v>
      </c>
      <c r="J70" s="13"/>
      <c r="K70" s="73"/>
      <c r="L70" s="54">
        <f t="shared" si="5"/>
        <v>0</v>
      </c>
      <c r="M70" s="12"/>
      <c r="N70" s="55">
        <f t="shared" ref="N70:N118" si="7">F70-K70-I70</f>
        <v>0</v>
      </c>
      <c r="O70" s="56">
        <f t="shared" si="3"/>
        <v>0</v>
      </c>
      <c r="P70" s="22"/>
      <c r="Q70" s="57">
        <f t="shared" si="4"/>
        <v>0</v>
      </c>
    </row>
    <row r="71" spans="1:17" s="1" customFormat="1" ht="12.75" x14ac:dyDescent="0.2">
      <c r="A71" s="64"/>
      <c r="B71" s="65"/>
      <c r="C71" s="65"/>
      <c r="D71" s="67"/>
      <c r="E71" s="12"/>
      <c r="F71" s="50"/>
      <c r="G71" s="12"/>
      <c r="H71" s="60"/>
      <c r="I71" s="61">
        <f t="shared" si="6"/>
        <v>0</v>
      </c>
      <c r="J71" s="13"/>
      <c r="K71" s="73"/>
      <c r="L71" s="54">
        <f t="shared" si="5"/>
        <v>0</v>
      </c>
      <c r="M71" s="12"/>
      <c r="N71" s="55">
        <f t="shared" si="7"/>
        <v>0</v>
      </c>
      <c r="O71" s="56">
        <f t="shared" si="3"/>
        <v>0</v>
      </c>
      <c r="P71" s="22"/>
      <c r="Q71" s="57">
        <f t="shared" si="4"/>
        <v>0</v>
      </c>
    </row>
    <row r="72" spans="1:17" s="1" customFormat="1" ht="12.75" x14ac:dyDescent="0.2">
      <c r="A72" s="64"/>
      <c r="B72" s="65"/>
      <c r="C72" s="65"/>
      <c r="D72" s="67"/>
      <c r="E72" s="12"/>
      <c r="F72" s="50"/>
      <c r="G72" s="12"/>
      <c r="H72" s="60"/>
      <c r="I72" s="61">
        <f t="shared" si="6"/>
        <v>0</v>
      </c>
      <c r="J72" s="13"/>
      <c r="K72" s="73"/>
      <c r="L72" s="54">
        <f t="shared" si="5"/>
        <v>0</v>
      </c>
      <c r="M72" s="12"/>
      <c r="N72" s="55">
        <f t="shared" si="7"/>
        <v>0</v>
      </c>
      <c r="O72" s="56">
        <f t="shared" ref="O72:O118" si="8">IF(N72=0,0,(N72/F72))</f>
        <v>0</v>
      </c>
      <c r="P72" s="22"/>
      <c r="Q72" s="57">
        <f t="shared" ref="Q72:Q118" si="9">SUM(N72*D72)</f>
        <v>0</v>
      </c>
    </row>
    <row r="73" spans="1:17" s="1" customFormat="1" ht="12.75" x14ac:dyDescent="0.2">
      <c r="A73" s="64"/>
      <c r="B73" s="65"/>
      <c r="C73" s="65"/>
      <c r="D73" s="67"/>
      <c r="E73" s="12"/>
      <c r="F73" s="50"/>
      <c r="G73" s="12"/>
      <c r="H73" s="60"/>
      <c r="I73" s="61">
        <f t="shared" si="6"/>
        <v>0</v>
      </c>
      <c r="J73" s="13"/>
      <c r="K73" s="73"/>
      <c r="L73" s="54">
        <f t="shared" si="5"/>
        <v>0</v>
      </c>
      <c r="M73" s="12"/>
      <c r="N73" s="55">
        <f t="shared" si="7"/>
        <v>0</v>
      </c>
      <c r="O73" s="56">
        <f t="shared" si="8"/>
        <v>0</v>
      </c>
      <c r="P73" s="22"/>
      <c r="Q73" s="57">
        <f t="shared" si="9"/>
        <v>0</v>
      </c>
    </row>
    <row r="74" spans="1:17" s="1" customFormat="1" ht="12.75" x14ac:dyDescent="0.2">
      <c r="A74" s="64"/>
      <c r="B74" s="65"/>
      <c r="C74" s="65"/>
      <c r="D74" s="67"/>
      <c r="E74" s="12"/>
      <c r="F74" s="50"/>
      <c r="G74" s="12"/>
      <c r="H74" s="60"/>
      <c r="I74" s="61">
        <f t="shared" si="6"/>
        <v>0</v>
      </c>
      <c r="J74" s="13"/>
      <c r="K74" s="73"/>
      <c r="L74" s="54">
        <f t="shared" ref="L74:L118" si="10">IF(F74=0,0,(F74-K74)/F74)</f>
        <v>0</v>
      </c>
      <c r="M74" s="12"/>
      <c r="N74" s="55">
        <f t="shared" si="7"/>
        <v>0</v>
      </c>
      <c r="O74" s="56">
        <f t="shared" si="8"/>
        <v>0</v>
      </c>
      <c r="P74" s="22"/>
      <c r="Q74" s="57">
        <f t="shared" si="9"/>
        <v>0</v>
      </c>
    </row>
    <row r="75" spans="1:17" s="1" customFormat="1" ht="12.75" x14ac:dyDescent="0.2">
      <c r="A75" s="64"/>
      <c r="B75" s="65"/>
      <c r="C75" s="65"/>
      <c r="D75" s="67"/>
      <c r="E75" s="12"/>
      <c r="F75" s="50"/>
      <c r="G75" s="12"/>
      <c r="H75" s="60"/>
      <c r="I75" s="61">
        <f t="shared" si="6"/>
        <v>0</v>
      </c>
      <c r="J75" s="13"/>
      <c r="K75" s="73"/>
      <c r="L75" s="54">
        <f t="shared" si="10"/>
        <v>0</v>
      </c>
      <c r="M75" s="12"/>
      <c r="N75" s="55">
        <f t="shared" si="7"/>
        <v>0</v>
      </c>
      <c r="O75" s="56">
        <f t="shared" si="8"/>
        <v>0</v>
      </c>
      <c r="P75" s="22"/>
      <c r="Q75" s="57">
        <f t="shared" si="9"/>
        <v>0</v>
      </c>
    </row>
    <row r="76" spans="1:17" s="1" customFormat="1" ht="12.75" x14ac:dyDescent="0.2">
      <c r="A76" s="64"/>
      <c r="B76" s="65"/>
      <c r="C76" s="65"/>
      <c r="D76" s="67"/>
      <c r="E76" s="12"/>
      <c r="F76" s="50"/>
      <c r="G76" s="12"/>
      <c r="H76" s="60"/>
      <c r="I76" s="61">
        <f t="shared" si="6"/>
        <v>0</v>
      </c>
      <c r="J76" s="13"/>
      <c r="K76" s="73"/>
      <c r="L76" s="54">
        <f t="shared" si="10"/>
        <v>0</v>
      </c>
      <c r="M76" s="12"/>
      <c r="N76" s="55">
        <f t="shared" si="7"/>
        <v>0</v>
      </c>
      <c r="O76" s="56">
        <f t="shared" si="8"/>
        <v>0</v>
      </c>
      <c r="P76" s="22"/>
      <c r="Q76" s="57">
        <f t="shared" si="9"/>
        <v>0</v>
      </c>
    </row>
    <row r="77" spans="1:17" s="1" customFormat="1" ht="12.75" x14ac:dyDescent="0.2">
      <c r="A77" s="64"/>
      <c r="B77" s="65"/>
      <c r="C77" s="65"/>
      <c r="D77" s="67"/>
      <c r="E77" s="12"/>
      <c r="F77" s="50"/>
      <c r="G77" s="12"/>
      <c r="H77" s="60"/>
      <c r="I77" s="61">
        <f t="shared" si="6"/>
        <v>0</v>
      </c>
      <c r="J77" s="13"/>
      <c r="K77" s="73"/>
      <c r="L77" s="54">
        <f t="shared" si="10"/>
        <v>0</v>
      </c>
      <c r="M77" s="12"/>
      <c r="N77" s="55">
        <f t="shared" si="7"/>
        <v>0</v>
      </c>
      <c r="O77" s="56">
        <f t="shared" si="8"/>
        <v>0</v>
      </c>
      <c r="P77" s="22"/>
      <c r="Q77" s="57">
        <f t="shared" si="9"/>
        <v>0</v>
      </c>
    </row>
    <row r="78" spans="1:17" s="1" customFormat="1" ht="12.75" x14ac:dyDescent="0.2">
      <c r="A78" s="64"/>
      <c r="B78" s="65"/>
      <c r="C78" s="65"/>
      <c r="D78" s="67"/>
      <c r="E78" s="12"/>
      <c r="F78" s="50"/>
      <c r="G78" s="12"/>
      <c r="H78" s="60"/>
      <c r="I78" s="61">
        <f t="shared" si="6"/>
        <v>0</v>
      </c>
      <c r="J78" s="13"/>
      <c r="K78" s="73"/>
      <c r="L78" s="54">
        <f t="shared" si="10"/>
        <v>0</v>
      </c>
      <c r="M78" s="12"/>
      <c r="N78" s="55">
        <f t="shared" si="7"/>
        <v>0</v>
      </c>
      <c r="O78" s="56">
        <f t="shared" si="8"/>
        <v>0</v>
      </c>
      <c r="P78" s="22"/>
      <c r="Q78" s="57">
        <f t="shared" si="9"/>
        <v>0</v>
      </c>
    </row>
    <row r="79" spans="1:17" s="1" customFormat="1" ht="12.75" x14ac:dyDescent="0.2">
      <c r="A79" s="64"/>
      <c r="B79" s="65"/>
      <c r="C79" s="65"/>
      <c r="D79" s="67"/>
      <c r="E79" s="12"/>
      <c r="F79" s="50"/>
      <c r="G79" s="12"/>
      <c r="H79" s="60"/>
      <c r="I79" s="61">
        <f t="shared" si="6"/>
        <v>0</v>
      </c>
      <c r="J79" s="13"/>
      <c r="K79" s="73"/>
      <c r="L79" s="54">
        <f t="shared" si="10"/>
        <v>0</v>
      </c>
      <c r="M79" s="12"/>
      <c r="N79" s="55">
        <f t="shared" si="7"/>
        <v>0</v>
      </c>
      <c r="O79" s="56">
        <f t="shared" si="8"/>
        <v>0</v>
      </c>
      <c r="P79" s="22"/>
      <c r="Q79" s="57">
        <f t="shared" si="9"/>
        <v>0</v>
      </c>
    </row>
    <row r="80" spans="1:17" s="1" customFormat="1" ht="12.75" x14ac:dyDescent="0.2">
      <c r="A80" s="64"/>
      <c r="B80" s="65"/>
      <c r="C80" s="65"/>
      <c r="D80" s="67"/>
      <c r="E80" s="12"/>
      <c r="F80" s="50"/>
      <c r="G80" s="12"/>
      <c r="H80" s="60"/>
      <c r="I80" s="61">
        <f t="shared" si="6"/>
        <v>0</v>
      </c>
      <c r="J80" s="13"/>
      <c r="K80" s="73"/>
      <c r="L80" s="54">
        <f t="shared" si="10"/>
        <v>0</v>
      </c>
      <c r="M80" s="12"/>
      <c r="N80" s="55">
        <f t="shared" si="7"/>
        <v>0</v>
      </c>
      <c r="O80" s="56">
        <f t="shared" si="8"/>
        <v>0</v>
      </c>
      <c r="P80" s="22"/>
      <c r="Q80" s="57">
        <f t="shared" si="9"/>
        <v>0</v>
      </c>
    </row>
    <row r="81" spans="1:17" s="1" customFormat="1" ht="12.75" x14ac:dyDescent="0.2">
      <c r="A81" s="64"/>
      <c r="B81" s="65"/>
      <c r="C81" s="65"/>
      <c r="D81" s="67"/>
      <c r="E81" s="12"/>
      <c r="F81" s="50"/>
      <c r="G81" s="12"/>
      <c r="H81" s="60"/>
      <c r="I81" s="61">
        <f t="shared" si="6"/>
        <v>0</v>
      </c>
      <c r="J81" s="13"/>
      <c r="K81" s="73"/>
      <c r="L81" s="54">
        <f t="shared" si="10"/>
        <v>0</v>
      </c>
      <c r="M81" s="12"/>
      <c r="N81" s="55">
        <f t="shared" si="7"/>
        <v>0</v>
      </c>
      <c r="O81" s="56">
        <f t="shared" si="8"/>
        <v>0</v>
      </c>
      <c r="P81" s="22"/>
      <c r="Q81" s="57">
        <f t="shared" si="9"/>
        <v>0</v>
      </c>
    </row>
    <row r="82" spans="1:17" s="1" customFormat="1" ht="12.75" x14ac:dyDescent="0.2">
      <c r="A82" s="64"/>
      <c r="B82" s="65"/>
      <c r="C82" s="65"/>
      <c r="D82" s="67"/>
      <c r="E82" s="12"/>
      <c r="F82" s="50"/>
      <c r="G82" s="12"/>
      <c r="H82" s="60"/>
      <c r="I82" s="61">
        <f t="shared" si="6"/>
        <v>0</v>
      </c>
      <c r="J82" s="13"/>
      <c r="K82" s="73"/>
      <c r="L82" s="54">
        <f t="shared" si="10"/>
        <v>0</v>
      </c>
      <c r="M82" s="12"/>
      <c r="N82" s="55">
        <f t="shared" si="7"/>
        <v>0</v>
      </c>
      <c r="O82" s="56">
        <f t="shared" si="8"/>
        <v>0</v>
      </c>
      <c r="P82" s="22"/>
      <c r="Q82" s="57">
        <f t="shared" si="9"/>
        <v>0</v>
      </c>
    </row>
    <row r="83" spans="1:17" s="1" customFormat="1" ht="12.75" x14ac:dyDescent="0.2">
      <c r="A83" s="64"/>
      <c r="B83" s="65"/>
      <c r="C83" s="65"/>
      <c r="D83" s="67"/>
      <c r="E83" s="12"/>
      <c r="F83" s="50"/>
      <c r="G83" s="12"/>
      <c r="H83" s="60"/>
      <c r="I83" s="61">
        <f t="shared" si="6"/>
        <v>0</v>
      </c>
      <c r="J83" s="13"/>
      <c r="K83" s="73"/>
      <c r="L83" s="54">
        <f t="shared" si="10"/>
        <v>0</v>
      </c>
      <c r="M83" s="12"/>
      <c r="N83" s="55">
        <f t="shared" si="7"/>
        <v>0</v>
      </c>
      <c r="O83" s="56">
        <f t="shared" si="8"/>
        <v>0</v>
      </c>
      <c r="P83" s="22"/>
      <c r="Q83" s="57">
        <f t="shared" si="9"/>
        <v>0</v>
      </c>
    </row>
    <row r="84" spans="1:17" s="1" customFormat="1" ht="12.75" x14ac:dyDescent="0.2">
      <c r="A84" s="64"/>
      <c r="B84" s="65"/>
      <c r="C84" s="65"/>
      <c r="D84" s="67"/>
      <c r="E84" s="12"/>
      <c r="F84" s="50"/>
      <c r="G84" s="12"/>
      <c r="H84" s="60"/>
      <c r="I84" s="61">
        <f t="shared" si="6"/>
        <v>0</v>
      </c>
      <c r="J84" s="13"/>
      <c r="K84" s="73"/>
      <c r="L84" s="54">
        <f t="shared" si="10"/>
        <v>0</v>
      </c>
      <c r="M84" s="12"/>
      <c r="N84" s="55">
        <f t="shared" si="7"/>
        <v>0</v>
      </c>
      <c r="O84" s="56">
        <f t="shared" si="8"/>
        <v>0</v>
      </c>
      <c r="P84" s="22"/>
      <c r="Q84" s="57">
        <f t="shared" si="9"/>
        <v>0</v>
      </c>
    </row>
    <row r="85" spans="1:17" s="1" customFormat="1" ht="12.75" x14ac:dyDescent="0.2">
      <c r="A85" s="64"/>
      <c r="B85" s="65"/>
      <c r="C85" s="65"/>
      <c r="D85" s="67"/>
      <c r="E85" s="12"/>
      <c r="F85" s="50"/>
      <c r="G85" s="12"/>
      <c r="H85" s="60"/>
      <c r="I85" s="61">
        <f t="shared" si="6"/>
        <v>0</v>
      </c>
      <c r="J85" s="13"/>
      <c r="K85" s="73"/>
      <c r="L85" s="54">
        <f t="shared" si="10"/>
        <v>0</v>
      </c>
      <c r="M85" s="12"/>
      <c r="N85" s="55">
        <f t="shared" si="7"/>
        <v>0</v>
      </c>
      <c r="O85" s="56">
        <f t="shared" si="8"/>
        <v>0</v>
      </c>
      <c r="P85" s="22"/>
      <c r="Q85" s="57">
        <f t="shared" si="9"/>
        <v>0</v>
      </c>
    </row>
    <row r="86" spans="1:17" s="1" customFormat="1" ht="12.75" x14ac:dyDescent="0.2">
      <c r="A86" s="64"/>
      <c r="B86" s="65"/>
      <c r="C86" s="65"/>
      <c r="D86" s="67"/>
      <c r="E86" s="12"/>
      <c r="F86" s="50"/>
      <c r="G86" s="12"/>
      <c r="H86" s="60"/>
      <c r="I86" s="61">
        <f t="shared" si="6"/>
        <v>0</v>
      </c>
      <c r="J86" s="13"/>
      <c r="K86" s="73"/>
      <c r="L86" s="54">
        <f t="shared" si="10"/>
        <v>0</v>
      </c>
      <c r="M86" s="12"/>
      <c r="N86" s="55">
        <f t="shared" si="7"/>
        <v>0</v>
      </c>
      <c r="O86" s="56">
        <f t="shared" si="8"/>
        <v>0</v>
      </c>
      <c r="P86" s="22"/>
      <c r="Q86" s="57">
        <f t="shared" si="9"/>
        <v>0</v>
      </c>
    </row>
    <row r="87" spans="1:17" s="1" customFormat="1" ht="12.75" x14ac:dyDescent="0.2">
      <c r="A87" s="64"/>
      <c r="B87" s="65"/>
      <c r="C87" s="65"/>
      <c r="D87" s="67"/>
      <c r="E87" s="12"/>
      <c r="F87" s="50"/>
      <c r="G87" s="12"/>
      <c r="H87" s="60"/>
      <c r="I87" s="61">
        <f t="shared" si="6"/>
        <v>0</v>
      </c>
      <c r="J87" s="13"/>
      <c r="K87" s="73"/>
      <c r="L87" s="54">
        <f t="shared" si="10"/>
        <v>0</v>
      </c>
      <c r="M87" s="12"/>
      <c r="N87" s="55">
        <f t="shared" si="7"/>
        <v>0</v>
      </c>
      <c r="O87" s="56">
        <f t="shared" si="8"/>
        <v>0</v>
      </c>
      <c r="P87" s="22"/>
      <c r="Q87" s="57">
        <f t="shared" si="9"/>
        <v>0</v>
      </c>
    </row>
    <row r="88" spans="1:17" s="1" customFormat="1" ht="12.75" x14ac:dyDescent="0.2">
      <c r="A88" s="64"/>
      <c r="B88" s="65"/>
      <c r="C88" s="65"/>
      <c r="D88" s="67"/>
      <c r="E88" s="12"/>
      <c r="F88" s="50"/>
      <c r="G88" s="12"/>
      <c r="H88" s="60"/>
      <c r="I88" s="61">
        <f t="shared" si="6"/>
        <v>0</v>
      </c>
      <c r="J88" s="13"/>
      <c r="K88" s="73"/>
      <c r="L88" s="54">
        <f t="shared" si="10"/>
        <v>0</v>
      </c>
      <c r="M88" s="12"/>
      <c r="N88" s="55">
        <f t="shared" si="7"/>
        <v>0</v>
      </c>
      <c r="O88" s="56">
        <f t="shared" si="8"/>
        <v>0</v>
      </c>
      <c r="P88" s="22"/>
      <c r="Q88" s="57">
        <f t="shared" si="9"/>
        <v>0</v>
      </c>
    </row>
    <row r="89" spans="1:17" s="1" customFormat="1" ht="12.75" x14ac:dyDescent="0.2">
      <c r="A89" s="64"/>
      <c r="B89" s="65"/>
      <c r="C89" s="65"/>
      <c r="D89" s="67"/>
      <c r="E89" s="12"/>
      <c r="F89" s="50"/>
      <c r="G89" s="12"/>
      <c r="H89" s="60"/>
      <c r="I89" s="61">
        <f t="shared" si="6"/>
        <v>0</v>
      </c>
      <c r="J89" s="13"/>
      <c r="K89" s="73"/>
      <c r="L89" s="54">
        <f t="shared" si="10"/>
        <v>0</v>
      </c>
      <c r="M89" s="12"/>
      <c r="N89" s="55">
        <f t="shared" si="7"/>
        <v>0</v>
      </c>
      <c r="O89" s="56">
        <f t="shared" si="8"/>
        <v>0</v>
      </c>
      <c r="P89" s="22"/>
      <c r="Q89" s="57">
        <f t="shared" si="9"/>
        <v>0</v>
      </c>
    </row>
    <row r="90" spans="1:17" s="1" customFormat="1" ht="12.75" x14ac:dyDescent="0.2">
      <c r="A90" s="64"/>
      <c r="B90" s="65"/>
      <c r="C90" s="65"/>
      <c r="D90" s="67"/>
      <c r="E90" s="12"/>
      <c r="F90" s="50"/>
      <c r="G90" s="12"/>
      <c r="H90" s="60"/>
      <c r="I90" s="61">
        <f t="shared" si="6"/>
        <v>0</v>
      </c>
      <c r="J90" s="13"/>
      <c r="K90" s="73"/>
      <c r="L90" s="54">
        <f t="shared" si="10"/>
        <v>0</v>
      </c>
      <c r="M90" s="12"/>
      <c r="N90" s="55">
        <f t="shared" si="7"/>
        <v>0</v>
      </c>
      <c r="O90" s="56">
        <f t="shared" si="8"/>
        <v>0</v>
      </c>
      <c r="P90" s="22"/>
      <c r="Q90" s="57">
        <f t="shared" si="9"/>
        <v>0</v>
      </c>
    </row>
    <row r="91" spans="1:17" s="1" customFormat="1" ht="12.75" x14ac:dyDescent="0.2">
      <c r="A91" s="64"/>
      <c r="B91" s="65"/>
      <c r="C91" s="65"/>
      <c r="D91" s="67"/>
      <c r="E91" s="12"/>
      <c r="F91" s="50"/>
      <c r="G91" s="12"/>
      <c r="H91" s="60"/>
      <c r="I91" s="61">
        <f t="shared" si="6"/>
        <v>0</v>
      </c>
      <c r="J91" s="13"/>
      <c r="K91" s="73"/>
      <c r="L91" s="54">
        <f t="shared" si="10"/>
        <v>0</v>
      </c>
      <c r="M91" s="12"/>
      <c r="N91" s="55">
        <f t="shared" si="7"/>
        <v>0</v>
      </c>
      <c r="O91" s="56">
        <f t="shared" si="8"/>
        <v>0</v>
      </c>
      <c r="P91" s="22"/>
      <c r="Q91" s="57">
        <f t="shared" si="9"/>
        <v>0</v>
      </c>
    </row>
    <row r="92" spans="1:17" s="1" customFormat="1" ht="12.75" x14ac:dyDescent="0.2">
      <c r="A92" s="64"/>
      <c r="B92" s="65"/>
      <c r="C92" s="65"/>
      <c r="D92" s="67"/>
      <c r="E92" s="12"/>
      <c r="F92" s="50"/>
      <c r="G92" s="12"/>
      <c r="H92" s="60"/>
      <c r="I92" s="61">
        <f t="shared" si="6"/>
        <v>0</v>
      </c>
      <c r="J92" s="13"/>
      <c r="K92" s="73"/>
      <c r="L92" s="54">
        <f t="shared" si="10"/>
        <v>0</v>
      </c>
      <c r="M92" s="12"/>
      <c r="N92" s="55">
        <f t="shared" si="7"/>
        <v>0</v>
      </c>
      <c r="O92" s="56">
        <f t="shared" si="8"/>
        <v>0</v>
      </c>
      <c r="P92" s="22"/>
      <c r="Q92" s="57">
        <f t="shared" si="9"/>
        <v>0</v>
      </c>
    </row>
    <row r="93" spans="1:17" s="1" customFormat="1" ht="12.75" x14ac:dyDescent="0.2">
      <c r="A93" s="64"/>
      <c r="B93" s="65"/>
      <c r="C93" s="65"/>
      <c r="D93" s="67"/>
      <c r="E93" s="12"/>
      <c r="F93" s="50"/>
      <c r="G93" s="12"/>
      <c r="H93" s="60"/>
      <c r="I93" s="61">
        <f t="shared" si="6"/>
        <v>0</v>
      </c>
      <c r="J93" s="13"/>
      <c r="K93" s="73"/>
      <c r="L93" s="54">
        <f t="shared" si="10"/>
        <v>0</v>
      </c>
      <c r="M93" s="12"/>
      <c r="N93" s="55">
        <f t="shared" si="7"/>
        <v>0</v>
      </c>
      <c r="O93" s="56">
        <f t="shared" si="8"/>
        <v>0</v>
      </c>
      <c r="P93" s="22"/>
      <c r="Q93" s="57">
        <f t="shared" si="9"/>
        <v>0</v>
      </c>
    </row>
    <row r="94" spans="1:17" s="1" customFormat="1" ht="12.75" x14ac:dyDescent="0.2">
      <c r="A94" s="64"/>
      <c r="B94" s="65"/>
      <c r="C94" s="65"/>
      <c r="D94" s="67"/>
      <c r="E94" s="12"/>
      <c r="F94" s="50"/>
      <c r="G94" s="12"/>
      <c r="H94" s="60"/>
      <c r="I94" s="61">
        <f t="shared" si="6"/>
        <v>0</v>
      </c>
      <c r="J94" s="13"/>
      <c r="K94" s="73"/>
      <c r="L94" s="54">
        <f t="shared" si="10"/>
        <v>0</v>
      </c>
      <c r="M94" s="12"/>
      <c r="N94" s="55">
        <f t="shared" si="7"/>
        <v>0</v>
      </c>
      <c r="O94" s="56">
        <f t="shared" si="8"/>
        <v>0</v>
      </c>
      <c r="P94" s="22"/>
      <c r="Q94" s="57">
        <f t="shared" si="9"/>
        <v>0</v>
      </c>
    </row>
    <row r="95" spans="1:17" s="1" customFormat="1" ht="12.75" x14ac:dyDescent="0.2">
      <c r="A95" s="64"/>
      <c r="B95" s="65"/>
      <c r="C95" s="65"/>
      <c r="D95" s="67"/>
      <c r="E95" s="12"/>
      <c r="F95" s="50"/>
      <c r="G95" s="12"/>
      <c r="H95" s="60"/>
      <c r="I95" s="61">
        <f t="shared" si="6"/>
        <v>0</v>
      </c>
      <c r="J95" s="13"/>
      <c r="K95" s="73"/>
      <c r="L95" s="54">
        <f t="shared" si="10"/>
        <v>0</v>
      </c>
      <c r="M95" s="12"/>
      <c r="N95" s="55">
        <f t="shared" si="7"/>
        <v>0</v>
      </c>
      <c r="O95" s="56">
        <f t="shared" si="8"/>
        <v>0</v>
      </c>
      <c r="P95" s="22"/>
      <c r="Q95" s="57">
        <f t="shared" si="9"/>
        <v>0</v>
      </c>
    </row>
    <row r="96" spans="1:17" s="1" customFormat="1" ht="12.75" x14ac:dyDescent="0.2">
      <c r="A96" s="64"/>
      <c r="B96" s="65"/>
      <c r="C96" s="65"/>
      <c r="D96" s="67"/>
      <c r="E96" s="12"/>
      <c r="F96" s="50"/>
      <c r="G96" s="12"/>
      <c r="H96" s="60"/>
      <c r="I96" s="61">
        <f t="shared" si="6"/>
        <v>0</v>
      </c>
      <c r="J96" s="13"/>
      <c r="K96" s="73"/>
      <c r="L96" s="54">
        <f t="shared" si="10"/>
        <v>0</v>
      </c>
      <c r="M96" s="12"/>
      <c r="N96" s="55">
        <f t="shared" si="7"/>
        <v>0</v>
      </c>
      <c r="O96" s="56">
        <f t="shared" si="8"/>
        <v>0</v>
      </c>
      <c r="P96" s="22"/>
      <c r="Q96" s="57">
        <f t="shared" si="9"/>
        <v>0</v>
      </c>
    </row>
    <row r="97" spans="1:17" s="1" customFormat="1" ht="12.75" x14ac:dyDescent="0.2">
      <c r="A97" s="64"/>
      <c r="B97" s="65"/>
      <c r="C97" s="65"/>
      <c r="D97" s="67"/>
      <c r="E97" s="12"/>
      <c r="F97" s="50"/>
      <c r="G97" s="12"/>
      <c r="H97" s="60"/>
      <c r="I97" s="61">
        <f t="shared" si="6"/>
        <v>0</v>
      </c>
      <c r="J97" s="13"/>
      <c r="K97" s="73"/>
      <c r="L97" s="54">
        <f t="shared" si="10"/>
        <v>0</v>
      </c>
      <c r="M97" s="12"/>
      <c r="N97" s="55">
        <f t="shared" si="7"/>
        <v>0</v>
      </c>
      <c r="O97" s="56">
        <f t="shared" si="8"/>
        <v>0</v>
      </c>
      <c r="P97" s="22"/>
      <c r="Q97" s="57">
        <f t="shared" si="9"/>
        <v>0</v>
      </c>
    </row>
    <row r="98" spans="1:17" s="1" customFormat="1" ht="12.75" x14ac:dyDescent="0.2">
      <c r="A98" s="64"/>
      <c r="B98" s="65"/>
      <c r="C98" s="65"/>
      <c r="D98" s="67"/>
      <c r="E98" s="12"/>
      <c r="F98" s="50"/>
      <c r="G98" s="12"/>
      <c r="H98" s="60"/>
      <c r="I98" s="61">
        <f t="shared" si="6"/>
        <v>0</v>
      </c>
      <c r="J98" s="13"/>
      <c r="K98" s="73"/>
      <c r="L98" s="54">
        <f t="shared" si="10"/>
        <v>0</v>
      </c>
      <c r="M98" s="12"/>
      <c r="N98" s="55">
        <f t="shared" si="7"/>
        <v>0</v>
      </c>
      <c r="O98" s="56">
        <f t="shared" si="8"/>
        <v>0</v>
      </c>
      <c r="P98" s="22"/>
      <c r="Q98" s="57">
        <f t="shared" si="9"/>
        <v>0</v>
      </c>
    </row>
    <row r="99" spans="1:17" s="1" customFormat="1" ht="12.75" x14ac:dyDescent="0.2">
      <c r="A99" s="64"/>
      <c r="B99" s="65"/>
      <c r="C99" s="65"/>
      <c r="D99" s="67"/>
      <c r="E99" s="12"/>
      <c r="F99" s="50"/>
      <c r="G99" s="12"/>
      <c r="H99" s="60"/>
      <c r="I99" s="61">
        <f t="shared" si="6"/>
        <v>0</v>
      </c>
      <c r="J99" s="13"/>
      <c r="K99" s="73"/>
      <c r="L99" s="54">
        <f t="shared" si="10"/>
        <v>0</v>
      </c>
      <c r="M99" s="12"/>
      <c r="N99" s="55">
        <f t="shared" si="7"/>
        <v>0</v>
      </c>
      <c r="O99" s="56">
        <f t="shared" si="8"/>
        <v>0</v>
      </c>
      <c r="P99" s="22"/>
      <c r="Q99" s="57">
        <f t="shared" si="9"/>
        <v>0</v>
      </c>
    </row>
    <row r="100" spans="1:17" s="1" customFormat="1" ht="12.75" x14ac:dyDescent="0.2">
      <c r="A100" s="64"/>
      <c r="B100" s="65"/>
      <c r="C100" s="65"/>
      <c r="D100" s="67"/>
      <c r="E100" s="12"/>
      <c r="F100" s="50"/>
      <c r="G100" s="12"/>
      <c r="H100" s="60"/>
      <c r="I100" s="61">
        <f t="shared" si="6"/>
        <v>0</v>
      </c>
      <c r="J100" s="13"/>
      <c r="K100" s="73"/>
      <c r="L100" s="54">
        <f t="shared" si="10"/>
        <v>0</v>
      </c>
      <c r="M100" s="12"/>
      <c r="N100" s="55">
        <f t="shared" si="7"/>
        <v>0</v>
      </c>
      <c r="O100" s="56">
        <f t="shared" si="8"/>
        <v>0</v>
      </c>
      <c r="P100" s="22"/>
      <c r="Q100" s="57">
        <f t="shared" si="9"/>
        <v>0</v>
      </c>
    </row>
    <row r="101" spans="1:17" s="1" customFormat="1" ht="12.75" x14ac:dyDescent="0.2">
      <c r="A101" s="64"/>
      <c r="B101" s="65"/>
      <c r="C101" s="65"/>
      <c r="D101" s="67"/>
      <c r="E101" s="12"/>
      <c r="F101" s="50"/>
      <c r="G101" s="12"/>
      <c r="H101" s="60"/>
      <c r="I101" s="61">
        <f t="shared" si="6"/>
        <v>0</v>
      </c>
      <c r="J101" s="13"/>
      <c r="K101" s="73"/>
      <c r="L101" s="54">
        <f t="shared" si="10"/>
        <v>0</v>
      </c>
      <c r="M101" s="12"/>
      <c r="N101" s="55">
        <f t="shared" si="7"/>
        <v>0</v>
      </c>
      <c r="O101" s="56">
        <f t="shared" si="8"/>
        <v>0</v>
      </c>
      <c r="P101" s="22"/>
      <c r="Q101" s="57">
        <f t="shared" si="9"/>
        <v>0</v>
      </c>
    </row>
    <row r="102" spans="1:17" s="1" customFormat="1" ht="12.75" x14ac:dyDescent="0.2">
      <c r="A102" s="64"/>
      <c r="B102" s="65"/>
      <c r="C102" s="65"/>
      <c r="D102" s="67"/>
      <c r="E102" s="12"/>
      <c r="F102" s="50"/>
      <c r="G102" s="12"/>
      <c r="H102" s="60"/>
      <c r="I102" s="61">
        <f t="shared" si="6"/>
        <v>0</v>
      </c>
      <c r="J102" s="13"/>
      <c r="K102" s="73"/>
      <c r="L102" s="54">
        <f t="shared" si="10"/>
        <v>0</v>
      </c>
      <c r="M102" s="12"/>
      <c r="N102" s="55">
        <f t="shared" si="7"/>
        <v>0</v>
      </c>
      <c r="O102" s="56">
        <f t="shared" si="8"/>
        <v>0</v>
      </c>
      <c r="P102" s="22"/>
      <c r="Q102" s="57">
        <f t="shared" si="9"/>
        <v>0</v>
      </c>
    </row>
    <row r="103" spans="1:17" s="1" customFormat="1" ht="12.75" x14ac:dyDescent="0.2">
      <c r="A103" s="64"/>
      <c r="B103" s="65"/>
      <c r="C103" s="65"/>
      <c r="D103" s="67"/>
      <c r="E103" s="12"/>
      <c r="F103" s="50"/>
      <c r="G103" s="12"/>
      <c r="H103" s="60"/>
      <c r="I103" s="61">
        <f t="shared" si="6"/>
        <v>0</v>
      </c>
      <c r="J103" s="13"/>
      <c r="K103" s="73"/>
      <c r="L103" s="54">
        <f t="shared" si="10"/>
        <v>0</v>
      </c>
      <c r="M103" s="12"/>
      <c r="N103" s="55">
        <f t="shared" si="7"/>
        <v>0</v>
      </c>
      <c r="O103" s="56">
        <f t="shared" si="8"/>
        <v>0</v>
      </c>
      <c r="P103" s="22"/>
      <c r="Q103" s="57">
        <f t="shared" si="9"/>
        <v>0</v>
      </c>
    </row>
    <row r="104" spans="1:17" s="1" customFormat="1" ht="12.75" x14ac:dyDescent="0.2">
      <c r="A104" s="64"/>
      <c r="B104" s="65"/>
      <c r="C104" s="65"/>
      <c r="D104" s="67"/>
      <c r="E104" s="12"/>
      <c r="F104" s="50"/>
      <c r="G104" s="12"/>
      <c r="H104" s="60"/>
      <c r="I104" s="61">
        <f t="shared" si="6"/>
        <v>0</v>
      </c>
      <c r="J104" s="13"/>
      <c r="K104" s="73"/>
      <c r="L104" s="54">
        <f t="shared" si="10"/>
        <v>0</v>
      </c>
      <c r="M104" s="12"/>
      <c r="N104" s="55">
        <f t="shared" si="7"/>
        <v>0</v>
      </c>
      <c r="O104" s="56">
        <f t="shared" si="8"/>
        <v>0</v>
      </c>
      <c r="P104" s="22"/>
      <c r="Q104" s="57">
        <f t="shared" si="9"/>
        <v>0</v>
      </c>
    </row>
    <row r="105" spans="1:17" s="1" customFormat="1" ht="12.75" x14ac:dyDescent="0.2">
      <c r="A105" s="64"/>
      <c r="B105" s="65"/>
      <c r="C105" s="65"/>
      <c r="D105" s="67"/>
      <c r="E105" s="12"/>
      <c r="F105" s="50"/>
      <c r="G105" s="12"/>
      <c r="H105" s="60"/>
      <c r="I105" s="61">
        <f t="shared" si="6"/>
        <v>0</v>
      </c>
      <c r="J105" s="13"/>
      <c r="K105" s="73"/>
      <c r="L105" s="54">
        <f t="shared" si="10"/>
        <v>0</v>
      </c>
      <c r="M105" s="12"/>
      <c r="N105" s="55">
        <f t="shared" si="7"/>
        <v>0</v>
      </c>
      <c r="O105" s="56">
        <f t="shared" si="8"/>
        <v>0</v>
      </c>
      <c r="P105" s="22"/>
      <c r="Q105" s="57">
        <f t="shared" si="9"/>
        <v>0</v>
      </c>
    </row>
    <row r="106" spans="1:17" s="1" customFormat="1" ht="12.75" x14ac:dyDescent="0.2">
      <c r="A106" s="64"/>
      <c r="B106" s="65"/>
      <c r="C106" s="65"/>
      <c r="D106" s="67"/>
      <c r="E106" s="12"/>
      <c r="F106" s="50"/>
      <c r="G106" s="12"/>
      <c r="H106" s="60"/>
      <c r="I106" s="61">
        <f t="shared" si="6"/>
        <v>0</v>
      </c>
      <c r="J106" s="13"/>
      <c r="K106" s="73"/>
      <c r="L106" s="54">
        <f t="shared" si="10"/>
        <v>0</v>
      </c>
      <c r="M106" s="12"/>
      <c r="N106" s="55">
        <f t="shared" si="7"/>
        <v>0</v>
      </c>
      <c r="O106" s="56">
        <f t="shared" si="8"/>
        <v>0</v>
      </c>
      <c r="P106" s="22"/>
      <c r="Q106" s="57">
        <f t="shared" si="9"/>
        <v>0</v>
      </c>
    </row>
    <row r="107" spans="1:17" s="1" customFormat="1" ht="12.75" x14ac:dyDescent="0.2">
      <c r="A107" s="64"/>
      <c r="B107" s="65"/>
      <c r="C107" s="65"/>
      <c r="D107" s="67"/>
      <c r="E107" s="12"/>
      <c r="F107" s="50"/>
      <c r="G107" s="12"/>
      <c r="H107" s="60"/>
      <c r="I107" s="61">
        <f t="shared" si="6"/>
        <v>0</v>
      </c>
      <c r="J107" s="13"/>
      <c r="K107" s="73"/>
      <c r="L107" s="54">
        <f t="shared" si="10"/>
        <v>0</v>
      </c>
      <c r="M107" s="12"/>
      <c r="N107" s="55">
        <f t="shared" si="7"/>
        <v>0</v>
      </c>
      <c r="O107" s="56">
        <f t="shared" si="8"/>
        <v>0</v>
      </c>
      <c r="P107" s="22"/>
      <c r="Q107" s="57">
        <f t="shared" si="9"/>
        <v>0</v>
      </c>
    </row>
    <row r="108" spans="1:17" s="1" customFormat="1" ht="12.75" x14ac:dyDescent="0.2">
      <c r="A108" s="64"/>
      <c r="B108" s="65"/>
      <c r="C108" s="65"/>
      <c r="D108" s="67"/>
      <c r="E108" s="12"/>
      <c r="F108" s="50"/>
      <c r="G108" s="12"/>
      <c r="H108" s="60"/>
      <c r="I108" s="61">
        <f t="shared" si="6"/>
        <v>0</v>
      </c>
      <c r="J108" s="13"/>
      <c r="K108" s="73"/>
      <c r="L108" s="54">
        <f t="shared" si="10"/>
        <v>0</v>
      </c>
      <c r="M108" s="12"/>
      <c r="N108" s="55">
        <f t="shared" si="7"/>
        <v>0</v>
      </c>
      <c r="O108" s="56">
        <f t="shared" si="8"/>
        <v>0</v>
      </c>
      <c r="P108" s="22"/>
      <c r="Q108" s="57">
        <f t="shared" si="9"/>
        <v>0</v>
      </c>
    </row>
    <row r="109" spans="1:17" s="1" customFormat="1" ht="12.75" x14ac:dyDescent="0.2">
      <c r="A109" s="64"/>
      <c r="B109" s="65"/>
      <c r="C109" s="65"/>
      <c r="D109" s="67"/>
      <c r="E109" s="12"/>
      <c r="F109" s="50"/>
      <c r="G109" s="12"/>
      <c r="H109" s="60"/>
      <c r="I109" s="61">
        <f t="shared" si="6"/>
        <v>0</v>
      </c>
      <c r="J109" s="13"/>
      <c r="K109" s="73"/>
      <c r="L109" s="54">
        <f t="shared" si="10"/>
        <v>0</v>
      </c>
      <c r="M109" s="12"/>
      <c r="N109" s="55">
        <f t="shared" si="7"/>
        <v>0</v>
      </c>
      <c r="O109" s="56">
        <f t="shared" si="8"/>
        <v>0</v>
      </c>
      <c r="P109" s="22"/>
      <c r="Q109" s="57">
        <f t="shared" si="9"/>
        <v>0</v>
      </c>
    </row>
    <row r="110" spans="1:17" s="1" customFormat="1" ht="12.75" x14ac:dyDescent="0.2">
      <c r="A110" s="64"/>
      <c r="B110" s="65"/>
      <c r="C110" s="65"/>
      <c r="D110" s="67"/>
      <c r="E110" s="12"/>
      <c r="F110" s="50"/>
      <c r="G110" s="12"/>
      <c r="H110" s="60"/>
      <c r="I110" s="61">
        <f t="shared" si="6"/>
        <v>0</v>
      </c>
      <c r="J110" s="13"/>
      <c r="K110" s="73"/>
      <c r="L110" s="54">
        <f t="shared" si="10"/>
        <v>0</v>
      </c>
      <c r="M110" s="12"/>
      <c r="N110" s="55">
        <f t="shared" si="7"/>
        <v>0</v>
      </c>
      <c r="O110" s="56">
        <f t="shared" si="8"/>
        <v>0</v>
      </c>
      <c r="P110" s="22"/>
      <c r="Q110" s="57">
        <f t="shared" si="9"/>
        <v>0</v>
      </c>
    </row>
    <row r="111" spans="1:17" s="1" customFormat="1" ht="12.75" x14ac:dyDescent="0.2">
      <c r="A111" s="64"/>
      <c r="B111" s="65"/>
      <c r="C111" s="65"/>
      <c r="D111" s="67"/>
      <c r="E111" s="12"/>
      <c r="F111" s="50"/>
      <c r="G111" s="12"/>
      <c r="H111" s="60"/>
      <c r="I111" s="61">
        <f t="shared" si="6"/>
        <v>0</v>
      </c>
      <c r="J111" s="13"/>
      <c r="K111" s="73"/>
      <c r="L111" s="54">
        <f t="shared" si="10"/>
        <v>0</v>
      </c>
      <c r="M111" s="12"/>
      <c r="N111" s="55">
        <f t="shared" si="7"/>
        <v>0</v>
      </c>
      <c r="O111" s="56">
        <f t="shared" si="8"/>
        <v>0</v>
      </c>
      <c r="P111" s="22"/>
      <c r="Q111" s="57">
        <f t="shared" si="9"/>
        <v>0</v>
      </c>
    </row>
    <row r="112" spans="1:17" s="1" customFormat="1" ht="12.75" x14ac:dyDescent="0.2">
      <c r="A112" s="64"/>
      <c r="B112" s="65"/>
      <c r="C112" s="65"/>
      <c r="D112" s="67"/>
      <c r="E112" s="12"/>
      <c r="F112" s="50"/>
      <c r="G112" s="12"/>
      <c r="H112" s="60"/>
      <c r="I112" s="61">
        <f t="shared" si="6"/>
        <v>0</v>
      </c>
      <c r="J112" s="13"/>
      <c r="K112" s="73"/>
      <c r="L112" s="54">
        <f t="shared" si="10"/>
        <v>0</v>
      </c>
      <c r="M112" s="12"/>
      <c r="N112" s="55">
        <f t="shared" si="7"/>
        <v>0</v>
      </c>
      <c r="O112" s="56">
        <f t="shared" si="8"/>
        <v>0</v>
      </c>
      <c r="P112" s="22"/>
      <c r="Q112" s="57">
        <f t="shared" si="9"/>
        <v>0</v>
      </c>
    </row>
    <row r="113" spans="1:17" s="1" customFormat="1" ht="12.75" x14ac:dyDescent="0.2">
      <c r="A113" s="64"/>
      <c r="B113" s="65"/>
      <c r="C113" s="65"/>
      <c r="D113" s="67"/>
      <c r="E113" s="12"/>
      <c r="F113" s="50"/>
      <c r="G113" s="12"/>
      <c r="H113" s="60"/>
      <c r="I113" s="61">
        <f t="shared" si="6"/>
        <v>0</v>
      </c>
      <c r="J113" s="13"/>
      <c r="K113" s="73"/>
      <c r="L113" s="54">
        <f t="shared" si="10"/>
        <v>0</v>
      </c>
      <c r="M113" s="12"/>
      <c r="N113" s="55">
        <f t="shared" si="7"/>
        <v>0</v>
      </c>
      <c r="O113" s="56">
        <f t="shared" si="8"/>
        <v>0</v>
      </c>
      <c r="P113" s="22"/>
      <c r="Q113" s="57">
        <f t="shared" si="9"/>
        <v>0</v>
      </c>
    </row>
    <row r="114" spans="1:17" s="1" customFormat="1" ht="12.75" x14ac:dyDescent="0.2">
      <c r="A114" s="64"/>
      <c r="B114" s="65"/>
      <c r="C114" s="65"/>
      <c r="D114" s="67"/>
      <c r="E114" s="12"/>
      <c r="F114" s="50"/>
      <c r="G114" s="12"/>
      <c r="H114" s="60"/>
      <c r="I114" s="61">
        <f t="shared" si="6"/>
        <v>0</v>
      </c>
      <c r="J114" s="13"/>
      <c r="K114" s="73"/>
      <c r="L114" s="54">
        <f t="shared" si="10"/>
        <v>0</v>
      </c>
      <c r="M114" s="12"/>
      <c r="N114" s="55">
        <f t="shared" si="7"/>
        <v>0</v>
      </c>
      <c r="O114" s="56">
        <f t="shared" si="8"/>
        <v>0</v>
      </c>
      <c r="P114" s="22"/>
      <c r="Q114" s="57">
        <f t="shared" si="9"/>
        <v>0</v>
      </c>
    </row>
    <row r="115" spans="1:17" s="1" customFormat="1" ht="12.75" x14ac:dyDescent="0.2">
      <c r="A115" s="64"/>
      <c r="B115" s="65"/>
      <c r="C115" s="65"/>
      <c r="D115" s="67"/>
      <c r="E115" s="12"/>
      <c r="F115" s="50"/>
      <c r="G115" s="12"/>
      <c r="H115" s="60"/>
      <c r="I115" s="61">
        <f t="shared" si="6"/>
        <v>0</v>
      </c>
      <c r="J115" s="13"/>
      <c r="K115" s="73"/>
      <c r="L115" s="54">
        <f t="shared" si="10"/>
        <v>0</v>
      </c>
      <c r="M115" s="12"/>
      <c r="N115" s="55">
        <f t="shared" si="7"/>
        <v>0</v>
      </c>
      <c r="O115" s="56">
        <f t="shared" si="8"/>
        <v>0</v>
      </c>
      <c r="P115" s="22"/>
      <c r="Q115" s="57">
        <f t="shared" si="9"/>
        <v>0</v>
      </c>
    </row>
    <row r="116" spans="1:17" s="1" customFormat="1" ht="12.75" x14ac:dyDescent="0.2">
      <c r="A116" s="64"/>
      <c r="B116" s="65"/>
      <c r="C116" s="65"/>
      <c r="D116" s="67"/>
      <c r="E116" s="12"/>
      <c r="F116" s="50"/>
      <c r="G116" s="12"/>
      <c r="H116" s="60"/>
      <c r="I116" s="61">
        <f t="shared" si="6"/>
        <v>0</v>
      </c>
      <c r="J116" s="13"/>
      <c r="K116" s="73"/>
      <c r="L116" s="54">
        <f t="shared" si="10"/>
        <v>0</v>
      </c>
      <c r="M116" s="12"/>
      <c r="N116" s="55">
        <f t="shared" si="7"/>
        <v>0</v>
      </c>
      <c r="O116" s="56">
        <f t="shared" si="8"/>
        <v>0</v>
      </c>
      <c r="P116" s="22"/>
      <c r="Q116" s="57">
        <f t="shared" si="9"/>
        <v>0</v>
      </c>
    </row>
    <row r="117" spans="1:17" s="1" customFormat="1" ht="12.75" x14ac:dyDescent="0.2">
      <c r="A117" s="64"/>
      <c r="B117" s="65"/>
      <c r="C117" s="65"/>
      <c r="D117" s="67"/>
      <c r="E117" s="12"/>
      <c r="F117" s="50"/>
      <c r="G117" s="12"/>
      <c r="H117" s="60"/>
      <c r="I117" s="61">
        <f t="shared" si="6"/>
        <v>0</v>
      </c>
      <c r="J117" s="13"/>
      <c r="K117" s="73"/>
      <c r="L117" s="54">
        <f t="shared" si="10"/>
        <v>0</v>
      </c>
      <c r="M117" s="12"/>
      <c r="N117" s="55">
        <f t="shared" si="7"/>
        <v>0</v>
      </c>
      <c r="O117" s="56">
        <f t="shared" si="8"/>
        <v>0</v>
      </c>
      <c r="P117" s="22"/>
      <c r="Q117" s="57">
        <f t="shared" si="9"/>
        <v>0</v>
      </c>
    </row>
    <row r="118" spans="1:17" s="1" customFormat="1" ht="12.75" x14ac:dyDescent="0.2">
      <c r="A118" s="74"/>
      <c r="B118" s="75"/>
      <c r="C118" s="75"/>
      <c r="D118" s="76"/>
      <c r="E118" s="12"/>
      <c r="F118" s="77"/>
      <c r="G118" s="12"/>
      <c r="H118" s="78"/>
      <c r="I118" s="79">
        <f t="shared" si="6"/>
        <v>0</v>
      </c>
      <c r="J118" s="13"/>
      <c r="K118" s="80"/>
      <c r="L118" s="81">
        <f t="shared" si="10"/>
        <v>0</v>
      </c>
      <c r="M118" s="12"/>
      <c r="N118" s="82">
        <f t="shared" si="7"/>
        <v>0</v>
      </c>
      <c r="O118" s="83">
        <f t="shared" si="8"/>
        <v>0</v>
      </c>
      <c r="P118" s="22"/>
      <c r="Q118" s="84">
        <f t="shared" si="9"/>
        <v>0</v>
      </c>
    </row>
    <row r="120" spans="1:17" ht="15.75" x14ac:dyDescent="0.25">
      <c r="A120" s="87" t="s">
        <v>18</v>
      </c>
      <c r="B120" s="87"/>
      <c r="C120" s="87"/>
      <c r="D120" s="87"/>
    </row>
  </sheetData>
  <sheetProtection formatCells="0"/>
  <autoFilter ref="A6:D6" xr:uid="{00000000-0009-0000-0000-000000000000}"/>
  <mergeCells count="11">
    <mergeCell ref="A120:D120"/>
    <mergeCell ref="H4:I4"/>
    <mergeCell ref="N4:O4"/>
    <mergeCell ref="F1:G1"/>
    <mergeCell ref="F2:G2"/>
    <mergeCell ref="O1:P2"/>
    <mergeCell ref="L1:M1"/>
    <mergeCell ref="L2:M2"/>
    <mergeCell ref="H1:K1"/>
    <mergeCell ref="H2:K2"/>
    <mergeCell ref="C1:D2"/>
  </mergeCells>
  <conditionalFormatting sqref="I7:I118">
    <cfRule type="cellIs" dxfId="3" priority="4" stopIfTrue="1" operator="greaterThan">
      <formula>0</formula>
    </cfRule>
  </conditionalFormatting>
  <conditionalFormatting sqref="O7:O118">
    <cfRule type="cellIs" dxfId="2" priority="3" stopIfTrue="1" operator="lessThan">
      <formula>0.2</formula>
    </cfRule>
  </conditionalFormatting>
  <conditionalFormatting sqref="Q1:Q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3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24E06-9B02-49AA-827A-C8A6DA849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48861-A446-4875-BB65-8867E84365D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BC572907-3495-4100-BD8C-B522007EF7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2025-10-15T08:23:08Z</cp:lastPrinted>
  <dcterms:created xsi:type="dcterms:W3CDTF">2012-02-20T22:58:05Z</dcterms:created>
  <dcterms:modified xsi:type="dcterms:W3CDTF">2026-06-23T12:36:39Z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
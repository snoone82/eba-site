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CANT EDIT PROTECTED/"/>
    </mc:Choice>
  </mc:AlternateContent>
  <xr:revisionPtr revIDLastSave="73" documentId="8_{D7EE6EED-A9FE-4730-91CC-CD7A539C72DB}" xr6:coauthVersionLast="47" xr6:coauthVersionMax="47" xr10:uidLastSave="{E697B541-9917-4574-8168-D78727937930}"/>
  <bookViews>
    <workbookView xWindow="-120" yWindow="-120" windowWidth="51840" windowHeight="21120" tabRatio="827" xr2:uid="{961864C3-27F5-469C-8C63-88B817E73E9C}"/>
  </bookViews>
  <sheets>
    <sheet name="VO Summary - Issue" sheetId="41" r:id="rId1"/>
    <sheet name="VO Breakdown - Issue" sheetId="42" r:id="rId2"/>
    <sheet name="Variation Cost Sheet" sheetId="21" r:id="rId3"/>
    <sheet name="Preliminaries Cost Sheet" sheetId="38" r:id="rId4"/>
    <sheet name="Labour Calcs 2025" sheetId="40" r:id="rId5"/>
  </sheets>
  <definedNames>
    <definedName name="_xlnm.Print_Area" localSheetId="1">'VO Breakdown - Issue'!$A$1:$F$40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21" l="1"/>
  <c r="M17" i="21" l="1"/>
  <c r="M18" i="21"/>
  <c r="C4" i="42"/>
  <c r="A6" i="42"/>
  <c r="B6" i="42"/>
  <c r="C6" i="42"/>
  <c r="A10" i="42"/>
  <c r="B10" i="42"/>
  <c r="C10" i="42"/>
  <c r="A11" i="42"/>
  <c r="B11" i="42"/>
  <c r="C11" i="42"/>
  <c r="A12" i="42"/>
  <c r="B12" i="42"/>
  <c r="C12" i="42"/>
  <c r="A13" i="42"/>
  <c r="B13" i="42"/>
  <c r="C13" i="42"/>
  <c r="A14" i="42"/>
  <c r="B14" i="42"/>
  <c r="C14" i="42"/>
  <c r="A15" i="42"/>
  <c r="B15" i="42"/>
  <c r="C15" i="42"/>
  <c r="A16" i="42"/>
  <c r="B16" i="42"/>
  <c r="C16" i="42"/>
  <c r="A17" i="42"/>
  <c r="B17" i="42"/>
  <c r="C17" i="42"/>
  <c r="A18" i="42"/>
  <c r="B18" i="42"/>
  <c r="C18" i="42"/>
  <c r="A19" i="42"/>
  <c r="B19" i="42"/>
  <c r="C19" i="42"/>
  <c r="A20" i="42"/>
  <c r="B20" i="42"/>
  <c r="C20" i="42"/>
  <c r="A21" i="42"/>
  <c r="B21" i="42"/>
  <c r="C21" i="42"/>
  <c r="A22" i="42"/>
  <c r="B22" i="42"/>
  <c r="C22" i="42"/>
  <c r="A23" i="42"/>
  <c r="B23" i="42"/>
  <c r="C23" i="42"/>
  <c r="A24" i="42"/>
  <c r="B24" i="42"/>
  <c r="C24" i="42"/>
  <c r="A25" i="42"/>
  <c r="B25" i="42"/>
  <c r="C25" i="42"/>
  <c r="A26" i="42"/>
  <c r="B26" i="42"/>
  <c r="C26" i="42"/>
  <c r="A27" i="42"/>
  <c r="B27" i="42"/>
  <c r="C27" i="42"/>
  <c r="A28" i="42"/>
  <c r="B28" i="42"/>
  <c r="C28" i="42"/>
  <c r="A29" i="42"/>
  <c r="B29" i="42"/>
  <c r="C29" i="42"/>
  <c r="A30" i="42"/>
  <c r="B30" i="42"/>
  <c r="C30" i="42"/>
  <c r="A31" i="42"/>
  <c r="B31" i="42"/>
  <c r="C31" i="42"/>
  <c r="A32" i="42"/>
  <c r="B32" i="42"/>
  <c r="C32" i="42"/>
  <c r="A33" i="42"/>
  <c r="B33" i="42"/>
  <c r="C33" i="42"/>
  <c r="A34" i="42"/>
  <c r="B34" i="42"/>
  <c r="C34" i="42"/>
  <c r="A35" i="42"/>
  <c r="B35" i="42"/>
  <c r="C35" i="42"/>
  <c r="A36" i="42"/>
  <c r="B36" i="42"/>
  <c r="C36" i="42"/>
  <c r="A37" i="42"/>
  <c r="B37" i="42"/>
  <c r="C37" i="42"/>
  <c r="A38" i="42"/>
  <c r="B38" i="42"/>
  <c r="C38" i="42"/>
  <c r="A39" i="42"/>
  <c r="B39" i="42"/>
  <c r="C39" i="42"/>
  <c r="C43" i="42"/>
  <c r="F43" i="42"/>
  <c r="C44" i="42"/>
  <c r="C45" i="42"/>
  <c r="C46" i="42"/>
  <c r="C47" i="42"/>
  <c r="C48" i="42"/>
  <c r="C49" i="42"/>
  <c r="C50" i="42"/>
  <c r="C52" i="42" a="1"/>
  <c r="C52" i="42" s="1"/>
  <c r="C53" i="42"/>
  <c r="C54" i="42"/>
  <c r="C55" i="42"/>
  <c r="C57" i="42" a="1"/>
  <c r="C57" i="42" s="1"/>
  <c r="C58" i="42"/>
  <c r="C59" i="42"/>
  <c r="C60" i="42"/>
  <c r="C61" i="42"/>
  <c r="C62" i="42"/>
  <c r="C63" i="42"/>
  <c r="F64" i="42"/>
  <c r="D10" i="40"/>
  <c r="E10" i="40" s="1"/>
  <c r="D11" i="40"/>
  <c r="E11" i="40" s="1"/>
  <c r="D12" i="40"/>
  <c r="E12" i="40" s="1"/>
  <c r="F12" i="40" s="1"/>
  <c r="D13" i="40"/>
  <c r="E13" i="40" s="1"/>
  <c r="F13" i="40" s="1"/>
  <c r="D14" i="40"/>
  <c r="E14" i="40" s="1"/>
  <c r="F14" i="40" s="1"/>
  <c r="D19" i="40"/>
  <c r="E19" i="40" s="1"/>
  <c r="H19" i="40" s="1"/>
  <c r="D20" i="40"/>
  <c r="E20" i="40"/>
  <c r="F20" i="40" s="1"/>
  <c r="D21" i="40"/>
  <c r="E21" i="40" s="1"/>
  <c r="F21" i="40" s="1"/>
  <c r="D22" i="40"/>
  <c r="E22" i="40" s="1"/>
  <c r="F22" i="40" s="1"/>
  <c r="D23" i="40"/>
  <c r="E23" i="40"/>
  <c r="H23" i="40" s="1"/>
  <c r="H20" i="40" l="1"/>
  <c r="H12" i="40"/>
  <c r="H13" i="40"/>
  <c r="H11" i="40"/>
  <c r="F11" i="40"/>
  <c r="F10" i="40"/>
  <c r="H10" i="40"/>
  <c r="F23" i="40"/>
  <c r="F19" i="40"/>
  <c r="H21" i="40"/>
  <c r="H22" i="40"/>
  <c r="H14" i="40"/>
  <c r="M19" i="40" l="1"/>
  <c r="M12" i="40"/>
  <c r="M20" i="40"/>
  <c r="M11" i="40"/>
  <c r="M22" i="40" l="1"/>
  <c r="M23" i="40"/>
  <c r="M13" i="40"/>
  <c r="M21" i="40"/>
  <c r="M10" i="40"/>
  <c r="M14" i="40"/>
  <c r="N58" i="21" l="1"/>
  <c r="F2" i="38"/>
  <c r="G2" i="21"/>
  <c r="C23" i="38"/>
  <c r="H23" i="38" s="1"/>
  <c r="C22" i="38"/>
  <c r="H22" i="38" s="1"/>
  <c r="C21" i="38"/>
  <c r="H21" i="38" s="1"/>
  <c r="I21" i="38" s="1"/>
  <c r="C17" i="38"/>
  <c r="C16" i="38"/>
  <c r="C15" i="38"/>
  <c r="C14" i="38"/>
  <c r="C13" i="38"/>
  <c r="C12" i="38"/>
  <c r="C11" i="38"/>
  <c r="F54" i="42" l="1"/>
  <c r="I22" i="38"/>
  <c r="F55" i="42"/>
  <c r="I23" i="38"/>
  <c r="F53" i="42"/>
  <c r="I39" i="38"/>
  <c r="I40" i="38"/>
  <c r="D7" i="38"/>
  <c r="D6" i="38"/>
  <c r="D5" i="38"/>
  <c r="I42" i="38" l="1"/>
  <c r="I30" i="41" s="1"/>
  <c r="Q48" i="21"/>
  <c r="Q47" i="21"/>
  <c r="E39" i="42" s="1"/>
  <c r="Q46" i="21"/>
  <c r="E38" i="42" s="1"/>
  <c r="Q45" i="21"/>
  <c r="E37" i="42" s="1"/>
  <c r="Q44" i="21"/>
  <c r="E36" i="42" s="1"/>
  <c r="Q43" i="21"/>
  <c r="E35" i="42" s="1"/>
  <c r="Q42" i="21"/>
  <c r="E34" i="42" s="1"/>
  <c r="Q41" i="21"/>
  <c r="E33" i="42" s="1"/>
  <c r="Q40" i="21"/>
  <c r="E32" i="42" s="1"/>
  <c r="Q39" i="21"/>
  <c r="E31" i="42" s="1"/>
  <c r="Q38" i="21"/>
  <c r="E30" i="42" s="1"/>
  <c r="Q37" i="21"/>
  <c r="E29" i="42" s="1"/>
  <c r="Q36" i="21"/>
  <c r="E28" i="42" s="1"/>
  <c r="Q35" i="21"/>
  <c r="E27" i="42" s="1"/>
  <c r="Q34" i="21"/>
  <c r="E26" i="42" s="1"/>
  <c r="Q33" i="21"/>
  <c r="E25" i="42" s="1"/>
  <c r="Q32" i="21"/>
  <c r="E24" i="42" s="1"/>
  <c r="Q31" i="21"/>
  <c r="E23" i="42" s="1"/>
  <c r="Q30" i="21"/>
  <c r="E22" i="42" s="1"/>
  <c r="Q27" i="21"/>
  <c r="E19" i="42" s="1"/>
  <c r="Q26" i="21"/>
  <c r="E18" i="42" s="1"/>
  <c r="Q25" i="21"/>
  <c r="E17" i="42" s="1"/>
  <c r="Q24" i="21"/>
  <c r="E16" i="42" s="1"/>
  <c r="Q23" i="21"/>
  <c r="E15" i="42" s="1"/>
  <c r="Q22" i="21"/>
  <c r="E14" i="42" s="1"/>
  <c r="Q21" i="21"/>
  <c r="E13" i="42" s="1"/>
  <c r="Q20" i="21"/>
  <c r="E12" i="42" s="1"/>
  <c r="Q19" i="21"/>
  <c r="E11" i="42" s="1"/>
  <c r="Q18" i="21"/>
  <c r="E10" i="42" s="1"/>
  <c r="Q17" i="21"/>
  <c r="Q16" i="21"/>
  <c r="Q15" i="21"/>
  <c r="Q14" i="21"/>
  <c r="E6" i="42" s="1"/>
  <c r="Q29" i="21"/>
  <c r="E21" i="42" s="1"/>
  <c r="Q28" i="21"/>
  <c r="E20" i="42" s="1"/>
  <c r="D4" i="38"/>
  <c r="E40" i="42" l="1"/>
  <c r="E66" i="42" s="1"/>
  <c r="N14" i="21"/>
  <c r="D6" i="42" s="1"/>
  <c r="F6" i="42" s="1"/>
  <c r="Q50" i="21"/>
  <c r="Q52" i="21" s="1"/>
  <c r="J26" i="41" s="1"/>
  <c r="N24" i="21"/>
  <c r="D16" i="42" s="1"/>
  <c r="F16" i="42" s="1"/>
  <c r="N48" i="21"/>
  <c r="N47" i="21"/>
  <c r="D39" i="42" s="1"/>
  <c r="F39" i="42" s="1"/>
  <c r="N46" i="21"/>
  <c r="D38" i="42" s="1"/>
  <c r="F38" i="42" s="1"/>
  <c r="N45" i="21"/>
  <c r="D37" i="42" s="1"/>
  <c r="F37" i="42" s="1"/>
  <c r="N44" i="21"/>
  <c r="D36" i="42" s="1"/>
  <c r="F36" i="42" s="1"/>
  <c r="N43" i="21"/>
  <c r="D35" i="42" s="1"/>
  <c r="F35" i="42" s="1"/>
  <c r="N42" i="21"/>
  <c r="D34" i="42" s="1"/>
  <c r="F34" i="42" s="1"/>
  <c r="N41" i="21"/>
  <c r="D33" i="42" s="1"/>
  <c r="F33" i="42" s="1"/>
  <c r="N40" i="21"/>
  <c r="D32" i="42" s="1"/>
  <c r="F32" i="42" s="1"/>
  <c r="N39" i="21"/>
  <c r="D31" i="42" s="1"/>
  <c r="F31" i="42" s="1"/>
  <c r="N38" i="21"/>
  <c r="D30" i="42" s="1"/>
  <c r="F30" i="42" s="1"/>
  <c r="N37" i="21"/>
  <c r="D29" i="42" s="1"/>
  <c r="F29" i="42" s="1"/>
  <c r="N36" i="21"/>
  <c r="D28" i="42" s="1"/>
  <c r="F28" i="42" s="1"/>
  <c r="N35" i="21"/>
  <c r="D27" i="42" s="1"/>
  <c r="F27" i="42" s="1"/>
  <c r="N34" i="21"/>
  <c r="D26" i="42" s="1"/>
  <c r="F26" i="42" s="1"/>
  <c r="N33" i="21"/>
  <c r="D25" i="42" s="1"/>
  <c r="F25" i="42" s="1"/>
  <c r="N32" i="21"/>
  <c r="D24" i="42" s="1"/>
  <c r="F24" i="42" s="1"/>
  <c r="N31" i="21"/>
  <c r="D23" i="42" s="1"/>
  <c r="F23" i="42" s="1"/>
  <c r="D22" i="42"/>
  <c r="F22" i="42" s="1"/>
  <c r="N29" i="21"/>
  <c r="D21" i="42" s="1"/>
  <c r="F21" i="42" s="1"/>
  <c r="N28" i="21"/>
  <c r="D20" i="42" s="1"/>
  <c r="F20" i="42" s="1"/>
  <c r="N27" i="21"/>
  <c r="D19" i="42" s="1"/>
  <c r="F19" i="42" s="1"/>
  <c r="N26" i="21"/>
  <c r="D18" i="42" s="1"/>
  <c r="F18" i="42" s="1"/>
  <c r="N25" i="21"/>
  <c r="D17" i="42" s="1"/>
  <c r="F17" i="42" s="1"/>
  <c r="N23" i="21"/>
  <c r="D15" i="42" s="1"/>
  <c r="F15" i="42" s="1"/>
  <c r="N22" i="21"/>
  <c r="D14" i="42" s="1"/>
  <c r="F14" i="42" s="1"/>
  <c r="N21" i="21"/>
  <c r="D13" i="42" s="1"/>
  <c r="F13" i="42" s="1"/>
  <c r="N20" i="21"/>
  <c r="D12" i="42" s="1"/>
  <c r="F12" i="42" s="1"/>
  <c r="N19" i="21"/>
  <c r="D11" i="42" s="1"/>
  <c r="F11" i="42" s="1"/>
  <c r="N18" i="21"/>
  <c r="D10" i="42" s="1"/>
  <c r="F10" i="42" s="1"/>
  <c r="N17" i="21"/>
  <c r="F9" i="42" s="1"/>
  <c r="N16" i="21"/>
  <c r="F8" i="42" s="1"/>
  <c r="N15" i="21"/>
  <c r="F7" i="42" s="1"/>
  <c r="F40" i="42" l="1"/>
  <c r="D40" i="42"/>
  <c r="E5" i="21"/>
  <c r="E6" i="21"/>
  <c r="E7" i="21"/>
  <c r="E4" i="21"/>
  <c r="Q58" i="21" l="1"/>
  <c r="Q59" i="21" s="1"/>
  <c r="Q61" i="21" s="1"/>
  <c r="J24" i="41" s="1"/>
  <c r="Q54" i="21"/>
  <c r="Q56" i="21" s="1"/>
  <c r="J28" i="41" s="1"/>
  <c r="N54" i="21"/>
  <c r="N56" i="21" s="1"/>
  <c r="I28" i="41" s="1"/>
  <c r="P48" i="21"/>
  <c r="P47" i="21"/>
  <c r="P46" i="21"/>
  <c r="P45" i="21"/>
  <c r="P44" i="21"/>
  <c r="P43" i="21"/>
  <c r="P42" i="21"/>
  <c r="P41" i="21"/>
  <c r="P40" i="21"/>
  <c r="P39" i="21"/>
  <c r="P38" i="21"/>
  <c r="P37" i="21"/>
  <c r="P36" i="21"/>
  <c r="P35" i="21"/>
  <c r="P34" i="21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M48" i="21"/>
  <c r="M47" i="21"/>
  <c r="M46" i="21"/>
  <c r="M45" i="21"/>
  <c r="M44" i="21"/>
  <c r="M43" i="21"/>
  <c r="M42" i="21"/>
  <c r="M41" i="21"/>
  <c r="M40" i="21"/>
  <c r="M39" i="21"/>
  <c r="M38" i="21"/>
  <c r="M37" i="21"/>
  <c r="M36" i="21"/>
  <c r="M35" i="21"/>
  <c r="M34" i="21"/>
  <c r="M33" i="21"/>
  <c r="M32" i="21"/>
  <c r="M31" i="21"/>
  <c r="M30" i="21"/>
  <c r="M29" i="21"/>
  <c r="M28" i="21"/>
  <c r="M27" i="21"/>
  <c r="M26" i="21"/>
  <c r="M25" i="21"/>
  <c r="M24" i="21"/>
  <c r="M23" i="21"/>
  <c r="M22" i="21"/>
  <c r="M21" i="21"/>
  <c r="M20" i="21"/>
  <c r="M19" i="21"/>
  <c r="M16" i="21"/>
  <c r="M15" i="21"/>
  <c r="M14" i="21"/>
  <c r="N50" i="21"/>
  <c r="N52" i="21" s="1"/>
  <c r="I26" i="41" s="1"/>
  <c r="H32" i="38"/>
  <c r="H31" i="38"/>
  <c r="I31" i="38" s="1"/>
  <c r="D62" i="42" s="1"/>
  <c r="F62" i="42" s="1"/>
  <c r="H30" i="38"/>
  <c r="H29" i="38"/>
  <c r="I29" i="38" s="1"/>
  <c r="D60" i="42" s="1"/>
  <c r="F60" i="42" s="1"/>
  <c r="H28" i="38"/>
  <c r="H27" i="38"/>
  <c r="I27" i="38" s="1"/>
  <c r="H17" i="38"/>
  <c r="H16" i="38"/>
  <c r="H15" i="38"/>
  <c r="H14" i="38"/>
  <c r="H13" i="38"/>
  <c r="H12" i="38"/>
  <c r="I12" i="38" s="1"/>
  <c r="H11" i="38"/>
  <c r="F61" i="42" l="1"/>
  <c r="I30" i="38"/>
  <c r="I28" i="38"/>
  <c r="D59" i="42" s="1"/>
  <c r="F59" i="42" s="1"/>
  <c r="I32" i="38"/>
  <c r="D63" i="42" s="1"/>
  <c r="F63" i="42" s="1"/>
  <c r="F44" i="42"/>
  <c r="I11" i="38"/>
  <c r="F48" i="42"/>
  <c r="I15" i="38"/>
  <c r="F50" i="42"/>
  <c r="I17" i="38"/>
  <c r="F46" i="42"/>
  <c r="I13" i="38"/>
  <c r="F49" i="42"/>
  <c r="I16" i="38"/>
  <c r="F47" i="42"/>
  <c r="I14" i="38"/>
  <c r="F45" i="42"/>
  <c r="F58" i="42"/>
  <c r="J40" i="41"/>
  <c r="I34" i="38"/>
  <c r="I35" i="38"/>
  <c r="I44" i="38"/>
  <c r="Q63" i="21"/>
  <c r="N55" i="21"/>
  <c r="Q55" i="21"/>
  <c r="Q51" i="21"/>
  <c r="Q60" i="21"/>
  <c r="N59" i="21"/>
  <c r="I46" i="38" l="1"/>
  <c r="I32" i="41" s="1"/>
  <c r="I37" i="38"/>
  <c r="I22" i="41" s="1"/>
  <c r="F66" i="42"/>
  <c r="D66" i="42"/>
  <c r="I45" i="38"/>
  <c r="I41" i="38"/>
  <c r="N61" i="21"/>
  <c r="I24" i="41" s="1"/>
  <c r="N51" i="21"/>
  <c r="I36" i="38" l="1"/>
  <c r="I40" i="41"/>
  <c r="J42" i="41" s="1"/>
  <c r="I48" i="38"/>
  <c r="N63" i="21"/>
  <c r="N6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tc={0B70CD29-180B-471A-95A2-7B21AA8DDFC6}</author>
  </authors>
  <commentList>
    <comment ref="N4" authorId="0" shapeId="0" xr:uid="{0B70CD29-180B-471A-95A2-7B21AA8DDF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to Labour Calcs Tab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<sst xmlns="http://schemas.openxmlformats.org/spreadsheetml/2006/main" count="205" uniqueCount="145">
  <si>
    <t>Total</t>
  </si>
  <si>
    <t>Project Manager</t>
  </si>
  <si>
    <t>Labour Rate</t>
  </si>
  <si>
    <t>Date</t>
  </si>
  <si>
    <t>Labour Profit %</t>
  </si>
  <si>
    <t>Project Name</t>
  </si>
  <si>
    <t>Material Profit %</t>
  </si>
  <si>
    <t>Project No</t>
  </si>
  <si>
    <t>Sub-Contractor Profit %</t>
  </si>
  <si>
    <t>LABOUR</t>
  </si>
  <si>
    <t>TOTALS</t>
  </si>
  <si>
    <t>Total Hours</t>
  </si>
  <si>
    <t>Hours</t>
  </si>
  <si>
    <t>Quantity</t>
  </si>
  <si>
    <t>Description</t>
  </si>
  <si>
    <t>Sub-Total</t>
  </si>
  <si>
    <t>NETT  MATERIALS</t>
  </si>
  <si>
    <t>PROFIT £</t>
  </si>
  <si>
    <t>TOTAL MATERIALS</t>
  </si>
  <si>
    <t>NETT  SUB-CONTRACTORS</t>
  </si>
  <si>
    <t>TOTAL SUB-CONTRACTORS</t>
  </si>
  <si>
    <t>TOTAL LABOUR HOURS</t>
  </si>
  <si>
    <t>NETT LABOUR</t>
  </si>
  <si>
    <t>TOTAL LABOUR</t>
  </si>
  <si>
    <t>TOTAL</t>
  </si>
  <si>
    <t>ALL COSTS SUBJECT TO VAT</t>
  </si>
  <si>
    <t>Staff Costs Profit %</t>
  </si>
  <si>
    <t>HOURS</t>
  </si>
  <si>
    <t>Rate</t>
  </si>
  <si>
    <t>Director</t>
  </si>
  <si>
    <t>Design Engineer</t>
  </si>
  <si>
    <t xml:space="preserve">CAD Design  </t>
  </si>
  <si>
    <t>Site Foreman</t>
  </si>
  <si>
    <t>Site Labourer</t>
  </si>
  <si>
    <t>Quantity Surveyor</t>
  </si>
  <si>
    <t>Health &amp; Safety Manager</t>
  </si>
  <si>
    <t>Site Manager</t>
  </si>
  <si>
    <t>Lodging</t>
  </si>
  <si>
    <t>Mileage</t>
  </si>
  <si>
    <t>Parking</t>
  </si>
  <si>
    <t>Access Equipment</t>
  </si>
  <si>
    <t>Tools &amp; Equipment</t>
  </si>
  <si>
    <t>Training</t>
  </si>
  <si>
    <t>TOTAL STAFF HOURS</t>
  </si>
  <si>
    <t>NETT STAFF COSTS</t>
  </si>
  <si>
    <t>TOTAL STAFF COSTS</t>
  </si>
  <si>
    <t>TOTAL MISCELLANEOUS COSTS</t>
  </si>
  <si>
    <t>Labour</t>
  </si>
  <si>
    <t>Sub Cost</t>
  </si>
  <si>
    <t>ADD</t>
  </si>
  <si>
    <t>OMIT</t>
  </si>
  <si>
    <t>Mat Cost</t>
  </si>
  <si>
    <t>PM</t>
  </si>
  <si>
    <t>No.</t>
  </si>
  <si>
    <t>UoM</t>
  </si>
  <si>
    <t>MCD %</t>
  </si>
  <si>
    <t>PRELIMS</t>
  </si>
  <si>
    <t>NETT PRELIMS COSTS</t>
  </si>
  <si>
    <t>DESIGN</t>
  </si>
  <si>
    <t>TOTAL DESIGN HOURS</t>
  </si>
  <si>
    <t>NETT DESIGN COSTS</t>
  </si>
  <si>
    <t>TOTAL DESIGN COSTS</t>
  </si>
  <si>
    <t>LABOUR / MATERIALS / SUB-CONTRACTORS</t>
  </si>
  <si>
    <t>STAFF</t>
  </si>
  <si>
    <t>Test</t>
  </si>
  <si>
    <t>Prelims Profit %</t>
  </si>
  <si>
    <t>Design Profit %</t>
  </si>
  <si>
    <t xml:space="preserve">Variation No.  </t>
  </si>
  <si>
    <t xml:space="preserve">Variation No. </t>
  </si>
  <si>
    <t>Labourer</t>
  </si>
  <si>
    <t>Fitter Welder</t>
  </si>
  <si>
    <t>Vehicle costs</t>
  </si>
  <si>
    <t>Improver / mate</t>
  </si>
  <si>
    <t>Fitter or plumber</t>
  </si>
  <si>
    <t>Site supervisor</t>
  </si>
  <si>
    <t>5x P1 + 15 X P2</t>
  </si>
  <si>
    <t>(based on 10 hr day@lodge rate of £100/night plus 8 hr travel/week)</t>
  </si>
  <si>
    <t>Out of town 4 hours e/w travel, £100 / night allowance for lodge and expenses</t>
  </si>
  <si>
    <t>(based 1 hour/standard 8 hr day)</t>
  </si>
  <si>
    <t>Up to 50 miles 45min e/w</t>
  </si>
  <si>
    <t>4 x P1 + 12 X P2</t>
  </si>
  <si>
    <t xml:space="preserve">Rate </t>
  </si>
  <si>
    <t>Nett cost</t>
  </si>
  <si>
    <t>Holiday/sickness costs</t>
  </si>
  <si>
    <t>Travel costs</t>
  </si>
  <si>
    <t>Nett Total</t>
  </si>
  <si>
    <t>NI Contribution</t>
  </si>
  <si>
    <t>Nett Cost</t>
  </si>
  <si>
    <t>Weekend rate</t>
  </si>
  <si>
    <t>P2 Overtime</t>
  </si>
  <si>
    <t>P1 Overtime</t>
  </si>
  <si>
    <t>Normal hours</t>
  </si>
  <si>
    <t>Materials</t>
  </si>
  <si>
    <t>DATE:</t>
  </si>
  <si>
    <t>SIGNED:</t>
  </si>
  <si>
    <t>Variation valid until:</t>
  </si>
  <si>
    <t>We await your written response before we proceed</t>
  </si>
  <si>
    <t xml:space="preserve">Total Variation: </t>
  </si>
  <si>
    <t>Yes  - See below comments:</t>
  </si>
  <si>
    <t>Total Omit / Add:</t>
  </si>
  <si>
    <t xml:space="preserve">Programme implications:- </t>
  </si>
  <si>
    <t>Will Follow</t>
  </si>
  <si>
    <t>Prelims</t>
  </si>
  <si>
    <t>Substantiating details in support of costs are:-</t>
  </si>
  <si>
    <t>Design</t>
  </si>
  <si>
    <t>Firm Cost</t>
  </si>
  <si>
    <t>Sub Contract</t>
  </si>
  <si>
    <t xml:space="preserve">Budget Cost </t>
  </si>
  <si>
    <t xml:space="preserve">This variation advice is:- </t>
  </si>
  <si>
    <t>Staff</t>
  </si>
  <si>
    <t>Omit</t>
  </si>
  <si>
    <t>Add</t>
  </si>
  <si>
    <t>Make Up</t>
  </si>
  <si>
    <t>Instruction Reference:</t>
  </si>
  <si>
    <t>We advise you herewith of the variation costs associated with the work described below:</t>
  </si>
  <si>
    <t xml:space="preserve">  Copy to:</t>
  </si>
  <si>
    <t>Everyone</t>
  </si>
  <si>
    <t xml:space="preserve">  From:</t>
  </si>
  <si>
    <t xml:space="preserve">  To:</t>
  </si>
  <si>
    <t>VCC No:</t>
  </si>
  <si>
    <t>Client:</t>
  </si>
  <si>
    <t>Project No:</t>
  </si>
  <si>
    <t>Project:</t>
  </si>
  <si>
    <t>Variation Confirmation of Costs</t>
  </si>
  <si>
    <t>Variation Breakdown</t>
  </si>
  <si>
    <t xml:space="preserve">Attached </t>
  </si>
  <si>
    <t>IP 02-04-30 Version 2</t>
  </si>
  <si>
    <t>Everyone else</t>
  </si>
  <si>
    <t>Changes to first floor amenities area</t>
  </si>
  <si>
    <t>Client PM email 01/09/24</t>
  </si>
  <si>
    <t>Drawing Ref - 987654 Rev 2</t>
  </si>
  <si>
    <t>Programme ref Prog 01 - August 2024</t>
  </si>
  <si>
    <t>No</t>
  </si>
  <si>
    <t>Comments Here.
2 weeks Delay to progamme due to addittional instructed works.</t>
  </si>
  <si>
    <t>Someone</t>
  </si>
  <si>
    <t>Someone else</t>
  </si>
  <si>
    <t>M</t>
  </si>
  <si>
    <t>Pipework</t>
  </si>
  <si>
    <t>Insulation</t>
  </si>
  <si>
    <t>Project X</t>
  </si>
  <si>
    <t>Client X</t>
  </si>
  <si>
    <t>Street X</t>
  </si>
  <si>
    <t>Area X</t>
  </si>
  <si>
    <t>Project Manager X</t>
  </si>
  <si>
    <t>2025 Labour charging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</si>
</sst>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"/>
    <numFmt numFmtId="165" formatCode="#,##0.00_ ;\-#,##0.00\ "/>
    <numFmt numFmtId="166" formatCode="[$-F800]dddd\,\ mmmm\ dd\,\ yyyy"/>
    <numFmt numFmtId="167" formatCode="_-[$£-809]* #,##0.00_-;\-[$£-809]* #,##0.00_-;_-[$£-809]* &quot;-&quot;??_-;_-@_-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24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0"/>
      <color indexed="12"/>
      <name val="Italic"/>
    </font>
    <font>
      <b/>
      <sz val="10"/>
      <color indexed="10"/>
      <name val="Italic"/>
    </font>
    <font>
      <b/>
      <sz val="10"/>
      <name val="Italic"/>
    </font>
    <font>
      <b/>
      <sz val="10"/>
      <color indexed="57"/>
      <name val="Italic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sz val="10"/>
      <color theme="9" tint="-0.499984740745262"/>
      <name val="Arial"/>
      <family val="2"/>
    </font>
    <font>
      <sz val="10"/>
      <color rgb="FF7030A0"/>
      <name val="Arial"/>
      <family val="2"/>
    </font>
    <font>
      <sz val="11"/>
      <color rgb="FF00B050"/>
      <name val="Calibri"/>
      <family val="2"/>
      <scheme val="minor"/>
    </font>
    <font>
      <sz val="8"/>
      <color rgb="FF7030A0"/>
      <name val="Arial"/>
      <family val="2"/>
    </font>
    <font>
      <b/>
      <sz val="11"/>
      <name val="Arial"/>
      <family val="2"/>
    </font>
    <font>
      <b/>
      <sz val="10"/>
      <name val="Calibri"/>
      <family val="2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24"/>
      <name val="Calibri"/>
      <family val="2"/>
      <scheme val="minor"/>
    </font>
    <font>
      <b/>
      <sz val="24"/>
      <name val="Calibri"/>
      <family val="2"/>
      <scheme val="minor"/>
    </font>
    <font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sz val="22"/>
      <name val="Calibri"/>
      <family val="2"/>
      <scheme val="minor"/>
    </font>
    <font>
      <sz val="2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1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2" fillId="0" borderId="0"/>
    <xf numFmtId="0" fontId="6" fillId="0" borderId="0"/>
    <xf numFmtId="44" fontId="1" fillId="0" borderId="0" applyFont="0" applyFill="0" applyBorder="0" applyAlignment="0" applyProtection="0"/>
    <xf numFmtId="0" fontId="3" fillId="0" borderId="0"/>
    <xf numFmtId="0" fontId="1" fillId="0" borderId="0"/>
  </cellStyleXfs>
  <cellXfs count="421">
    <xf numFmtId="0" fontId="0" fillId="0" borderId="0" xfId="0"/>
    <xf numFmtId="0" fontId="0" fillId="2" borderId="0" xfId="0" applyFill="1" applyProtection="1">
      <protection hidden="1"/>
    </xf>
    <xf numFmtId="0" fontId="4" fillId="2" borderId="0" xfId="0" applyFont="1" applyFill="1" applyProtection="1">
      <protection hidden="1"/>
    </xf>
    <xf numFmtId="1" fontId="0" fillId="2" borderId="0" xfId="0" applyNumberFormat="1" applyFill="1" applyProtection="1">
      <protection hidden="1"/>
    </xf>
    <xf numFmtId="44" fontId="3" fillId="2" borderId="0" xfId="2" applyFill="1" applyProtection="1">
      <protection hidden="1"/>
    </xf>
    <xf numFmtId="44" fontId="9" fillId="3" borderId="3" xfId="2" applyFont="1" applyFill="1" applyBorder="1" applyProtection="1">
      <protection hidden="1"/>
    </xf>
    <xf numFmtId="1" fontId="9" fillId="0" borderId="5" xfId="0" applyNumberFormat="1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left"/>
      <protection locked="0"/>
    </xf>
    <xf numFmtId="44" fontId="9" fillId="0" borderId="5" xfId="0" applyNumberFormat="1" applyFont="1" applyBorder="1" applyProtection="1">
      <protection locked="0"/>
    </xf>
    <xf numFmtId="1" fontId="9" fillId="0" borderId="6" xfId="0" applyNumberFormat="1" applyFont="1" applyBorder="1" applyAlignment="1" applyProtection="1">
      <alignment horizontal="center"/>
      <protection locked="0"/>
    </xf>
    <xf numFmtId="0" fontId="9" fillId="0" borderId="6" xfId="0" applyFont="1" applyBorder="1" applyAlignment="1" applyProtection="1">
      <alignment horizontal="left"/>
      <protection locked="0"/>
    </xf>
    <xf numFmtId="0" fontId="11" fillId="5" borderId="0" xfId="0" applyFont="1" applyFill="1" applyAlignment="1">
      <alignment vertical="center"/>
    </xf>
    <xf numFmtId="0" fontId="11" fillId="5" borderId="7" xfId="0" applyFont="1" applyFill="1" applyBorder="1" applyAlignment="1">
      <alignment vertical="center"/>
    </xf>
    <xf numFmtId="0" fontId="9" fillId="3" borderId="8" xfId="0" applyFont="1" applyFill="1" applyBorder="1" applyAlignment="1" applyProtection="1">
      <alignment horizontal="center"/>
      <protection hidden="1"/>
    </xf>
    <xf numFmtId="44" fontId="9" fillId="3" borderId="9" xfId="2" applyFont="1" applyFill="1" applyBorder="1" applyAlignment="1" applyProtection="1">
      <alignment horizontal="center"/>
      <protection hidden="1"/>
    </xf>
    <xf numFmtId="0" fontId="9" fillId="6" borderId="10" xfId="0" applyFont="1" applyFill="1" applyBorder="1" applyAlignment="1" applyProtection="1">
      <alignment horizontal="center"/>
      <protection hidden="1"/>
    </xf>
    <xf numFmtId="0" fontId="9" fillId="7" borderId="10" xfId="0" applyFont="1" applyFill="1" applyBorder="1" applyAlignment="1" applyProtection="1">
      <alignment horizontal="center"/>
      <protection hidden="1"/>
    </xf>
    <xf numFmtId="44" fontId="9" fillId="7" borderId="11" xfId="0" applyNumberFormat="1" applyFont="1" applyFill="1" applyBorder="1" applyProtection="1">
      <protection hidden="1"/>
    </xf>
    <xf numFmtId="0" fontId="0" fillId="8" borderId="12" xfId="0" applyFill="1" applyBorder="1"/>
    <xf numFmtId="2" fontId="9" fillId="8" borderId="0" xfId="0" applyNumberFormat="1" applyFont="1" applyFill="1" applyProtection="1">
      <protection hidden="1"/>
    </xf>
    <xf numFmtId="2" fontId="9" fillId="8" borderId="0" xfId="0" applyNumberFormat="1" applyFont="1" applyFill="1" applyAlignment="1" applyProtection="1">
      <alignment horizontal="center"/>
      <protection locked="0"/>
    </xf>
    <xf numFmtId="1" fontId="9" fillId="8" borderId="0" xfId="0" applyNumberFormat="1" applyFont="1" applyFill="1" applyAlignment="1" applyProtection="1">
      <alignment horizontal="center"/>
      <protection locked="0"/>
    </xf>
    <xf numFmtId="0" fontId="9" fillId="8" borderId="0" xfId="0" applyFont="1" applyFill="1" applyProtection="1">
      <protection locked="0"/>
    </xf>
    <xf numFmtId="44" fontId="9" fillId="8" borderId="0" xfId="0" applyNumberFormat="1" applyFont="1" applyFill="1" applyProtection="1">
      <protection locked="0"/>
    </xf>
    <xf numFmtId="44" fontId="9" fillId="8" borderId="0" xfId="0" applyNumberFormat="1" applyFont="1" applyFill="1" applyProtection="1">
      <protection hidden="1"/>
    </xf>
    <xf numFmtId="44" fontId="9" fillId="8" borderId="0" xfId="2" applyFont="1" applyFill="1" applyBorder="1" applyProtection="1">
      <protection hidden="1"/>
    </xf>
    <xf numFmtId="2" fontId="9" fillId="3" borderId="13" xfId="0" applyNumberFormat="1" applyFont="1" applyFill="1" applyBorder="1" applyAlignment="1" applyProtection="1">
      <alignment horizontal="center"/>
      <protection hidden="1"/>
    </xf>
    <xf numFmtId="0" fontId="8" fillId="3" borderId="2" xfId="0" applyFont="1" applyFill="1" applyBorder="1" applyAlignment="1" applyProtection="1">
      <alignment horizontal="right"/>
      <protection hidden="1"/>
    </xf>
    <xf numFmtId="44" fontId="0" fillId="2" borderId="0" xfId="0" applyNumberFormat="1" applyFill="1" applyProtection="1">
      <protection hidden="1"/>
    </xf>
    <xf numFmtId="0" fontId="8" fillId="3" borderId="12" xfId="0" applyFont="1" applyFill="1" applyBorder="1" applyAlignment="1" applyProtection="1">
      <alignment horizontal="right"/>
      <protection hidden="1"/>
    </xf>
    <xf numFmtId="44" fontId="9" fillId="3" borderId="16" xfId="2" applyFont="1" applyFill="1" applyBorder="1" applyProtection="1">
      <protection hidden="1"/>
    </xf>
    <xf numFmtId="44" fontId="9" fillId="7" borderId="17" xfId="0" applyNumberFormat="1" applyFont="1" applyFill="1" applyBorder="1" applyProtection="1">
      <protection locked="0"/>
    </xf>
    <xf numFmtId="44" fontId="9" fillId="7" borderId="17" xfId="0" applyNumberFormat="1" applyFont="1" applyFill="1" applyBorder="1"/>
    <xf numFmtId="0" fontId="9" fillId="6" borderId="8" xfId="0" applyFont="1" applyFill="1" applyBorder="1" applyAlignment="1" applyProtection="1">
      <alignment horizontal="center"/>
      <protection hidden="1"/>
    </xf>
    <xf numFmtId="2" fontId="9" fillId="5" borderId="20" xfId="0" applyNumberFormat="1" applyFont="1" applyFill="1" applyBorder="1" applyAlignment="1" applyProtection="1">
      <alignment horizontal="center"/>
      <protection hidden="1"/>
    </xf>
    <xf numFmtId="1" fontId="9" fillId="5" borderId="20" xfId="0" applyNumberFormat="1" applyFont="1" applyFill="1" applyBorder="1" applyAlignment="1" applyProtection="1">
      <alignment horizontal="center"/>
      <protection locked="0"/>
    </xf>
    <xf numFmtId="0" fontId="9" fillId="5" borderId="20" xfId="0" applyFont="1" applyFill="1" applyBorder="1" applyAlignment="1">
      <alignment horizontal="left"/>
    </xf>
    <xf numFmtId="44" fontId="9" fillId="5" borderId="20" xfId="0" applyNumberFormat="1" applyFont="1" applyFill="1" applyBorder="1" applyProtection="1">
      <protection locked="0"/>
    </xf>
    <xf numFmtId="44" fontId="9" fillId="5" borderId="20" xfId="0" applyNumberFormat="1" applyFont="1" applyFill="1" applyBorder="1" applyProtection="1">
      <protection hidden="1"/>
    </xf>
    <xf numFmtId="44" fontId="9" fillId="5" borderId="20" xfId="2" applyFont="1" applyFill="1" applyBorder="1" applyProtection="1">
      <protection hidden="1"/>
    </xf>
    <xf numFmtId="44" fontId="9" fillId="3" borderId="21" xfId="2" applyFont="1" applyFill="1" applyBorder="1" applyProtection="1">
      <protection hidden="1"/>
    </xf>
    <xf numFmtId="165" fontId="9" fillId="3" borderId="16" xfId="2" applyNumberFormat="1" applyFont="1" applyFill="1" applyBorder="1" applyProtection="1">
      <protection hidden="1"/>
    </xf>
    <xf numFmtId="44" fontId="8" fillId="3" borderId="24" xfId="2" applyFont="1" applyFill="1" applyBorder="1" applyProtection="1">
      <protection hidden="1"/>
    </xf>
    <xf numFmtId="0" fontId="9" fillId="6" borderId="36" xfId="0" applyFont="1" applyFill="1" applyBorder="1" applyAlignment="1" applyProtection="1">
      <alignment horizontal="center"/>
      <protection hidden="1"/>
    </xf>
    <xf numFmtId="0" fontId="9" fillId="6" borderId="37" xfId="0" applyFont="1" applyFill="1" applyBorder="1" applyAlignment="1" applyProtection="1">
      <alignment horizontal="center"/>
      <protection hidden="1"/>
    </xf>
    <xf numFmtId="0" fontId="9" fillId="6" borderId="38" xfId="0" applyFont="1" applyFill="1" applyBorder="1" applyAlignment="1" applyProtection="1">
      <alignment horizontal="center"/>
      <protection hidden="1"/>
    </xf>
    <xf numFmtId="44" fontId="9" fillId="0" borderId="11" xfId="0" applyNumberFormat="1" applyFont="1" applyBorder="1" applyProtection="1">
      <protection locked="0"/>
    </xf>
    <xf numFmtId="0" fontId="8" fillId="3" borderId="0" xfId="0" applyFont="1" applyFill="1" applyAlignment="1" applyProtection="1">
      <alignment horizontal="center"/>
      <protection hidden="1"/>
    </xf>
    <xf numFmtId="44" fontId="3" fillId="0" borderId="0" xfId="2" applyFill="1" applyProtection="1">
      <protection hidden="1"/>
    </xf>
    <xf numFmtId="44" fontId="9" fillId="3" borderId="64" xfId="2" applyFont="1" applyFill="1" applyBorder="1" applyAlignment="1" applyProtection="1">
      <alignment horizontal="center"/>
      <protection hidden="1"/>
    </xf>
    <xf numFmtId="44" fontId="9" fillId="3" borderId="66" xfId="2" applyFont="1" applyFill="1" applyBorder="1" applyProtection="1">
      <protection hidden="1"/>
    </xf>
    <xf numFmtId="0" fontId="0" fillId="8" borderId="0" xfId="0" applyFill="1"/>
    <xf numFmtId="44" fontId="8" fillId="8" borderId="0" xfId="2" applyFont="1" applyFill="1" applyBorder="1" applyProtection="1">
      <protection hidden="1"/>
    </xf>
    <xf numFmtId="0" fontId="9" fillId="8" borderId="0" xfId="0" applyFont="1" applyFill="1"/>
    <xf numFmtId="44" fontId="9" fillId="8" borderId="0" xfId="0" applyNumberFormat="1" applyFont="1" applyFill="1"/>
    <xf numFmtId="165" fontId="9" fillId="8" borderId="0" xfId="0" applyNumberFormat="1" applyFont="1" applyFill="1" applyProtection="1">
      <protection hidden="1"/>
    </xf>
    <xf numFmtId="44" fontId="9" fillId="8" borderId="0" xfId="2" applyFont="1" applyFill="1" applyBorder="1" applyProtection="1"/>
    <xf numFmtId="44" fontId="7" fillId="8" borderId="0" xfId="2" applyFont="1" applyFill="1" applyBorder="1" applyAlignment="1" applyProtection="1">
      <alignment horizontal="center" vertical="center"/>
      <protection hidden="1"/>
    </xf>
    <xf numFmtId="0" fontId="7" fillId="8" borderId="0" xfId="0" applyFont="1" applyFill="1" applyAlignment="1" applyProtection="1">
      <alignment horizontal="center" vertical="center"/>
      <protection hidden="1"/>
    </xf>
    <xf numFmtId="44" fontId="9" fillId="3" borderId="71" xfId="2" applyFont="1" applyFill="1" applyBorder="1" applyProtection="1">
      <protection hidden="1"/>
    </xf>
    <xf numFmtId="44" fontId="9" fillId="7" borderId="72" xfId="0" applyNumberFormat="1" applyFont="1" applyFill="1" applyBorder="1" applyProtection="1">
      <protection locked="0"/>
    </xf>
    <xf numFmtId="44" fontId="8" fillId="3" borderId="73" xfId="2" applyFont="1" applyFill="1" applyBorder="1" applyProtection="1">
      <protection hidden="1"/>
    </xf>
    <xf numFmtId="44" fontId="9" fillId="7" borderId="72" xfId="0" applyNumberFormat="1" applyFont="1" applyFill="1" applyBorder="1"/>
    <xf numFmtId="165" fontId="9" fillId="7" borderId="71" xfId="0" applyNumberFormat="1" applyFont="1" applyFill="1" applyBorder="1" applyProtection="1">
      <protection hidden="1"/>
    </xf>
    <xf numFmtId="44" fontId="9" fillId="7" borderId="72" xfId="2" applyFont="1" applyFill="1" applyBorder="1" applyProtection="1"/>
    <xf numFmtId="44" fontId="9" fillId="7" borderId="74" xfId="2" applyFont="1" applyFill="1" applyBorder="1" applyProtection="1"/>
    <xf numFmtId="0" fontId="11" fillId="5" borderId="27" xfId="0" applyFont="1" applyFill="1" applyBorder="1" applyAlignment="1">
      <alignment vertical="center"/>
    </xf>
    <xf numFmtId="0" fontId="11" fillId="8" borderId="27" xfId="0" applyFont="1" applyFill="1" applyBorder="1" applyAlignment="1">
      <alignment vertical="center"/>
    </xf>
    <xf numFmtId="0" fontId="11" fillId="5" borderId="79" xfId="0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11" fillId="5" borderId="2" xfId="0" applyFont="1" applyFill="1" applyBorder="1" applyAlignment="1">
      <alignment vertical="center"/>
    </xf>
    <xf numFmtId="0" fontId="0" fillId="8" borderId="4" xfId="0" applyFill="1" applyBorder="1"/>
    <xf numFmtId="0" fontId="8" fillId="3" borderId="0" xfId="0" applyFont="1" applyFill="1" applyAlignment="1" applyProtection="1">
      <alignment horizontal="right"/>
      <protection hidden="1"/>
    </xf>
    <xf numFmtId="0" fontId="0" fillId="8" borderId="1" xfId="0" applyFill="1" applyBorder="1"/>
    <xf numFmtId="44" fontId="9" fillId="8" borderId="1" xfId="2" applyFont="1" applyFill="1" applyBorder="1" applyProtection="1">
      <protection hidden="1"/>
    </xf>
    <xf numFmtId="0" fontId="9" fillId="7" borderId="28" xfId="0" applyFont="1" applyFill="1" applyBorder="1" applyAlignment="1" applyProtection="1">
      <alignment horizontal="center"/>
      <protection hidden="1"/>
    </xf>
    <xf numFmtId="44" fontId="9" fillId="7" borderId="65" xfId="0" applyNumberFormat="1" applyFont="1" applyFill="1" applyBorder="1" applyProtection="1">
      <protection hidden="1"/>
    </xf>
    <xf numFmtId="0" fontId="9" fillId="6" borderId="64" xfId="0" applyFont="1" applyFill="1" applyBorder="1" applyAlignment="1" applyProtection="1">
      <alignment horizontal="center"/>
      <protection hidden="1"/>
    </xf>
    <xf numFmtId="44" fontId="9" fillId="0" borderId="83" xfId="0" applyNumberFormat="1" applyFont="1" applyBorder="1" applyProtection="1">
      <protection locked="0"/>
    </xf>
    <xf numFmtId="44" fontId="9" fillId="0" borderId="68" xfId="0" applyNumberFormat="1" applyFont="1" applyBorder="1" applyProtection="1">
      <protection locked="0"/>
    </xf>
    <xf numFmtId="0" fontId="8" fillId="3" borderId="60" xfId="0" applyFont="1" applyFill="1" applyBorder="1" applyProtection="1">
      <protection hidden="1"/>
    </xf>
    <xf numFmtId="0" fontId="9" fillId="0" borderId="33" xfId="0" applyFont="1" applyBorder="1" applyProtection="1">
      <protection locked="0"/>
    </xf>
    <xf numFmtId="0" fontId="9" fillId="0" borderId="39" xfId="0" applyFont="1" applyBorder="1" applyProtection="1">
      <protection locked="0"/>
    </xf>
    <xf numFmtId="44" fontId="9" fillId="0" borderId="84" xfId="0" applyNumberFormat="1" applyFont="1" applyBorder="1" applyProtection="1">
      <protection locked="0"/>
    </xf>
    <xf numFmtId="0" fontId="9" fillId="6" borderId="28" xfId="0" applyFont="1" applyFill="1" applyBorder="1" applyAlignment="1" applyProtection="1">
      <alignment horizontal="center"/>
      <protection hidden="1"/>
    </xf>
    <xf numFmtId="44" fontId="9" fillId="0" borderId="65" xfId="0" applyNumberFormat="1" applyFont="1" applyBorder="1" applyProtection="1">
      <protection locked="0"/>
    </xf>
    <xf numFmtId="44" fontId="9" fillId="0" borderId="66" xfId="0" applyNumberFormat="1" applyFont="1" applyBorder="1" applyProtection="1">
      <protection locked="0"/>
    </xf>
    <xf numFmtId="44" fontId="9" fillId="0" borderId="31" xfId="0" applyNumberFormat="1" applyFont="1" applyBorder="1" applyProtection="1">
      <protection locked="0"/>
    </xf>
    <xf numFmtId="0" fontId="8" fillId="3" borderId="19" xfId="0" applyFont="1" applyFill="1" applyBorder="1" applyAlignment="1" applyProtection="1">
      <alignment horizontal="center"/>
      <protection hidden="1"/>
    </xf>
    <xf numFmtId="1" fontId="9" fillId="0" borderId="11" xfId="0" applyNumberFormat="1" applyFont="1" applyBorder="1" applyAlignment="1" applyProtection="1">
      <alignment horizontal="center"/>
      <protection locked="0"/>
    </xf>
    <xf numFmtId="1" fontId="9" fillId="0" borderId="35" xfId="0" applyNumberFormat="1" applyFont="1" applyBorder="1" applyAlignment="1" applyProtection="1">
      <alignment horizontal="center"/>
      <protection locked="0"/>
    </xf>
    <xf numFmtId="1" fontId="9" fillId="0" borderId="84" xfId="0" applyNumberFormat="1" applyFont="1" applyBorder="1" applyAlignment="1" applyProtection="1">
      <alignment horizontal="center"/>
      <protection locked="0"/>
    </xf>
    <xf numFmtId="0" fontId="9" fillId="0" borderId="61" xfId="0" applyFont="1" applyBorder="1" applyAlignment="1" applyProtection="1">
      <alignment horizontal="left"/>
      <protection locked="0"/>
    </xf>
    <xf numFmtId="0" fontId="9" fillId="0" borderId="33" xfId="0" applyFont="1" applyBorder="1" applyAlignment="1" applyProtection="1">
      <alignment horizontal="left"/>
      <protection locked="0"/>
    </xf>
    <xf numFmtId="1" fontId="9" fillId="0" borderId="59" xfId="0" applyNumberFormat="1" applyFont="1" applyBorder="1" applyAlignment="1" applyProtection="1">
      <alignment horizontal="center"/>
      <protection locked="0"/>
    </xf>
    <xf numFmtId="1" fontId="9" fillId="0" borderId="34" xfId="0" applyNumberFormat="1" applyFont="1" applyBorder="1" applyAlignment="1" applyProtection="1">
      <alignment horizontal="center"/>
      <protection locked="0"/>
    </xf>
    <xf numFmtId="1" fontId="9" fillId="0" borderId="67" xfId="0" applyNumberFormat="1" applyFont="1" applyBorder="1" applyAlignment="1" applyProtection="1">
      <alignment horizontal="center"/>
      <protection locked="0"/>
    </xf>
    <xf numFmtId="0" fontId="9" fillId="4" borderId="0" xfId="0" applyFont="1" applyFill="1" applyProtection="1">
      <protection hidden="1"/>
    </xf>
    <xf numFmtId="44" fontId="13" fillId="7" borderId="48" xfId="0" applyNumberFormat="1" applyFont="1" applyFill="1" applyBorder="1" applyProtection="1">
      <protection locked="0"/>
    </xf>
    <xf numFmtId="44" fontId="13" fillId="7" borderId="18" xfId="0" applyNumberFormat="1" applyFont="1" applyFill="1" applyBorder="1" applyProtection="1">
      <protection locked="0"/>
    </xf>
    <xf numFmtId="44" fontId="13" fillId="7" borderId="77" xfId="0" applyNumberFormat="1" applyFont="1" applyFill="1" applyBorder="1" applyProtection="1">
      <protection locked="0"/>
    </xf>
    <xf numFmtId="49" fontId="13" fillId="7" borderId="18" xfId="0" applyNumberFormat="1" applyFont="1" applyFill="1" applyBorder="1" applyProtection="1">
      <protection locked="0"/>
    </xf>
    <xf numFmtId="44" fontId="13" fillId="7" borderId="43" xfId="0" applyNumberFormat="1" applyFont="1" applyFill="1" applyBorder="1" applyProtection="1">
      <protection locked="0"/>
    </xf>
    <xf numFmtId="44" fontId="13" fillId="7" borderId="20" xfId="0" applyNumberFormat="1" applyFont="1" applyFill="1" applyBorder="1" applyProtection="1">
      <protection locked="0"/>
    </xf>
    <xf numFmtId="44" fontId="13" fillId="7" borderId="44" xfId="0" applyNumberFormat="1" applyFont="1" applyFill="1" applyBorder="1" applyProtection="1">
      <protection locked="0"/>
    </xf>
    <xf numFmtId="49" fontId="13" fillId="7" borderId="20" xfId="0" applyNumberFormat="1" applyFont="1" applyFill="1" applyBorder="1" applyProtection="1">
      <protection locked="0"/>
    </xf>
    <xf numFmtId="44" fontId="0" fillId="0" borderId="0" xfId="6" applyFont="1" applyAlignment="1">
      <alignment horizontal="center"/>
    </xf>
    <xf numFmtId="44" fontId="14" fillId="0" borderId="0" xfId="6" applyFont="1" applyAlignment="1">
      <alignment horizontal="center"/>
    </xf>
    <xf numFmtId="44" fontId="15" fillId="0" borderId="0" xfId="6" applyFont="1" applyAlignment="1">
      <alignment horizontal="center"/>
    </xf>
    <xf numFmtId="44" fontId="16" fillId="0" borderId="0" xfId="6" applyFont="1" applyAlignment="1">
      <alignment horizontal="center"/>
    </xf>
    <xf numFmtId="44" fontId="17" fillId="0" borderId="0" xfId="6" applyFont="1" applyAlignment="1">
      <alignment horizontal="center"/>
    </xf>
    <xf numFmtId="44" fontId="18" fillId="0" borderId="0" xfId="6" applyFont="1" applyAlignment="1">
      <alignment horizontal="center"/>
    </xf>
    <xf numFmtId="44" fontId="5" fillId="0" borderId="0" xfId="6" applyFont="1" applyAlignment="1">
      <alignment horizontal="left"/>
    </xf>
    <xf numFmtId="44" fontId="3" fillId="0" borderId="0" xfId="6" applyFont="1" applyAlignment="1">
      <alignment horizontal="center"/>
    </xf>
    <xf numFmtId="44" fontId="3" fillId="0" borderId="0" xfId="6" applyFont="1" applyAlignment="1">
      <alignment horizontal="left"/>
    </xf>
    <xf numFmtId="44" fontId="19" fillId="0" borderId="19" xfId="6" applyFont="1" applyBorder="1" applyAlignment="1">
      <alignment horizontal="center"/>
    </xf>
    <xf numFmtId="44" fontId="20" fillId="0" borderId="0" xfId="6" applyFont="1" applyBorder="1" applyAlignment="1">
      <alignment horizontal="center"/>
    </xf>
    <xf numFmtId="44" fontId="5" fillId="0" borderId="0" xfId="6" applyFont="1" applyBorder="1" applyAlignment="1">
      <alignment horizontal="center"/>
    </xf>
    <xf numFmtId="44" fontId="21" fillId="0" borderId="60" xfId="6" applyFont="1" applyBorder="1" applyAlignment="1">
      <alignment horizontal="center"/>
    </xf>
    <xf numFmtId="44" fontId="22" fillId="0" borderId="0" xfId="6" applyFont="1" applyAlignment="1">
      <alignment horizontal="center"/>
    </xf>
    <xf numFmtId="44" fontId="23" fillId="0" borderId="0" xfId="6" applyFont="1" applyAlignment="1">
      <alignment horizontal="center"/>
    </xf>
    <xf numFmtId="44" fontId="24" fillId="0" borderId="0" xfId="6" applyFont="1" applyFill="1" applyAlignment="1">
      <alignment horizontal="center"/>
    </xf>
    <xf numFmtId="44" fontId="25" fillId="0" borderId="0" xfId="6" applyFont="1" applyAlignment="1">
      <alignment horizontal="center"/>
    </xf>
    <xf numFmtId="44" fontId="22" fillId="0" borderId="0" xfId="6" applyFont="1" applyFill="1" applyAlignment="1">
      <alignment horizontal="center"/>
    </xf>
    <xf numFmtId="44" fontId="23" fillId="0" borderId="0" xfId="6" applyFont="1" applyFill="1" applyAlignment="1">
      <alignment horizontal="center"/>
    </xf>
    <xf numFmtId="44" fontId="19" fillId="0" borderId="86" xfId="6" applyFont="1" applyBorder="1" applyAlignment="1">
      <alignment horizontal="center"/>
    </xf>
    <xf numFmtId="44" fontId="20" fillId="0" borderId="87" xfId="6" applyFont="1" applyBorder="1" applyAlignment="1">
      <alignment horizontal="center"/>
    </xf>
    <xf numFmtId="44" fontId="5" fillId="0" borderId="87" xfId="6" applyFont="1" applyBorder="1" applyAlignment="1">
      <alignment horizontal="center"/>
    </xf>
    <xf numFmtId="44" fontId="21" fillId="0" borderId="88" xfId="6" applyFont="1" applyBorder="1" applyAlignment="1">
      <alignment horizontal="center"/>
    </xf>
    <xf numFmtId="44" fontId="26" fillId="0" borderId="0" xfId="6" applyFont="1" applyAlignment="1">
      <alignment horizontal="left"/>
    </xf>
    <xf numFmtId="0" fontId="3" fillId="0" borderId="0" xfId="7"/>
    <xf numFmtId="0" fontId="3" fillId="0" borderId="0" xfId="7" applyAlignment="1">
      <alignment horizontal="center"/>
    </xf>
    <xf numFmtId="0" fontId="3" fillId="0" borderId="0" xfId="7" applyAlignment="1">
      <alignment vertical="center"/>
    </xf>
    <xf numFmtId="0" fontId="5" fillId="0" borderId="0" xfId="7" applyFont="1" applyAlignment="1">
      <alignment vertical="center"/>
    </xf>
    <xf numFmtId="44" fontId="3" fillId="0" borderId="0" xfId="7" applyNumberFormat="1"/>
    <xf numFmtId="0" fontId="8" fillId="0" borderId="0" xfId="7" applyFont="1" applyAlignment="1">
      <alignment horizontal="center"/>
    </xf>
    <xf numFmtId="44" fontId="8" fillId="0" borderId="0" xfId="7" applyNumberFormat="1" applyFont="1"/>
    <xf numFmtId="0" fontId="3" fillId="0" borderId="4" xfId="7" applyBorder="1" applyAlignment="1">
      <alignment vertical="center"/>
    </xf>
    <xf numFmtId="44" fontId="3" fillId="0" borderId="0" xfId="7" applyNumberFormat="1" applyAlignment="1">
      <alignment horizontal="center"/>
    </xf>
    <xf numFmtId="4" fontId="9" fillId="0" borderId="0" xfId="7" applyNumberFormat="1" applyFont="1" applyAlignment="1">
      <alignment horizontal="center"/>
    </xf>
    <xf numFmtId="0" fontId="34" fillId="0" borderId="0" xfId="7" applyFont="1"/>
    <xf numFmtId="0" fontId="3" fillId="0" borderId="0" xfId="7" applyAlignment="1">
      <alignment horizontal="center" vertical="center"/>
    </xf>
    <xf numFmtId="0" fontId="3" fillId="0" borderId="4" xfId="7" applyBorder="1" applyAlignment="1">
      <alignment horizontal="center" vertical="center"/>
    </xf>
    <xf numFmtId="44" fontId="34" fillId="0" borderId="0" xfId="7" applyNumberFormat="1" applyFont="1" applyAlignment="1">
      <alignment horizontal="center"/>
    </xf>
    <xf numFmtId="0" fontId="34" fillId="0" borderId="0" xfId="7" applyFont="1" applyAlignment="1">
      <alignment horizontal="center" vertical="center"/>
    </xf>
    <xf numFmtId="0" fontId="34" fillId="0" borderId="4" xfId="7" applyFont="1" applyBorder="1" applyAlignment="1">
      <alignment horizontal="center" vertical="center"/>
    </xf>
    <xf numFmtId="164" fontId="26" fillId="0" borderId="76" xfId="7" applyNumberFormat="1" applyFont="1" applyBorder="1" applyAlignment="1">
      <alignment horizontal="center"/>
    </xf>
    <xf numFmtId="164" fontId="34" fillId="0" borderId="80" xfId="7" applyNumberFormat="1" applyFont="1" applyBorder="1" applyAlignment="1">
      <alignment horizontal="center"/>
    </xf>
    <xf numFmtId="0" fontId="34" fillId="0" borderId="39" xfId="7" applyFont="1" applyBorder="1"/>
    <xf numFmtId="0" fontId="34" fillId="0" borderId="67" xfId="7" applyFont="1" applyBorder="1" applyAlignment="1">
      <alignment horizontal="center" vertical="center"/>
    </xf>
    <xf numFmtId="0" fontId="34" fillId="0" borderId="31" xfId="7" applyFont="1" applyBorder="1" applyAlignment="1">
      <alignment horizontal="center" vertical="center"/>
    </xf>
    <xf numFmtId="164" fontId="34" fillId="0" borderId="91" xfId="7" applyNumberFormat="1" applyFont="1" applyBorder="1" applyAlignment="1">
      <alignment horizontal="center"/>
    </xf>
    <xf numFmtId="164" fontId="34" fillId="0" borderId="6" xfId="7" applyNumberFormat="1" applyFont="1" applyBorder="1" applyAlignment="1">
      <alignment horizontal="center"/>
    </xf>
    <xf numFmtId="0" fontId="34" fillId="0" borderId="88" xfId="7" applyFont="1" applyBorder="1"/>
    <xf numFmtId="1" fontId="34" fillId="0" borderId="6" xfId="7" applyNumberFormat="1" applyFont="1" applyBorder="1" applyAlignment="1">
      <alignment horizontal="center" vertical="center"/>
    </xf>
    <xf numFmtId="1" fontId="34" fillId="0" borderId="92" xfId="7" applyNumberFormat="1" applyFont="1" applyBorder="1" applyAlignment="1">
      <alignment horizontal="center" vertical="center"/>
    </xf>
    <xf numFmtId="164" fontId="34" fillId="0" borderId="30" xfId="7" applyNumberFormat="1" applyFont="1" applyBorder="1" applyAlignment="1">
      <alignment horizontal="center"/>
    </xf>
    <xf numFmtId="1" fontId="34" fillId="0" borderId="88" xfId="7" applyNumberFormat="1" applyFont="1" applyBorder="1"/>
    <xf numFmtId="0" fontId="35" fillId="0" borderId="88" xfId="7" applyFont="1" applyBorder="1"/>
    <xf numFmtId="164" fontId="34" fillId="0" borderId="66" xfId="7" applyNumberFormat="1" applyFont="1" applyBorder="1" applyAlignment="1">
      <alignment horizontal="center"/>
    </xf>
    <xf numFmtId="164" fontId="34" fillId="0" borderId="5" xfId="7" applyNumberFormat="1" applyFont="1" applyBorder="1" applyAlignment="1">
      <alignment horizontal="center"/>
    </xf>
    <xf numFmtId="0" fontId="34" fillId="0" borderId="60" xfId="7" applyFont="1" applyBorder="1"/>
    <xf numFmtId="1" fontId="34" fillId="0" borderId="5" xfId="7" applyNumberFormat="1" applyFont="1" applyBorder="1" applyAlignment="1">
      <alignment horizontal="center" vertical="center"/>
    </xf>
    <xf numFmtId="1" fontId="34" fillId="0" borderId="93" xfId="7" applyNumberFormat="1" applyFont="1" applyBorder="1" applyAlignment="1">
      <alignment horizontal="center" vertical="center"/>
    </xf>
    <xf numFmtId="164" fontId="26" fillId="0" borderId="94" xfId="7" applyNumberFormat="1" applyFont="1" applyBorder="1" applyAlignment="1">
      <alignment horizontal="center"/>
    </xf>
    <xf numFmtId="164" fontId="34" fillId="0" borderId="25" xfId="7" applyNumberFormat="1" applyFont="1" applyBorder="1" applyAlignment="1">
      <alignment horizontal="center"/>
    </xf>
    <xf numFmtId="0" fontId="26" fillId="0" borderId="39" xfId="7" applyFont="1" applyBorder="1"/>
    <xf numFmtId="164" fontId="34" fillId="0" borderId="95" xfId="7" applyNumberFormat="1" applyFont="1" applyBorder="1" applyAlignment="1">
      <alignment horizontal="center"/>
    </xf>
    <xf numFmtId="164" fontId="34" fillId="0" borderId="89" xfId="7" applyNumberFormat="1" applyFont="1" applyBorder="1" applyAlignment="1">
      <alignment horizontal="center"/>
    </xf>
    <xf numFmtId="0" fontId="34" fillId="0" borderId="33" xfId="7" applyFont="1" applyBorder="1"/>
    <xf numFmtId="1" fontId="34" fillId="0" borderId="59" xfId="7" applyNumberFormat="1" applyFont="1" applyBorder="1" applyAlignment="1">
      <alignment horizontal="center" vertical="center"/>
    </xf>
    <xf numFmtId="1" fontId="34" fillId="0" borderId="96" xfId="7" applyNumberFormat="1" applyFont="1" applyBorder="1" applyAlignment="1">
      <alignment horizontal="center" vertical="center"/>
    </xf>
    <xf numFmtId="0" fontId="34" fillId="0" borderId="6" xfId="7" applyFont="1" applyBorder="1"/>
    <xf numFmtId="0" fontId="35" fillId="0" borderId="6" xfId="7" applyFont="1" applyBorder="1"/>
    <xf numFmtId="0" fontId="26" fillId="0" borderId="91" xfId="7" applyFont="1" applyBorder="1" applyAlignment="1">
      <alignment horizontal="center"/>
    </xf>
    <xf numFmtId="0" fontId="26" fillId="0" borderId="6" xfId="7" applyFont="1" applyBorder="1" applyAlignment="1">
      <alignment horizontal="center"/>
    </xf>
    <xf numFmtId="0" fontId="26" fillId="0" borderId="6" xfId="7" applyFont="1" applyBorder="1"/>
    <xf numFmtId="0" fontId="26" fillId="0" borderId="96" xfId="7" applyFont="1" applyBorder="1" applyAlignment="1">
      <alignment horizontal="center"/>
    </xf>
    <xf numFmtId="0" fontId="26" fillId="0" borderId="79" xfId="7" applyFont="1" applyBorder="1" applyAlignment="1">
      <alignment horizontal="center"/>
    </xf>
    <xf numFmtId="0" fontId="26" fillId="0" borderId="97" xfId="7" applyFont="1" applyBorder="1" applyAlignment="1">
      <alignment horizontal="center"/>
    </xf>
    <xf numFmtId="0" fontId="26" fillId="0" borderId="27" xfId="7" applyFont="1" applyBorder="1"/>
    <xf numFmtId="0" fontId="26" fillId="0" borderId="75" xfId="7" applyFont="1" applyBorder="1" applyAlignment="1">
      <alignment horizontal="center"/>
    </xf>
    <xf numFmtId="0" fontId="26" fillId="0" borderId="26" xfId="7" applyFont="1" applyBorder="1" applyAlignment="1">
      <alignment horizontal="center"/>
    </xf>
    <xf numFmtId="164" fontId="8" fillId="9" borderId="71" xfId="0" applyNumberFormat="1" applyFont="1" applyFill="1" applyBorder="1" applyAlignment="1" applyProtection="1">
      <alignment horizontal="center" vertical="center"/>
      <protection locked="0"/>
    </xf>
    <xf numFmtId="2" fontId="8" fillId="9" borderId="72" xfId="0" applyNumberFormat="1" applyFont="1" applyFill="1" applyBorder="1" applyAlignment="1" applyProtection="1">
      <alignment horizontal="center" vertical="center"/>
      <protection locked="0"/>
    </xf>
    <xf numFmtId="2" fontId="8" fillId="9" borderId="76" xfId="0" applyNumberFormat="1" applyFont="1" applyFill="1" applyBorder="1" applyAlignment="1" applyProtection="1">
      <alignment horizontal="center" vertical="center"/>
      <protection locked="0"/>
    </xf>
    <xf numFmtId="2" fontId="8" fillId="9" borderId="85" xfId="0" applyNumberFormat="1" applyFont="1" applyFill="1" applyBorder="1" applyAlignment="1" applyProtection="1">
      <alignment horizontal="center" vertical="center"/>
      <protection locked="0"/>
    </xf>
    <xf numFmtId="2" fontId="8" fillId="0" borderId="65" xfId="0" applyNumberFormat="1" applyFont="1" applyBorder="1" applyAlignment="1" applyProtection="1">
      <alignment horizontal="center"/>
      <protection locked="0"/>
    </xf>
    <xf numFmtId="2" fontId="8" fillId="0" borderId="83" xfId="0" applyNumberFormat="1" applyFont="1" applyBorder="1" applyAlignment="1" applyProtection="1">
      <alignment horizontal="center"/>
      <protection locked="0"/>
    </xf>
    <xf numFmtId="2" fontId="8" fillId="0" borderId="31" xfId="0" applyNumberFormat="1" applyFont="1" applyBorder="1" applyAlignment="1" applyProtection="1">
      <alignment horizontal="center"/>
      <protection locked="0"/>
    </xf>
    <xf numFmtId="2" fontId="8" fillId="0" borderId="32" xfId="0" applyNumberFormat="1" applyFont="1" applyBorder="1" applyAlignment="1" applyProtection="1">
      <alignment horizontal="center"/>
      <protection locked="0"/>
    </xf>
    <xf numFmtId="2" fontId="9" fillId="0" borderId="14" xfId="0" applyNumberFormat="1" applyFont="1" applyBorder="1" applyAlignment="1" applyProtection="1">
      <alignment horizontal="center"/>
      <protection locked="0"/>
    </xf>
    <xf numFmtId="2" fontId="8" fillId="9" borderId="64" xfId="0" applyNumberFormat="1" applyFont="1" applyFill="1" applyBorder="1" applyAlignment="1" applyProtection="1">
      <alignment horizontal="center" vertical="center"/>
      <protection locked="0"/>
    </xf>
    <xf numFmtId="2" fontId="8" fillId="9" borderId="66" xfId="0" applyNumberFormat="1" applyFont="1" applyFill="1" applyBorder="1" applyAlignment="1" applyProtection="1">
      <alignment horizontal="center" vertical="center"/>
      <protection locked="0"/>
    </xf>
    <xf numFmtId="2" fontId="8" fillId="9" borderId="68" xfId="0" applyNumberFormat="1" applyFont="1" applyFill="1" applyBorder="1" applyAlignment="1" applyProtection="1">
      <alignment horizontal="center" vertical="center"/>
      <protection locked="0"/>
    </xf>
    <xf numFmtId="0" fontId="29" fillId="0" borderId="0" xfId="8" applyFont="1"/>
    <xf numFmtId="167" fontId="3" fillId="0" borderId="0" xfId="7" applyNumberFormat="1"/>
    <xf numFmtId="0" fontId="8" fillId="6" borderId="28" xfId="0" applyFont="1" applyFill="1" applyBorder="1" applyAlignment="1" applyProtection="1">
      <alignment horizontal="center"/>
      <protection hidden="1"/>
    </xf>
    <xf numFmtId="0" fontId="8" fillId="6" borderId="29" xfId="0" applyFont="1" applyFill="1" applyBorder="1" applyAlignment="1" applyProtection="1">
      <alignment horizontal="center"/>
      <protection hidden="1"/>
    </xf>
    <xf numFmtId="0" fontId="31" fillId="0" borderId="0" xfId="8" applyFont="1"/>
    <xf numFmtId="0" fontId="29" fillId="0" borderId="6" xfId="8" applyFont="1" applyBorder="1"/>
    <xf numFmtId="0" fontId="29" fillId="0" borderId="6" xfId="8" applyFont="1" applyBorder="1" applyAlignment="1">
      <alignment vertical="center"/>
    </xf>
    <xf numFmtId="2" fontId="8" fillId="8" borderId="0" xfId="0" applyNumberFormat="1" applyFont="1" applyFill="1" applyAlignment="1" applyProtection="1">
      <alignment horizontal="center" vertical="center"/>
      <protection locked="0"/>
    </xf>
    <xf numFmtId="0" fontId="8" fillId="3" borderId="28" xfId="0" applyFont="1" applyFill="1" applyBorder="1" applyProtection="1">
      <protection hidden="1"/>
    </xf>
    <xf numFmtId="0" fontId="8" fillId="3" borderId="96" xfId="0" applyFont="1" applyFill="1" applyBorder="1" applyProtection="1">
      <protection hidden="1"/>
    </xf>
    <xf numFmtId="0" fontId="8" fillId="3" borderId="31" xfId="0" applyFont="1" applyFill="1" applyBorder="1" applyProtection="1">
      <protection hidden="1"/>
    </xf>
    <xf numFmtId="0" fontId="27" fillId="0" borderId="0" xfId="7" applyFont="1"/>
    <xf numFmtId="0" fontId="3" fillId="11" borderId="6" xfId="7" applyFill="1" applyBorder="1"/>
    <xf numFmtId="0" fontId="27" fillId="11" borderId="6" xfId="7" applyFont="1" applyFill="1" applyBorder="1" applyAlignment="1">
      <alignment horizontal="center" vertical="center"/>
    </xf>
    <xf numFmtId="0" fontId="5" fillId="0" borderId="0" xfId="7" applyFont="1"/>
    <xf numFmtId="0" fontId="3" fillId="0" borderId="88" xfId="7" applyBorder="1"/>
    <xf numFmtId="0" fontId="3" fillId="0" borderId="87" xfId="7" applyBorder="1"/>
    <xf numFmtId="0" fontId="3" fillId="0" borderId="86" xfId="7" applyBorder="1"/>
    <xf numFmtId="0" fontId="3" fillId="0" borderId="60" xfId="7" applyBorder="1"/>
    <xf numFmtId="0" fontId="30" fillId="0" borderId="0" xfId="7" applyFont="1"/>
    <xf numFmtId="0" fontId="3" fillId="0" borderId="19" xfId="7" applyBorder="1"/>
    <xf numFmtId="0" fontId="3" fillId="0" borderId="61" xfId="7" applyBorder="1"/>
    <xf numFmtId="0" fontId="3" fillId="0" borderId="59" xfId="7" applyBorder="1"/>
    <xf numFmtId="0" fontId="3" fillId="0" borderId="11" xfId="7" applyBorder="1"/>
    <xf numFmtId="0" fontId="30" fillId="0" borderId="0" xfId="7" applyFont="1" applyAlignment="1">
      <alignment horizontal="center"/>
    </xf>
    <xf numFmtId="0" fontId="27" fillId="0" borderId="0" xfId="7" applyFont="1" applyAlignment="1">
      <alignment horizontal="left" vertical="center"/>
    </xf>
    <xf numFmtId="0" fontId="27" fillId="0" borderId="0" xfId="7" applyFont="1" applyAlignment="1">
      <alignment vertical="center"/>
    </xf>
    <xf numFmtId="167" fontId="30" fillId="0" borderId="0" xfId="7" applyNumberFormat="1" applyFont="1"/>
    <xf numFmtId="44" fontId="21" fillId="0" borderId="60" xfId="2" applyFont="1" applyBorder="1" applyAlignment="1">
      <alignment horizontal="center"/>
    </xf>
    <xf numFmtId="44" fontId="5" fillId="0" borderId="0" xfId="2" applyFont="1" applyBorder="1" applyAlignment="1">
      <alignment horizontal="center"/>
    </xf>
    <xf numFmtId="44" fontId="20" fillId="0" borderId="0" xfId="2" applyFont="1" applyBorder="1" applyAlignment="1">
      <alignment horizontal="center"/>
    </xf>
    <xf numFmtId="44" fontId="19" fillId="0" borderId="19" xfId="2" applyFont="1" applyBorder="1" applyAlignment="1">
      <alignment horizontal="center"/>
    </xf>
    <xf numFmtId="0" fontId="5" fillId="0" borderId="0" xfId="2" applyNumberFormat="1" applyFont="1" applyBorder="1" applyAlignment="1">
      <alignment horizontal="center"/>
    </xf>
    <xf numFmtId="44" fontId="21" fillId="0" borderId="61" xfId="2" applyFont="1" applyBorder="1" applyAlignment="1">
      <alignment horizontal="center"/>
    </xf>
    <xf numFmtId="44" fontId="5" fillId="0" borderId="59" xfId="2" applyFont="1" applyBorder="1" applyAlignment="1">
      <alignment horizontal="center"/>
    </xf>
    <xf numFmtId="44" fontId="20" fillId="0" borderId="59" xfId="2" applyFont="1" applyBorder="1" applyAlignment="1">
      <alignment horizontal="center"/>
    </xf>
    <xf numFmtId="44" fontId="19" fillId="0" borderId="11" xfId="2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0" fillId="0" borderId="0" xfId="7" applyFont="1" applyAlignment="1">
      <alignment horizontal="center"/>
    </xf>
    <xf numFmtId="0" fontId="27" fillId="0" borderId="0" xfId="7" applyFont="1" applyAlignment="1">
      <alignment horizontal="left" vertical="center"/>
    </xf>
    <xf numFmtId="0" fontId="27" fillId="0" borderId="19" xfId="7" applyFont="1" applyBorder="1" applyAlignment="1">
      <alignment horizontal="left" vertical="center"/>
    </xf>
    <xf numFmtId="167" fontId="27" fillId="11" borderId="6" xfId="7" applyNumberFormat="1" applyFont="1" applyFill="1" applyBorder="1" applyAlignment="1">
      <alignment horizontal="center"/>
    </xf>
    <xf numFmtId="0" fontId="27" fillId="11" borderId="6" xfId="7" applyFont="1" applyFill="1" applyBorder="1" applyAlignment="1">
      <alignment horizontal="center"/>
    </xf>
    <xf numFmtId="0" fontId="30" fillId="0" borderId="60" xfId="7" applyFont="1" applyBorder="1" applyAlignment="1" applyProtection="1">
      <alignment horizontal="left" vertical="top" wrapText="1"/>
      <protection locked="0"/>
    </xf>
    <xf numFmtId="0" fontId="30" fillId="0" borderId="0" xfId="7" applyFont="1" applyAlignment="1" applyProtection="1">
      <alignment horizontal="left" vertical="top"/>
      <protection locked="0"/>
    </xf>
    <xf numFmtId="0" fontId="30" fillId="0" borderId="19" xfId="7" applyFont="1" applyBorder="1" applyAlignment="1" applyProtection="1">
      <alignment horizontal="left" vertical="top"/>
      <protection locked="0"/>
    </xf>
    <xf numFmtId="0" fontId="30" fillId="0" borderId="60" xfId="7" applyFont="1" applyBorder="1" applyAlignment="1" applyProtection="1">
      <alignment horizontal="left" vertical="top"/>
      <protection locked="0"/>
    </xf>
    <xf numFmtId="0" fontId="30" fillId="0" borderId="61" xfId="7" applyFont="1" applyBorder="1" applyAlignment="1" applyProtection="1">
      <alignment horizontal="left" vertical="top"/>
      <protection locked="0"/>
    </xf>
    <xf numFmtId="0" fontId="30" fillId="0" borderId="59" xfId="7" applyFont="1" applyBorder="1" applyAlignment="1" applyProtection="1">
      <alignment horizontal="left" vertical="top"/>
      <protection locked="0"/>
    </xf>
    <xf numFmtId="0" fontId="30" fillId="0" borderId="11" xfId="7" applyFont="1" applyBorder="1" applyAlignment="1" applyProtection="1">
      <alignment horizontal="left" vertical="top"/>
      <protection locked="0"/>
    </xf>
    <xf numFmtId="0" fontId="27" fillId="0" borderId="89" xfId="7" applyFont="1" applyBorder="1" applyAlignment="1">
      <alignment horizontal="center" vertical="center"/>
    </xf>
    <xf numFmtId="0" fontId="27" fillId="0" borderId="5" xfId="7" applyFont="1" applyBorder="1" applyAlignment="1">
      <alignment horizontal="center" vertical="center"/>
    </xf>
    <xf numFmtId="0" fontId="3" fillId="0" borderId="88" xfId="7" applyBorder="1" applyAlignment="1" applyProtection="1">
      <alignment horizontal="center" vertical="center"/>
      <protection locked="0"/>
    </xf>
    <xf numFmtId="0" fontId="3" fillId="0" borderId="87" xfId="7" applyBorder="1" applyAlignment="1" applyProtection="1">
      <alignment horizontal="center" vertical="center"/>
      <protection locked="0"/>
    </xf>
    <xf numFmtId="0" fontId="3" fillId="0" borderId="86" xfId="7" applyBorder="1" applyAlignment="1" applyProtection="1">
      <alignment horizontal="center" vertical="center"/>
      <protection locked="0"/>
    </xf>
    <xf numFmtId="0" fontId="3" fillId="0" borderId="61" xfId="7" applyBorder="1" applyAlignment="1" applyProtection="1">
      <alignment horizontal="center" vertical="center"/>
      <protection locked="0"/>
    </xf>
    <xf numFmtId="0" fontId="3" fillId="0" borderId="59" xfId="7" applyBorder="1" applyAlignment="1" applyProtection="1">
      <alignment horizontal="center" vertical="center"/>
      <protection locked="0"/>
    </xf>
    <xf numFmtId="0" fontId="3" fillId="0" borderId="11" xfId="7" applyBorder="1" applyAlignment="1" applyProtection="1">
      <alignment horizontal="center" vertical="center"/>
      <protection locked="0"/>
    </xf>
    <xf numFmtId="0" fontId="27" fillId="0" borderId="87" xfId="7" applyFont="1" applyBorder="1" applyAlignment="1">
      <alignment horizontal="center" vertical="center"/>
    </xf>
    <xf numFmtId="0" fontId="27" fillId="0" borderId="59" xfId="7" applyFont="1" applyBorder="1" applyAlignment="1">
      <alignment horizontal="center" vertical="center"/>
    </xf>
    <xf numFmtId="14" fontId="3" fillId="0" borderId="88" xfId="7" applyNumberFormat="1" applyBorder="1" applyAlignment="1" applyProtection="1">
      <alignment horizontal="center" vertical="center"/>
      <protection locked="0"/>
    </xf>
    <xf numFmtId="0" fontId="28" fillId="0" borderId="6" xfId="7" applyFont="1" applyBorder="1" applyAlignment="1">
      <alignment horizontal="center"/>
    </xf>
    <xf numFmtId="0" fontId="28" fillId="0" borderId="6" xfId="7" applyFont="1" applyBorder="1" applyAlignment="1" applyProtection="1">
      <alignment horizontal="center"/>
      <protection locked="0"/>
    </xf>
    <xf numFmtId="0" fontId="30" fillId="0" borderId="6" xfId="7" applyFont="1" applyBorder="1" applyAlignment="1">
      <alignment horizontal="center"/>
    </xf>
    <xf numFmtId="0" fontId="30" fillId="0" borderId="89" xfId="7" applyFont="1" applyBorder="1" applyAlignment="1">
      <alignment horizontal="center"/>
    </xf>
    <xf numFmtId="0" fontId="27" fillId="0" borderId="0" xfId="7" applyFont="1" applyAlignment="1">
      <alignment horizontal="center" wrapText="1"/>
    </xf>
    <xf numFmtId="167" fontId="30" fillId="11" borderId="6" xfId="7" applyNumberFormat="1" applyFont="1" applyFill="1" applyBorder="1" applyAlignment="1">
      <alignment horizontal="center"/>
    </xf>
    <xf numFmtId="0" fontId="30" fillId="11" borderId="6" xfId="7" applyFont="1" applyFill="1" applyBorder="1" applyAlignment="1">
      <alignment horizontal="center"/>
    </xf>
    <xf numFmtId="0" fontId="30" fillId="0" borderId="6" xfId="7" applyFont="1" applyBorder="1" applyAlignment="1">
      <alignment horizontal="center" vertical="center"/>
    </xf>
    <xf numFmtId="0" fontId="30" fillId="0" borderId="89" xfId="7" applyFont="1" applyBorder="1" applyAlignment="1">
      <alignment horizontal="left" vertical="center"/>
    </xf>
    <xf numFmtId="0" fontId="30" fillId="0" borderId="5" xfId="7" applyFont="1" applyBorder="1" applyAlignment="1">
      <alignment horizontal="left" vertical="center"/>
    </xf>
    <xf numFmtId="167" fontId="30" fillId="0" borderId="6" xfId="7" applyNumberFormat="1" applyFont="1" applyBorder="1" applyAlignment="1">
      <alignment horizontal="center"/>
    </xf>
    <xf numFmtId="0" fontId="30" fillId="0" borderId="6" xfId="7" applyFont="1" applyBorder="1" applyAlignment="1">
      <alignment horizontal="left" vertical="center"/>
    </xf>
    <xf numFmtId="0" fontId="30" fillId="11" borderId="6" xfId="7" applyFont="1" applyFill="1" applyBorder="1" applyAlignment="1">
      <alignment horizontal="center" vertical="center"/>
    </xf>
    <xf numFmtId="0" fontId="30" fillId="11" borderId="6" xfId="7" applyFont="1" applyFill="1" applyBorder="1" applyAlignment="1">
      <alignment horizontal="left" vertical="center"/>
    </xf>
    <xf numFmtId="167" fontId="30" fillId="11" borderId="89" xfId="7" applyNumberFormat="1" applyFont="1" applyFill="1" applyBorder="1" applyAlignment="1">
      <alignment horizontal="center"/>
    </xf>
    <xf numFmtId="167" fontId="30" fillId="11" borderId="5" xfId="7" applyNumberFormat="1" applyFont="1" applyFill="1" applyBorder="1" applyAlignment="1">
      <alignment horizontal="center"/>
    </xf>
    <xf numFmtId="0" fontId="31" fillId="0" borderId="33" xfId="8" applyFont="1" applyBorder="1" applyAlignment="1" applyProtection="1">
      <alignment horizontal="left"/>
      <protection locked="0"/>
    </xf>
    <xf numFmtId="0" fontId="31" fillId="0" borderId="34" xfId="8" applyFont="1" applyBorder="1" applyAlignment="1" applyProtection="1">
      <alignment horizontal="left"/>
      <protection locked="0"/>
    </xf>
    <xf numFmtId="0" fontId="31" fillId="0" borderId="35" xfId="8" applyFont="1" applyBorder="1" applyAlignment="1" applyProtection="1">
      <alignment horizontal="left"/>
      <protection locked="0"/>
    </xf>
    <xf numFmtId="0" fontId="31" fillId="0" borderId="88" xfId="8" applyFont="1" applyBorder="1" applyAlignment="1" applyProtection="1">
      <alignment horizontal="left" vertical="top" wrapText="1"/>
      <protection locked="0"/>
    </xf>
    <xf numFmtId="0" fontId="31" fillId="0" borderId="87" xfId="8" applyFont="1" applyBorder="1" applyAlignment="1" applyProtection="1">
      <alignment horizontal="left" vertical="top" wrapText="1"/>
      <protection locked="0"/>
    </xf>
    <xf numFmtId="0" fontId="31" fillId="0" borderId="86" xfId="8" applyFont="1" applyBorder="1" applyAlignment="1" applyProtection="1">
      <alignment horizontal="left" vertical="top" wrapText="1"/>
      <protection locked="0"/>
    </xf>
    <xf numFmtId="0" fontId="1" fillId="0" borderId="60" xfId="8" applyBorder="1" applyAlignment="1" applyProtection="1">
      <alignment horizontal="left" vertical="top" wrapText="1"/>
      <protection locked="0"/>
    </xf>
    <xf numFmtId="0" fontId="1" fillId="0" borderId="0" xfId="8" applyAlignment="1" applyProtection="1">
      <alignment horizontal="left" vertical="top" wrapText="1"/>
      <protection locked="0"/>
    </xf>
    <xf numFmtId="0" fontId="1" fillId="0" borderId="19" xfId="8" applyBorder="1" applyAlignment="1" applyProtection="1">
      <alignment horizontal="left" vertical="top" wrapText="1"/>
      <protection locked="0"/>
    </xf>
    <xf numFmtId="0" fontId="1" fillId="0" borderId="61" xfId="8" applyBorder="1" applyAlignment="1" applyProtection="1">
      <alignment horizontal="left" vertical="top" wrapText="1"/>
      <protection locked="0"/>
    </xf>
    <xf numFmtId="0" fontId="1" fillId="0" borderId="59" xfId="8" applyBorder="1" applyAlignment="1" applyProtection="1">
      <alignment horizontal="left" vertical="top" wrapText="1"/>
      <protection locked="0"/>
    </xf>
    <xf numFmtId="0" fontId="1" fillId="0" borderId="11" xfId="8" applyBorder="1" applyAlignment="1" applyProtection="1">
      <alignment horizontal="left" vertical="top" wrapText="1"/>
      <protection locked="0"/>
    </xf>
    <xf numFmtId="0" fontId="30" fillId="0" borderId="88" xfId="7" applyFont="1" applyBorder="1" applyProtection="1">
      <protection locked="0"/>
    </xf>
    <xf numFmtId="0" fontId="30" fillId="0" borderId="87" xfId="7" applyFont="1" applyBorder="1" applyProtection="1">
      <protection locked="0"/>
    </xf>
    <xf numFmtId="0" fontId="30" fillId="0" borderId="86" xfId="7" applyFont="1" applyBorder="1" applyProtection="1">
      <protection locked="0"/>
    </xf>
    <xf numFmtId="0" fontId="30" fillId="0" borderId="60" xfId="7" applyFont="1" applyBorder="1" applyProtection="1">
      <protection locked="0"/>
    </xf>
    <xf numFmtId="0" fontId="30" fillId="0" borderId="0" xfId="7" applyFont="1" applyProtection="1">
      <protection locked="0"/>
    </xf>
    <xf numFmtId="0" fontId="30" fillId="0" borderId="19" xfId="7" applyFont="1" applyBorder="1" applyProtection="1">
      <protection locked="0"/>
    </xf>
    <xf numFmtId="0" fontId="30" fillId="0" borderId="61" xfId="7" applyFont="1" applyBorder="1" applyProtection="1">
      <protection locked="0"/>
    </xf>
    <xf numFmtId="0" fontId="30" fillId="0" borderId="59" xfId="7" applyFont="1" applyBorder="1" applyProtection="1">
      <protection locked="0"/>
    </xf>
    <xf numFmtId="0" fontId="30" fillId="0" borderId="11" xfId="7" applyFont="1" applyBorder="1" applyProtection="1">
      <protection locked="0"/>
    </xf>
    <xf numFmtId="0" fontId="29" fillId="0" borderId="89" xfId="8" applyFont="1" applyBorder="1" applyAlignment="1">
      <alignment horizontal="left" vertical="top"/>
    </xf>
    <xf numFmtId="0" fontId="29" fillId="0" borderId="90" xfId="8" applyFont="1" applyBorder="1" applyAlignment="1">
      <alignment horizontal="left" vertical="top"/>
    </xf>
    <xf numFmtId="0" fontId="29" fillId="0" borderId="5" xfId="8" applyFont="1" applyBorder="1" applyAlignment="1">
      <alignment horizontal="left" vertical="top"/>
    </xf>
    <xf numFmtId="0" fontId="29" fillId="0" borderId="33" xfId="8" applyFont="1" applyBorder="1" applyAlignment="1" applyProtection="1">
      <alignment horizontal="left" vertical="top" wrapText="1"/>
      <protection locked="0"/>
    </xf>
    <xf numFmtId="0" fontId="29" fillId="0" borderId="34" xfId="8" applyFont="1" applyBorder="1" applyAlignment="1" applyProtection="1">
      <alignment horizontal="left" vertical="top" wrapText="1"/>
      <protection locked="0"/>
    </xf>
    <xf numFmtId="0" fontId="29" fillId="0" borderId="35" xfId="8" applyFont="1" applyBorder="1" applyAlignment="1" applyProtection="1">
      <alignment horizontal="left" vertical="top" wrapText="1"/>
      <protection locked="0"/>
    </xf>
    <xf numFmtId="0" fontId="29" fillId="0" borderId="6" xfId="8" applyFont="1" applyBorder="1" applyProtection="1">
      <protection locked="0"/>
    </xf>
    <xf numFmtId="0" fontId="31" fillId="0" borderId="33" xfId="8" applyFont="1" applyBorder="1" applyAlignment="1" applyProtection="1">
      <alignment horizontal="left" vertical="top" wrapText="1"/>
      <protection locked="0"/>
    </xf>
    <xf numFmtId="0" fontId="31" fillId="0" borderId="34" xfId="8" applyFont="1" applyBorder="1" applyAlignment="1" applyProtection="1">
      <alignment horizontal="left" vertical="top" wrapText="1"/>
      <protection locked="0"/>
    </xf>
    <xf numFmtId="0" fontId="31" fillId="0" borderId="35" xfId="8" applyFont="1" applyBorder="1" applyAlignment="1" applyProtection="1">
      <alignment horizontal="left" vertical="top" wrapText="1"/>
      <protection locked="0"/>
    </xf>
    <xf numFmtId="0" fontId="31" fillId="0" borderId="6" xfId="8" applyFont="1" applyBorder="1" applyAlignment="1" applyProtection="1">
      <alignment horizontal="left" vertical="top" wrapText="1"/>
      <protection locked="0"/>
    </xf>
    <xf numFmtId="0" fontId="31" fillId="0" borderId="59" xfId="8" applyFont="1" applyBorder="1" applyAlignment="1">
      <alignment horizontal="center"/>
    </xf>
    <xf numFmtId="0" fontId="37" fillId="0" borderId="0" xfId="8" applyFont="1" applyAlignment="1">
      <alignment horizontal="center" vertical="center" wrapText="1"/>
    </xf>
    <xf numFmtId="0" fontId="38" fillId="0" borderId="0" xfId="8" applyFont="1" applyAlignment="1">
      <alignment horizontal="center" vertical="center"/>
    </xf>
    <xf numFmtId="0" fontId="31" fillId="0" borderId="0" xfId="8" applyFont="1"/>
    <xf numFmtId="0" fontId="31" fillId="0" borderId="34" xfId="8" applyFont="1" applyBorder="1" applyAlignment="1" applyProtection="1">
      <alignment horizontal="left" vertical="center"/>
      <protection locked="0"/>
    </xf>
    <xf numFmtId="0" fontId="31" fillId="0" borderId="35" xfId="8" applyFont="1" applyBorder="1" applyAlignment="1" applyProtection="1">
      <alignment horizontal="left" vertical="center"/>
      <protection locked="0"/>
    </xf>
    <xf numFmtId="0" fontId="3" fillId="0" borderId="34" xfId="8" applyFont="1" applyBorder="1" applyAlignment="1" applyProtection="1">
      <alignment horizontal="left" vertical="center"/>
      <protection locked="0"/>
    </xf>
    <xf numFmtId="49" fontId="31" fillId="0" borderId="34" xfId="8" applyNumberFormat="1" applyFont="1" applyBorder="1" applyAlignment="1" applyProtection="1">
      <alignment horizontal="left"/>
      <protection locked="0"/>
    </xf>
    <xf numFmtId="0" fontId="8" fillId="0" borderId="0" xfId="7" applyFont="1" applyAlignment="1">
      <alignment horizontal="center"/>
    </xf>
    <xf numFmtId="0" fontId="33" fillId="0" borderId="0" xfId="8" applyFont="1" applyAlignment="1">
      <alignment horizontal="left" vertical="center" wrapText="1"/>
    </xf>
    <xf numFmtId="0" fontId="32" fillId="0" borderId="0" xfId="8" applyFont="1" applyAlignment="1">
      <alignment horizontal="left" vertical="center"/>
    </xf>
    <xf numFmtId="4" fontId="34" fillId="0" borderId="0" xfId="7" applyNumberFormat="1" applyFont="1" applyAlignment="1">
      <alignment horizontal="center"/>
    </xf>
    <xf numFmtId="44" fontId="7" fillId="3" borderId="75" xfId="2" applyFont="1" applyFill="1" applyBorder="1" applyAlignment="1" applyProtection="1">
      <alignment horizontal="center" vertical="center"/>
      <protection hidden="1"/>
    </xf>
    <xf numFmtId="0" fontId="7" fillId="3" borderId="76" xfId="0" applyFont="1" applyFill="1" applyBorder="1" applyAlignment="1" applyProtection="1">
      <alignment horizontal="center" vertical="center"/>
      <protection hidden="1"/>
    </xf>
    <xf numFmtId="0" fontId="8" fillId="3" borderId="22" xfId="0" applyFont="1" applyFill="1" applyBorder="1" applyAlignment="1" applyProtection="1">
      <alignment horizontal="center"/>
      <protection hidden="1"/>
    </xf>
    <xf numFmtId="0" fontId="8" fillId="3" borderId="23" xfId="0" applyFont="1" applyFill="1" applyBorder="1" applyAlignment="1" applyProtection="1">
      <alignment horizontal="center"/>
      <protection hidden="1"/>
    </xf>
    <xf numFmtId="0" fontId="9" fillId="4" borderId="18" xfId="0" applyFont="1" applyFill="1" applyBorder="1" applyProtection="1">
      <protection hidden="1"/>
    </xf>
    <xf numFmtId="0" fontId="0" fillId="0" borderId="18" xfId="0" applyBorder="1"/>
    <xf numFmtId="0" fontId="8" fillId="6" borderId="80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81" xfId="0" applyFont="1" applyFill="1" applyBorder="1" applyAlignment="1">
      <alignment horizontal="center" vertical="center"/>
    </xf>
    <xf numFmtId="0" fontId="9" fillId="10" borderId="25" xfId="0" applyFont="1" applyFill="1" applyBorder="1" applyAlignment="1" applyProtection="1">
      <alignment horizontal="center"/>
      <protection hidden="1"/>
    </xf>
    <xf numFmtId="0" fontId="9" fillId="10" borderId="23" xfId="0" applyFont="1" applyFill="1" applyBorder="1" applyAlignment="1" applyProtection="1">
      <alignment horizontal="center"/>
      <protection hidden="1"/>
    </xf>
    <xf numFmtId="0" fontId="8" fillId="3" borderId="25" xfId="0" applyFont="1" applyFill="1" applyBorder="1" applyAlignment="1" applyProtection="1">
      <alignment horizontal="center"/>
      <protection hidden="1"/>
    </xf>
    <xf numFmtId="0" fontId="8" fillId="3" borderId="82" xfId="0" applyFont="1" applyFill="1" applyBorder="1" applyAlignment="1" applyProtection="1">
      <alignment horizontal="center"/>
      <protection hidden="1"/>
    </xf>
    <xf numFmtId="0" fontId="5" fillId="3" borderId="63" xfId="0" applyFont="1" applyFill="1" applyBorder="1" applyAlignment="1" applyProtection="1">
      <alignment horizontal="center"/>
      <protection hidden="1"/>
    </xf>
    <xf numFmtId="0" fontId="8" fillId="3" borderId="47" xfId="0" applyFont="1" applyFill="1" applyBorder="1" applyAlignment="1" applyProtection="1">
      <alignment horizontal="right"/>
      <protection hidden="1"/>
    </xf>
    <xf numFmtId="0" fontId="8" fillId="3" borderId="45" xfId="0" applyFont="1" applyFill="1" applyBorder="1" applyAlignment="1" applyProtection="1">
      <alignment horizontal="right"/>
      <protection hidden="1"/>
    </xf>
    <xf numFmtId="0" fontId="8" fillId="3" borderId="51" xfId="0" applyFont="1" applyFill="1" applyBorder="1" applyAlignment="1" applyProtection="1">
      <alignment horizontal="right"/>
      <protection hidden="1"/>
    </xf>
    <xf numFmtId="0" fontId="9" fillId="4" borderId="0" xfId="0" applyFont="1" applyFill="1" applyAlignment="1" applyProtection="1">
      <alignment horizontal="right"/>
      <protection hidden="1"/>
    </xf>
    <xf numFmtId="0" fontId="9" fillId="0" borderId="0" xfId="0" applyFont="1"/>
    <xf numFmtId="0" fontId="8" fillId="3" borderId="12" xfId="0" applyFont="1" applyFill="1" applyBorder="1" applyAlignment="1" applyProtection="1">
      <alignment horizontal="right"/>
      <protection hidden="1"/>
    </xf>
    <xf numFmtId="0" fontId="8" fillId="3" borderId="0" xfId="0" applyFont="1" applyFill="1" applyAlignment="1" applyProtection="1">
      <alignment horizontal="right"/>
      <protection hidden="1"/>
    </xf>
    <xf numFmtId="0" fontId="8" fillId="3" borderId="2" xfId="0" applyFont="1" applyFill="1" applyBorder="1" applyAlignment="1" applyProtection="1">
      <alignment horizontal="right"/>
      <protection hidden="1"/>
    </xf>
    <xf numFmtId="0" fontId="8" fillId="4" borderId="1" xfId="0" applyFont="1" applyFill="1" applyBorder="1" applyAlignment="1" applyProtection="1">
      <alignment horizontal="right"/>
      <protection hidden="1"/>
    </xf>
    <xf numFmtId="0" fontId="0" fillId="0" borderId="1" xfId="0" applyBorder="1"/>
    <xf numFmtId="0" fontId="0" fillId="0" borderId="0" xfId="0"/>
    <xf numFmtId="0" fontId="8" fillId="3" borderId="54" xfId="0" applyFont="1" applyFill="1" applyBorder="1" applyAlignment="1" applyProtection="1">
      <alignment horizontal="left"/>
      <protection hidden="1"/>
    </xf>
    <xf numFmtId="0" fontId="8" fillId="3" borderId="55" xfId="0" applyFont="1" applyFill="1" applyBorder="1" applyAlignment="1" applyProtection="1">
      <alignment horizontal="left"/>
      <protection hidden="1"/>
    </xf>
    <xf numFmtId="0" fontId="8" fillId="3" borderId="14" xfId="0" applyFont="1" applyFill="1" applyBorder="1" applyAlignment="1" applyProtection="1">
      <alignment horizontal="left"/>
      <protection hidden="1"/>
    </xf>
    <xf numFmtId="0" fontId="8" fillId="3" borderId="35" xfId="0" applyFont="1" applyFill="1" applyBorder="1" applyAlignment="1" applyProtection="1">
      <alignment horizontal="left"/>
      <protection hidden="1"/>
    </xf>
    <xf numFmtId="0" fontId="8" fillId="3" borderId="15" xfId="0" applyFont="1" applyFill="1" applyBorder="1" applyAlignment="1" applyProtection="1">
      <alignment horizontal="left"/>
      <protection hidden="1"/>
    </xf>
    <xf numFmtId="0" fontId="8" fillId="3" borderId="58" xfId="0" applyFont="1" applyFill="1" applyBorder="1" applyAlignment="1" applyProtection="1">
      <alignment horizontal="left"/>
      <protection hidden="1"/>
    </xf>
    <xf numFmtId="0" fontId="9" fillId="4" borderId="0" xfId="0" applyFont="1" applyFill="1" applyProtection="1">
      <protection hidden="1"/>
    </xf>
    <xf numFmtId="0" fontId="9" fillId="11" borderId="34" xfId="0" applyFont="1" applyFill="1" applyBorder="1" applyAlignment="1" applyProtection="1">
      <alignment horizontal="left"/>
      <protection hidden="1"/>
    </xf>
    <xf numFmtId="0" fontId="9" fillId="11" borderId="40" xfId="0" applyFont="1" applyFill="1" applyBorder="1" applyAlignment="1" applyProtection="1">
      <alignment horizontal="left"/>
      <protection hidden="1"/>
    </xf>
    <xf numFmtId="0" fontId="8" fillId="10" borderId="25" xfId="0" applyFont="1" applyFill="1" applyBorder="1" applyAlignment="1" applyProtection="1">
      <alignment horizontal="center"/>
      <protection hidden="1"/>
    </xf>
    <xf numFmtId="0" fontId="8" fillId="10" borderId="23" xfId="0" applyFont="1" applyFill="1" applyBorder="1" applyAlignment="1" applyProtection="1">
      <alignment horizontal="center"/>
      <protection hidden="1"/>
    </xf>
    <xf numFmtId="0" fontId="8" fillId="6" borderId="69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70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166" fontId="9" fillId="11" borderId="34" xfId="0" applyNumberFormat="1" applyFont="1" applyFill="1" applyBorder="1" applyAlignment="1" applyProtection="1">
      <alignment horizontal="left"/>
      <protection hidden="1"/>
    </xf>
    <xf numFmtId="166" fontId="9" fillId="11" borderId="40" xfId="0" applyNumberFormat="1" applyFont="1" applyFill="1" applyBorder="1" applyAlignment="1" applyProtection="1">
      <alignment horizontal="left"/>
      <protection hidden="1"/>
    </xf>
    <xf numFmtId="0" fontId="9" fillId="4" borderId="78" xfId="0" applyFont="1" applyFill="1" applyBorder="1" applyProtection="1">
      <protection hidden="1"/>
    </xf>
    <xf numFmtId="0" fontId="10" fillId="4" borderId="26" xfId="0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9" fillId="4" borderId="2" xfId="0" applyFont="1" applyFill="1" applyBorder="1" applyProtection="1">
      <protection hidden="1"/>
    </xf>
    <xf numFmtId="0" fontId="0" fillId="0" borderId="2" xfId="0" applyBorder="1"/>
    <xf numFmtId="0" fontId="0" fillId="0" borderId="81" xfId="0" applyBorder="1"/>
    <xf numFmtId="0" fontId="9" fillId="4" borderId="4" xfId="0" applyFont="1" applyFill="1" applyBorder="1" applyProtection="1">
      <protection hidden="1"/>
    </xf>
    <xf numFmtId="0" fontId="0" fillId="0" borderId="80" xfId="0" applyBorder="1"/>
    <xf numFmtId="0" fontId="8" fillId="3" borderId="48" xfId="0" applyFont="1" applyFill="1" applyBorder="1" applyAlignment="1" applyProtection="1">
      <alignment horizontal="right"/>
      <protection hidden="1"/>
    </xf>
    <xf numFmtId="0" fontId="8" fillId="3" borderId="18" xfId="0" applyFont="1" applyFill="1" applyBorder="1" applyAlignment="1" applyProtection="1">
      <alignment horizontal="right"/>
      <protection hidden="1"/>
    </xf>
    <xf numFmtId="0" fontId="8" fillId="3" borderId="49" xfId="0" applyFont="1" applyFill="1" applyBorder="1" applyAlignment="1" applyProtection="1">
      <alignment horizontal="right"/>
      <protection hidden="1"/>
    </xf>
    <xf numFmtId="0" fontId="9" fillId="4" borderId="62" xfId="0" applyFont="1" applyFill="1" applyBorder="1" applyProtection="1">
      <protection hidden="1"/>
    </xf>
    <xf numFmtId="0" fontId="0" fillId="0" borderId="62" xfId="0" applyBorder="1"/>
    <xf numFmtId="0" fontId="9" fillId="3" borderId="18" xfId="0" applyFont="1" applyFill="1" applyBorder="1" applyAlignment="1" applyProtection="1">
      <alignment horizontal="right"/>
      <protection hidden="1"/>
    </xf>
    <xf numFmtId="0" fontId="9" fillId="3" borderId="47" xfId="0" applyFont="1" applyFill="1" applyBorder="1" applyAlignment="1" applyProtection="1">
      <alignment horizontal="right"/>
      <protection hidden="1"/>
    </xf>
    <xf numFmtId="0" fontId="9" fillId="3" borderId="45" xfId="0" applyFont="1" applyFill="1" applyBorder="1" applyAlignment="1" applyProtection="1">
      <alignment horizontal="right"/>
      <protection hidden="1"/>
    </xf>
    <xf numFmtId="1" fontId="9" fillId="0" borderId="33" xfId="0" applyNumberFormat="1" applyFont="1" applyBorder="1" applyAlignment="1" applyProtection="1">
      <alignment horizontal="left"/>
      <protection locked="0"/>
    </xf>
    <xf numFmtId="1" fontId="9" fillId="0" borderId="34" xfId="0" applyNumberFormat="1" applyFont="1" applyBorder="1" applyAlignment="1" applyProtection="1">
      <alignment horizontal="left"/>
      <protection locked="0"/>
    </xf>
    <xf numFmtId="1" fontId="9" fillId="0" borderId="35" xfId="0" applyNumberFormat="1" applyFont="1" applyBorder="1" applyAlignment="1" applyProtection="1">
      <alignment horizontal="left"/>
      <protection locked="0"/>
    </xf>
    <xf numFmtId="0" fontId="9" fillId="4" borderId="12" xfId="0" applyFont="1" applyFill="1" applyBorder="1" applyProtection="1">
      <protection hidden="1"/>
    </xf>
    <xf numFmtId="0" fontId="0" fillId="0" borderId="12" xfId="0" applyBorder="1"/>
    <xf numFmtId="0" fontId="0" fillId="0" borderId="47" xfId="0" applyBorder="1"/>
    <xf numFmtId="0" fontId="0" fillId="0" borderId="45" xfId="0" applyBorder="1"/>
    <xf numFmtId="0" fontId="0" fillId="5" borderId="20" xfId="0" applyFill="1" applyBorder="1"/>
    <xf numFmtId="44" fontId="7" fillId="3" borderId="52" xfId="2" applyFont="1" applyFill="1" applyBorder="1" applyAlignment="1" applyProtection="1">
      <alignment horizontal="center" vertical="center"/>
      <protection hidden="1"/>
    </xf>
    <xf numFmtId="0" fontId="7" fillId="3" borderId="53" xfId="0" applyFont="1" applyFill="1" applyBorder="1" applyAlignment="1" applyProtection="1">
      <alignment horizontal="center" vertical="center"/>
      <protection hidden="1"/>
    </xf>
    <xf numFmtId="0" fontId="10" fillId="4" borderId="12" xfId="0" applyFont="1" applyFill="1" applyBorder="1" applyAlignment="1" applyProtection="1">
      <alignment horizontal="center" vertical="center"/>
      <protection hidden="1"/>
    </xf>
    <xf numFmtId="0" fontId="8" fillId="3" borderId="42" xfId="0" applyFont="1" applyFill="1" applyBorder="1" applyAlignment="1" applyProtection="1">
      <alignment horizontal="center"/>
      <protection hidden="1"/>
    </xf>
    <xf numFmtId="0" fontId="5" fillId="3" borderId="50" xfId="0" applyFont="1" applyFill="1" applyBorder="1" applyAlignment="1" applyProtection="1">
      <alignment horizontal="center"/>
      <protection hidden="1"/>
    </xf>
    <xf numFmtId="14" fontId="9" fillId="11" borderId="36" xfId="0" applyNumberFormat="1" applyFont="1" applyFill="1" applyBorder="1" applyAlignment="1" applyProtection="1">
      <alignment horizontal="left"/>
      <protection hidden="1"/>
    </xf>
    <xf numFmtId="0" fontId="9" fillId="11" borderId="37" xfId="0" applyFont="1" applyFill="1" applyBorder="1" applyAlignment="1" applyProtection="1">
      <alignment horizontal="left"/>
      <protection hidden="1"/>
    </xf>
    <xf numFmtId="0" fontId="9" fillId="11" borderId="29" xfId="0" applyFont="1" applyFill="1" applyBorder="1" applyAlignment="1" applyProtection="1">
      <alignment horizontal="left"/>
      <protection hidden="1"/>
    </xf>
    <xf numFmtId="0" fontId="8" fillId="6" borderId="38" xfId="0" applyFont="1" applyFill="1" applyBorder="1" applyAlignment="1">
      <alignment horizontal="center" vertical="center"/>
    </xf>
    <xf numFmtId="14" fontId="9" fillId="11" borderId="33" xfId="0" applyNumberFormat="1" applyFont="1" applyFill="1" applyBorder="1" applyAlignment="1" applyProtection="1">
      <alignment horizontal="left"/>
      <protection hidden="1"/>
    </xf>
    <xf numFmtId="0" fontId="9" fillId="11" borderId="30" xfId="0" applyFont="1" applyFill="1" applyBorder="1" applyAlignment="1" applyProtection="1">
      <alignment horizontal="left"/>
      <protection hidden="1"/>
    </xf>
    <xf numFmtId="0" fontId="8" fillId="6" borderId="67" xfId="0" applyFont="1" applyFill="1" applyBorder="1" applyAlignment="1">
      <alignment horizontal="center" vertical="center"/>
    </xf>
    <xf numFmtId="0" fontId="8" fillId="6" borderId="84" xfId="0" applyFont="1" applyFill="1" applyBorder="1" applyAlignment="1">
      <alignment horizontal="center" vertical="center"/>
    </xf>
    <xf numFmtId="0" fontId="9" fillId="11" borderId="33" xfId="0" applyFont="1" applyFill="1" applyBorder="1" applyAlignment="1" applyProtection="1">
      <alignment horizontal="left"/>
      <protection hidden="1"/>
    </xf>
    <xf numFmtId="0" fontId="9" fillId="11" borderId="34" xfId="0" applyFont="1" applyFill="1" applyBorder="1" applyProtection="1">
      <protection hidden="1"/>
    </xf>
    <xf numFmtId="0" fontId="9" fillId="11" borderId="30" xfId="0" applyFont="1" applyFill="1" applyBorder="1" applyProtection="1">
      <protection hidden="1"/>
    </xf>
    <xf numFmtId="0" fontId="8" fillId="6" borderId="59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11" borderId="67" xfId="0" applyFont="1" applyFill="1" applyBorder="1" applyAlignment="1" applyProtection="1">
      <alignment horizontal="left"/>
      <protection hidden="1"/>
    </xf>
    <xf numFmtId="0" fontId="9" fillId="11" borderId="32" xfId="0" applyFont="1" applyFill="1" applyBorder="1" applyAlignment="1" applyProtection="1">
      <alignment horizontal="left"/>
      <protection hidden="1"/>
    </xf>
    <xf numFmtId="0" fontId="8" fillId="8" borderId="0" xfId="0" applyFont="1" applyFill="1" applyAlignment="1">
      <alignment horizontal="center" vertical="center"/>
    </xf>
    <xf numFmtId="0" fontId="9" fillId="6" borderId="36" xfId="0" applyFont="1" applyFill="1" applyBorder="1" applyAlignment="1" applyProtection="1">
      <alignment horizontal="center"/>
      <protection hidden="1"/>
    </xf>
    <xf numFmtId="0" fontId="9" fillId="6" borderId="37" xfId="0" applyFont="1" applyFill="1" applyBorder="1" applyAlignment="1" applyProtection="1">
      <alignment horizontal="center"/>
      <protection hidden="1"/>
    </xf>
    <xf numFmtId="0" fontId="9" fillId="6" borderId="38" xfId="0" applyFont="1" applyFill="1" applyBorder="1" applyAlignment="1" applyProtection="1">
      <alignment horizontal="center"/>
      <protection hidden="1"/>
    </xf>
    <xf numFmtId="1" fontId="9" fillId="0" borderId="33" xfId="0" applyNumberFormat="1" applyFont="1" applyBorder="1" applyAlignment="1">
      <alignment horizontal="left"/>
    </xf>
    <xf numFmtId="1" fontId="9" fillId="0" borderId="34" xfId="0" applyNumberFormat="1" applyFont="1" applyBorder="1" applyAlignment="1">
      <alignment horizontal="left"/>
    </xf>
    <xf numFmtId="1" fontId="9" fillId="0" borderId="35" xfId="0" applyNumberFormat="1" applyFont="1" applyBorder="1" applyAlignment="1">
      <alignment horizontal="left"/>
    </xf>
    <xf numFmtId="0" fontId="8" fillId="3" borderId="41" xfId="0" applyFont="1" applyFill="1" applyBorder="1" applyAlignment="1" applyProtection="1">
      <alignment horizontal="center"/>
      <protection hidden="1"/>
    </xf>
    <xf numFmtId="0" fontId="8" fillId="3" borderId="42" xfId="0" applyFont="1" applyFill="1" applyBorder="1" applyProtection="1">
      <protection hidden="1"/>
    </xf>
    <xf numFmtId="0" fontId="8" fillId="3" borderId="56" xfId="0" applyFont="1" applyFill="1" applyBorder="1" applyProtection="1">
      <protection hidden="1"/>
    </xf>
    <xf numFmtId="0" fontId="9" fillId="4" borderId="7" xfId="0" applyFont="1" applyFill="1" applyBorder="1" applyProtection="1">
      <protection hidden="1"/>
    </xf>
    <xf numFmtId="0" fontId="0" fillId="0" borderId="7" xfId="0" applyBorder="1"/>
    <xf numFmtId="0" fontId="0" fillId="0" borderId="46" xfId="0" applyBorder="1"/>
    <xf numFmtId="0" fontId="9" fillId="3" borderId="51" xfId="0" applyFont="1" applyFill="1" applyBorder="1" applyAlignment="1" applyProtection="1">
      <alignment horizontal="right"/>
      <protection hidden="1"/>
    </xf>
    <xf numFmtId="0" fontId="9" fillId="5" borderId="0" xfId="0" applyFont="1" applyFill="1"/>
    <xf numFmtId="0" fontId="0" fillId="5" borderId="0" xfId="0" applyFill="1"/>
    <xf numFmtId="0" fontId="8" fillId="3" borderId="57" xfId="0" applyFont="1" applyFill="1" applyBorder="1" applyAlignment="1" applyProtection="1">
      <alignment horizontal="center"/>
      <protection hidden="1"/>
    </xf>
  </cellXfs>
  <cellStyles count="9">
    <cellStyle name="Comma 2" xfId="1" xr:uid="{93B44E42-6FD4-4A67-931C-93CB59D208E5}"/>
    <cellStyle name="Currency" xfId="2" builtinId="4"/>
    <cellStyle name="Currency 2" xfId="3" xr:uid="{A27D1036-D326-4F4D-ACF7-4C52C30A3866}"/>
    <cellStyle name="Currency 3" xfId="6" xr:uid="{CB7CA3BA-33D3-44CA-AF90-E8C881030E93}"/>
    <cellStyle name="Normal" xfId="0" builtinId="0"/>
    <cellStyle name="Normal 2" xfId="4" xr:uid="{487AE1E8-DBF1-492F-84FE-4AB3557F7B96}"/>
    <cellStyle name="Normal 2 2" xfId="8" xr:uid="{086EDA4D-3FA4-4388-BCE4-942E7C534881}"/>
    <cellStyle name="Normal 3" xfId="5" xr:uid="{0187726E-1CF0-4473-94E8-7551D24AA1BF}"/>
    <cellStyle name="Normal 3 2" xfId="7" xr:uid="{8D762174-DBF1-45C7-BA76-047B0B12AA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26</xdr:row>
          <xdr:rowOff>142875</xdr:rowOff>
        </xdr:from>
        <xdr:to>
          <xdr:col>1</xdr:col>
          <xdr:colOff>180975</xdr:colOff>
          <xdr:row>28</xdr:row>
          <xdr:rowOff>57150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27</xdr:row>
          <xdr:rowOff>142875</xdr:rowOff>
        </xdr:from>
        <xdr:to>
          <xdr:col>1</xdr:col>
          <xdr:colOff>180975</xdr:colOff>
          <xdr:row>29</xdr:row>
          <xdr:rowOff>57150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33</xdr:row>
          <xdr:rowOff>152400</xdr:rowOff>
        </xdr:from>
        <xdr:to>
          <xdr:col>1</xdr:col>
          <xdr:colOff>180975</xdr:colOff>
          <xdr:row>35</xdr:row>
          <xdr:rowOff>47625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32</xdr:row>
          <xdr:rowOff>142875</xdr:rowOff>
        </xdr:from>
        <xdr:to>
          <xdr:col>1</xdr:col>
          <xdr:colOff>180975</xdr:colOff>
          <xdr:row>34</xdr:row>
          <xdr:rowOff>47625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39</xdr:row>
          <xdr:rowOff>152400</xdr:rowOff>
        </xdr:from>
        <xdr:to>
          <xdr:col>1</xdr:col>
          <xdr:colOff>161925</xdr:colOff>
          <xdr:row>41</xdr:row>
          <xdr:rowOff>47625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0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38</xdr:row>
          <xdr:rowOff>142875</xdr:rowOff>
        </xdr:from>
        <xdr:to>
          <xdr:col>1</xdr:col>
          <xdr:colOff>161925</xdr:colOff>
          <xdr:row>40</xdr:row>
          <xdr:rowOff>47625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0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390525</xdr:colOff>
          <xdr:row>46</xdr:row>
          <xdr:rowOff>123825</xdr:rowOff>
        </xdr:from>
        <xdr:to>
          <xdr:col>5</xdr:col>
          <xdr:colOff>228600</xdr:colOff>
          <xdr:row>48</xdr:row>
          <xdr:rowOff>57150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0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7</xdr:col>
      <xdr:colOff>488572</xdr:colOff>
      <xdr:row>0</xdr:row>
      <xdr:rowOff>65109</xdr:rowOff>
    </xdr:from>
    <xdr:to>
      <xdr:col>9</xdr:col>
      <xdr:colOff>783679</xdr:colOff>
      <xdr:row>0</xdr:row>
      <xdr:rowOff>550842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03347" y="65109"/>
          <a:ext cx="1942932" cy="4857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0</xdr:row>
      <xdr:rowOff>112019</xdr:rowOff>
    </xdr:from>
    <xdr:to>
      <xdr:col>5</xdr:col>
      <xdr:colOff>551649</xdr:colOff>
      <xdr:row>0</xdr:row>
      <xdr:rowOff>592831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172075" y="112019"/>
          <a:ext cx="1923249" cy="4808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y Grenville" id="{7AD29212-C222-4CBD-89C8-6DADD5E471E7}" userId="S::Guy.grenville@keyis.com::ab15acf5-4dc9-4a80-855c-0a38dcb9d52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" dT="2024-08-23T12:45:44.24" personId="{7AD29212-C222-4CBD-89C8-6DADD5E471E7}" id="{0B70CD29-180B-471A-95A2-7B21AA8DDFC6}">
    <text>Refer to Labour Calcs Tab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A815-33E1-4691-A75A-7CF5179EEA33}">
  <dimension ref="A1:M66"/>
  <sheetViews>
    <sheetView tabSelected="1" zoomScaleNormal="100" zoomScaleSheetLayoutView="145" workbookViewId="0">
      <selection activeCell="B50" sqref="B50:F51"/>
    </sheetView>
  </sheetViews>
  <sheetFormatPr defaultColWidth="8.85546875" defaultRowHeight="12.75"/>
  <cols>
    <col min="1" max="6" width="8.85546875" style="130"/>
    <col min="7" max="7" width="5.5703125" style="130" bestFit="1" customWidth="1"/>
    <col min="8" max="8" width="11.5703125" style="130" customWidth="1"/>
    <col min="9" max="9" width="13.140625" style="130" customWidth="1"/>
    <col min="10" max="10" width="13.28515625" style="130" customWidth="1"/>
    <col min="11" max="12" width="8.85546875" style="130"/>
    <col min="13" max="13" width="10.7109375" style="130" bestFit="1" customWidth="1"/>
    <col min="14" max="16384" width="8.85546875" style="130"/>
  </cols>
  <sheetData>
    <row r="1" spans="1:10" ht="57.6" customHeight="1">
      <c r="A1" s="305" t="s">
        <v>123</v>
      </c>
      <c r="B1" s="306"/>
      <c r="C1" s="306"/>
      <c r="D1" s="306"/>
      <c r="E1" s="306"/>
      <c r="F1" s="306"/>
      <c r="G1" s="306"/>
      <c r="H1" s="307"/>
      <c r="I1" s="307"/>
      <c r="J1" s="307"/>
    </row>
    <row r="2" spans="1:10">
      <c r="A2" s="200" t="s">
        <v>122</v>
      </c>
      <c r="B2" s="308" t="s">
        <v>139</v>
      </c>
      <c r="C2" s="308"/>
      <c r="D2" s="308"/>
      <c r="E2" s="308"/>
      <c r="F2" s="308"/>
      <c r="G2" s="308"/>
      <c r="H2" s="201" t="s">
        <v>121</v>
      </c>
      <c r="I2" s="308"/>
      <c r="J2" s="309"/>
    </row>
    <row r="3" spans="1:10">
      <c r="A3" s="200" t="s">
        <v>120</v>
      </c>
      <c r="B3" s="308" t="s">
        <v>140</v>
      </c>
      <c r="C3" s="310"/>
      <c r="D3" s="310"/>
      <c r="E3" s="310"/>
      <c r="F3" s="310"/>
      <c r="G3" s="310"/>
      <c r="H3" s="200" t="s">
        <v>119</v>
      </c>
      <c r="I3" s="311"/>
      <c r="J3" s="274"/>
    </row>
    <row r="4" spans="1:10">
      <c r="A4" s="199"/>
      <c r="B4" s="199"/>
      <c r="C4" s="199"/>
      <c r="D4" s="199"/>
      <c r="E4" s="199"/>
      <c r="F4" s="199"/>
      <c r="G4" s="199"/>
      <c r="H4" s="199"/>
      <c r="I4" s="199"/>
      <c r="J4" s="199"/>
    </row>
    <row r="5" spans="1:10">
      <c r="A5" s="293" t="s">
        <v>118</v>
      </c>
      <c r="B5" s="296" t="s">
        <v>140</v>
      </c>
      <c r="C5" s="297"/>
      <c r="D5" s="297"/>
      <c r="E5" s="298"/>
      <c r="F5" s="293" t="s">
        <v>117</v>
      </c>
      <c r="G5" s="299" t="s">
        <v>143</v>
      </c>
      <c r="H5" s="299"/>
      <c r="I5" s="299"/>
      <c r="J5" s="299"/>
    </row>
    <row r="6" spans="1:10">
      <c r="A6" s="294"/>
      <c r="B6" s="300" t="s">
        <v>141</v>
      </c>
      <c r="C6" s="301"/>
      <c r="D6" s="301"/>
      <c r="E6" s="302"/>
      <c r="F6" s="294"/>
      <c r="G6" s="303"/>
      <c r="H6" s="303"/>
      <c r="I6" s="303"/>
      <c r="J6" s="303"/>
    </row>
    <row r="7" spans="1:10">
      <c r="A7" s="294"/>
      <c r="B7" s="300" t="s">
        <v>142</v>
      </c>
      <c r="C7" s="301"/>
      <c r="D7" s="301"/>
      <c r="E7" s="302"/>
      <c r="F7" s="294"/>
      <c r="G7" s="303"/>
      <c r="H7" s="303"/>
      <c r="I7" s="303"/>
      <c r="J7" s="303"/>
    </row>
    <row r="8" spans="1:10">
      <c r="A8" s="295"/>
      <c r="B8" s="300"/>
      <c r="C8" s="301"/>
      <c r="D8" s="301"/>
      <c r="E8" s="302"/>
      <c r="F8" s="295"/>
      <c r="G8" s="303"/>
      <c r="H8" s="303"/>
      <c r="I8" s="303"/>
      <c r="J8" s="303"/>
    </row>
    <row r="9" spans="1:10">
      <c r="A9" s="199"/>
      <c r="B9" s="304"/>
      <c r="C9" s="304"/>
      <c r="D9" s="304"/>
      <c r="E9" s="304"/>
      <c r="F9" s="304"/>
      <c r="G9" s="304"/>
      <c r="H9" s="304"/>
      <c r="I9" s="304"/>
      <c r="J9" s="304"/>
    </row>
    <row r="10" spans="1:10">
      <c r="A10" s="200" t="s">
        <v>115</v>
      </c>
      <c r="B10" s="272" t="s">
        <v>116</v>
      </c>
      <c r="C10" s="273"/>
      <c r="D10" s="273"/>
      <c r="E10" s="274"/>
      <c r="F10" s="272" t="s">
        <v>134</v>
      </c>
      <c r="G10" s="273"/>
      <c r="H10" s="273"/>
      <c r="I10" s="273"/>
      <c r="J10" s="274"/>
    </row>
    <row r="11" spans="1:10">
      <c r="A11" s="200" t="s">
        <v>115</v>
      </c>
      <c r="B11" s="272" t="s">
        <v>127</v>
      </c>
      <c r="C11" s="273"/>
      <c r="D11" s="273"/>
      <c r="E11" s="274"/>
      <c r="F11" s="272" t="s">
        <v>135</v>
      </c>
      <c r="G11" s="273"/>
      <c r="H11" s="273"/>
      <c r="I11" s="273"/>
      <c r="J11" s="274"/>
    </row>
    <row r="12" spans="1:10">
      <c r="A12" s="199"/>
      <c r="B12" s="199"/>
      <c r="C12" s="199"/>
      <c r="D12" s="199"/>
      <c r="E12" s="199"/>
      <c r="F12" s="199"/>
      <c r="G12" s="199"/>
      <c r="H12" s="199"/>
      <c r="I12" s="199"/>
      <c r="J12" s="199"/>
    </row>
    <row r="13" spans="1:10">
      <c r="A13" s="195" t="s">
        <v>114</v>
      </c>
      <c r="B13" s="199"/>
      <c r="C13" s="199"/>
      <c r="D13" s="199"/>
      <c r="E13" s="199"/>
      <c r="F13" s="199"/>
      <c r="G13" s="199"/>
      <c r="H13" s="199"/>
      <c r="I13" s="199"/>
      <c r="J13" s="199"/>
    </row>
    <row r="14" spans="1:10">
      <c r="A14" s="275" t="s">
        <v>128</v>
      </c>
      <c r="B14" s="276"/>
      <c r="C14" s="276"/>
      <c r="D14" s="276"/>
      <c r="E14" s="276"/>
      <c r="F14" s="276"/>
      <c r="G14" s="276"/>
      <c r="H14" s="276"/>
      <c r="I14" s="276"/>
      <c r="J14" s="277"/>
    </row>
    <row r="15" spans="1:10">
      <c r="A15" s="278"/>
      <c r="B15" s="279"/>
      <c r="C15" s="279"/>
      <c r="D15" s="279"/>
      <c r="E15" s="279"/>
      <c r="F15" s="279"/>
      <c r="G15" s="279"/>
      <c r="H15" s="279"/>
      <c r="I15" s="279"/>
      <c r="J15" s="280"/>
    </row>
    <row r="16" spans="1:10">
      <c r="A16" s="278"/>
      <c r="B16" s="279"/>
      <c r="C16" s="279"/>
      <c r="D16" s="279"/>
      <c r="E16" s="279"/>
      <c r="F16" s="279"/>
      <c r="G16" s="279"/>
      <c r="H16" s="279"/>
      <c r="I16" s="279"/>
      <c r="J16" s="280"/>
    </row>
    <row r="17" spans="1:10">
      <c r="A17" s="278"/>
      <c r="B17" s="279"/>
      <c r="C17" s="279"/>
      <c r="D17" s="279"/>
      <c r="E17" s="279"/>
      <c r="F17" s="279"/>
      <c r="G17" s="279"/>
      <c r="H17" s="279"/>
      <c r="I17" s="279"/>
      <c r="J17" s="280"/>
    </row>
    <row r="18" spans="1:10" ht="3.6" customHeight="1">
      <c r="A18" s="281"/>
      <c r="B18" s="282"/>
      <c r="C18" s="282"/>
      <c r="D18" s="282"/>
      <c r="E18" s="282"/>
      <c r="F18" s="282"/>
      <c r="G18" s="282"/>
      <c r="H18" s="282"/>
      <c r="I18" s="282"/>
      <c r="J18" s="283"/>
    </row>
    <row r="20" spans="1:10">
      <c r="A20" s="206" t="s">
        <v>113</v>
      </c>
    </row>
    <row r="21" spans="1:10">
      <c r="A21" s="284" t="s">
        <v>129</v>
      </c>
      <c r="B21" s="285"/>
      <c r="C21" s="285"/>
      <c r="D21" s="285"/>
      <c r="E21" s="286"/>
      <c r="G21" s="207"/>
      <c r="H21" s="208" t="s">
        <v>112</v>
      </c>
      <c r="I21" s="208" t="s">
        <v>111</v>
      </c>
      <c r="J21" s="208" t="s">
        <v>110</v>
      </c>
    </row>
    <row r="22" spans="1:10" ht="13.35" customHeight="1">
      <c r="A22" s="287" t="s">
        <v>130</v>
      </c>
      <c r="B22" s="288"/>
      <c r="C22" s="288"/>
      <c r="D22" s="288"/>
      <c r="E22" s="289"/>
      <c r="G22" s="268">
        <v>1</v>
      </c>
      <c r="H22" s="269" t="s">
        <v>109</v>
      </c>
      <c r="I22" s="261">
        <f>'Preliminaries Cost Sheet'!$I$37</f>
        <v>0</v>
      </c>
      <c r="J22" s="261">
        <v>0</v>
      </c>
    </row>
    <row r="23" spans="1:10" ht="13.35" customHeight="1">
      <c r="A23" s="287" t="s">
        <v>131</v>
      </c>
      <c r="B23" s="288"/>
      <c r="C23" s="288"/>
      <c r="D23" s="288"/>
      <c r="E23" s="289"/>
      <c r="G23" s="268"/>
      <c r="H23" s="269"/>
      <c r="I23" s="261"/>
      <c r="J23" s="261"/>
    </row>
    <row r="24" spans="1:10" ht="13.35" customHeight="1">
      <c r="A24" s="290"/>
      <c r="B24" s="291"/>
      <c r="C24" s="291"/>
      <c r="D24" s="291"/>
      <c r="E24" s="292"/>
      <c r="G24" s="268">
        <v>2</v>
      </c>
      <c r="H24" s="269" t="s">
        <v>47</v>
      </c>
      <c r="I24" s="270">
        <f>'Variation Cost Sheet'!$N$61</f>
        <v>0</v>
      </c>
      <c r="J24" s="261">
        <f>'Variation Cost Sheet'!$Q$61</f>
        <v>0</v>
      </c>
    </row>
    <row r="25" spans="1:10" ht="13.35" customHeight="1">
      <c r="G25" s="268"/>
      <c r="H25" s="269"/>
      <c r="I25" s="271"/>
      <c r="J25" s="261"/>
    </row>
    <row r="26" spans="1:10" ht="13.35" customHeight="1">
      <c r="A26" s="209" t="s">
        <v>108</v>
      </c>
      <c r="G26" s="268">
        <v>3</v>
      </c>
      <c r="H26" s="269" t="s">
        <v>92</v>
      </c>
      <c r="I26" s="261">
        <f>'Variation Cost Sheet'!$N$52</f>
        <v>0</v>
      </c>
      <c r="J26" s="261">
        <f>'Variation Cost Sheet'!$Q$52</f>
        <v>0</v>
      </c>
    </row>
    <row r="27" spans="1:10" ht="13.35" customHeight="1">
      <c r="A27" s="210"/>
      <c r="B27" s="211"/>
      <c r="C27" s="211"/>
      <c r="D27" s="211"/>
      <c r="E27" s="212"/>
      <c r="G27" s="268"/>
      <c r="H27" s="269"/>
      <c r="I27" s="261"/>
      <c r="J27" s="261"/>
    </row>
    <row r="28" spans="1:10">
      <c r="A28" s="213"/>
      <c r="B28" s="214" t="s">
        <v>107</v>
      </c>
      <c r="E28" s="215"/>
      <c r="G28" s="268">
        <v>4</v>
      </c>
      <c r="H28" s="269" t="s">
        <v>106</v>
      </c>
      <c r="I28" s="261">
        <f>'Variation Cost Sheet'!$N$56</f>
        <v>0</v>
      </c>
      <c r="J28" s="261">
        <f>'Variation Cost Sheet'!$Q$56</f>
        <v>0</v>
      </c>
    </row>
    <row r="29" spans="1:10">
      <c r="A29" s="213"/>
      <c r="B29" s="214" t="s">
        <v>105</v>
      </c>
      <c r="E29" s="215"/>
      <c r="G29" s="268"/>
      <c r="H29" s="269"/>
      <c r="I29" s="261"/>
      <c r="J29" s="261"/>
    </row>
    <row r="30" spans="1:10" ht="13.35" customHeight="1">
      <c r="A30" s="216"/>
      <c r="B30" s="217"/>
      <c r="C30" s="217"/>
      <c r="D30" s="217"/>
      <c r="E30" s="218"/>
      <c r="G30" s="268">
        <v>5</v>
      </c>
      <c r="H30" s="269" t="s">
        <v>104</v>
      </c>
      <c r="I30" s="261">
        <f>'Preliminaries Cost Sheet'!$I$42</f>
        <v>0</v>
      </c>
      <c r="J30" s="261">
        <v>0</v>
      </c>
    </row>
    <row r="31" spans="1:10" ht="13.35" customHeight="1">
      <c r="G31" s="268"/>
      <c r="H31" s="269"/>
      <c r="I31" s="261"/>
      <c r="J31" s="261"/>
    </row>
    <row r="32" spans="1:10">
      <c r="A32" s="206" t="s">
        <v>103</v>
      </c>
      <c r="G32" s="268">
        <v>6</v>
      </c>
      <c r="H32" s="269" t="s">
        <v>102</v>
      </c>
      <c r="I32" s="270">
        <f>'Preliminaries Cost Sheet'!$I$46</f>
        <v>0</v>
      </c>
      <c r="J32" s="261">
        <v>0</v>
      </c>
    </row>
    <row r="33" spans="1:13" ht="13.35" customHeight="1">
      <c r="A33" s="210"/>
      <c r="B33" s="211"/>
      <c r="C33" s="211"/>
      <c r="D33" s="211"/>
      <c r="E33" s="212"/>
      <c r="G33" s="268"/>
      <c r="H33" s="269"/>
      <c r="I33" s="271"/>
      <c r="J33" s="261"/>
    </row>
    <row r="34" spans="1:13">
      <c r="A34" s="213"/>
      <c r="B34" s="214" t="s">
        <v>125</v>
      </c>
      <c r="E34" s="215"/>
      <c r="G34" s="263">
        <v>7</v>
      </c>
      <c r="H34" s="264"/>
      <c r="I34" s="266"/>
      <c r="J34" s="266"/>
      <c r="M34" s="196"/>
    </row>
    <row r="35" spans="1:13">
      <c r="A35" s="213"/>
      <c r="B35" s="214" t="s">
        <v>101</v>
      </c>
      <c r="E35" s="215"/>
      <c r="G35" s="263"/>
      <c r="H35" s="265"/>
      <c r="I35" s="266"/>
      <c r="J35" s="266"/>
    </row>
    <row r="36" spans="1:13" ht="13.35" customHeight="1">
      <c r="A36" s="216"/>
      <c r="B36" s="217"/>
      <c r="C36" s="217"/>
      <c r="D36" s="217"/>
      <c r="E36" s="218"/>
      <c r="G36" s="258">
        <v>8</v>
      </c>
      <c r="H36" s="267"/>
      <c r="I36" s="258"/>
      <c r="J36" s="258"/>
    </row>
    <row r="37" spans="1:13" ht="13.35" customHeight="1">
      <c r="G37" s="258"/>
      <c r="H37" s="267"/>
      <c r="I37" s="258"/>
      <c r="J37" s="258"/>
    </row>
    <row r="38" spans="1:13">
      <c r="A38" s="206" t="s">
        <v>100</v>
      </c>
      <c r="G38" s="258"/>
      <c r="H38" s="258"/>
      <c r="I38" s="258"/>
      <c r="J38" s="258"/>
    </row>
    <row r="39" spans="1:13" ht="13.35" customHeight="1">
      <c r="A39" s="210"/>
      <c r="B39" s="211"/>
      <c r="C39" s="211"/>
      <c r="D39" s="211"/>
      <c r="E39" s="212"/>
      <c r="G39" s="258"/>
      <c r="H39" s="258"/>
      <c r="I39" s="259"/>
      <c r="J39" s="259"/>
    </row>
    <row r="40" spans="1:13">
      <c r="B40" s="214" t="s">
        <v>132</v>
      </c>
      <c r="E40" s="215"/>
      <c r="G40" s="233"/>
      <c r="H40" s="260" t="s">
        <v>99</v>
      </c>
      <c r="I40" s="261">
        <f>SUM(I22:I39)</f>
        <v>0</v>
      </c>
      <c r="J40" s="261">
        <f>SUM(J22:J39)</f>
        <v>0</v>
      </c>
    </row>
    <row r="41" spans="1:13">
      <c r="A41" s="213"/>
      <c r="B41" s="214" t="s">
        <v>98</v>
      </c>
      <c r="E41" s="215"/>
      <c r="G41" s="233"/>
      <c r="H41" s="260"/>
      <c r="I41" s="262"/>
      <c r="J41" s="262"/>
    </row>
    <row r="42" spans="1:13">
      <c r="A42" s="213"/>
      <c r="B42" s="214"/>
      <c r="E42" s="215"/>
      <c r="G42" s="233"/>
      <c r="H42" s="234" t="s">
        <v>97</v>
      </c>
      <c r="I42" s="235"/>
      <c r="J42" s="236">
        <f>J40+I40</f>
        <v>0</v>
      </c>
    </row>
    <row r="43" spans="1:13">
      <c r="A43" s="238" t="s">
        <v>133</v>
      </c>
      <c r="B43" s="239"/>
      <c r="C43" s="239"/>
      <c r="D43" s="239"/>
      <c r="E43" s="240"/>
      <c r="G43" s="233"/>
      <c r="H43" s="234"/>
      <c r="I43" s="235"/>
      <c r="J43" s="237"/>
    </row>
    <row r="44" spans="1:13" ht="13.35" customHeight="1">
      <c r="A44" s="241"/>
      <c r="B44" s="239"/>
      <c r="C44" s="239"/>
      <c r="D44" s="239"/>
      <c r="E44" s="240"/>
      <c r="G44" s="214"/>
      <c r="H44" s="221"/>
      <c r="I44" s="221"/>
      <c r="J44" s="222"/>
    </row>
    <row r="45" spans="1:13" ht="13.35" customHeight="1">
      <c r="A45" s="241"/>
      <c r="B45" s="239"/>
      <c r="C45" s="239"/>
      <c r="D45" s="239"/>
      <c r="E45" s="240"/>
      <c r="G45" s="214"/>
      <c r="H45" s="221"/>
      <c r="I45" s="221"/>
      <c r="J45" s="214"/>
    </row>
    <row r="46" spans="1:13" ht="13.35" customHeight="1">
      <c r="A46" s="242"/>
      <c r="B46" s="243"/>
      <c r="C46" s="243"/>
      <c r="D46" s="243"/>
      <c r="E46" s="244"/>
      <c r="G46" s="219"/>
      <c r="H46" s="220"/>
      <c r="I46" s="220"/>
      <c r="J46" s="219"/>
    </row>
    <row r="47" spans="1:13" ht="13.35" customHeight="1">
      <c r="G47" s="219"/>
      <c r="H47" s="220"/>
      <c r="I47" s="220"/>
      <c r="J47" s="219"/>
    </row>
    <row r="48" spans="1:13">
      <c r="A48" s="195" t="s">
        <v>96</v>
      </c>
      <c r="G48" s="256" t="s">
        <v>95</v>
      </c>
      <c r="H48" s="256"/>
      <c r="I48" s="257"/>
      <c r="J48" s="257"/>
    </row>
    <row r="50" spans="1:10" ht="18.95" customHeight="1">
      <c r="A50" s="245" t="s">
        <v>94</v>
      </c>
      <c r="B50" s="247"/>
      <c r="C50" s="248"/>
      <c r="D50" s="248"/>
      <c r="E50" s="248"/>
      <c r="F50" s="249"/>
      <c r="G50" s="253" t="s">
        <v>93</v>
      </c>
      <c r="H50" s="255"/>
      <c r="I50" s="248"/>
      <c r="J50" s="249"/>
    </row>
    <row r="51" spans="1:10" ht="3.6" customHeight="1">
      <c r="A51" s="246"/>
      <c r="B51" s="250"/>
      <c r="C51" s="251"/>
      <c r="D51" s="251"/>
      <c r="E51" s="251"/>
      <c r="F51" s="252"/>
      <c r="G51" s="254"/>
      <c r="H51" s="250"/>
      <c r="I51" s="251"/>
      <c r="J51" s="252"/>
    </row>
    <row r="53" spans="1:10">
      <c r="B53" s="232" t="s">
        <v>126</v>
      </c>
      <c r="C53" s="232"/>
    </row>
    <row r="66" s="130" customFormat="1"/>
  </sheetData>
  <sheetProtection selectLockedCells="1"/>
  <mergeCells count="78">
    <mergeCell ref="A1:G1"/>
    <mergeCell ref="H1:J1"/>
    <mergeCell ref="B2:G2"/>
    <mergeCell ref="I2:J2"/>
    <mergeCell ref="B3:G3"/>
    <mergeCell ref="I3:J3"/>
    <mergeCell ref="A23:E23"/>
    <mergeCell ref="A5:A8"/>
    <mergeCell ref="B5:E5"/>
    <mergeCell ref="F5:F8"/>
    <mergeCell ref="G5:J5"/>
    <mergeCell ref="B6:E6"/>
    <mergeCell ref="G6:J6"/>
    <mergeCell ref="B7:E7"/>
    <mergeCell ref="G7:J7"/>
    <mergeCell ref="B8:E8"/>
    <mergeCell ref="G8:J8"/>
    <mergeCell ref="B9:E9"/>
    <mergeCell ref="F9:J9"/>
    <mergeCell ref="B10:E10"/>
    <mergeCell ref="F10:J10"/>
    <mergeCell ref="B11:E11"/>
    <mergeCell ref="A24:E24"/>
    <mergeCell ref="G24:G25"/>
    <mergeCell ref="H24:H25"/>
    <mergeCell ref="J24:J25"/>
    <mergeCell ref="I24:I25"/>
    <mergeCell ref="F11:J11"/>
    <mergeCell ref="G28:G29"/>
    <mergeCell ref="H28:H29"/>
    <mergeCell ref="J28:J29"/>
    <mergeCell ref="I28:I29"/>
    <mergeCell ref="G26:G27"/>
    <mergeCell ref="H26:H27"/>
    <mergeCell ref="J26:J27"/>
    <mergeCell ref="I26:I27"/>
    <mergeCell ref="A14:J18"/>
    <mergeCell ref="A21:E21"/>
    <mergeCell ref="A22:E22"/>
    <mergeCell ref="G22:G23"/>
    <mergeCell ref="H22:H23"/>
    <mergeCell ref="J22:J23"/>
    <mergeCell ref="I22:I23"/>
    <mergeCell ref="G30:G31"/>
    <mergeCell ref="H30:H31"/>
    <mergeCell ref="J30:J31"/>
    <mergeCell ref="I30:I31"/>
    <mergeCell ref="G32:G33"/>
    <mergeCell ref="H32:H33"/>
    <mergeCell ref="J32:J33"/>
    <mergeCell ref="I32:I33"/>
    <mergeCell ref="G34:G35"/>
    <mergeCell ref="H34:H35"/>
    <mergeCell ref="J34:J35"/>
    <mergeCell ref="I34:I35"/>
    <mergeCell ref="G36:G37"/>
    <mergeCell ref="H36:H37"/>
    <mergeCell ref="J36:J37"/>
    <mergeCell ref="I36:I37"/>
    <mergeCell ref="G38:G39"/>
    <mergeCell ref="H38:H39"/>
    <mergeCell ref="J38:J39"/>
    <mergeCell ref="I38:I39"/>
    <mergeCell ref="G40:G41"/>
    <mergeCell ref="H40:H41"/>
    <mergeCell ref="J40:J41"/>
    <mergeCell ref="I40:I41"/>
    <mergeCell ref="B53:C53"/>
    <mergeCell ref="G42:G43"/>
    <mergeCell ref="H42:I43"/>
    <mergeCell ref="J42:J43"/>
    <mergeCell ref="A43:E46"/>
    <mergeCell ref="A50:A51"/>
    <mergeCell ref="B50:F51"/>
    <mergeCell ref="G50:G51"/>
    <mergeCell ref="H50:J51"/>
    <mergeCell ref="G48:H48"/>
    <mergeCell ref="I48:J48"/>
  </mergeCells>
  <pageMargins left="0.7" right="0.7" top="0.75" bottom="0.75" header="0.3" footer="0.3"/>
  <pageSetup scale="90" orientation="portrait" r:id="rId1"/>
  <ignoredErrors>
    <ignoredError sqref="H22:J23 H25:J33 H24 J24 H37:J43 I36:J36 J34 J35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0</xdr:col>
                    <xdr:colOff>390525</xdr:colOff>
                    <xdr:row>26</xdr:row>
                    <xdr:rowOff>142875</xdr:rowOff>
                  </from>
                  <to>
                    <xdr:col>1</xdr:col>
                    <xdr:colOff>180975</xdr:colOff>
                    <xdr:row>28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0</xdr:col>
                    <xdr:colOff>390525</xdr:colOff>
                    <xdr:row>27</xdr:row>
                    <xdr:rowOff>142875</xdr:rowOff>
                  </from>
                  <to>
                    <xdr:col>1</xdr:col>
                    <xdr:colOff>180975</xdr:colOff>
                    <xdr:row>29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0</xdr:col>
                    <xdr:colOff>390525</xdr:colOff>
                    <xdr:row>33</xdr:row>
                    <xdr:rowOff>152400</xdr:rowOff>
                  </from>
                  <to>
                    <xdr:col>1</xdr:col>
                    <xdr:colOff>180975</xdr:colOff>
                    <xdr:row>35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0</xdr:col>
                    <xdr:colOff>390525</xdr:colOff>
                    <xdr:row>32</xdr:row>
                    <xdr:rowOff>142875</xdr:rowOff>
                  </from>
                  <to>
                    <xdr:col>1</xdr:col>
                    <xdr:colOff>180975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0</xdr:col>
                    <xdr:colOff>390525</xdr:colOff>
                    <xdr:row>39</xdr:row>
                    <xdr:rowOff>152400</xdr:rowOff>
                  </from>
                  <to>
                    <xdr:col>1</xdr:col>
                    <xdr:colOff>161925</xdr:colOff>
                    <xdr:row>41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0</xdr:col>
                    <xdr:colOff>390525</xdr:colOff>
                    <xdr:row>38</xdr:row>
                    <xdr:rowOff>142875</xdr:rowOff>
                  </from>
                  <to>
                    <xdr:col>1</xdr:col>
                    <xdr:colOff>161925</xdr:colOff>
                    <xdr:row>40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4</xdr:col>
                    <xdr:colOff>390525</xdr:colOff>
                    <xdr:row>46</xdr:row>
                    <xdr:rowOff>123825</xdr:rowOff>
                  </from>
                  <to>
                    <xdr:col>5</xdr:col>
                    <xdr:colOff>228600</xdr:colOff>
                    <xdr:row>48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118C-AA66-45DD-8408-F7CC07939B86}">
  <dimension ref="A1:F73"/>
  <sheetViews>
    <sheetView showZeros="0" showWhiteSpace="0" view="pageBreakPreview" zoomScaleNormal="130" zoomScaleSheetLayoutView="100" workbookViewId="0">
      <selection activeCell="D61" sqref="D61"/>
    </sheetView>
  </sheetViews>
  <sheetFormatPr defaultColWidth="9.42578125" defaultRowHeight="12.75"/>
  <cols>
    <col min="1" max="2" width="8.28515625" style="130" customWidth="1"/>
    <col min="3" max="3" width="54.85546875" style="130" customWidth="1"/>
    <col min="4" max="4" width="12.5703125" style="130" customWidth="1"/>
    <col min="5" max="6" width="14.140625" style="130" bestFit="1" customWidth="1"/>
    <col min="7" max="16384" width="9.42578125" style="130"/>
  </cols>
  <sheetData>
    <row r="1" spans="1:6" ht="57.6" customHeight="1" thickBot="1">
      <c r="A1" s="313" t="s">
        <v>124</v>
      </c>
      <c r="B1" s="313"/>
      <c r="C1" s="314"/>
      <c r="D1" s="307"/>
      <c r="E1" s="307"/>
      <c r="F1" s="307"/>
    </row>
    <row r="2" spans="1:6" ht="15">
      <c r="A2" s="182" t="s">
        <v>53</v>
      </c>
      <c r="B2" s="181" t="s">
        <v>54</v>
      </c>
      <c r="C2" s="180" t="s">
        <v>14</v>
      </c>
      <c r="D2" s="179" t="s">
        <v>49</v>
      </c>
      <c r="E2" s="179" t="s">
        <v>50</v>
      </c>
      <c r="F2" s="178" t="s">
        <v>0</v>
      </c>
    </row>
    <row r="3" spans="1:6" ht="15">
      <c r="A3" s="177"/>
      <c r="B3" s="175"/>
      <c r="C3" s="176"/>
      <c r="D3" s="175"/>
      <c r="E3" s="175"/>
      <c r="F3" s="174"/>
    </row>
    <row r="4" spans="1:6" ht="15">
      <c r="A4" s="177"/>
      <c r="B4" s="175"/>
      <c r="C4" s="173" t="str">
        <f>'Variation Cost Sheet'!$E$11</f>
        <v>LABOUR / MATERIALS / SUB-CONTRACTORS</v>
      </c>
      <c r="D4" s="175"/>
      <c r="E4" s="175"/>
      <c r="F4" s="174"/>
    </row>
    <row r="5" spans="1:6" ht="15">
      <c r="A5" s="177"/>
      <c r="B5" s="175"/>
      <c r="C5" s="176"/>
      <c r="D5" s="175"/>
      <c r="E5" s="175"/>
      <c r="F5" s="174"/>
    </row>
    <row r="6" spans="1:6" ht="14.25">
      <c r="A6" s="171">
        <f>'Variation Cost Sheet'!E14</f>
        <v>0</v>
      </c>
      <c r="B6" s="154">
        <f>'Variation Cost Sheet'!F14</f>
        <v>0</v>
      </c>
      <c r="C6" s="172">
        <f>'Variation Cost Sheet'!$G$14</f>
        <v>0</v>
      </c>
      <c r="D6" s="152">
        <f>'Variation Cost Sheet'!$N14</f>
        <v>0</v>
      </c>
      <c r="E6" s="152">
        <f>'Variation Cost Sheet'!$Q$14</f>
        <v>0</v>
      </c>
      <c r="F6" s="151">
        <f t="shared" ref="F6:F39" si="0">SUM(D6:E6)</f>
        <v>0</v>
      </c>
    </row>
    <row r="7" spans="1:6" ht="14.25">
      <c r="A7" s="171"/>
      <c r="B7" s="154"/>
      <c r="C7" s="172"/>
      <c r="D7" s="152"/>
      <c r="E7" s="152"/>
      <c r="F7" s="151">
        <f t="shared" si="0"/>
        <v>0</v>
      </c>
    </row>
    <row r="8" spans="1:6" ht="14.25">
      <c r="A8" s="171"/>
      <c r="B8" s="154"/>
      <c r="C8" s="172"/>
      <c r="D8" s="152"/>
      <c r="E8" s="152"/>
      <c r="F8" s="151">
        <f t="shared" si="0"/>
        <v>0</v>
      </c>
    </row>
    <row r="9" spans="1:6" ht="14.25">
      <c r="A9" s="171"/>
      <c r="B9" s="154"/>
      <c r="C9" s="172"/>
      <c r="D9" s="152"/>
      <c r="E9" s="152"/>
      <c r="F9" s="151">
        <f t="shared" si="0"/>
        <v>0</v>
      </c>
    </row>
    <row r="10" spans="1:6" ht="14.25">
      <c r="A10" s="171">
        <f>'Variation Cost Sheet'!$E18</f>
        <v>0</v>
      </c>
      <c r="B10" s="170">
        <f>'Variation Cost Sheet'!F18</f>
        <v>0</v>
      </c>
      <c r="C10" s="169">
        <f>'Variation Cost Sheet'!$G18</f>
        <v>0</v>
      </c>
      <c r="D10" s="152">
        <f>'Variation Cost Sheet'!$N18</f>
        <v>0</v>
      </c>
      <c r="E10" s="152">
        <f>'Variation Cost Sheet'!$Q18</f>
        <v>0</v>
      </c>
      <c r="F10" s="156">
        <f t="shared" si="0"/>
        <v>0</v>
      </c>
    </row>
    <row r="11" spans="1:6" ht="14.25">
      <c r="A11" s="171">
        <f>'Variation Cost Sheet'!$E19</f>
        <v>0</v>
      </c>
      <c r="B11" s="170">
        <f>'Variation Cost Sheet'!F19</f>
        <v>0</v>
      </c>
      <c r="C11" s="169">
        <f>'Variation Cost Sheet'!$G19</f>
        <v>0</v>
      </c>
      <c r="D11" s="152">
        <f>'Variation Cost Sheet'!$N19</f>
        <v>0</v>
      </c>
      <c r="E11" s="152">
        <f>'Variation Cost Sheet'!$Q19</f>
        <v>0</v>
      </c>
      <c r="F11" s="156">
        <f t="shared" si="0"/>
        <v>0</v>
      </c>
    </row>
    <row r="12" spans="1:6" ht="16.350000000000001" customHeight="1">
      <c r="A12" s="171">
        <f>'Variation Cost Sheet'!$E20</f>
        <v>0</v>
      </c>
      <c r="B12" s="170">
        <f>'Variation Cost Sheet'!F20</f>
        <v>0</v>
      </c>
      <c r="C12" s="169">
        <f>'Variation Cost Sheet'!$G20</f>
        <v>0</v>
      </c>
      <c r="D12" s="152">
        <f>'Variation Cost Sheet'!$N20</f>
        <v>0</v>
      </c>
      <c r="E12" s="152">
        <f>'Variation Cost Sheet'!$Q20</f>
        <v>0</v>
      </c>
      <c r="F12" s="156">
        <f t="shared" si="0"/>
        <v>0</v>
      </c>
    </row>
    <row r="13" spans="1:6" ht="14.25">
      <c r="A13" s="171">
        <f>'Variation Cost Sheet'!$E21</f>
        <v>0</v>
      </c>
      <c r="B13" s="170">
        <f>'Variation Cost Sheet'!F21</f>
        <v>0</v>
      </c>
      <c r="C13" s="169">
        <f>'Variation Cost Sheet'!$G21</f>
        <v>0</v>
      </c>
      <c r="D13" s="152">
        <f>'Variation Cost Sheet'!$N21</f>
        <v>0</v>
      </c>
      <c r="E13" s="152">
        <f>'Variation Cost Sheet'!$Q21</f>
        <v>0</v>
      </c>
      <c r="F13" s="156">
        <f t="shared" si="0"/>
        <v>0</v>
      </c>
    </row>
    <row r="14" spans="1:6" ht="14.25">
      <c r="A14" s="171">
        <f>'Variation Cost Sheet'!$E22</f>
        <v>0</v>
      </c>
      <c r="B14" s="170">
        <f>'Variation Cost Sheet'!F22</f>
        <v>0</v>
      </c>
      <c r="C14" s="169">
        <f>'Variation Cost Sheet'!$G22</f>
        <v>0</v>
      </c>
      <c r="D14" s="152">
        <f>'Variation Cost Sheet'!$N22</f>
        <v>0</v>
      </c>
      <c r="E14" s="152">
        <f>'Variation Cost Sheet'!$Q22</f>
        <v>0</v>
      </c>
      <c r="F14" s="156">
        <f t="shared" si="0"/>
        <v>0</v>
      </c>
    </row>
    <row r="15" spans="1:6" ht="14.25">
      <c r="A15" s="171">
        <f>'Variation Cost Sheet'!$E23</f>
        <v>0</v>
      </c>
      <c r="B15" s="170">
        <f>'Variation Cost Sheet'!F23</f>
        <v>0</v>
      </c>
      <c r="C15" s="169">
        <f>'Variation Cost Sheet'!$G23</f>
        <v>0</v>
      </c>
      <c r="D15" s="152">
        <f>'Variation Cost Sheet'!$N23</f>
        <v>0</v>
      </c>
      <c r="E15" s="152">
        <f>'Variation Cost Sheet'!$Q23</f>
        <v>0</v>
      </c>
      <c r="F15" s="156">
        <f t="shared" si="0"/>
        <v>0</v>
      </c>
    </row>
    <row r="16" spans="1:6" ht="14.25">
      <c r="A16" s="171">
        <f>'Variation Cost Sheet'!$E24</f>
        <v>0</v>
      </c>
      <c r="B16" s="170">
        <f>'Variation Cost Sheet'!F24</f>
        <v>0</v>
      </c>
      <c r="C16" s="169">
        <f>'Variation Cost Sheet'!$G24</f>
        <v>0</v>
      </c>
      <c r="D16" s="152">
        <f>'Variation Cost Sheet'!$N24</f>
        <v>0</v>
      </c>
      <c r="E16" s="152">
        <f>'Variation Cost Sheet'!$Q24</f>
        <v>0</v>
      </c>
      <c r="F16" s="156">
        <f t="shared" si="0"/>
        <v>0</v>
      </c>
    </row>
    <row r="17" spans="1:6" ht="14.25">
      <c r="A17" s="171">
        <f>'Variation Cost Sheet'!$E25</f>
        <v>0</v>
      </c>
      <c r="B17" s="170">
        <f>'Variation Cost Sheet'!F25</f>
        <v>0</v>
      </c>
      <c r="C17" s="169">
        <f>'Variation Cost Sheet'!$G25</f>
        <v>0</v>
      </c>
      <c r="D17" s="152">
        <f>'Variation Cost Sheet'!$N25</f>
        <v>0</v>
      </c>
      <c r="E17" s="152">
        <f>'Variation Cost Sheet'!$Q25</f>
        <v>0</v>
      </c>
      <c r="F17" s="156">
        <f t="shared" si="0"/>
        <v>0</v>
      </c>
    </row>
    <row r="18" spans="1:6" ht="14.25">
      <c r="A18" s="171">
        <f>'Variation Cost Sheet'!$E26</f>
        <v>0</v>
      </c>
      <c r="B18" s="170">
        <f>'Variation Cost Sheet'!F26</f>
        <v>0</v>
      </c>
      <c r="C18" s="169">
        <f>'Variation Cost Sheet'!$G26</f>
        <v>0</v>
      </c>
      <c r="D18" s="152">
        <f>'Variation Cost Sheet'!$N26</f>
        <v>0</v>
      </c>
      <c r="E18" s="152">
        <f>'Variation Cost Sheet'!$Q26</f>
        <v>0</v>
      </c>
      <c r="F18" s="156">
        <f t="shared" si="0"/>
        <v>0</v>
      </c>
    </row>
    <row r="19" spans="1:6" ht="14.25">
      <c r="A19" s="171">
        <f>'Variation Cost Sheet'!$E27</f>
        <v>0</v>
      </c>
      <c r="B19" s="170">
        <f>'Variation Cost Sheet'!F27</f>
        <v>0</v>
      </c>
      <c r="C19" s="169">
        <f>'Variation Cost Sheet'!$G27</f>
        <v>0</v>
      </c>
      <c r="D19" s="152">
        <f>'Variation Cost Sheet'!$N27</f>
        <v>0</v>
      </c>
      <c r="E19" s="152">
        <f>'Variation Cost Sheet'!$Q27</f>
        <v>0</v>
      </c>
      <c r="F19" s="156">
        <f t="shared" si="0"/>
        <v>0</v>
      </c>
    </row>
    <row r="20" spans="1:6" ht="14.25">
      <c r="A20" s="171">
        <f>'Variation Cost Sheet'!$E28</f>
        <v>0</v>
      </c>
      <c r="B20" s="170">
        <f>'Variation Cost Sheet'!F28</f>
        <v>0</v>
      </c>
      <c r="C20" s="169">
        <f>'Variation Cost Sheet'!$G28</f>
        <v>0</v>
      </c>
      <c r="D20" s="152">
        <f>'Variation Cost Sheet'!$N28</f>
        <v>0</v>
      </c>
      <c r="E20" s="152">
        <f>'Variation Cost Sheet'!$Q28</f>
        <v>0</v>
      </c>
      <c r="F20" s="156">
        <f t="shared" si="0"/>
        <v>0</v>
      </c>
    </row>
    <row r="21" spans="1:6" ht="14.25">
      <c r="A21" s="171">
        <f>'Variation Cost Sheet'!$E29</f>
        <v>0</v>
      </c>
      <c r="B21" s="170">
        <f>'Variation Cost Sheet'!F29</f>
        <v>0</v>
      </c>
      <c r="C21" s="169">
        <f>'Variation Cost Sheet'!$G29</f>
        <v>0</v>
      </c>
      <c r="D21" s="152">
        <f>'Variation Cost Sheet'!$N29</f>
        <v>0</v>
      </c>
      <c r="E21" s="152">
        <f>'Variation Cost Sheet'!$Q29</f>
        <v>0</v>
      </c>
      <c r="F21" s="156">
        <f t="shared" si="0"/>
        <v>0</v>
      </c>
    </row>
    <row r="22" spans="1:6" ht="14.25">
      <c r="A22" s="171">
        <f>'Variation Cost Sheet'!$E30</f>
        <v>0</v>
      </c>
      <c r="B22" s="170">
        <f>'Variation Cost Sheet'!F30</f>
        <v>0</v>
      </c>
      <c r="C22" s="169">
        <f>'Variation Cost Sheet'!$G30</f>
        <v>0</v>
      </c>
      <c r="D22" s="152">
        <f>'Variation Cost Sheet'!$N30</f>
        <v>0</v>
      </c>
      <c r="E22" s="152">
        <f>'Variation Cost Sheet'!$Q30</f>
        <v>0</v>
      </c>
      <c r="F22" s="156">
        <f t="shared" si="0"/>
        <v>0</v>
      </c>
    </row>
    <row r="23" spans="1:6" ht="14.25">
      <c r="A23" s="171">
        <f>'Variation Cost Sheet'!$E31</f>
        <v>0</v>
      </c>
      <c r="B23" s="170">
        <f>'Variation Cost Sheet'!F31</f>
        <v>0</v>
      </c>
      <c r="C23" s="169">
        <f>'Variation Cost Sheet'!$G31</f>
        <v>0</v>
      </c>
      <c r="D23" s="152">
        <f>'Variation Cost Sheet'!$N31</f>
        <v>0</v>
      </c>
      <c r="E23" s="152">
        <f>'Variation Cost Sheet'!$Q31</f>
        <v>0</v>
      </c>
      <c r="F23" s="156">
        <f t="shared" si="0"/>
        <v>0</v>
      </c>
    </row>
    <row r="24" spans="1:6" ht="14.25">
      <c r="A24" s="171">
        <f>'Variation Cost Sheet'!$E32</f>
        <v>0</v>
      </c>
      <c r="B24" s="170">
        <f>'Variation Cost Sheet'!F32</f>
        <v>0</v>
      </c>
      <c r="C24" s="169">
        <f>'Variation Cost Sheet'!$G32</f>
        <v>0</v>
      </c>
      <c r="D24" s="152">
        <f>'Variation Cost Sheet'!$N32</f>
        <v>0</v>
      </c>
      <c r="E24" s="152">
        <f>'Variation Cost Sheet'!$Q32</f>
        <v>0</v>
      </c>
      <c r="F24" s="156">
        <f t="shared" si="0"/>
        <v>0</v>
      </c>
    </row>
    <row r="25" spans="1:6" ht="14.25">
      <c r="A25" s="171">
        <f>'Variation Cost Sheet'!$E33</f>
        <v>0</v>
      </c>
      <c r="B25" s="170">
        <f>'Variation Cost Sheet'!F33</f>
        <v>0</v>
      </c>
      <c r="C25" s="169">
        <f>'Variation Cost Sheet'!$G33</f>
        <v>0</v>
      </c>
      <c r="D25" s="152">
        <f>'Variation Cost Sheet'!$N33</f>
        <v>0</v>
      </c>
      <c r="E25" s="152">
        <f>'Variation Cost Sheet'!$Q33</f>
        <v>0</v>
      </c>
      <c r="F25" s="156">
        <f t="shared" si="0"/>
        <v>0</v>
      </c>
    </row>
    <row r="26" spans="1:6" ht="14.25">
      <c r="A26" s="171">
        <f>'Variation Cost Sheet'!$E34</f>
        <v>0</v>
      </c>
      <c r="B26" s="170">
        <f>'Variation Cost Sheet'!F34</f>
        <v>0</v>
      </c>
      <c r="C26" s="169">
        <f>'Variation Cost Sheet'!$G34</f>
        <v>0</v>
      </c>
      <c r="D26" s="152">
        <f>'Variation Cost Sheet'!$N34</f>
        <v>0</v>
      </c>
      <c r="E26" s="152">
        <f>'Variation Cost Sheet'!$Q34</f>
        <v>0</v>
      </c>
      <c r="F26" s="156">
        <f t="shared" si="0"/>
        <v>0</v>
      </c>
    </row>
    <row r="27" spans="1:6" ht="14.25">
      <c r="A27" s="171">
        <f>'Variation Cost Sheet'!$E35</f>
        <v>0</v>
      </c>
      <c r="B27" s="170">
        <f>'Variation Cost Sheet'!F35</f>
        <v>0</v>
      </c>
      <c r="C27" s="169">
        <f>'Variation Cost Sheet'!$G35</f>
        <v>0</v>
      </c>
      <c r="D27" s="152">
        <f>'Variation Cost Sheet'!$N35</f>
        <v>0</v>
      </c>
      <c r="E27" s="152">
        <f>'Variation Cost Sheet'!$Q35</f>
        <v>0</v>
      </c>
      <c r="F27" s="156">
        <f t="shared" si="0"/>
        <v>0</v>
      </c>
    </row>
    <row r="28" spans="1:6" ht="14.25">
      <c r="A28" s="171">
        <f>'Variation Cost Sheet'!$E36</f>
        <v>0</v>
      </c>
      <c r="B28" s="170">
        <f>'Variation Cost Sheet'!F36</f>
        <v>0</v>
      </c>
      <c r="C28" s="169">
        <f>'Variation Cost Sheet'!$G36</f>
        <v>0</v>
      </c>
      <c r="D28" s="152">
        <f>'Variation Cost Sheet'!$N36</f>
        <v>0</v>
      </c>
      <c r="E28" s="152">
        <f>'Variation Cost Sheet'!$Q36</f>
        <v>0</v>
      </c>
      <c r="F28" s="156">
        <f t="shared" si="0"/>
        <v>0</v>
      </c>
    </row>
    <row r="29" spans="1:6" ht="14.25">
      <c r="A29" s="171">
        <f>'Variation Cost Sheet'!$E37</f>
        <v>0</v>
      </c>
      <c r="B29" s="170">
        <f>'Variation Cost Sheet'!F37</f>
        <v>0</v>
      </c>
      <c r="C29" s="169">
        <f>'Variation Cost Sheet'!$G37</f>
        <v>0</v>
      </c>
      <c r="D29" s="152">
        <f>'Variation Cost Sheet'!$N37</f>
        <v>0</v>
      </c>
      <c r="E29" s="152">
        <f>'Variation Cost Sheet'!$Q37</f>
        <v>0</v>
      </c>
      <c r="F29" s="156">
        <f t="shared" si="0"/>
        <v>0</v>
      </c>
    </row>
    <row r="30" spans="1:6" ht="14.25">
      <c r="A30" s="171">
        <f>'Variation Cost Sheet'!$E38</f>
        <v>0</v>
      </c>
      <c r="B30" s="170">
        <f>'Variation Cost Sheet'!F38</f>
        <v>0</v>
      </c>
      <c r="C30" s="169">
        <f>'Variation Cost Sheet'!$G38</f>
        <v>0</v>
      </c>
      <c r="D30" s="152">
        <f>'Variation Cost Sheet'!$N38</f>
        <v>0</v>
      </c>
      <c r="E30" s="152">
        <f>'Variation Cost Sheet'!$Q38</f>
        <v>0</v>
      </c>
      <c r="F30" s="156">
        <f t="shared" si="0"/>
        <v>0</v>
      </c>
    </row>
    <row r="31" spans="1:6" ht="14.25">
      <c r="A31" s="171">
        <f>'Variation Cost Sheet'!$E39</f>
        <v>0</v>
      </c>
      <c r="B31" s="170">
        <f>'Variation Cost Sheet'!F39</f>
        <v>0</v>
      </c>
      <c r="C31" s="169">
        <f>'Variation Cost Sheet'!$G39</f>
        <v>0</v>
      </c>
      <c r="D31" s="152">
        <f>'Variation Cost Sheet'!$N39</f>
        <v>0</v>
      </c>
      <c r="E31" s="152">
        <f>'Variation Cost Sheet'!$Q39</f>
        <v>0</v>
      </c>
      <c r="F31" s="156">
        <f t="shared" si="0"/>
        <v>0</v>
      </c>
    </row>
    <row r="32" spans="1:6" ht="14.25">
      <c r="A32" s="171">
        <f>'Variation Cost Sheet'!$E40</f>
        <v>0</v>
      </c>
      <c r="B32" s="170">
        <f>'Variation Cost Sheet'!F40</f>
        <v>0</v>
      </c>
      <c r="C32" s="169">
        <f>'Variation Cost Sheet'!$G40</f>
        <v>0</v>
      </c>
      <c r="D32" s="152">
        <f>'Variation Cost Sheet'!$N40</f>
        <v>0</v>
      </c>
      <c r="E32" s="152">
        <f>'Variation Cost Sheet'!$Q40</f>
        <v>0</v>
      </c>
      <c r="F32" s="156">
        <f t="shared" si="0"/>
        <v>0</v>
      </c>
    </row>
    <row r="33" spans="1:6" ht="16.350000000000001" customHeight="1">
      <c r="A33" s="171">
        <f>'Variation Cost Sheet'!$E41</f>
        <v>0</v>
      </c>
      <c r="B33" s="170">
        <f>'Variation Cost Sheet'!F41</f>
        <v>0</v>
      </c>
      <c r="C33" s="169">
        <f>'Variation Cost Sheet'!$G41</f>
        <v>0</v>
      </c>
      <c r="D33" s="152">
        <f>'Variation Cost Sheet'!$N41</f>
        <v>0</v>
      </c>
      <c r="E33" s="152">
        <f>'Variation Cost Sheet'!$Q41</f>
        <v>0</v>
      </c>
      <c r="F33" s="156">
        <f t="shared" si="0"/>
        <v>0</v>
      </c>
    </row>
    <row r="34" spans="1:6" ht="14.25">
      <c r="A34" s="171">
        <f>'Variation Cost Sheet'!$E42</f>
        <v>0</v>
      </c>
      <c r="B34" s="170">
        <f>'Variation Cost Sheet'!F42</f>
        <v>0</v>
      </c>
      <c r="C34" s="169">
        <f>'Variation Cost Sheet'!$G42</f>
        <v>0</v>
      </c>
      <c r="D34" s="152">
        <f>'Variation Cost Sheet'!$N42</f>
        <v>0</v>
      </c>
      <c r="E34" s="152">
        <f>'Variation Cost Sheet'!$Q42</f>
        <v>0</v>
      </c>
      <c r="F34" s="156">
        <f t="shared" si="0"/>
        <v>0</v>
      </c>
    </row>
    <row r="35" spans="1:6" ht="14.25">
      <c r="A35" s="171">
        <f>'Variation Cost Sheet'!$E43</f>
        <v>0</v>
      </c>
      <c r="B35" s="170">
        <f>'Variation Cost Sheet'!F43</f>
        <v>0</v>
      </c>
      <c r="C35" s="169">
        <f>'Variation Cost Sheet'!$G43</f>
        <v>0</v>
      </c>
      <c r="D35" s="152">
        <f>'Variation Cost Sheet'!$N43</f>
        <v>0</v>
      </c>
      <c r="E35" s="152">
        <f>'Variation Cost Sheet'!$Q43</f>
        <v>0</v>
      </c>
      <c r="F35" s="156">
        <f t="shared" si="0"/>
        <v>0</v>
      </c>
    </row>
    <row r="36" spans="1:6" ht="14.25">
      <c r="A36" s="171">
        <f>'Variation Cost Sheet'!$E44</f>
        <v>0</v>
      </c>
      <c r="B36" s="170">
        <f>'Variation Cost Sheet'!F44</f>
        <v>0</v>
      </c>
      <c r="C36" s="169">
        <f>'Variation Cost Sheet'!$G44</f>
        <v>0</v>
      </c>
      <c r="D36" s="152">
        <f>'Variation Cost Sheet'!$N44</f>
        <v>0</v>
      </c>
      <c r="E36" s="152">
        <f>'Variation Cost Sheet'!$Q44</f>
        <v>0</v>
      </c>
      <c r="F36" s="156">
        <f t="shared" si="0"/>
        <v>0</v>
      </c>
    </row>
    <row r="37" spans="1:6" ht="14.25">
      <c r="A37" s="171">
        <f>'Variation Cost Sheet'!$E45</f>
        <v>0</v>
      </c>
      <c r="B37" s="170">
        <f>'Variation Cost Sheet'!F45</f>
        <v>0</v>
      </c>
      <c r="C37" s="169">
        <f>'Variation Cost Sheet'!$G45</f>
        <v>0</v>
      </c>
      <c r="D37" s="152">
        <f>'Variation Cost Sheet'!$N45</f>
        <v>0</v>
      </c>
      <c r="E37" s="152">
        <f>'Variation Cost Sheet'!$Q45</f>
        <v>0</v>
      </c>
      <c r="F37" s="156">
        <f t="shared" si="0"/>
        <v>0</v>
      </c>
    </row>
    <row r="38" spans="1:6" ht="14.25">
      <c r="A38" s="171">
        <f>'Variation Cost Sheet'!$E46</f>
        <v>0</v>
      </c>
      <c r="B38" s="170">
        <f>'Variation Cost Sheet'!F46</f>
        <v>0</v>
      </c>
      <c r="C38" s="169">
        <f>'Variation Cost Sheet'!$G46</f>
        <v>0</v>
      </c>
      <c r="D38" s="152">
        <f>'Variation Cost Sheet'!$N46</f>
        <v>0</v>
      </c>
      <c r="E38" s="152">
        <f>'Variation Cost Sheet'!$Q46</f>
        <v>0</v>
      </c>
      <c r="F38" s="156">
        <f t="shared" si="0"/>
        <v>0</v>
      </c>
    </row>
    <row r="39" spans="1:6" ht="15" thickBot="1">
      <c r="A39" s="171">
        <f>'Variation Cost Sheet'!$E47</f>
        <v>0</v>
      </c>
      <c r="B39" s="170">
        <f>'Variation Cost Sheet'!F47</f>
        <v>0</v>
      </c>
      <c r="C39" s="169">
        <f>'Variation Cost Sheet'!$G47</f>
        <v>0</v>
      </c>
      <c r="D39" s="168">
        <f>'Variation Cost Sheet'!$N47</f>
        <v>0</v>
      </c>
      <c r="E39" s="168">
        <f>'Variation Cost Sheet'!$Q47</f>
        <v>0</v>
      </c>
      <c r="F39" s="167">
        <f t="shared" si="0"/>
        <v>0</v>
      </c>
    </row>
    <row r="40" spans="1:6" ht="15.75" thickBot="1">
      <c r="A40" s="150"/>
      <c r="B40" s="149"/>
      <c r="C40" s="166" t="s">
        <v>10</v>
      </c>
      <c r="D40" s="165">
        <f>SUM(D3:D39)</f>
        <v>0</v>
      </c>
      <c r="E40" s="165">
        <f>SUM(E3:E39)</f>
        <v>0</v>
      </c>
      <c r="F40" s="164">
        <f>SUM(F3:F39)</f>
        <v>0</v>
      </c>
    </row>
    <row r="41" spans="1:6" ht="14.25">
      <c r="A41" s="163"/>
      <c r="B41" s="162"/>
      <c r="C41" s="161"/>
      <c r="D41" s="160"/>
      <c r="E41" s="160"/>
      <c r="F41" s="159"/>
    </row>
    <row r="42" spans="1:6" ht="14.25">
      <c r="A42" s="155"/>
      <c r="B42" s="154"/>
      <c r="C42" s="153"/>
      <c r="D42" s="152"/>
      <c r="E42" s="152"/>
      <c r="F42" s="151"/>
    </row>
    <row r="43" spans="1:6" ht="15">
      <c r="A43" s="155"/>
      <c r="B43" s="154"/>
      <c r="C43" s="158" t="str">
        <f>'Preliminaries Cost Sheet'!$E$9</f>
        <v>STAFF</v>
      </c>
      <c r="D43" s="152"/>
      <c r="E43" s="152"/>
      <c r="F43" s="156">
        <f t="shared" ref="F43:F50" si="1">SUM(D43:E43)</f>
        <v>0</v>
      </c>
    </row>
    <row r="44" spans="1:6" ht="14.25">
      <c r="A44" s="155"/>
      <c r="B44" s="154"/>
      <c r="C44" s="153" t="str">
        <f>'Preliminaries Cost Sheet'!$F11</f>
        <v>Project Manager</v>
      </c>
      <c r="D44" s="152"/>
      <c r="E44" s="152"/>
      <c r="F44" s="156">
        <f t="shared" si="1"/>
        <v>0</v>
      </c>
    </row>
    <row r="45" spans="1:6" ht="14.25">
      <c r="A45" s="155"/>
      <c r="B45" s="154"/>
      <c r="C45" s="153" t="str">
        <f>'Preliminaries Cost Sheet'!$F12</f>
        <v>Director</v>
      </c>
      <c r="D45" s="152"/>
      <c r="E45" s="152"/>
      <c r="F45" s="156">
        <f t="shared" si="1"/>
        <v>0</v>
      </c>
    </row>
    <row r="46" spans="1:6" ht="14.25">
      <c r="A46" s="155"/>
      <c r="B46" s="154"/>
      <c r="C46" s="153" t="str">
        <f>'Preliminaries Cost Sheet'!$F13</f>
        <v>Site Foreman</v>
      </c>
      <c r="D46" s="152"/>
      <c r="E46" s="152"/>
      <c r="F46" s="156">
        <f t="shared" si="1"/>
        <v>0</v>
      </c>
    </row>
    <row r="47" spans="1:6" ht="14.25">
      <c r="A47" s="155"/>
      <c r="B47" s="154"/>
      <c r="C47" s="153" t="str">
        <f>'Preliminaries Cost Sheet'!$F14</f>
        <v>Site Labourer</v>
      </c>
      <c r="D47" s="152"/>
      <c r="E47" s="152"/>
      <c r="F47" s="156">
        <f t="shared" si="1"/>
        <v>0</v>
      </c>
    </row>
    <row r="48" spans="1:6" ht="14.25">
      <c r="A48" s="155"/>
      <c r="B48" s="154"/>
      <c r="C48" s="153" t="str">
        <f>'Preliminaries Cost Sheet'!$F15</f>
        <v>Quantity Surveyor</v>
      </c>
      <c r="D48" s="152"/>
      <c r="E48" s="152"/>
      <c r="F48" s="156">
        <f t="shared" si="1"/>
        <v>0</v>
      </c>
    </row>
    <row r="49" spans="1:6" ht="14.25">
      <c r="A49" s="155"/>
      <c r="B49" s="154"/>
      <c r="C49" s="153" t="str">
        <f>'Preliminaries Cost Sheet'!$F16</f>
        <v>Health &amp; Safety Manager</v>
      </c>
      <c r="D49" s="152"/>
      <c r="E49" s="152"/>
      <c r="F49" s="156">
        <f t="shared" si="1"/>
        <v>0</v>
      </c>
    </row>
    <row r="50" spans="1:6" ht="14.25">
      <c r="A50" s="155"/>
      <c r="B50" s="154"/>
      <c r="C50" s="153" t="str">
        <f>'Preliminaries Cost Sheet'!$F17</f>
        <v>Site Manager</v>
      </c>
      <c r="D50" s="152"/>
      <c r="E50" s="152"/>
      <c r="F50" s="156">
        <f t="shared" si="1"/>
        <v>0</v>
      </c>
    </row>
    <row r="51" spans="1:6" ht="14.25">
      <c r="A51" s="155"/>
      <c r="B51" s="154"/>
      <c r="C51" s="153"/>
      <c r="D51" s="152"/>
      <c r="E51" s="152"/>
      <c r="F51" s="156"/>
    </row>
    <row r="52" spans="1:6" ht="15">
      <c r="A52" s="155"/>
      <c r="B52" s="154"/>
      <c r="C52" s="158" t="str" cm="1">
        <f t="array" ref="C52:E52">'Preliminaries Cost Sheet'!$E$19:$G$19</f>
        <v>DESIGN</v>
      </c>
      <c r="D52" s="152">
        <v>0</v>
      </c>
      <c r="E52" s="152">
        <v>0</v>
      </c>
      <c r="F52" s="156"/>
    </row>
    <row r="53" spans="1:6" ht="14.25">
      <c r="A53" s="155"/>
      <c r="B53" s="154"/>
      <c r="C53" s="153" t="str">
        <f>'Preliminaries Cost Sheet'!$F21</f>
        <v>Design Engineer</v>
      </c>
      <c r="D53" s="152"/>
      <c r="E53" s="152"/>
      <c r="F53" s="156">
        <f>SUM(D53:E53)</f>
        <v>0</v>
      </c>
    </row>
    <row r="54" spans="1:6" ht="14.25">
      <c r="A54" s="155"/>
      <c r="B54" s="154"/>
      <c r="C54" s="153" t="str">
        <f>'Preliminaries Cost Sheet'!$F22</f>
        <v xml:space="preserve">CAD Design  </v>
      </c>
      <c r="D54" s="152"/>
      <c r="E54" s="152"/>
      <c r="F54" s="156">
        <f>SUM(D54:E54)</f>
        <v>0</v>
      </c>
    </row>
    <row r="55" spans="1:6" ht="14.25">
      <c r="A55" s="155"/>
      <c r="B55" s="154"/>
      <c r="C55" s="153" t="str">
        <f>'Preliminaries Cost Sheet'!$F23</f>
        <v>Test</v>
      </c>
      <c r="D55" s="152"/>
      <c r="E55" s="152"/>
      <c r="F55" s="156">
        <f>SUM(D55:E55)</f>
        <v>0</v>
      </c>
    </row>
    <row r="56" spans="1:6" ht="14.25">
      <c r="A56" s="155"/>
      <c r="B56" s="154"/>
      <c r="C56" s="153"/>
      <c r="D56" s="152"/>
      <c r="E56" s="152"/>
      <c r="F56" s="156"/>
    </row>
    <row r="57" spans="1:6" ht="15">
      <c r="A57" s="155"/>
      <c r="B57" s="154"/>
      <c r="C57" s="158" t="str" cm="1">
        <f t="array" ref="C57:E57">'Preliminaries Cost Sheet'!$E$25:$G$25</f>
        <v>PRELIMS</v>
      </c>
      <c r="D57" s="152">
        <v>0</v>
      </c>
      <c r="E57" s="152">
        <v>0</v>
      </c>
      <c r="F57" s="156"/>
    </row>
    <row r="58" spans="1:6" ht="14.25">
      <c r="A58" s="155"/>
      <c r="B58" s="154"/>
      <c r="C58" s="157" t="str">
        <f>'Preliminaries Cost Sheet'!$D27</f>
        <v>Lodging</v>
      </c>
      <c r="D58" s="152"/>
      <c r="E58" s="152"/>
      <c r="F58" s="156">
        <f t="shared" ref="F58:F64" si="2">SUM(D58:E58)</f>
        <v>0</v>
      </c>
    </row>
    <row r="59" spans="1:6" ht="14.25">
      <c r="A59" s="155"/>
      <c r="B59" s="154"/>
      <c r="C59" s="157" t="str">
        <f>'Preliminaries Cost Sheet'!$D28</f>
        <v>Mileage</v>
      </c>
      <c r="D59" s="152">
        <f>'Preliminaries Cost Sheet'!$I28</f>
        <v>0</v>
      </c>
      <c r="E59" s="152"/>
      <c r="F59" s="156">
        <f t="shared" si="2"/>
        <v>0</v>
      </c>
    </row>
    <row r="60" spans="1:6" ht="14.25">
      <c r="A60" s="155"/>
      <c r="B60" s="154"/>
      <c r="C60" s="157" t="str">
        <f>'Preliminaries Cost Sheet'!$D29</f>
        <v>Parking</v>
      </c>
      <c r="D60" s="152">
        <f>'Preliminaries Cost Sheet'!$I29</f>
        <v>0</v>
      </c>
      <c r="E60" s="152"/>
      <c r="F60" s="156">
        <f t="shared" si="2"/>
        <v>0</v>
      </c>
    </row>
    <row r="61" spans="1:6" ht="14.25">
      <c r="A61" s="155"/>
      <c r="B61" s="154"/>
      <c r="C61" s="157" t="str">
        <f>'Preliminaries Cost Sheet'!$D30</f>
        <v>Access Equipment</v>
      </c>
      <c r="D61" s="152"/>
      <c r="E61" s="152"/>
      <c r="F61" s="156">
        <f t="shared" si="2"/>
        <v>0</v>
      </c>
    </row>
    <row r="62" spans="1:6" ht="14.25">
      <c r="A62" s="155"/>
      <c r="B62" s="154"/>
      <c r="C62" s="157" t="str">
        <f>'Preliminaries Cost Sheet'!$D31</f>
        <v>Tools &amp; Equipment</v>
      </c>
      <c r="D62" s="152">
        <f>'Preliminaries Cost Sheet'!$I31</f>
        <v>0</v>
      </c>
      <c r="E62" s="152"/>
      <c r="F62" s="156">
        <f t="shared" si="2"/>
        <v>0</v>
      </c>
    </row>
    <row r="63" spans="1:6" ht="14.25">
      <c r="A63" s="155"/>
      <c r="B63" s="154"/>
      <c r="C63" s="157" t="str">
        <f>'Preliminaries Cost Sheet'!$D32</f>
        <v>Training</v>
      </c>
      <c r="D63" s="152">
        <f>'Preliminaries Cost Sheet'!$I32</f>
        <v>0</v>
      </c>
      <c r="E63" s="152"/>
      <c r="F63" s="156">
        <f t="shared" si="2"/>
        <v>0</v>
      </c>
    </row>
    <row r="64" spans="1:6" ht="14.25">
      <c r="A64" s="155"/>
      <c r="B64" s="154"/>
      <c r="C64" s="153"/>
      <c r="D64" s="152"/>
      <c r="E64" s="152"/>
      <c r="F64" s="156">
        <f t="shared" si="2"/>
        <v>0</v>
      </c>
    </row>
    <row r="65" spans="1:6" ht="14.25">
      <c r="A65" s="155"/>
      <c r="B65" s="154"/>
      <c r="C65" s="153"/>
      <c r="D65" s="152"/>
      <c r="E65" s="152"/>
      <c r="F65" s="151"/>
    </row>
    <row r="66" spans="1:6" ht="15.75" thickBot="1">
      <c r="A66" s="150"/>
      <c r="B66" s="149"/>
      <c r="C66" s="148"/>
      <c r="D66" s="147">
        <f>SUM(D40:D65)</f>
        <v>0</v>
      </c>
      <c r="E66" s="147">
        <f>SUM(E40:E65)</f>
        <v>0</v>
      </c>
      <c r="F66" s="146">
        <f>SUM(F40:F65)</f>
        <v>0</v>
      </c>
    </row>
    <row r="67" spans="1:6" ht="14.25">
      <c r="A67" s="145"/>
      <c r="B67" s="144"/>
      <c r="C67" s="140"/>
      <c r="D67" s="315"/>
      <c r="E67" s="315"/>
      <c r="F67" s="143"/>
    </row>
    <row r="68" spans="1:6" ht="14.25">
      <c r="A68" s="145"/>
      <c r="B68" s="144"/>
      <c r="C68" s="140"/>
      <c r="D68" s="315"/>
      <c r="E68" s="315"/>
      <c r="F68" s="143"/>
    </row>
    <row r="69" spans="1:6" ht="15">
      <c r="A69" s="142"/>
      <c r="B69" s="141"/>
      <c r="C69" s="140"/>
      <c r="D69" s="139"/>
      <c r="E69" s="139"/>
      <c r="F69" s="138"/>
    </row>
    <row r="70" spans="1:6" ht="15.75">
      <c r="A70" s="137"/>
      <c r="B70" s="132"/>
      <c r="D70" s="312"/>
      <c r="E70" s="312"/>
      <c r="F70" s="136"/>
    </row>
    <row r="71" spans="1:6" ht="15.75">
      <c r="A71" s="132"/>
      <c r="B71" s="132"/>
      <c r="D71" s="135"/>
      <c r="E71" s="135"/>
      <c r="F71" s="134"/>
    </row>
    <row r="72" spans="1:6">
      <c r="A72" s="133"/>
      <c r="B72" s="133"/>
    </row>
    <row r="73" spans="1:6">
      <c r="A73" s="132"/>
      <c r="B73" s="132"/>
      <c r="C73" s="131"/>
    </row>
  </sheetData>
  <sheetProtection selectLockedCells="1" selectUnlockedCells="1"/>
  <mergeCells count="5">
    <mergeCell ref="D70:E70"/>
    <mergeCell ref="A1:C1"/>
    <mergeCell ref="D1:F1"/>
    <mergeCell ref="D67:E67"/>
    <mergeCell ref="D68:E68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6" fitToHeight="2" orientation="portrait" r:id="rId1"/>
  <rowBreaks count="1" manualBreakCount="1">
    <brk id="40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9AAC-76BB-4196-8B4E-24639CC62871}">
  <sheetPr codeName="Sheet17">
    <tabColor rgb="FFFF0000"/>
    <pageSetUpPr fitToPage="1"/>
  </sheetPr>
  <dimension ref="B1:T66"/>
  <sheetViews>
    <sheetView zoomScale="85" zoomScaleNormal="85" zoomScaleSheetLayoutView="70" workbookViewId="0">
      <selection activeCell="I17" sqref="I17"/>
    </sheetView>
  </sheetViews>
  <sheetFormatPr defaultColWidth="9.42578125" defaultRowHeight="12.75"/>
  <cols>
    <col min="1" max="1" width="1.28515625" style="1" customWidth="1"/>
    <col min="2" max="2" width="2.28515625" style="1" customWidth="1"/>
    <col min="3" max="3" width="9.28515625" style="1" customWidth="1"/>
    <col min="4" max="4" width="8.5703125" style="1" customWidth="1"/>
    <col min="5" max="5" width="5.5703125" style="1" customWidth="1"/>
    <col min="6" max="6" width="8.28515625" style="1" customWidth="1"/>
    <col min="7" max="7" width="40.85546875" style="1" customWidth="1"/>
    <col min="8" max="8" width="12.42578125" style="1" customWidth="1"/>
    <col min="9" max="9" width="13.42578125" style="1" customWidth="1"/>
    <col min="10" max="10" width="15.140625" style="1" bestFit="1" customWidth="1"/>
    <col min="11" max="11" width="15.7109375" style="1" customWidth="1"/>
    <col min="12" max="12" width="2.28515625" style="1" customWidth="1"/>
    <col min="13" max="13" width="17.28515625" style="1" customWidth="1"/>
    <col min="14" max="14" width="18.42578125" style="4" customWidth="1"/>
    <col min="15" max="15" width="1.7109375" style="48" customWidth="1"/>
    <col min="16" max="16" width="16.5703125" style="4" customWidth="1"/>
    <col min="17" max="17" width="19.42578125" style="4" customWidth="1"/>
    <col min="18" max="18" width="2.85546875" style="1" customWidth="1"/>
    <col min="19" max="19" width="9.42578125" style="1" customWidth="1"/>
    <col min="20" max="20" width="10.5703125" style="1" bestFit="1" customWidth="1"/>
    <col min="21" max="16384" width="9.42578125" style="1"/>
  </cols>
  <sheetData>
    <row r="1" spans="2:19" ht="18.75" thickBot="1">
      <c r="H1" s="2"/>
      <c r="I1" s="2"/>
      <c r="J1" s="2"/>
      <c r="K1" s="2"/>
      <c r="L1" s="2"/>
    </row>
    <row r="2" spans="2:19" ht="31.5" thickTop="1" thickBot="1">
      <c r="B2" s="98" t="s">
        <v>67</v>
      </c>
      <c r="C2" s="99"/>
      <c r="D2" s="99"/>
      <c r="E2" s="99"/>
      <c r="F2" s="99"/>
      <c r="G2" s="101">
        <f>'VO Summary - Issue'!$I$3</f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</row>
    <row r="3" spans="2:19" ht="16.5" customHeight="1" thickBot="1">
      <c r="B3" s="361"/>
      <c r="C3" s="360"/>
      <c r="D3" s="360"/>
      <c r="E3" s="360"/>
      <c r="F3" s="360"/>
      <c r="G3" s="360"/>
      <c r="H3" s="66"/>
      <c r="I3" s="66"/>
      <c r="J3" s="66"/>
      <c r="K3" s="66"/>
      <c r="L3" s="67"/>
      <c r="M3" s="66"/>
      <c r="N3" s="66"/>
      <c r="O3" s="67"/>
      <c r="P3" s="66"/>
      <c r="Q3" s="66"/>
      <c r="R3" s="68"/>
    </row>
    <row r="4" spans="2:19" ht="16.5" customHeight="1" thickTop="1">
      <c r="B4" s="362"/>
      <c r="C4" s="341" t="s">
        <v>52</v>
      </c>
      <c r="D4" s="342"/>
      <c r="E4" s="348" t="str">
        <f>'VO Summary - Issue'!$G$5</f>
        <v>Project Manager X</v>
      </c>
      <c r="F4" s="348"/>
      <c r="G4" s="349"/>
      <c r="H4" s="11"/>
      <c r="I4" s="352" t="s">
        <v>2</v>
      </c>
      <c r="J4" s="353"/>
      <c r="K4" s="354"/>
      <c r="L4" s="69"/>
      <c r="M4" s="11"/>
      <c r="N4" s="183">
        <v>45</v>
      </c>
      <c r="O4" s="69"/>
      <c r="P4" s="11"/>
      <c r="Q4" s="183">
        <v>50</v>
      </c>
      <c r="R4" s="70"/>
    </row>
    <row r="5" spans="2:19" ht="16.5" customHeight="1">
      <c r="B5" s="362"/>
      <c r="C5" s="343" t="s">
        <v>3</v>
      </c>
      <c r="D5" s="344"/>
      <c r="E5" s="358">
        <f>'VO Summary - Issue'!$H$50</f>
        <v>0</v>
      </c>
      <c r="F5" s="358"/>
      <c r="G5" s="359"/>
      <c r="H5" s="11"/>
      <c r="I5" s="355" t="s">
        <v>4</v>
      </c>
      <c r="J5" s="356"/>
      <c r="K5" s="357"/>
      <c r="L5" s="69"/>
      <c r="M5" s="11"/>
      <c r="N5" s="184">
        <v>20</v>
      </c>
      <c r="O5" s="69"/>
      <c r="P5" s="11"/>
      <c r="Q5" s="184">
        <v>20</v>
      </c>
      <c r="R5" s="70"/>
    </row>
    <row r="6" spans="2:19" ht="16.5" customHeight="1">
      <c r="B6" s="362"/>
      <c r="C6" s="343" t="s">
        <v>5</v>
      </c>
      <c r="D6" s="344"/>
      <c r="E6" s="348" t="str">
        <f>'VO Summary - Issue'!$B$2</f>
        <v>Project X</v>
      </c>
      <c r="F6" s="348"/>
      <c r="G6" s="349"/>
      <c r="H6" s="11"/>
      <c r="I6" s="355" t="s">
        <v>6</v>
      </c>
      <c r="J6" s="356"/>
      <c r="K6" s="357"/>
      <c r="L6" s="69"/>
      <c r="M6" s="11"/>
      <c r="N6" s="184">
        <v>20</v>
      </c>
      <c r="O6" s="69"/>
      <c r="P6" s="11"/>
      <c r="Q6" s="184">
        <v>20</v>
      </c>
      <c r="R6" s="70"/>
    </row>
    <row r="7" spans="2:19" ht="16.5" customHeight="1" thickBot="1">
      <c r="B7" s="362"/>
      <c r="C7" s="345" t="s">
        <v>7</v>
      </c>
      <c r="D7" s="346"/>
      <c r="E7" s="348">
        <f>'VO Summary - Issue'!$I$2</f>
        <v>0</v>
      </c>
      <c r="F7" s="348"/>
      <c r="G7" s="349"/>
      <c r="H7" s="11"/>
      <c r="I7" s="355" t="s">
        <v>8</v>
      </c>
      <c r="J7" s="356"/>
      <c r="K7" s="357"/>
      <c r="L7" s="69"/>
      <c r="M7" s="11"/>
      <c r="N7" s="184">
        <v>20</v>
      </c>
      <c r="O7" s="69"/>
      <c r="P7" s="11"/>
      <c r="Q7" s="184">
        <v>20</v>
      </c>
      <c r="R7" s="70"/>
    </row>
    <row r="8" spans="2:19" ht="16.5" customHeight="1" thickTop="1" thickBot="1">
      <c r="B8" s="362"/>
      <c r="C8" s="320"/>
      <c r="D8" s="320"/>
      <c r="E8" s="321"/>
      <c r="F8" s="321"/>
      <c r="G8" s="321"/>
      <c r="H8" s="11"/>
      <c r="I8" s="322" t="s">
        <v>55</v>
      </c>
      <c r="J8" s="323"/>
      <c r="K8" s="324"/>
      <c r="L8" s="69"/>
      <c r="M8" s="11"/>
      <c r="N8" s="185">
        <v>5</v>
      </c>
      <c r="O8" s="69"/>
      <c r="P8" s="11"/>
      <c r="Q8" s="186">
        <v>0</v>
      </c>
      <c r="R8" s="70"/>
    </row>
    <row r="9" spans="2:19" ht="16.5" customHeight="1">
      <c r="B9" s="362"/>
      <c r="C9" s="347"/>
      <c r="D9" s="347"/>
      <c r="E9" s="340"/>
      <c r="F9" s="340"/>
      <c r="G9" s="340"/>
      <c r="H9" s="11"/>
      <c r="I9" s="11"/>
      <c r="J9" s="11"/>
      <c r="K9" s="11"/>
      <c r="L9" s="69"/>
      <c r="M9" s="11"/>
      <c r="N9" s="11"/>
      <c r="O9" s="69"/>
      <c r="P9" s="11"/>
      <c r="Q9" s="11"/>
      <c r="R9" s="70"/>
    </row>
    <row r="10" spans="2:19" ht="16.5" customHeight="1" thickBot="1">
      <c r="B10" s="362"/>
      <c r="C10" s="97"/>
      <c r="D10" s="97"/>
      <c r="E10" s="97"/>
      <c r="F10" s="97"/>
      <c r="G10" s="97"/>
      <c r="H10" s="11"/>
      <c r="I10" s="11"/>
      <c r="J10" s="11"/>
      <c r="K10" s="11"/>
      <c r="L10" s="69"/>
      <c r="M10" s="11"/>
      <c r="N10" s="11"/>
      <c r="O10" s="69"/>
      <c r="P10" s="11"/>
      <c r="Q10" s="11"/>
      <c r="R10" s="70"/>
    </row>
    <row r="11" spans="2:19" ht="16.5" thickBot="1">
      <c r="B11" s="362"/>
      <c r="C11" s="350" t="s">
        <v>9</v>
      </c>
      <c r="D11" s="351"/>
      <c r="E11" s="318" t="s">
        <v>62</v>
      </c>
      <c r="F11" s="318"/>
      <c r="G11" s="318"/>
      <c r="H11" s="318"/>
      <c r="I11" s="318"/>
      <c r="J11" s="318"/>
      <c r="K11" s="319"/>
      <c r="L11" s="25"/>
      <c r="M11" s="328" t="s">
        <v>10</v>
      </c>
      <c r="N11" s="329"/>
      <c r="O11" s="25"/>
      <c r="P11" s="328" t="s">
        <v>10</v>
      </c>
      <c r="Q11" s="329"/>
      <c r="R11" s="363"/>
    </row>
    <row r="12" spans="2:19" ht="16.5" thickBot="1">
      <c r="B12" s="362"/>
      <c r="C12" s="325" t="s">
        <v>11</v>
      </c>
      <c r="D12" s="326"/>
      <c r="E12" s="88"/>
      <c r="F12" s="47"/>
      <c r="G12" s="80"/>
      <c r="H12" s="327" t="s">
        <v>49</v>
      </c>
      <c r="I12" s="319"/>
      <c r="J12" s="318" t="s">
        <v>50</v>
      </c>
      <c r="K12" s="319"/>
      <c r="L12" s="25"/>
      <c r="M12" s="327" t="s">
        <v>49</v>
      </c>
      <c r="N12" s="319"/>
      <c r="O12" s="25"/>
      <c r="P12" s="327" t="s">
        <v>50</v>
      </c>
      <c r="Q12" s="319"/>
      <c r="R12" s="363"/>
    </row>
    <row r="13" spans="2:19" ht="15.75">
      <c r="B13" s="362"/>
      <c r="C13" s="197" t="s">
        <v>49</v>
      </c>
      <c r="D13" s="198" t="s">
        <v>50</v>
      </c>
      <c r="E13" s="45" t="s">
        <v>53</v>
      </c>
      <c r="F13" s="44" t="s">
        <v>54</v>
      </c>
      <c r="G13" s="43" t="s">
        <v>14</v>
      </c>
      <c r="H13" s="84" t="s">
        <v>51</v>
      </c>
      <c r="I13" s="77" t="s">
        <v>48</v>
      </c>
      <c r="J13" s="45" t="s">
        <v>51</v>
      </c>
      <c r="K13" s="77" t="s">
        <v>48</v>
      </c>
      <c r="L13" s="25"/>
      <c r="M13" s="75" t="s">
        <v>15</v>
      </c>
      <c r="N13" s="49" t="s">
        <v>0</v>
      </c>
      <c r="O13" s="25"/>
      <c r="P13" s="75" t="s">
        <v>15</v>
      </c>
      <c r="Q13" s="49" t="s">
        <v>0</v>
      </c>
      <c r="R13" s="364"/>
    </row>
    <row r="14" spans="2:19" ht="15.75">
      <c r="B14" s="362"/>
      <c r="C14" s="187"/>
      <c r="D14" s="188"/>
      <c r="E14" s="89"/>
      <c r="F14" s="94"/>
      <c r="G14" s="92"/>
      <c r="H14" s="85"/>
      <c r="I14" s="86"/>
      <c r="J14" s="46"/>
      <c r="K14" s="78"/>
      <c r="L14" s="25"/>
      <c r="M14" s="76">
        <f t="shared" ref="M14:M16" si="0">SUM(H14*E14)+(C14*$N$4)+(I14*E14)</f>
        <v>0</v>
      </c>
      <c r="N14" s="50">
        <f t="shared" ref="N14:N23" si="1">(SUM(H14*E14/(1-$N$6/100))+(I14*E14/(1-$N$7/100))+(C14*$N$4/(1-$N$5/100)))*N$8%+(SUM(H14*E14/(1-$N$6/100))+(I14*E14/(1-$N$7/100))+(C14*$N$4/(1-$N$5/100)))</f>
        <v>0</v>
      </c>
      <c r="O14" s="25"/>
      <c r="P14" s="76">
        <f>SUM(-J14*E14)+(-D14*$Q$4)+(-K14*E14)</f>
        <v>0</v>
      </c>
      <c r="Q14" s="50">
        <f t="shared" ref="Q14:Q27" si="2">(SUM(-J14*E14/(1-$Q$6/100))-(K14*E14/(1-$Q$7/100))+(-D14*$Q$4/(1-$Q$5/100)))*Q$8%+SUM(-J14*E14/(1-$Q$6/100))+(-K14*E14/(1-$Q$7/100))+(-D14*$Q$4/(1-$Q$5/100))</f>
        <v>0</v>
      </c>
      <c r="R14" s="364"/>
      <c r="S14" s="28"/>
    </row>
    <row r="15" spans="2:19" ht="15.75">
      <c r="B15" s="362"/>
      <c r="C15" s="187"/>
      <c r="D15" s="188"/>
      <c r="E15" s="90"/>
      <c r="F15" s="95" t="s">
        <v>12</v>
      </c>
      <c r="G15" s="93" t="s">
        <v>47</v>
      </c>
      <c r="H15" s="85"/>
      <c r="I15" s="86"/>
      <c r="J15" s="46"/>
      <c r="K15" s="78"/>
      <c r="L15" s="25"/>
      <c r="M15" s="76">
        <f t="shared" si="0"/>
        <v>0</v>
      </c>
      <c r="N15" s="50">
        <f t="shared" si="1"/>
        <v>0</v>
      </c>
      <c r="O15" s="25"/>
      <c r="P15" s="76">
        <f t="shared" ref="P15:P48" si="3">SUM(-J15*E15)+(-D15*$Q$4)+(-K15*E15)</f>
        <v>0</v>
      </c>
      <c r="Q15" s="50">
        <f t="shared" si="2"/>
        <v>0</v>
      </c>
      <c r="R15" s="364"/>
    </row>
    <row r="16" spans="2:19" ht="15.75">
      <c r="B16" s="362"/>
      <c r="C16" s="187"/>
      <c r="D16" s="188"/>
      <c r="E16" s="90"/>
      <c r="F16" s="95" t="s">
        <v>136</v>
      </c>
      <c r="G16" s="93" t="s">
        <v>137</v>
      </c>
      <c r="H16" s="85"/>
      <c r="I16" s="86"/>
      <c r="J16" s="46"/>
      <c r="K16" s="78"/>
      <c r="L16" s="25"/>
      <c r="M16" s="76">
        <f t="shared" si="0"/>
        <v>0</v>
      </c>
      <c r="N16" s="50">
        <f t="shared" si="1"/>
        <v>0</v>
      </c>
      <c r="O16" s="25"/>
      <c r="P16" s="76">
        <f t="shared" si="3"/>
        <v>0</v>
      </c>
      <c r="Q16" s="50">
        <f t="shared" si="2"/>
        <v>0</v>
      </c>
      <c r="R16" s="364"/>
    </row>
    <row r="17" spans="2:18" ht="15.75">
      <c r="B17" s="362"/>
      <c r="C17" s="187"/>
      <c r="D17" s="188"/>
      <c r="E17" s="90"/>
      <c r="F17" s="95" t="s">
        <v>136</v>
      </c>
      <c r="G17" s="93" t="s">
        <v>138</v>
      </c>
      <c r="H17" s="85"/>
      <c r="I17" s="86"/>
      <c r="J17" s="46"/>
      <c r="K17" s="78"/>
      <c r="L17" s="25"/>
      <c r="M17" s="76">
        <f>SUM(H17*E17)+(C17*$N$4)+(I17*E17)</f>
        <v>0</v>
      </c>
      <c r="N17" s="50">
        <f t="shared" si="1"/>
        <v>0</v>
      </c>
      <c r="O17" s="25"/>
      <c r="P17" s="76">
        <f t="shared" si="3"/>
        <v>0</v>
      </c>
      <c r="Q17" s="50">
        <f t="shared" si="2"/>
        <v>0</v>
      </c>
      <c r="R17" s="364"/>
    </row>
    <row r="18" spans="2:18" ht="15.75">
      <c r="B18" s="362"/>
      <c r="C18" s="187"/>
      <c r="D18" s="188"/>
      <c r="E18" s="90"/>
      <c r="F18" s="95"/>
      <c r="G18" s="93"/>
      <c r="H18" s="85"/>
      <c r="I18" s="86"/>
      <c r="J18" s="46"/>
      <c r="K18" s="78"/>
      <c r="L18" s="25"/>
      <c r="M18" s="76">
        <f>SUM(H18*E18)+(C18*$N$4)+(I18*E18)</f>
        <v>0</v>
      </c>
      <c r="N18" s="50">
        <f t="shared" si="1"/>
        <v>0</v>
      </c>
      <c r="O18" s="25"/>
      <c r="P18" s="76">
        <f t="shared" si="3"/>
        <v>0</v>
      </c>
      <c r="Q18" s="50">
        <f t="shared" si="2"/>
        <v>0</v>
      </c>
      <c r="R18" s="364"/>
    </row>
    <row r="19" spans="2:18" ht="15.75">
      <c r="B19" s="362"/>
      <c r="C19" s="187"/>
      <c r="D19" s="188"/>
      <c r="E19" s="90"/>
      <c r="F19" s="95"/>
      <c r="G19" s="93"/>
      <c r="H19" s="85"/>
      <c r="I19" s="86"/>
      <c r="J19" s="46"/>
      <c r="K19" s="78"/>
      <c r="L19" s="25"/>
      <c r="M19" s="76">
        <f t="shared" ref="M19:M48" si="4">SUM(H19*E19)+(C19*$N$4)+(I19*E19)</f>
        <v>0</v>
      </c>
      <c r="N19" s="50">
        <f t="shared" si="1"/>
        <v>0</v>
      </c>
      <c r="O19" s="25"/>
      <c r="P19" s="76">
        <f t="shared" si="3"/>
        <v>0</v>
      </c>
      <c r="Q19" s="50">
        <f t="shared" si="2"/>
        <v>0</v>
      </c>
      <c r="R19" s="364"/>
    </row>
    <row r="20" spans="2:18" ht="15.75">
      <c r="B20" s="362"/>
      <c r="C20" s="187"/>
      <c r="D20" s="188"/>
      <c r="E20" s="90"/>
      <c r="F20" s="95"/>
      <c r="G20" s="93"/>
      <c r="H20" s="85"/>
      <c r="I20" s="86"/>
      <c r="J20" s="46"/>
      <c r="K20" s="78"/>
      <c r="L20" s="25"/>
      <c r="M20" s="76">
        <f t="shared" si="4"/>
        <v>0</v>
      </c>
      <c r="N20" s="50">
        <f t="shared" si="1"/>
        <v>0</v>
      </c>
      <c r="O20" s="25"/>
      <c r="P20" s="76">
        <f t="shared" si="3"/>
        <v>0</v>
      </c>
      <c r="Q20" s="50">
        <f t="shared" si="2"/>
        <v>0</v>
      </c>
      <c r="R20" s="364"/>
    </row>
    <row r="21" spans="2:18" ht="15.75">
      <c r="B21" s="362"/>
      <c r="C21" s="187"/>
      <c r="D21" s="188"/>
      <c r="E21" s="90"/>
      <c r="F21" s="95"/>
      <c r="G21" s="93"/>
      <c r="H21" s="85"/>
      <c r="I21" s="86"/>
      <c r="J21" s="46"/>
      <c r="K21" s="78"/>
      <c r="L21" s="25"/>
      <c r="M21" s="76">
        <f t="shared" si="4"/>
        <v>0</v>
      </c>
      <c r="N21" s="50">
        <f t="shared" si="1"/>
        <v>0</v>
      </c>
      <c r="O21" s="25"/>
      <c r="P21" s="76">
        <f t="shared" si="3"/>
        <v>0</v>
      </c>
      <c r="Q21" s="50">
        <f t="shared" si="2"/>
        <v>0</v>
      </c>
      <c r="R21" s="364"/>
    </row>
    <row r="22" spans="2:18" ht="15.75">
      <c r="B22" s="362"/>
      <c r="C22" s="187"/>
      <c r="D22" s="188"/>
      <c r="E22" s="90"/>
      <c r="F22" s="95"/>
      <c r="G22" s="93"/>
      <c r="H22" s="85"/>
      <c r="I22" s="86"/>
      <c r="J22" s="46"/>
      <c r="K22" s="78"/>
      <c r="L22" s="25"/>
      <c r="M22" s="76">
        <f t="shared" si="4"/>
        <v>0</v>
      </c>
      <c r="N22" s="50">
        <f t="shared" si="1"/>
        <v>0</v>
      </c>
      <c r="O22" s="25"/>
      <c r="P22" s="76">
        <f t="shared" si="3"/>
        <v>0</v>
      </c>
      <c r="Q22" s="50">
        <f t="shared" si="2"/>
        <v>0</v>
      </c>
      <c r="R22" s="364"/>
    </row>
    <row r="23" spans="2:18" ht="15.75">
      <c r="B23" s="362"/>
      <c r="C23" s="187"/>
      <c r="D23" s="188"/>
      <c r="E23" s="90"/>
      <c r="F23" s="95"/>
      <c r="G23" s="93"/>
      <c r="H23" s="85"/>
      <c r="I23" s="86"/>
      <c r="J23" s="46"/>
      <c r="K23" s="78"/>
      <c r="L23" s="25"/>
      <c r="M23" s="76">
        <f t="shared" si="4"/>
        <v>0</v>
      </c>
      <c r="N23" s="50">
        <f t="shared" si="1"/>
        <v>0</v>
      </c>
      <c r="O23" s="25"/>
      <c r="P23" s="76">
        <f t="shared" si="3"/>
        <v>0</v>
      </c>
      <c r="Q23" s="50">
        <f t="shared" si="2"/>
        <v>0</v>
      </c>
      <c r="R23" s="364"/>
    </row>
    <row r="24" spans="2:18" ht="15.75">
      <c r="B24" s="362"/>
      <c r="C24" s="187"/>
      <c r="D24" s="188"/>
      <c r="E24" s="90"/>
      <c r="F24" s="95"/>
      <c r="G24" s="93"/>
      <c r="H24" s="85"/>
      <c r="I24" s="86"/>
      <c r="J24" s="46"/>
      <c r="K24" s="78"/>
      <c r="L24" s="25"/>
      <c r="M24" s="76">
        <f t="shared" si="4"/>
        <v>0</v>
      </c>
      <c r="N24" s="50">
        <f>(SUM(H24*E24/(1-$N$6/100))+(I24*E24/(1-$N$7/100))+(C24*$N$4/(1-$N$5/100)))*N$8%+(SUM(H24*E24/(1-$N$6/100))+(I24*E24/(1-$N$7/100))+(C24*$N$4/(1-$N$5/100)))</f>
        <v>0</v>
      </c>
      <c r="O24" s="25"/>
      <c r="P24" s="76">
        <f t="shared" si="3"/>
        <v>0</v>
      </c>
      <c r="Q24" s="50">
        <f t="shared" si="2"/>
        <v>0</v>
      </c>
      <c r="R24" s="364"/>
    </row>
    <row r="25" spans="2:18" ht="15.75">
      <c r="B25" s="362"/>
      <c r="C25" s="187"/>
      <c r="D25" s="188"/>
      <c r="E25" s="90"/>
      <c r="F25" s="95"/>
      <c r="G25" s="93"/>
      <c r="H25" s="85"/>
      <c r="I25" s="86"/>
      <c r="J25" s="46"/>
      <c r="K25" s="78"/>
      <c r="L25" s="25"/>
      <c r="M25" s="76">
        <f t="shared" si="4"/>
        <v>0</v>
      </c>
      <c r="N25" s="50">
        <f t="shared" ref="N25:N48" si="5">(SUM(H25*E25/(1-$N$6/100))+(I25*E25/(1-$N$7/100))+(C25*$N$4/(1-$N$5/100)))*N$8%+(SUM(H25*E25/(1-$N$6/100))+(I25*E25/(1-$N$7/100))+(C25*$N$4/(1-$N$5/100)))</f>
        <v>0</v>
      </c>
      <c r="O25" s="25"/>
      <c r="P25" s="76">
        <f t="shared" si="3"/>
        <v>0</v>
      </c>
      <c r="Q25" s="50">
        <f t="shared" si="2"/>
        <v>0</v>
      </c>
      <c r="R25" s="364"/>
    </row>
    <row r="26" spans="2:18" ht="15.75">
      <c r="B26" s="362"/>
      <c r="C26" s="187"/>
      <c r="D26" s="188"/>
      <c r="E26" s="90"/>
      <c r="F26" s="95"/>
      <c r="G26" s="93"/>
      <c r="H26" s="85"/>
      <c r="I26" s="86"/>
      <c r="J26" s="46"/>
      <c r="K26" s="78"/>
      <c r="L26" s="25"/>
      <c r="M26" s="76">
        <f t="shared" si="4"/>
        <v>0</v>
      </c>
      <c r="N26" s="50">
        <f t="shared" si="5"/>
        <v>0</v>
      </c>
      <c r="O26" s="25"/>
      <c r="P26" s="76">
        <f t="shared" si="3"/>
        <v>0</v>
      </c>
      <c r="Q26" s="50">
        <f t="shared" si="2"/>
        <v>0</v>
      </c>
      <c r="R26" s="364"/>
    </row>
    <row r="27" spans="2:18" ht="15.75">
      <c r="B27" s="362"/>
      <c r="C27" s="187"/>
      <c r="D27" s="188"/>
      <c r="E27" s="90"/>
      <c r="F27" s="95"/>
      <c r="G27" s="93"/>
      <c r="H27" s="85"/>
      <c r="I27" s="86"/>
      <c r="J27" s="46"/>
      <c r="K27" s="78"/>
      <c r="L27" s="25"/>
      <c r="M27" s="76">
        <f t="shared" si="4"/>
        <v>0</v>
      </c>
      <c r="N27" s="50">
        <f t="shared" si="5"/>
        <v>0</v>
      </c>
      <c r="O27" s="25"/>
      <c r="P27" s="76">
        <f t="shared" si="3"/>
        <v>0</v>
      </c>
      <c r="Q27" s="50">
        <f t="shared" si="2"/>
        <v>0</v>
      </c>
      <c r="R27" s="364"/>
    </row>
    <row r="28" spans="2:18" ht="15.75">
      <c r="B28" s="362"/>
      <c r="C28" s="187"/>
      <c r="D28" s="188"/>
      <c r="E28" s="90"/>
      <c r="F28" s="95"/>
      <c r="G28" s="93"/>
      <c r="H28" s="85"/>
      <c r="I28" s="86"/>
      <c r="J28" s="46"/>
      <c r="K28" s="78"/>
      <c r="L28" s="25"/>
      <c r="M28" s="76">
        <f t="shared" si="4"/>
        <v>0</v>
      </c>
      <c r="N28" s="50">
        <f t="shared" si="5"/>
        <v>0</v>
      </c>
      <c r="O28" s="25"/>
      <c r="P28" s="76">
        <f t="shared" si="3"/>
        <v>0</v>
      </c>
      <c r="Q28" s="50">
        <f>(SUM(-J28*E28/(1-$Q$6/100))-(K28*E28/(1-$Q$7/100))+(-D28*$Q$4/(1-$Q$5/100)))*Q$8%+SUM(-J28*E28/(1-$Q$6/100))+(-K28*E28/(1-$Q$7/100))+(-D28*$Q$4/(1-$Q$5/100))</f>
        <v>0</v>
      </c>
      <c r="R28" s="364"/>
    </row>
    <row r="29" spans="2:18" ht="15.75">
      <c r="B29" s="362"/>
      <c r="C29" s="187"/>
      <c r="D29" s="188"/>
      <c r="E29" s="90"/>
      <c r="F29" s="95"/>
      <c r="G29" s="93"/>
      <c r="H29" s="85"/>
      <c r="I29" s="86"/>
      <c r="J29" s="46"/>
      <c r="K29" s="78"/>
      <c r="L29" s="25"/>
      <c r="M29" s="76">
        <f t="shared" si="4"/>
        <v>0</v>
      </c>
      <c r="N29" s="50">
        <f t="shared" si="5"/>
        <v>0</v>
      </c>
      <c r="O29" s="25"/>
      <c r="P29" s="76">
        <f t="shared" si="3"/>
        <v>0</v>
      </c>
      <c r="Q29" s="50">
        <f>(SUM(-J29*E29/(1-$Q$6/100))-(K29*E29/(1-$Q$7/100))+(-D29*$Q$4/(1-$Q$5/100)))*Q$8%+SUM(-J29*E29/(1-$Q$6/100))+(-K29*E29/(1-$Q$7/100))+(-D29*$Q$4/(1-$Q$5/100))</f>
        <v>0</v>
      </c>
      <c r="R29" s="364"/>
    </row>
    <row r="30" spans="2:18" ht="15.75">
      <c r="B30" s="362"/>
      <c r="C30" s="187"/>
      <c r="D30" s="188"/>
      <c r="E30" s="90"/>
      <c r="F30" s="95"/>
      <c r="G30" s="93"/>
      <c r="H30" s="85"/>
      <c r="I30" s="86"/>
      <c r="J30" s="46"/>
      <c r="K30" s="78"/>
      <c r="L30" s="25"/>
      <c r="M30" s="76">
        <f t="shared" si="4"/>
        <v>0</v>
      </c>
      <c r="N30" s="50">
        <f>(SUM(H30*E30/(1-$N$6/100))+(I30*E30/(1-$N$7/100))+(C30*$N$4/(1-$N$5/100)))*N$8%+(SUM(H30*E30/(1-$N$6/100))+(I30*E30/(1-$N$7/100))+(C30*$N$4/(1-$N$5/100)))</f>
        <v>0</v>
      </c>
      <c r="O30" s="25"/>
      <c r="P30" s="76">
        <f t="shared" si="3"/>
        <v>0</v>
      </c>
      <c r="Q30" s="50">
        <f t="shared" ref="Q30:Q48" si="6">(SUM(-J30*E30/(1-$Q$6/100))-(K30*E30/(1-$Q$7/100))+(-D30*$Q$4/(1-$Q$5/100)))*Q$8%+SUM(-J30*E30/(1-$Q$6/100))+(-K30*E30/(1-$Q$7/100))+(-D30*$Q$4/(1-$Q$5/100))</f>
        <v>0</v>
      </c>
      <c r="R30" s="364"/>
    </row>
    <row r="31" spans="2:18" ht="15.75">
      <c r="B31" s="362"/>
      <c r="C31" s="187"/>
      <c r="D31" s="188"/>
      <c r="E31" s="90"/>
      <c r="F31" s="95"/>
      <c r="G31" s="93"/>
      <c r="H31" s="85"/>
      <c r="I31" s="86"/>
      <c r="J31" s="46"/>
      <c r="K31" s="78"/>
      <c r="L31" s="25"/>
      <c r="M31" s="76">
        <f t="shared" si="4"/>
        <v>0</v>
      </c>
      <c r="N31" s="50">
        <f t="shared" si="5"/>
        <v>0</v>
      </c>
      <c r="O31" s="25"/>
      <c r="P31" s="76">
        <f t="shared" si="3"/>
        <v>0</v>
      </c>
      <c r="Q31" s="50">
        <f t="shared" si="6"/>
        <v>0</v>
      </c>
      <c r="R31" s="364"/>
    </row>
    <row r="32" spans="2:18" ht="15.75">
      <c r="B32" s="362"/>
      <c r="C32" s="187"/>
      <c r="D32" s="188"/>
      <c r="E32" s="90"/>
      <c r="F32" s="95"/>
      <c r="G32" s="93"/>
      <c r="H32" s="85"/>
      <c r="I32" s="86"/>
      <c r="J32" s="46"/>
      <c r="K32" s="78"/>
      <c r="L32" s="25"/>
      <c r="M32" s="76">
        <f t="shared" si="4"/>
        <v>0</v>
      </c>
      <c r="N32" s="50">
        <f t="shared" si="5"/>
        <v>0</v>
      </c>
      <c r="O32" s="25"/>
      <c r="P32" s="76">
        <f t="shared" si="3"/>
        <v>0</v>
      </c>
      <c r="Q32" s="50">
        <f t="shared" si="6"/>
        <v>0</v>
      </c>
      <c r="R32" s="364"/>
    </row>
    <row r="33" spans="2:18" ht="15.75">
      <c r="B33" s="362"/>
      <c r="C33" s="187"/>
      <c r="D33" s="188"/>
      <c r="E33" s="90"/>
      <c r="F33" s="95"/>
      <c r="G33" s="93"/>
      <c r="H33" s="85"/>
      <c r="I33" s="86"/>
      <c r="J33" s="46"/>
      <c r="K33" s="78"/>
      <c r="L33" s="25"/>
      <c r="M33" s="76">
        <f t="shared" si="4"/>
        <v>0</v>
      </c>
      <c r="N33" s="50">
        <f t="shared" si="5"/>
        <v>0</v>
      </c>
      <c r="O33" s="25"/>
      <c r="P33" s="76">
        <f t="shared" si="3"/>
        <v>0</v>
      </c>
      <c r="Q33" s="50">
        <f t="shared" si="6"/>
        <v>0</v>
      </c>
      <c r="R33" s="364"/>
    </row>
    <row r="34" spans="2:18" ht="15.75">
      <c r="B34" s="362"/>
      <c r="C34" s="187"/>
      <c r="D34" s="188"/>
      <c r="E34" s="90"/>
      <c r="F34" s="95"/>
      <c r="G34" s="93"/>
      <c r="H34" s="85"/>
      <c r="I34" s="86"/>
      <c r="J34" s="46"/>
      <c r="K34" s="78"/>
      <c r="L34" s="25"/>
      <c r="M34" s="76">
        <f t="shared" si="4"/>
        <v>0</v>
      </c>
      <c r="N34" s="50">
        <f t="shared" si="5"/>
        <v>0</v>
      </c>
      <c r="O34" s="25"/>
      <c r="P34" s="76">
        <f t="shared" si="3"/>
        <v>0</v>
      </c>
      <c r="Q34" s="50">
        <f t="shared" si="6"/>
        <v>0</v>
      </c>
      <c r="R34" s="364"/>
    </row>
    <row r="35" spans="2:18" ht="15.75">
      <c r="B35" s="362"/>
      <c r="C35" s="187"/>
      <c r="D35" s="188"/>
      <c r="E35" s="90"/>
      <c r="F35" s="95"/>
      <c r="G35" s="93"/>
      <c r="H35" s="85"/>
      <c r="I35" s="86"/>
      <c r="J35" s="46"/>
      <c r="K35" s="78"/>
      <c r="L35" s="25"/>
      <c r="M35" s="76">
        <f t="shared" si="4"/>
        <v>0</v>
      </c>
      <c r="N35" s="50">
        <f t="shared" si="5"/>
        <v>0</v>
      </c>
      <c r="O35" s="25"/>
      <c r="P35" s="76">
        <f t="shared" si="3"/>
        <v>0</v>
      </c>
      <c r="Q35" s="50">
        <f t="shared" si="6"/>
        <v>0</v>
      </c>
      <c r="R35" s="364"/>
    </row>
    <row r="36" spans="2:18" ht="15.75">
      <c r="B36" s="362"/>
      <c r="C36" s="187"/>
      <c r="D36" s="188"/>
      <c r="E36" s="90"/>
      <c r="F36" s="95"/>
      <c r="G36" s="93"/>
      <c r="H36" s="85"/>
      <c r="I36" s="86"/>
      <c r="J36" s="46"/>
      <c r="K36" s="78"/>
      <c r="L36" s="25"/>
      <c r="M36" s="76">
        <f t="shared" si="4"/>
        <v>0</v>
      </c>
      <c r="N36" s="50">
        <f t="shared" si="5"/>
        <v>0</v>
      </c>
      <c r="O36" s="25"/>
      <c r="P36" s="76">
        <f t="shared" si="3"/>
        <v>0</v>
      </c>
      <c r="Q36" s="50">
        <f t="shared" si="6"/>
        <v>0</v>
      </c>
      <c r="R36" s="364"/>
    </row>
    <row r="37" spans="2:18" ht="15.75">
      <c r="B37" s="362"/>
      <c r="C37" s="187"/>
      <c r="D37" s="188"/>
      <c r="E37" s="90"/>
      <c r="F37" s="95"/>
      <c r="G37" s="93"/>
      <c r="H37" s="85"/>
      <c r="I37" s="86"/>
      <c r="J37" s="46"/>
      <c r="K37" s="78"/>
      <c r="L37" s="25"/>
      <c r="M37" s="76">
        <f t="shared" si="4"/>
        <v>0</v>
      </c>
      <c r="N37" s="50">
        <f t="shared" si="5"/>
        <v>0</v>
      </c>
      <c r="O37" s="25"/>
      <c r="P37" s="76">
        <f t="shared" si="3"/>
        <v>0</v>
      </c>
      <c r="Q37" s="50">
        <f t="shared" si="6"/>
        <v>0</v>
      </c>
      <c r="R37" s="364"/>
    </row>
    <row r="38" spans="2:18" ht="15.75">
      <c r="B38" s="362"/>
      <c r="C38" s="187"/>
      <c r="D38" s="188"/>
      <c r="E38" s="90"/>
      <c r="F38" s="95"/>
      <c r="G38" s="93"/>
      <c r="H38" s="85"/>
      <c r="I38" s="86"/>
      <c r="J38" s="46"/>
      <c r="K38" s="78"/>
      <c r="L38" s="25"/>
      <c r="M38" s="76">
        <f t="shared" si="4"/>
        <v>0</v>
      </c>
      <c r="N38" s="50">
        <f t="shared" si="5"/>
        <v>0</v>
      </c>
      <c r="O38" s="25"/>
      <c r="P38" s="76">
        <f t="shared" si="3"/>
        <v>0</v>
      </c>
      <c r="Q38" s="50">
        <f t="shared" si="6"/>
        <v>0</v>
      </c>
      <c r="R38" s="364"/>
    </row>
    <row r="39" spans="2:18" ht="15.75">
      <c r="B39" s="362"/>
      <c r="C39" s="187"/>
      <c r="D39" s="188"/>
      <c r="E39" s="90"/>
      <c r="F39" s="95"/>
      <c r="G39" s="93"/>
      <c r="H39" s="85"/>
      <c r="I39" s="86"/>
      <c r="J39" s="46"/>
      <c r="K39" s="78"/>
      <c r="L39" s="25"/>
      <c r="M39" s="76">
        <f t="shared" si="4"/>
        <v>0</v>
      </c>
      <c r="N39" s="50">
        <f t="shared" si="5"/>
        <v>0</v>
      </c>
      <c r="O39" s="25"/>
      <c r="P39" s="76">
        <f t="shared" si="3"/>
        <v>0</v>
      </c>
      <c r="Q39" s="50">
        <f t="shared" si="6"/>
        <v>0</v>
      </c>
      <c r="R39" s="364"/>
    </row>
    <row r="40" spans="2:18" ht="15.75">
      <c r="B40" s="362"/>
      <c r="C40" s="187"/>
      <c r="D40" s="188"/>
      <c r="E40" s="90"/>
      <c r="F40" s="95"/>
      <c r="G40" s="93"/>
      <c r="H40" s="85"/>
      <c r="I40" s="86"/>
      <c r="J40" s="46"/>
      <c r="K40" s="78"/>
      <c r="L40" s="25"/>
      <c r="M40" s="76">
        <f t="shared" si="4"/>
        <v>0</v>
      </c>
      <c r="N40" s="50">
        <f t="shared" si="5"/>
        <v>0</v>
      </c>
      <c r="O40" s="25"/>
      <c r="P40" s="76">
        <f t="shared" si="3"/>
        <v>0</v>
      </c>
      <c r="Q40" s="50">
        <f t="shared" si="6"/>
        <v>0</v>
      </c>
      <c r="R40" s="364"/>
    </row>
    <row r="41" spans="2:18" ht="15.75">
      <c r="B41" s="362"/>
      <c r="C41" s="187"/>
      <c r="D41" s="188"/>
      <c r="E41" s="90"/>
      <c r="F41" s="95"/>
      <c r="G41" s="93"/>
      <c r="H41" s="85"/>
      <c r="I41" s="86"/>
      <c r="J41" s="46"/>
      <c r="K41" s="78"/>
      <c r="L41" s="25"/>
      <c r="M41" s="76">
        <f t="shared" si="4"/>
        <v>0</v>
      </c>
      <c r="N41" s="50">
        <f t="shared" si="5"/>
        <v>0</v>
      </c>
      <c r="O41" s="25"/>
      <c r="P41" s="76">
        <f t="shared" si="3"/>
        <v>0</v>
      </c>
      <c r="Q41" s="50">
        <f t="shared" si="6"/>
        <v>0</v>
      </c>
      <c r="R41" s="364"/>
    </row>
    <row r="42" spans="2:18" ht="15.75">
      <c r="B42" s="362"/>
      <c r="C42" s="187"/>
      <c r="D42" s="188"/>
      <c r="E42" s="90"/>
      <c r="F42" s="95"/>
      <c r="G42" s="93"/>
      <c r="H42" s="85"/>
      <c r="I42" s="86"/>
      <c r="J42" s="46"/>
      <c r="K42" s="78"/>
      <c r="L42" s="25"/>
      <c r="M42" s="76">
        <f t="shared" si="4"/>
        <v>0</v>
      </c>
      <c r="N42" s="50">
        <f t="shared" si="5"/>
        <v>0</v>
      </c>
      <c r="O42" s="25"/>
      <c r="P42" s="76">
        <f t="shared" si="3"/>
        <v>0</v>
      </c>
      <c r="Q42" s="50">
        <f t="shared" si="6"/>
        <v>0</v>
      </c>
      <c r="R42" s="364"/>
    </row>
    <row r="43" spans="2:18" ht="15.75">
      <c r="B43" s="362"/>
      <c r="C43" s="187"/>
      <c r="D43" s="188"/>
      <c r="E43" s="90"/>
      <c r="F43" s="95"/>
      <c r="G43" s="93"/>
      <c r="H43" s="85"/>
      <c r="I43" s="86"/>
      <c r="J43" s="46"/>
      <c r="K43" s="78"/>
      <c r="L43" s="25"/>
      <c r="M43" s="76">
        <f t="shared" si="4"/>
        <v>0</v>
      </c>
      <c r="N43" s="50">
        <f t="shared" si="5"/>
        <v>0</v>
      </c>
      <c r="O43" s="25"/>
      <c r="P43" s="76">
        <f t="shared" si="3"/>
        <v>0</v>
      </c>
      <c r="Q43" s="50">
        <f t="shared" si="6"/>
        <v>0</v>
      </c>
      <c r="R43" s="364"/>
    </row>
    <row r="44" spans="2:18" ht="15.75">
      <c r="B44" s="362"/>
      <c r="C44" s="187"/>
      <c r="D44" s="188"/>
      <c r="E44" s="90"/>
      <c r="F44" s="95"/>
      <c r="G44" s="93"/>
      <c r="H44" s="85"/>
      <c r="I44" s="86"/>
      <c r="J44" s="46"/>
      <c r="K44" s="78"/>
      <c r="L44" s="25"/>
      <c r="M44" s="76">
        <f t="shared" si="4"/>
        <v>0</v>
      </c>
      <c r="N44" s="50">
        <f t="shared" si="5"/>
        <v>0</v>
      </c>
      <c r="O44" s="25"/>
      <c r="P44" s="76">
        <f t="shared" si="3"/>
        <v>0</v>
      </c>
      <c r="Q44" s="50">
        <f t="shared" si="6"/>
        <v>0</v>
      </c>
      <c r="R44" s="364"/>
    </row>
    <row r="45" spans="2:18" ht="15.75">
      <c r="B45" s="362"/>
      <c r="C45" s="187"/>
      <c r="D45" s="188"/>
      <c r="E45" s="90"/>
      <c r="F45" s="95"/>
      <c r="G45" s="93"/>
      <c r="H45" s="85"/>
      <c r="I45" s="86"/>
      <c r="J45" s="46"/>
      <c r="K45" s="78"/>
      <c r="L45" s="25"/>
      <c r="M45" s="76">
        <f t="shared" si="4"/>
        <v>0</v>
      </c>
      <c r="N45" s="50">
        <f t="shared" si="5"/>
        <v>0</v>
      </c>
      <c r="O45" s="25"/>
      <c r="P45" s="76">
        <f t="shared" si="3"/>
        <v>0</v>
      </c>
      <c r="Q45" s="50">
        <f t="shared" si="6"/>
        <v>0</v>
      </c>
      <c r="R45" s="364"/>
    </row>
    <row r="46" spans="2:18" ht="15.75">
      <c r="B46" s="362"/>
      <c r="C46" s="187"/>
      <c r="D46" s="188"/>
      <c r="E46" s="90"/>
      <c r="F46" s="95"/>
      <c r="G46" s="81"/>
      <c r="H46" s="85"/>
      <c r="I46" s="86"/>
      <c r="J46" s="46"/>
      <c r="K46" s="78"/>
      <c r="L46" s="25"/>
      <c r="M46" s="76">
        <f t="shared" si="4"/>
        <v>0</v>
      </c>
      <c r="N46" s="50">
        <f t="shared" si="5"/>
        <v>0</v>
      </c>
      <c r="O46" s="25"/>
      <c r="P46" s="76">
        <f t="shared" si="3"/>
        <v>0</v>
      </c>
      <c r="Q46" s="50">
        <f t="shared" si="6"/>
        <v>0</v>
      </c>
      <c r="R46" s="364"/>
    </row>
    <row r="47" spans="2:18" ht="15.75">
      <c r="B47" s="362"/>
      <c r="C47" s="187"/>
      <c r="D47" s="188"/>
      <c r="E47" s="90"/>
      <c r="F47" s="95"/>
      <c r="G47" s="81"/>
      <c r="H47" s="85"/>
      <c r="I47" s="86"/>
      <c r="J47" s="46"/>
      <c r="K47" s="78"/>
      <c r="L47" s="25"/>
      <c r="M47" s="76">
        <f t="shared" si="4"/>
        <v>0</v>
      </c>
      <c r="N47" s="50">
        <f t="shared" si="5"/>
        <v>0</v>
      </c>
      <c r="O47" s="25"/>
      <c r="P47" s="76">
        <f t="shared" si="3"/>
        <v>0</v>
      </c>
      <c r="Q47" s="50">
        <f t="shared" si="6"/>
        <v>0</v>
      </c>
      <c r="R47" s="364"/>
    </row>
    <row r="48" spans="2:18" ht="16.5" thickBot="1">
      <c r="B48" s="362"/>
      <c r="C48" s="189"/>
      <c r="D48" s="190"/>
      <c r="E48" s="91"/>
      <c r="F48" s="96"/>
      <c r="G48" s="82"/>
      <c r="H48" s="87"/>
      <c r="I48" s="79"/>
      <c r="J48" s="83"/>
      <c r="K48" s="79"/>
      <c r="L48" s="25"/>
      <c r="M48" s="76">
        <f t="shared" si="4"/>
        <v>0</v>
      </c>
      <c r="N48" s="50">
        <f t="shared" si="5"/>
        <v>0</v>
      </c>
      <c r="O48" s="25"/>
      <c r="P48" s="76">
        <f t="shared" si="3"/>
        <v>0</v>
      </c>
      <c r="Q48" s="50">
        <f t="shared" si="6"/>
        <v>0</v>
      </c>
      <c r="R48" s="364"/>
    </row>
    <row r="49" spans="2:20" ht="15.75" thickBot="1">
      <c r="B49" s="71"/>
      <c r="C49" s="19"/>
      <c r="D49" s="19"/>
      <c r="E49" s="21"/>
      <c r="F49" s="21"/>
      <c r="G49" s="22"/>
      <c r="H49" s="23"/>
      <c r="I49" s="23"/>
      <c r="J49" s="23"/>
      <c r="K49" s="23"/>
      <c r="L49" s="23"/>
      <c r="M49" s="24"/>
      <c r="N49" s="25"/>
      <c r="O49" s="25"/>
      <c r="P49" s="25"/>
      <c r="Q49" s="25"/>
      <c r="R49" s="364"/>
    </row>
    <row r="50" spans="2:20" ht="16.5" thickTop="1">
      <c r="B50" s="366"/>
      <c r="C50" s="340"/>
      <c r="D50" s="340"/>
      <c r="E50" s="340"/>
      <c r="F50" s="340"/>
      <c r="G50" s="340"/>
      <c r="H50" s="368" t="s">
        <v>16</v>
      </c>
      <c r="I50" s="369"/>
      <c r="J50" s="369"/>
      <c r="K50" s="369"/>
      <c r="L50" s="369"/>
      <c r="M50" s="370"/>
      <c r="N50" s="59">
        <f>SUM(H14*E14)+(H15*E15)+(H16*E16)+(H17*E17)+(E18*H18)+(E19*H19)+(E20*H20)+(E21*H21)+(E22*H22)+(E23*H23)+(E24*H24)+(E25*H25)+(E26*H26)+(E27*H27)+(E28*H28)+(E29*H29)+(E30*H30)+(E31*H31)+(E32*H32)+(E33*H33)+(E34*H34)+(E35*H35)+(E36*H36)+(E37*H37)+(E38*H38)+(E39*H39)+(E40*H40)+(E41*H41)+(E42*H42)+(E43*H43)+(E44*H44)+(E45*H45)+(E46*H46)+(E47*H47)+(E48*H48)</f>
        <v>0</v>
      </c>
      <c r="O50" s="25"/>
      <c r="P50" s="25"/>
      <c r="Q50" s="59">
        <f>SUM(-J14*E14)+(-J15*E15)+(-J16*E16)+(-J17*E17)+(E18*-J18)+(E19*-J19)+(E20*-J20)+(E21*-J21)+(E22*-J22)+(E23*-J23)+(E24*-J24)+(E25*-J25)+(E26*-J26)+(E27*-J27)+(E28*-J28)+(E29*-J29)+(E30*-J30)+(E31*-J31)+(E32*-J32)+(E33*-J33)+(E34*-J34)+(E35*-J35)+(E36*-J36)+(E37*-J37)+(E38*-J38)+(E39*-J39)+(E40*-J40)+(E41*-J41)+(E42*-J42)+(E43*-J43)+(E44*-J44)+(E45*-J45)+(E46*-J46)+(E47*-J47)+(E48*-J48)</f>
        <v>0</v>
      </c>
      <c r="R50" s="364"/>
    </row>
    <row r="51" spans="2:20" ht="15.75">
      <c r="B51" s="362"/>
      <c r="C51" s="340"/>
      <c r="D51" s="340"/>
      <c r="E51" s="340"/>
      <c r="F51" s="340"/>
      <c r="G51" s="340"/>
      <c r="H51" s="335" t="s">
        <v>17</v>
      </c>
      <c r="I51" s="336"/>
      <c r="J51" s="336"/>
      <c r="K51" s="336"/>
      <c r="L51" s="336"/>
      <c r="M51" s="337"/>
      <c r="N51" s="60">
        <f>N52-N50</f>
        <v>0</v>
      </c>
      <c r="O51" s="23"/>
      <c r="P51" s="25"/>
      <c r="Q51" s="60">
        <f>Q52-Q50</f>
        <v>0</v>
      </c>
      <c r="R51" s="364"/>
    </row>
    <row r="52" spans="2:20" ht="16.5" thickBot="1">
      <c r="B52" s="362"/>
      <c r="C52" s="340"/>
      <c r="D52" s="340"/>
      <c r="E52" s="340"/>
      <c r="F52" s="340"/>
      <c r="G52" s="340"/>
      <c r="H52" s="330" t="s">
        <v>18</v>
      </c>
      <c r="I52" s="331"/>
      <c r="J52" s="331"/>
      <c r="K52" s="331"/>
      <c r="L52" s="331"/>
      <c r="M52" s="332"/>
      <c r="N52" s="61">
        <f>SUM(N50/(1-N6/100))*N8%+SUM(N50/(1-N6/100))</f>
        <v>0</v>
      </c>
      <c r="O52" s="52"/>
      <c r="P52" s="25"/>
      <c r="Q52" s="61">
        <f>SUM(Q50/(1-Q6/100))*Q8%+SUM(Q50/(1-Q6/100))</f>
        <v>0</v>
      </c>
      <c r="R52" s="364"/>
    </row>
    <row r="53" spans="2:20" ht="16.5" thickTop="1" thickBot="1">
      <c r="B53" s="362"/>
      <c r="C53" s="340"/>
      <c r="D53" s="340"/>
      <c r="E53" s="340"/>
      <c r="F53" s="340"/>
      <c r="G53" s="340"/>
      <c r="H53" s="333"/>
      <c r="I53" s="334"/>
      <c r="J53" s="334"/>
      <c r="K53" s="334"/>
      <c r="L53" s="334"/>
      <c r="M53" s="334"/>
      <c r="N53" s="334"/>
      <c r="O53" s="53"/>
      <c r="P53" s="25"/>
      <c r="Q53" s="53"/>
      <c r="R53" s="364"/>
    </row>
    <row r="54" spans="2:20" ht="16.5" thickTop="1">
      <c r="B54" s="362"/>
      <c r="C54" s="340"/>
      <c r="D54" s="340"/>
      <c r="E54" s="340"/>
      <c r="F54" s="340"/>
      <c r="G54" s="340"/>
      <c r="H54" s="368" t="s">
        <v>19</v>
      </c>
      <c r="I54" s="369"/>
      <c r="J54" s="369"/>
      <c r="K54" s="369"/>
      <c r="L54" s="369"/>
      <c r="M54" s="370"/>
      <c r="N54" s="59">
        <f>SUM(I14*E14)+(I15*E15)+(I16*E16)+(I17*E17)+(I18*E18)+(I19*E19)+(I20*E20)+(I21*E21)+(I22*E22)+(I23*E23)+(I24*E24)+(I25*E25)+(I26*E26)+(I27*E27)+(I28*E28)+(I29*E29)+(I30*E30)+(I31*E31)+(I32*E32)+(I33*E33)+(I34*E34)+(I35*E35)+(I36*E36)+(I37*E37)+(I38*E38)+(I39*E39)+(I40*E40)+(I41*E41)+(I42*E42)+(I43*E43)+(I44*E44)+(I45*E45)+(I46*E46)+(I47*E47)+(I48*E48)</f>
        <v>0</v>
      </c>
      <c r="O54" s="25"/>
      <c r="P54" s="25"/>
      <c r="Q54" s="59">
        <f>SUM(K14*-E14)+(K15*-E15)+(K16*-E16)+(K17*-E17)+(K18*-E18)+(K19*-E19)+(K20*-E20)+(K21*-E21)+(K22*-E22)+(K23*-E23)+(K24*-E24)+(K25*-E25)+(K26*-E26)+(K27*-E27)+(K28*-E28)+(K29*-E29)+(K30*-E30)+(K31*-E31)+(K32*-E32)+(K33*-E33)+(K34*-E34)+(K35*-E35)+(K36*-E36)+(K37*-E37)+(K38*-E38)+(K39*-E39)+(K40*-E40)+(K41*-E41)+(K42*-E42)+(K43*-E43)+(K44*-E44)+(K45*-E45)+(K46*-E46)+(K47*-E47)+(K48*-E48)</f>
        <v>0</v>
      </c>
      <c r="R54" s="364"/>
    </row>
    <row r="55" spans="2:20" ht="15.75">
      <c r="B55" s="362"/>
      <c r="C55" s="340"/>
      <c r="D55" s="340"/>
      <c r="E55" s="340"/>
      <c r="F55" s="340"/>
      <c r="G55" s="340"/>
      <c r="H55" s="335" t="s">
        <v>17</v>
      </c>
      <c r="I55" s="336"/>
      <c r="J55" s="336"/>
      <c r="K55" s="336"/>
      <c r="L55" s="336"/>
      <c r="M55" s="337"/>
      <c r="N55" s="62">
        <f>N56-N54</f>
        <v>0</v>
      </c>
      <c r="O55" s="54"/>
      <c r="P55" s="25"/>
      <c r="Q55" s="62">
        <f>Q56-Q54</f>
        <v>0</v>
      </c>
      <c r="R55" s="364"/>
    </row>
    <row r="56" spans="2:20" ht="16.5" thickBot="1">
      <c r="B56" s="362"/>
      <c r="C56" s="340"/>
      <c r="D56" s="340"/>
      <c r="E56" s="340"/>
      <c r="F56" s="340"/>
      <c r="G56" s="340"/>
      <c r="H56" s="330" t="s">
        <v>20</v>
      </c>
      <c r="I56" s="331"/>
      <c r="J56" s="331"/>
      <c r="K56" s="331"/>
      <c r="L56" s="331"/>
      <c r="M56" s="332"/>
      <c r="N56" s="61">
        <f>SUM(N54/(1-N7/100))*N8%+SUM(N54/(1-N7/100))</f>
        <v>0</v>
      </c>
      <c r="O56" s="52"/>
      <c r="P56" s="25"/>
      <c r="Q56" s="61">
        <f>SUM(Q54/(1-Q7/100))*Q8%+SUM(Q54/(1-Q7/100))</f>
        <v>0</v>
      </c>
      <c r="R56" s="364"/>
    </row>
    <row r="57" spans="2:20" ht="16.5" thickTop="1" thickBot="1">
      <c r="B57" s="362"/>
      <c r="C57" s="340"/>
      <c r="D57" s="340"/>
      <c r="E57" s="340"/>
      <c r="F57" s="340"/>
      <c r="G57" s="340"/>
      <c r="H57" s="333"/>
      <c r="I57" s="334"/>
      <c r="J57" s="334"/>
      <c r="K57" s="334"/>
      <c r="L57" s="334"/>
      <c r="M57" s="334"/>
      <c r="N57" s="334"/>
      <c r="O57" s="53"/>
      <c r="P57" s="25"/>
      <c r="Q57" s="53"/>
      <c r="R57" s="364"/>
    </row>
    <row r="58" spans="2:20" ht="16.5" thickTop="1">
      <c r="B58" s="362"/>
      <c r="C58" s="340"/>
      <c r="D58" s="340"/>
      <c r="E58" s="340"/>
      <c r="F58" s="340"/>
      <c r="G58" s="340"/>
      <c r="H58" s="368" t="s">
        <v>21</v>
      </c>
      <c r="I58" s="369"/>
      <c r="J58" s="369"/>
      <c r="K58" s="369"/>
      <c r="L58" s="369"/>
      <c r="M58" s="370"/>
      <c r="N58" s="63">
        <f>SUM(C14:C48)</f>
        <v>0</v>
      </c>
      <c r="O58" s="55"/>
      <c r="P58" s="25"/>
      <c r="Q58" s="63">
        <f>-SUM(D14:D48)</f>
        <v>0</v>
      </c>
      <c r="R58" s="364"/>
    </row>
    <row r="59" spans="2:20" ht="15.75">
      <c r="B59" s="362"/>
      <c r="C59" s="340"/>
      <c r="D59" s="340"/>
      <c r="E59" s="340"/>
      <c r="F59" s="340"/>
      <c r="G59" s="340"/>
      <c r="H59" s="335" t="s">
        <v>22</v>
      </c>
      <c r="I59" s="336"/>
      <c r="J59" s="336"/>
      <c r="K59" s="336"/>
      <c r="L59" s="336"/>
      <c r="M59" s="337"/>
      <c r="N59" s="64">
        <f>N58*N4</f>
        <v>0</v>
      </c>
      <c r="O59" s="56"/>
      <c r="P59" s="25"/>
      <c r="Q59" s="64">
        <f>Q58*Q4</f>
        <v>0</v>
      </c>
      <c r="R59" s="364"/>
    </row>
    <row r="60" spans="2:20" ht="15.75">
      <c r="B60" s="362"/>
      <c r="C60" s="340"/>
      <c r="D60" s="340"/>
      <c r="E60" s="340"/>
      <c r="F60" s="340"/>
      <c r="G60" s="340"/>
      <c r="H60" s="29"/>
      <c r="I60" s="72"/>
      <c r="J60" s="72"/>
      <c r="K60" s="72"/>
      <c r="L60" s="72"/>
      <c r="M60" s="27" t="s">
        <v>17</v>
      </c>
      <c r="N60" s="65">
        <f>N61-N59</f>
        <v>0</v>
      </c>
      <c r="O60" s="56"/>
      <c r="P60" s="25"/>
      <c r="Q60" s="65">
        <f>Q61-Q59</f>
        <v>0</v>
      </c>
      <c r="R60" s="364"/>
    </row>
    <row r="61" spans="2:20" ht="16.5" thickBot="1">
      <c r="B61" s="362"/>
      <c r="C61" s="340"/>
      <c r="D61" s="340"/>
      <c r="E61" s="340"/>
      <c r="F61" s="340"/>
      <c r="G61" s="340"/>
      <c r="H61" s="330" t="s">
        <v>23</v>
      </c>
      <c r="I61" s="331"/>
      <c r="J61" s="331"/>
      <c r="K61" s="331"/>
      <c r="L61" s="331"/>
      <c r="M61" s="332"/>
      <c r="N61" s="61">
        <f>SUM(N59/(1-N5/100))*N8%+SUM(N59/(1-N5/100))</f>
        <v>0</v>
      </c>
      <c r="O61" s="52"/>
      <c r="P61" s="25"/>
      <c r="Q61" s="61">
        <f>SUM(Q59/(1-Q5/100))*Q8%+SUM(Q59/(1-Q5/100))</f>
        <v>0</v>
      </c>
      <c r="R61" s="364"/>
    </row>
    <row r="62" spans="2:20" ht="17.25" thickTop="1" thickBot="1">
      <c r="B62" s="362"/>
      <c r="C62" s="340"/>
      <c r="D62" s="340"/>
      <c r="E62" s="340"/>
      <c r="F62" s="340"/>
      <c r="G62" s="340"/>
      <c r="H62" s="338"/>
      <c r="I62" s="339"/>
      <c r="J62" s="339"/>
      <c r="K62" s="339"/>
      <c r="L62" s="339"/>
      <c r="M62" s="339"/>
      <c r="N62" s="340"/>
      <c r="O62" s="51"/>
      <c r="P62" s="25"/>
      <c r="Q62" s="51"/>
      <c r="R62" s="364"/>
    </row>
    <row r="63" spans="2:20" ht="15.75" customHeight="1" thickTop="1">
      <c r="B63" s="362"/>
      <c r="C63" s="340"/>
      <c r="D63" s="340"/>
      <c r="E63" s="340"/>
      <c r="F63" s="340"/>
      <c r="G63" s="340"/>
      <c r="H63" s="368" t="s">
        <v>24</v>
      </c>
      <c r="I63" s="373"/>
      <c r="J63" s="373"/>
      <c r="K63" s="373"/>
      <c r="L63" s="373"/>
      <c r="M63" s="373"/>
      <c r="N63" s="316">
        <f>N52+N56+N61</f>
        <v>0</v>
      </c>
      <c r="O63" s="57"/>
      <c r="P63" s="25"/>
      <c r="Q63" s="316">
        <f>Q52+Q56+Q61</f>
        <v>0</v>
      </c>
      <c r="R63" s="364"/>
    </row>
    <row r="64" spans="2:20" ht="13.5" customHeight="1" thickBot="1">
      <c r="B64" s="362"/>
      <c r="C64" s="340"/>
      <c r="D64" s="340"/>
      <c r="E64" s="340"/>
      <c r="F64" s="340"/>
      <c r="G64" s="340"/>
      <c r="H64" s="374" t="s">
        <v>25</v>
      </c>
      <c r="I64" s="375"/>
      <c r="J64" s="375"/>
      <c r="K64" s="375"/>
      <c r="L64" s="375"/>
      <c r="M64" s="375"/>
      <c r="N64" s="317"/>
      <c r="O64" s="58"/>
      <c r="P64" s="25"/>
      <c r="Q64" s="317"/>
      <c r="R64" s="364"/>
      <c r="T64" s="28"/>
    </row>
    <row r="65" spans="2:18" ht="16.5" thickTop="1" thickBot="1">
      <c r="B65" s="367"/>
      <c r="C65" s="339"/>
      <c r="D65" s="339"/>
      <c r="E65" s="339"/>
      <c r="F65" s="339"/>
      <c r="G65" s="339"/>
      <c r="H65" s="371"/>
      <c r="I65" s="372"/>
      <c r="J65" s="372"/>
      <c r="K65" s="372"/>
      <c r="L65" s="372"/>
      <c r="M65" s="372"/>
      <c r="N65" s="339"/>
      <c r="O65" s="73"/>
      <c r="P65" s="74"/>
      <c r="Q65" s="73"/>
      <c r="R65" s="365"/>
    </row>
    <row r="66" spans="2:18">
      <c r="R66" s="3"/>
    </row>
  </sheetData>
  <sheetProtection algorithmName="SHA-512" hashValue="lLasHZhNdxt698En2w63Fn0lcxnTmhRuyqfEwlE9thboBuhxLZWiJs4UcniQEZ3ot/OJJUgPUVGY+HiCRz9Y/Q==" saltValue="JKZ3jf7Wxn15oUMwKorRow==" spinCount="100000" sheet="1" objects="1" scenarios="1" selectLockedCells="1"/>
  <mergeCells count="45">
    <mergeCell ref="C3:G3"/>
    <mergeCell ref="B3:B48"/>
    <mergeCell ref="R11:R65"/>
    <mergeCell ref="B50:G65"/>
    <mergeCell ref="H50:M50"/>
    <mergeCell ref="M11:N11"/>
    <mergeCell ref="H51:M51"/>
    <mergeCell ref="H52:M52"/>
    <mergeCell ref="H53:N53"/>
    <mergeCell ref="H58:M58"/>
    <mergeCell ref="H54:M54"/>
    <mergeCell ref="H55:M55"/>
    <mergeCell ref="H65:N65"/>
    <mergeCell ref="H63:M63"/>
    <mergeCell ref="N63:N64"/>
    <mergeCell ref="H64:M64"/>
    <mergeCell ref="C4:D4"/>
    <mergeCell ref="C5:D5"/>
    <mergeCell ref="C6:D6"/>
    <mergeCell ref="C7:D7"/>
    <mergeCell ref="H12:I12"/>
    <mergeCell ref="C9:G9"/>
    <mergeCell ref="E7:G7"/>
    <mergeCell ref="C11:D11"/>
    <mergeCell ref="I4:K4"/>
    <mergeCell ref="I5:K5"/>
    <mergeCell ref="I6:K6"/>
    <mergeCell ref="I7:K7"/>
    <mergeCell ref="E4:G4"/>
    <mergeCell ref="E5:G5"/>
    <mergeCell ref="E6:G6"/>
    <mergeCell ref="Q63:Q64"/>
    <mergeCell ref="E11:K11"/>
    <mergeCell ref="C8:G8"/>
    <mergeCell ref="I8:K8"/>
    <mergeCell ref="C12:D12"/>
    <mergeCell ref="J12:K12"/>
    <mergeCell ref="M12:N12"/>
    <mergeCell ref="P11:Q11"/>
    <mergeCell ref="P12:Q12"/>
    <mergeCell ref="H56:M56"/>
    <mergeCell ref="H57:N57"/>
    <mergeCell ref="H59:M59"/>
    <mergeCell ref="H61:M61"/>
    <mergeCell ref="H62:N62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45" fitToHeight="3" orientation="portrait" blackAndWhite="1" r:id="rId1"/>
  <headerFooter alignWithMargins="0"/>
  <rowBreaks count="1" manualBreakCount="1">
    <brk id="24" max="16383" man="1"/>
  </rowBreaks>
  <colBreaks count="1" manualBreakCount="1">
    <brk id="2" max="1048575" man="1"/>
  </colBreaks>
  <ignoredErrors>
    <ignoredError sqref="N51 Q51 G2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10D8-EF74-450A-9506-3A8D6C649CB8}">
  <sheetPr>
    <tabColor rgb="FFFF0000"/>
  </sheetPr>
  <dimension ref="B1:L51"/>
  <sheetViews>
    <sheetView zoomScale="85" zoomScaleNormal="85" workbookViewId="0">
      <selection activeCell="G27" sqref="G27:G32"/>
    </sheetView>
  </sheetViews>
  <sheetFormatPr defaultColWidth="9.42578125" defaultRowHeight="12.75"/>
  <cols>
    <col min="1" max="1" width="3.42578125" style="1" customWidth="1"/>
    <col min="2" max="2" width="4" style="1" customWidth="1"/>
    <col min="3" max="3" width="19.5703125" style="1" customWidth="1"/>
    <col min="4" max="5" width="8.5703125" style="1" customWidth="1"/>
    <col min="6" max="6" width="52" style="1" customWidth="1"/>
    <col min="7" max="8" width="21.42578125" style="1" customWidth="1"/>
    <col min="9" max="9" width="21.42578125" style="4" customWidth="1"/>
    <col min="10" max="10" width="3.42578125" style="1" customWidth="1"/>
    <col min="11" max="11" width="9.42578125" style="1"/>
    <col min="12" max="12" width="10.5703125" style="1" bestFit="1" customWidth="1"/>
    <col min="13" max="16384" width="9.42578125" style="1"/>
  </cols>
  <sheetData>
    <row r="1" spans="2:10" ht="18.75" thickBot="1">
      <c r="G1" s="2"/>
    </row>
    <row r="2" spans="2:10" ht="31.5" thickTop="1" thickBot="1">
      <c r="B2" s="102" t="s">
        <v>68</v>
      </c>
      <c r="C2" s="103"/>
      <c r="D2" s="103"/>
      <c r="E2" s="103"/>
      <c r="F2" s="105">
        <f>'VO Summary - Issue'!$I$3</f>
        <v>0</v>
      </c>
      <c r="G2" s="103"/>
      <c r="H2" s="103"/>
      <c r="I2" s="103"/>
      <c r="J2" s="104"/>
    </row>
    <row r="3" spans="2:10" ht="16.5" customHeight="1" thickTop="1" thickBot="1">
      <c r="B3" s="386"/>
      <c r="C3" s="347"/>
      <c r="D3" s="347"/>
      <c r="E3" s="347"/>
      <c r="F3" s="347"/>
      <c r="G3" s="11"/>
      <c r="H3" s="11"/>
      <c r="I3" s="11"/>
      <c r="J3" s="12"/>
    </row>
    <row r="4" spans="2:10" ht="16.5" customHeight="1">
      <c r="B4" s="380"/>
      <c r="C4" s="203" t="s">
        <v>1</v>
      </c>
      <c r="D4" s="389" t="str">
        <f>'VO Summary - Issue'!$G$5</f>
        <v>Project Manager X</v>
      </c>
      <c r="E4" s="390"/>
      <c r="F4" s="391"/>
      <c r="G4" s="353" t="s">
        <v>26</v>
      </c>
      <c r="H4" s="392"/>
      <c r="I4" s="192">
        <v>20</v>
      </c>
      <c r="J4" s="12"/>
    </row>
    <row r="5" spans="2:10" ht="16.5" customHeight="1">
      <c r="B5" s="380"/>
      <c r="C5" s="204" t="s">
        <v>3</v>
      </c>
      <c r="D5" s="393">
        <f>'VO Summary - Issue'!$H$50</f>
        <v>0</v>
      </c>
      <c r="E5" s="348"/>
      <c r="F5" s="394"/>
      <c r="G5" s="400" t="s">
        <v>66</v>
      </c>
      <c r="H5" s="401"/>
      <c r="I5" s="193">
        <v>35</v>
      </c>
      <c r="J5" s="12"/>
    </row>
    <row r="6" spans="2:10" ht="16.5" customHeight="1" thickBot="1">
      <c r="B6" s="380"/>
      <c r="C6" s="204" t="s">
        <v>5</v>
      </c>
      <c r="D6" s="397" t="str">
        <f>'VO Summary - Issue'!$B$2</f>
        <v>Project X</v>
      </c>
      <c r="E6" s="398"/>
      <c r="F6" s="399"/>
      <c r="G6" s="395" t="s">
        <v>65</v>
      </c>
      <c r="H6" s="396"/>
      <c r="I6" s="194">
        <v>20</v>
      </c>
      <c r="J6" s="12"/>
    </row>
    <row r="7" spans="2:10" ht="16.5" customHeight="1" thickBot="1">
      <c r="B7" s="380"/>
      <c r="C7" s="205" t="s">
        <v>7</v>
      </c>
      <c r="D7" s="402">
        <f>'VO Summary - Issue'!$I$2</f>
        <v>0</v>
      </c>
      <c r="E7" s="402"/>
      <c r="F7" s="403"/>
      <c r="G7" s="404"/>
      <c r="H7" s="404"/>
      <c r="I7" s="202"/>
      <c r="J7" s="12"/>
    </row>
    <row r="8" spans="2:10" ht="16.5" customHeight="1" thickBot="1">
      <c r="B8" s="380"/>
      <c r="C8" s="347"/>
      <c r="D8" s="340"/>
      <c r="E8" s="340"/>
      <c r="F8" s="340"/>
      <c r="G8" s="69"/>
      <c r="H8" s="11"/>
      <c r="I8" s="11"/>
      <c r="J8" s="12"/>
    </row>
    <row r="9" spans="2:10" ht="17.25" thickTop="1" thickBot="1">
      <c r="B9" s="380"/>
      <c r="C9" s="411" t="s">
        <v>27</v>
      </c>
      <c r="D9" s="412"/>
      <c r="E9" s="387" t="s">
        <v>63</v>
      </c>
      <c r="F9" s="412"/>
      <c r="G9" s="412"/>
      <c r="H9" s="387" t="s">
        <v>10</v>
      </c>
      <c r="I9" s="388"/>
      <c r="J9" s="414"/>
    </row>
    <row r="10" spans="2:10" ht="15">
      <c r="B10" s="380"/>
      <c r="C10" s="13" t="s">
        <v>11</v>
      </c>
      <c r="D10" s="15" t="s">
        <v>12</v>
      </c>
      <c r="E10" s="15" t="s">
        <v>13</v>
      </c>
      <c r="F10" s="15" t="s">
        <v>14</v>
      </c>
      <c r="G10" s="15" t="s">
        <v>28</v>
      </c>
      <c r="H10" s="16" t="s">
        <v>15</v>
      </c>
      <c r="I10" s="14" t="s">
        <v>0</v>
      </c>
      <c r="J10" s="415"/>
    </row>
    <row r="11" spans="2:10" ht="15">
      <c r="B11" s="380"/>
      <c r="C11" s="26">
        <f>D11*E11</f>
        <v>0</v>
      </c>
      <c r="D11" s="6"/>
      <c r="E11" s="6"/>
      <c r="F11" s="7" t="s">
        <v>1</v>
      </c>
      <c r="G11" s="8"/>
      <c r="H11" s="17">
        <f>SUM(C11*G11)</f>
        <v>0</v>
      </c>
      <c r="I11" s="5">
        <f>SUM(H11/(1-$I$4/100))+SUM(H11/100*'Variation Cost Sheet'!N8)</f>
        <v>0</v>
      </c>
      <c r="J11" s="415"/>
    </row>
    <row r="12" spans="2:10" ht="15">
      <c r="B12" s="380"/>
      <c r="C12" s="26">
        <f t="shared" ref="C12:C17" si="0">D12*E12</f>
        <v>0</v>
      </c>
      <c r="D12" s="6"/>
      <c r="E12" s="9"/>
      <c r="F12" s="10" t="s">
        <v>29</v>
      </c>
      <c r="G12" s="8"/>
      <c r="H12" s="17">
        <f t="shared" ref="H12:H17" si="1">SUM(C12*G12)</f>
        <v>0</v>
      </c>
      <c r="I12" s="5">
        <f>SUM(H12/(1-$I$4/100))+SUM(H12/100*'Variation Cost Sheet'!N8)</f>
        <v>0</v>
      </c>
      <c r="J12" s="415"/>
    </row>
    <row r="13" spans="2:10" ht="15">
      <c r="B13" s="380"/>
      <c r="C13" s="26">
        <f t="shared" si="0"/>
        <v>0</v>
      </c>
      <c r="D13" s="9"/>
      <c r="E13" s="9"/>
      <c r="F13" s="10" t="s">
        <v>32</v>
      </c>
      <c r="G13" s="8"/>
      <c r="H13" s="17">
        <f t="shared" si="1"/>
        <v>0</v>
      </c>
      <c r="I13" s="5">
        <f>SUM(H13/(1-$I$4/100))+SUM(H13/100*'Variation Cost Sheet'!N8)</f>
        <v>0</v>
      </c>
      <c r="J13" s="415"/>
    </row>
    <row r="14" spans="2:10" ht="15">
      <c r="B14" s="380"/>
      <c r="C14" s="26">
        <f t="shared" si="0"/>
        <v>0</v>
      </c>
      <c r="D14" s="9"/>
      <c r="E14" s="9"/>
      <c r="F14" s="10" t="s">
        <v>33</v>
      </c>
      <c r="G14" s="8"/>
      <c r="H14" s="17">
        <f t="shared" si="1"/>
        <v>0</v>
      </c>
      <c r="I14" s="5">
        <f>SUM(H14/(1-$I$4/100))+SUM(H14/100*'Variation Cost Sheet'!N8)</f>
        <v>0</v>
      </c>
      <c r="J14" s="415"/>
    </row>
    <row r="15" spans="2:10" ht="15">
      <c r="B15" s="380"/>
      <c r="C15" s="26">
        <f t="shared" si="0"/>
        <v>0</v>
      </c>
      <c r="D15" s="6"/>
      <c r="E15" s="9"/>
      <c r="F15" s="10" t="s">
        <v>34</v>
      </c>
      <c r="G15" s="8"/>
      <c r="H15" s="17">
        <f t="shared" si="1"/>
        <v>0</v>
      </c>
      <c r="I15" s="5">
        <f>SUM(H15/(1-$I$4/100))+SUM(H15/100*'Variation Cost Sheet'!N8)</f>
        <v>0</v>
      </c>
      <c r="J15" s="415"/>
    </row>
    <row r="16" spans="2:10" ht="15">
      <c r="B16" s="380"/>
      <c r="C16" s="26">
        <f t="shared" si="0"/>
        <v>0</v>
      </c>
      <c r="D16" s="6"/>
      <c r="E16" s="9"/>
      <c r="F16" s="10" t="s">
        <v>35</v>
      </c>
      <c r="G16" s="8"/>
      <c r="H16" s="17">
        <f t="shared" si="1"/>
        <v>0</v>
      </c>
      <c r="I16" s="5">
        <f>SUM(H16/(1-$I$4/100))+SUM(H16/100*'Variation Cost Sheet'!N8)</f>
        <v>0</v>
      </c>
      <c r="J16" s="415"/>
    </row>
    <row r="17" spans="2:10" ht="15.75" thickBot="1">
      <c r="B17" s="380"/>
      <c r="C17" s="26">
        <f t="shared" si="0"/>
        <v>0</v>
      </c>
      <c r="D17" s="9"/>
      <c r="E17" s="9"/>
      <c r="F17" s="10" t="s">
        <v>36</v>
      </c>
      <c r="G17" s="8"/>
      <c r="H17" s="17">
        <f t="shared" si="1"/>
        <v>0</v>
      </c>
      <c r="I17" s="5">
        <f>SUM(H17/(1-$I$4/100))+SUM(H17/100*'Variation Cost Sheet'!N8)</f>
        <v>0</v>
      </c>
      <c r="J17" s="415"/>
    </row>
    <row r="18" spans="2:10" ht="16.5" thickTop="1" thickBot="1">
      <c r="B18" s="380"/>
      <c r="C18" s="34"/>
      <c r="D18" s="35"/>
      <c r="E18" s="35"/>
      <c r="F18" s="36"/>
      <c r="G18" s="37"/>
      <c r="H18" s="38"/>
      <c r="I18" s="39"/>
      <c r="J18" s="415"/>
    </row>
    <row r="19" spans="2:10" ht="17.25" thickTop="1" thickBot="1">
      <c r="B19" s="380"/>
      <c r="C19" s="411" t="s">
        <v>27</v>
      </c>
      <c r="D19" s="412"/>
      <c r="E19" s="387" t="s">
        <v>58</v>
      </c>
      <c r="F19" s="412"/>
      <c r="G19" s="412"/>
      <c r="H19" s="387" t="s">
        <v>10</v>
      </c>
      <c r="I19" s="388"/>
      <c r="J19" s="415"/>
    </row>
    <row r="20" spans="2:10" ht="15">
      <c r="B20" s="380"/>
      <c r="C20" s="13" t="s">
        <v>11</v>
      </c>
      <c r="D20" s="15" t="s">
        <v>12</v>
      </c>
      <c r="E20" s="15" t="s">
        <v>13</v>
      </c>
      <c r="F20" s="15" t="s">
        <v>14</v>
      </c>
      <c r="G20" s="15" t="s">
        <v>28</v>
      </c>
      <c r="H20" s="16" t="s">
        <v>15</v>
      </c>
      <c r="I20" s="14" t="s">
        <v>0</v>
      </c>
      <c r="J20" s="415"/>
    </row>
    <row r="21" spans="2:10" ht="15">
      <c r="B21" s="380"/>
      <c r="C21" s="26">
        <f>D21*E21</f>
        <v>0</v>
      </c>
      <c r="D21" s="9"/>
      <c r="E21" s="9"/>
      <c r="F21" s="10" t="s">
        <v>30</v>
      </c>
      <c r="G21" s="8"/>
      <c r="H21" s="17">
        <f>SUM(C21*G21)</f>
        <v>0</v>
      </c>
      <c r="I21" s="5">
        <f>SUM(H21/(1-$I$5/100))+SUM(H21/100*'Variation Cost Sheet'!N8)</f>
        <v>0</v>
      </c>
      <c r="J21" s="415"/>
    </row>
    <row r="22" spans="2:10" ht="15">
      <c r="B22" s="380"/>
      <c r="C22" s="26">
        <f t="shared" ref="C22:C23" si="2">D22*E22</f>
        <v>0</v>
      </c>
      <c r="D22" s="9"/>
      <c r="E22" s="9"/>
      <c r="F22" s="10" t="s">
        <v>31</v>
      </c>
      <c r="G22" s="8"/>
      <c r="H22" s="17">
        <f t="shared" ref="H22:H23" si="3">SUM(C22*G22)</f>
        <v>0</v>
      </c>
      <c r="I22" s="5">
        <f>SUM(H22/(1-$I$5/100))+SUM(H22/100*'Variation Cost Sheet'!N8)</f>
        <v>0</v>
      </c>
      <c r="J22" s="415"/>
    </row>
    <row r="23" spans="2:10" ht="15.75" thickBot="1">
      <c r="B23" s="380"/>
      <c r="C23" s="26">
        <f t="shared" si="2"/>
        <v>0</v>
      </c>
      <c r="D23" s="9"/>
      <c r="E23" s="9"/>
      <c r="F23" s="10" t="s">
        <v>64</v>
      </c>
      <c r="G23" s="8"/>
      <c r="H23" s="17">
        <f t="shared" si="3"/>
        <v>0</v>
      </c>
      <c r="I23" s="5">
        <f>SUM(H23/(1-$I$5/100))+SUM(H23/100*'Variation Cost Sheet'!N8)</f>
        <v>0</v>
      </c>
      <c r="J23" s="415"/>
    </row>
    <row r="24" spans="2:10" ht="16.5" thickTop="1" thickBot="1">
      <c r="B24" s="380"/>
      <c r="C24" s="34"/>
      <c r="D24" s="35"/>
      <c r="E24" s="35"/>
      <c r="F24" s="36"/>
      <c r="G24" s="37"/>
      <c r="H24" s="38"/>
      <c r="I24" s="39"/>
      <c r="J24" s="415"/>
    </row>
    <row r="25" spans="2:10" ht="17.25" thickTop="1" thickBot="1">
      <c r="B25" s="380"/>
      <c r="C25" s="411"/>
      <c r="D25" s="413"/>
      <c r="E25" s="420" t="s">
        <v>56</v>
      </c>
      <c r="F25" s="412"/>
      <c r="G25" s="412"/>
      <c r="H25" s="387" t="s">
        <v>10</v>
      </c>
      <c r="I25" s="388"/>
      <c r="J25" s="415"/>
    </row>
    <row r="26" spans="2:10" ht="15">
      <c r="B26" s="380"/>
      <c r="C26" s="33" t="s">
        <v>13</v>
      </c>
      <c r="D26" s="405" t="s">
        <v>14</v>
      </c>
      <c r="E26" s="406"/>
      <c r="F26" s="407"/>
      <c r="G26" s="15" t="s">
        <v>28</v>
      </c>
      <c r="H26" s="16" t="s">
        <v>15</v>
      </c>
      <c r="I26" s="14" t="s">
        <v>0</v>
      </c>
      <c r="J26" s="415"/>
    </row>
    <row r="27" spans="2:10" ht="15">
      <c r="B27" s="380"/>
      <c r="C27" s="191">
        <v>1</v>
      </c>
      <c r="D27" s="376" t="s">
        <v>37</v>
      </c>
      <c r="E27" s="377"/>
      <c r="F27" s="378"/>
      <c r="G27" s="8"/>
      <c r="H27" s="17">
        <f>SUM(C27*G27)</f>
        <v>0</v>
      </c>
      <c r="I27" s="5">
        <f>SUM(H27/(1-$I$6/100))+SUM(H27/100*'Variation Cost Sheet'!N8)</f>
        <v>0</v>
      </c>
      <c r="J27" s="415"/>
    </row>
    <row r="28" spans="2:10" ht="15">
      <c r="B28" s="380"/>
      <c r="C28" s="191">
        <v>0</v>
      </c>
      <c r="D28" s="408" t="s">
        <v>38</v>
      </c>
      <c r="E28" s="409"/>
      <c r="F28" s="410"/>
      <c r="G28" s="8"/>
      <c r="H28" s="17">
        <f t="shared" ref="H28:H32" si="4">SUM(C28*G28)</f>
        <v>0</v>
      </c>
      <c r="I28" s="5">
        <f>SUM(H28/(1-$I$6/100))+SUM(H28/100*'Variation Cost Sheet'!N8)</f>
        <v>0</v>
      </c>
      <c r="J28" s="415"/>
    </row>
    <row r="29" spans="2:10" ht="15">
      <c r="B29" s="380"/>
      <c r="C29" s="191">
        <v>0</v>
      </c>
      <c r="D29" s="376" t="s">
        <v>39</v>
      </c>
      <c r="E29" s="377"/>
      <c r="F29" s="378"/>
      <c r="G29" s="8"/>
      <c r="H29" s="17">
        <f t="shared" si="4"/>
        <v>0</v>
      </c>
      <c r="I29" s="5">
        <f>SUM(H29/(1-$I$6/100))+SUM(H29/100*'Variation Cost Sheet'!N8)</f>
        <v>0</v>
      </c>
      <c r="J29" s="415"/>
    </row>
    <row r="30" spans="2:10" ht="15">
      <c r="B30" s="380"/>
      <c r="C30" s="191">
        <v>2</v>
      </c>
      <c r="D30" s="376" t="s">
        <v>40</v>
      </c>
      <c r="E30" s="377"/>
      <c r="F30" s="378"/>
      <c r="G30" s="8"/>
      <c r="H30" s="17">
        <f t="shared" si="4"/>
        <v>0</v>
      </c>
      <c r="I30" s="5">
        <f>SUM(H30/(1-$I$6/100))+SUM(H30/100*'Variation Cost Sheet'!N8)</f>
        <v>0</v>
      </c>
      <c r="J30" s="415"/>
    </row>
    <row r="31" spans="2:10" ht="15">
      <c r="B31" s="380"/>
      <c r="C31" s="191">
        <v>0</v>
      </c>
      <c r="D31" s="376" t="s">
        <v>41</v>
      </c>
      <c r="E31" s="377"/>
      <c r="F31" s="378"/>
      <c r="G31" s="8"/>
      <c r="H31" s="17">
        <f t="shared" si="4"/>
        <v>0</v>
      </c>
      <c r="I31" s="5">
        <f>SUM(H31/(1-$I$6/100))+SUM(H31/100*'Variation Cost Sheet'!N8)</f>
        <v>0</v>
      </c>
      <c r="J31" s="415"/>
    </row>
    <row r="32" spans="2:10" ht="15">
      <c r="B32" s="380"/>
      <c r="C32" s="191">
        <v>0</v>
      </c>
      <c r="D32" s="376" t="s">
        <v>42</v>
      </c>
      <c r="E32" s="377"/>
      <c r="F32" s="378"/>
      <c r="G32" s="8"/>
      <c r="H32" s="17">
        <f t="shared" si="4"/>
        <v>0</v>
      </c>
      <c r="I32" s="5">
        <f>SUM(H32/(1-$I$6/100))+SUM(H32/100*'Variation Cost Sheet'!N8)</f>
        <v>0</v>
      </c>
      <c r="J32" s="415"/>
    </row>
    <row r="33" spans="2:10" ht="15.75" thickBot="1">
      <c r="B33" s="18"/>
      <c r="C33" s="19"/>
      <c r="D33" s="20"/>
      <c r="E33" s="21"/>
      <c r="F33" s="22"/>
      <c r="G33" s="23"/>
      <c r="H33" s="24"/>
      <c r="I33" s="25"/>
      <c r="J33" s="415"/>
    </row>
    <row r="34" spans="2:10" ht="16.5" thickTop="1">
      <c r="B34" s="379"/>
      <c r="C34" s="340"/>
      <c r="D34" s="340"/>
      <c r="E34" s="340"/>
      <c r="F34" s="340"/>
      <c r="G34" s="368" t="s">
        <v>43</v>
      </c>
      <c r="H34" s="370"/>
      <c r="I34" s="41">
        <f>SUM(C11:C17)</f>
        <v>0</v>
      </c>
      <c r="J34" s="415"/>
    </row>
    <row r="35" spans="2:10" ht="15.75">
      <c r="B35" s="379"/>
      <c r="C35" s="340"/>
      <c r="D35" s="340"/>
      <c r="E35" s="340"/>
      <c r="F35" s="340"/>
      <c r="G35" s="335" t="s">
        <v>44</v>
      </c>
      <c r="H35" s="337"/>
      <c r="I35" s="40">
        <f>SUM(H11:H17)</f>
        <v>0</v>
      </c>
      <c r="J35" s="415"/>
    </row>
    <row r="36" spans="2:10" ht="15.75">
      <c r="B36" s="380"/>
      <c r="C36" s="340"/>
      <c r="D36" s="340"/>
      <c r="E36" s="340"/>
      <c r="F36" s="340"/>
      <c r="G36" s="335" t="s">
        <v>17</v>
      </c>
      <c r="H36" s="337"/>
      <c r="I36" s="31">
        <f>I37-I35</f>
        <v>0</v>
      </c>
      <c r="J36" s="415"/>
    </row>
    <row r="37" spans="2:10" ht="16.5" thickBot="1">
      <c r="B37" s="380"/>
      <c r="C37" s="340"/>
      <c r="D37" s="340"/>
      <c r="E37" s="340"/>
      <c r="F37" s="340"/>
      <c r="G37" s="330" t="s">
        <v>45</v>
      </c>
      <c r="H37" s="332"/>
      <c r="I37" s="42">
        <f>SUM(I11:I17)</f>
        <v>0</v>
      </c>
      <c r="J37" s="415"/>
    </row>
    <row r="38" spans="2:10" ht="15.75" thickBot="1">
      <c r="B38" s="380"/>
      <c r="C38" s="340"/>
      <c r="D38" s="340"/>
      <c r="E38" s="340"/>
      <c r="F38" s="340"/>
      <c r="G38" s="418"/>
      <c r="H38" s="418"/>
      <c r="I38" s="418"/>
      <c r="J38" s="415"/>
    </row>
    <row r="39" spans="2:10" ht="16.5" thickTop="1">
      <c r="B39" s="380"/>
      <c r="C39" s="340"/>
      <c r="D39" s="340"/>
      <c r="E39" s="340"/>
      <c r="F39" s="340"/>
      <c r="G39" s="368" t="s">
        <v>59</v>
      </c>
      <c r="H39" s="370"/>
      <c r="I39" s="41">
        <f>SUM(C21:C23)</f>
        <v>0</v>
      </c>
      <c r="J39" s="415"/>
    </row>
    <row r="40" spans="2:10" ht="15.75">
      <c r="B40" s="380"/>
      <c r="C40" s="340"/>
      <c r="D40" s="340"/>
      <c r="E40" s="340"/>
      <c r="F40" s="340"/>
      <c r="G40" s="335" t="s">
        <v>60</v>
      </c>
      <c r="H40" s="337"/>
      <c r="I40" s="40">
        <f>SUM(H21:H23)</f>
        <v>0</v>
      </c>
      <c r="J40" s="415"/>
    </row>
    <row r="41" spans="2:10" ht="15.75">
      <c r="B41" s="380"/>
      <c r="C41" s="340"/>
      <c r="D41" s="340"/>
      <c r="E41" s="340"/>
      <c r="F41" s="340"/>
      <c r="G41" s="335" t="s">
        <v>17</v>
      </c>
      <c r="H41" s="337"/>
      <c r="I41" s="31">
        <f>I42-I40</f>
        <v>0</v>
      </c>
      <c r="J41" s="415"/>
    </row>
    <row r="42" spans="2:10" ht="16.5" thickBot="1">
      <c r="B42" s="380"/>
      <c r="C42" s="340"/>
      <c r="D42" s="340"/>
      <c r="E42" s="340"/>
      <c r="F42" s="340"/>
      <c r="G42" s="330" t="s">
        <v>61</v>
      </c>
      <c r="H42" s="332"/>
      <c r="I42" s="42">
        <f>SUM(I21:I23)</f>
        <v>0</v>
      </c>
      <c r="J42" s="415"/>
    </row>
    <row r="43" spans="2:10" ht="16.5" thickTop="1" thickBot="1">
      <c r="B43" s="380"/>
      <c r="C43" s="340"/>
      <c r="D43" s="340"/>
      <c r="E43" s="340"/>
      <c r="F43" s="340"/>
      <c r="G43" s="418"/>
      <c r="H43" s="418"/>
      <c r="I43" s="418"/>
      <c r="J43" s="415"/>
    </row>
    <row r="44" spans="2:10" ht="16.5" thickBot="1">
      <c r="B44" s="380"/>
      <c r="C44" s="340"/>
      <c r="D44" s="340"/>
      <c r="E44" s="340"/>
      <c r="F44" s="340"/>
      <c r="G44" s="368" t="s">
        <v>57</v>
      </c>
      <c r="H44" s="370"/>
      <c r="I44" s="30">
        <f>SUM(H27:H32)</f>
        <v>0</v>
      </c>
      <c r="J44" s="415"/>
    </row>
    <row r="45" spans="2:10" ht="15.75">
      <c r="B45" s="380"/>
      <c r="C45" s="340"/>
      <c r="D45" s="340"/>
      <c r="E45" s="340"/>
      <c r="F45" s="340"/>
      <c r="G45" s="335" t="s">
        <v>17</v>
      </c>
      <c r="H45" s="337"/>
      <c r="I45" s="32">
        <f>I46-I44</f>
        <v>0</v>
      </c>
      <c r="J45" s="415"/>
    </row>
    <row r="46" spans="2:10" ht="16.5" thickBot="1">
      <c r="B46" s="380"/>
      <c r="C46" s="340"/>
      <c r="D46" s="340"/>
      <c r="E46" s="340"/>
      <c r="F46" s="340"/>
      <c r="G46" s="330" t="s">
        <v>46</v>
      </c>
      <c r="H46" s="332"/>
      <c r="I46" s="42">
        <f>SUM(I27:I32)</f>
        <v>0</v>
      </c>
      <c r="J46" s="415"/>
    </row>
    <row r="47" spans="2:10" ht="14.25" thickTop="1" thickBot="1">
      <c r="B47" s="380"/>
      <c r="C47" s="340"/>
      <c r="D47" s="340"/>
      <c r="E47" s="340"/>
      <c r="F47" s="340"/>
      <c r="G47" s="419"/>
      <c r="H47" s="419"/>
      <c r="I47" s="419"/>
      <c r="J47" s="415"/>
    </row>
    <row r="48" spans="2:10" ht="15.75" customHeight="1" thickTop="1">
      <c r="B48" s="380"/>
      <c r="C48" s="340"/>
      <c r="D48" s="340"/>
      <c r="E48" s="340"/>
      <c r="F48" s="340"/>
      <c r="G48" s="368" t="s">
        <v>24</v>
      </c>
      <c r="H48" s="370"/>
      <c r="I48" s="384">
        <f>I37+I46+I42</f>
        <v>0</v>
      </c>
      <c r="J48" s="415"/>
    </row>
    <row r="49" spans="2:12" ht="13.5" customHeight="1" thickBot="1">
      <c r="B49" s="380"/>
      <c r="C49" s="340"/>
      <c r="D49" s="340"/>
      <c r="E49" s="340"/>
      <c r="F49" s="340"/>
      <c r="G49" s="374" t="s">
        <v>25</v>
      </c>
      <c r="H49" s="417"/>
      <c r="I49" s="385"/>
      <c r="J49" s="415"/>
      <c r="L49" s="28"/>
    </row>
    <row r="50" spans="2:12" ht="14.25" thickTop="1" thickBot="1">
      <c r="B50" s="381"/>
      <c r="C50" s="382"/>
      <c r="D50" s="382"/>
      <c r="E50" s="382"/>
      <c r="F50" s="382"/>
      <c r="G50" s="383"/>
      <c r="H50" s="383"/>
      <c r="I50" s="383"/>
      <c r="J50" s="416"/>
    </row>
    <row r="51" spans="2:12" ht="13.5" thickTop="1">
      <c r="J51" s="3"/>
    </row>
  </sheetData>
  <sheetProtection algorithmName="SHA-512" hashValue="f42RJcBx468weYT6XBtnYIbbWXqxvmyP6g+QOog8RzcCAWO/izBm9bfZAI08DdtoQAZn+/z2nWClL4B34fiZ/Q==" saltValue="tPu2zsOSP1wJg87N2dgynA==" spinCount="100000" sheet="1" selectLockedCells="1"/>
  <mergeCells count="47">
    <mergeCell ref="G39:H39"/>
    <mergeCell ref="H19:I19"/>
    <mergeCell ref="D29:F29"/>
    <mergeCell ref="J9:J50"/>
    <mergeCell ref="G49:H49"/>
    <mergeCell ref="G38:I38"/>
    <mergeCell ref="G44:H44"/>
    <mergeCell ref="G45:H45"/>
    <mergeCell ref="G46:H46"/>
    <mergeCell ref="G47:I47"/>
    <mergeCell ref="G48:H48"/>
    <mergeCell ref="G41:H41"/>
    <mergeCell ref="G42:H42"/>
    <mergeCell ref="G43:I43"/>
    <mergeCell ref="E25:G25"/>
    <mergeCell ref="H25:I25"/>
    <mergeCell ref="D26:F26"/>
    <mergeCell ref="D27:F27"/>
    <mergeCell ref="D28:F28"/>
    <mergeCell ref="C8:F8"/>
    <mergeCell ref="C9:D9"/>
    <mergeCell ref="E9:G9"/>
    <mergeCell ref="C19:D19"/>
    <mergeCell ref="E19:G19"/>
    <mergeCell ref="C25:D25"/>
    <mergeCell ref="D5:F5"/>
    <mergeCell ref="G6:H6"/>
    <mergeCell ref="D6:F6"/>
    <mergeCell ref="G5:H5"/>
    <mergeCell ref="D7:F7"/>
    <mergeCell ref="G7:H7"/>
    <mergeCell ref="D30:F30"/>
    <mergeCell ref="D31:F31"/>
    <mergeCell ref="D32:F32"/>
    <mergeCell ref="G35:H35"/>
    <mergeCell ref="B34:F50"/>
    <mergeCell ref="G34:H34"/>
    <mergeCell ref="G36:H36"/>
    <mergeCell ref="G37:H37"/>
    <mergeCell ref="G50:I50"/>
    <mergeCell ref="I48:I49"/>
    <mergeCell ref="G40:H40"/>
    <mergeCell ref="B3:B32"/>
    <mergeCell ref="H9:I9"/>
    <mergeCell ref="C3:F3"/>
    <mergeCell ref="D4:F4"/>
    <mergeCell ref="G4:H4"/>
  </mergeCells>
  <pageMargins left="0.7" right="0.7" top="0.75" bottom="0.75" header="0.3" footer="0.3"/>
  <pageSetup orientation="portrait" r:id="rId1"/>
  <ignoredErrors>
    <ignoredError sqref="I36 I4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29C6-C727-4E49-BA46-093058FBB3FE}">
  <sheetPr>
    <tabColor rgb="FFFF0000"/>
    <pageSetUpPr fitToPage="1"/>
  </sheetPr>
  <dimension ref="A1:M23"/>
  <sheetViews>
    <sheetView zoomScaleNormal="100" workbookViewId="0">
      <selection activeCell="I31" sqref="I31"/>
    </sheetView>
  </sheetViews>
  <sheetFormatPr defaultRowHeight="12.75"/>
  <cols>
    <col min="1" max="1" width="34.140625" style="112" customWidth="1"/>
    <col min="2" max="2" width="38" style="106" customWidth="1"/>
    <col min="3" max="3" width="15" style="106" hidden="1" customWidth="1"/>
    <col min="4" max="4" width="14.7109375" style="106" hidden="1" customWidth="1"/>
    <col min="5" max="5" width="14.5703125" style="111" hidden="1" customWidth="1"/>
    <col min="6" max="6" width="15.140625" style="106" hidden="1" customWidth="1"/>
    <col min="7" max="7" width="14.7109375" style="106" hidden="1" customWidth="1"/>
    <col min="8" max="8" width="20.42578125" style="106" hidden="1" customWidth="1"/>
    <col min="9" max="9" width="16.7109375" style="110" customWidth="1"/>
    <col min="10" max="10" width="17" style="109" customWidth="1"/>
    <col min="11" max="11" width="16.85546875" style="108" customWidth="1"/>
    <col min="12" max="12" width="16.7109375" style="107" customWidth="1"/>
    <col min="13" max="13" width="16.140625" style="106" hidden="1" customWidth="1"/>
    <col min="14" max="14" width="12.5703125" style="106" customWidth="1"/>
    <col min="15" max="15" width="11" style="106" customWidth="1"/>
    <col min="16" max="256" width="9.140625" style="106"/>
    <col min="257" max="257" width="34.140625" style="106" customWidth="1"/>
    <col min="258" max="258" width="25.85546875" style="106" customWidth="1"/>
    <col min="259" max="259" width="15" style="106" customWidth="1"/>
    <col min="260" max="260" width="14.7109375" style="106" customWidth="1"/>
    <col min="261" max="262" width="14.5703125" style="106" customWidth="1"/>
    <col min="263" max="263" width="14.7109375" style="106" customWidth="1"/>
    <col min="264" max="264" width="19.42578125" style="106" customWidth="1"/>
    <col min="265" max="265" width="16.7109375" style="106" customWidth="1"/>
    <col min="266" max="266" width="17" style="106" customWidth="1"/>
    <col min="267" max="267" width="16.85546875" style="106" customWidth="1"/>
    <col min="268" max="268" width="16.7109375" style="106" customWidth="1"/>
    <col min="269" max="269" width="7.28515625" style="106" customWidth="1"/>
    <col min="270" max="270" width="12.5703125" style="106" customWidth="1"/>
    <col min="271" max="271" width="11" style="106" customWidth="1"/>
    <col min="272" max="512" width="9.140625" style="106"/>
    <col min="513" max="513" width="34.140625" style="106" customWidth="1"/>
    <col min="514" max="514" width="25.85546875" style="106" customWidth="1"/>
    <col min="515" max="515" width="15" style="106" customWidth="1"/>
    <col min="516" max="516" width="14.7109375" style="106" customWidth="1"/>
    <col min="517" max="518" width="14.5703125" style="106" customWidth="1"/>
    <col min="519" max="519" width="14.7109375" style="106" customWidth="1"/>
    <col min="520" max="520" width="19.42578125" style="106" customWidth="1"/>
    <col min="521" max="521" width="16.7109375" style="106" customWidth="1"/>
    <col min="522" max="522" width="17" style="106" customWidth="1"/>
    <col min="523" max="523" width="16.85546875" style="106" customWidth="1"/>
    <col min="524" max="524" width="16.7109375" style="106" customWidth="1"/>
    <col min="525" max="525" width="7.28515625" style="106" customWidth="1"/>
    <col min="526" max="526" width="12.5703125" style="106" customWidth="1"/>
    <col min="527" max="527" width="11" style="106" customWidth="1"/>
    <col min="528" max="768" width="9.140625" style="106"/>
    <col min="769" max="769" width="34.140625" style="106" customWidth="1"/>
    <col min="770" max="770" width="25.85546875" style="106" customWidth="1"/>
    <col min="771" max="771" width="15" style="106" customWidth="1"/>
    <col min="772" max="772" width="14.7109375" style="106" customWidth="1"/>
    <col min="773" max="774" width="14.5703125" style="106" customWidth="1"/>
    <col min="775" max="775" width="14.7109375" style="106" customWidth="1"/>
    <col min="776" max="776" width="19.42578125" style="106" customWidth="1"/>
    <col min="777" max="777" width="16.7109375" style="106" customWidth="1"/>
    <col min="778" max="778" width="17" style="106" customWidth="1"/>
    <col min="779" max="779" width="16.85546875" style="106" customWidth="1"/>
    <col min="780" max="780" width="16.7109375" style="106" customWidth="1"/>
    <col min="781" max="781" width="7.28515625" style="106" customWidth="1"/>
    <col min="782" max="782" width="12.5703125" style="106" customWidth="1"/>
    <col min="783" max="783" width="11" style="106" customWidth="1"/>
    <col min="784" max="1024" width="9.140625" style="106"/>
    <col min="1025" max="1025" width="34.140625" style="106" customWidth="1"/>
    <col min="1026" max="1026" width="25.85546875" style="106" customWidth="1"/>
    <col min="1027" max="1027" width="15" style="106" customWidth="1"/>
    <col min="1028" max="1028" width="14.7109375" style="106" customWidth="1"/>
    <col min="1029" max="1030" width="14.5703125" style="106" customWidth="1"/>
    <col min="1031" max="1031" width="14.7109375" style="106" customWidth="1"/>
    <col min="1032" max="1032" width="19.42578125" style="106" customWidth="1"/>
    <col min="1033" max="1033" width="16.7109375" style="106" customWidth="1"/>
    <col min="1034" max="1034" width="17" style="106" customWidth="1"/>
    <col min="1035" max="1035" width="16.85546875" style="106" customWidth="1"/>
    <col min="1036" max="1036" width="16.7109375" style="106" customWidth="1"/>
    <col min="1037" max="1037" width="7.28515625" style="106" customWidth="1"/>
    <col min="1038" max="1038" width="12.5703125" style="106" customWidth="1"/>
    <col min="1039" max="1039" width="11" style="106" customWidth="1"/>
    <col min="1040" max="1280" width="9.140625" style="106"/>
    <col min="1281" max="1281" width="34.140625" style="106" customWidth="1"/>
    <col min="1282" max="1282" width="25.85546875" style="106" customWidth="1"/>
    <col min="1283" max="1283" width="15" style="106" customWidth="1"/>
    <col min="1284" max="1284" width="14.7109375" style="106" customWidth="1"/>
    <col min="1285" max="1286" width="14.5703125" style="106" customWidth="1"/>
    <col min="1287" max="1287" width="14.7109375" style="106" customWidth="1"/>
    <col min="1288" max="1288" width="19.42578125" style="106" customWidth="1"/>
    <col min="1289" max="1289" width="16.7109375" style="106" customWidth="1"/>
    <col min="1290" max="1290" width="17" style="106" customWidth="1"/>
    <col min="1291" max="1291" width="16.85546875" style="106" customWidth="1"/>
    <col min="1292" max="1292" width="16.7109375" style="106" customWidth="1"/>
    <col min="1293" max="1293" width="7.28515625" style="106" customWidth="1"/>
    <col min="1294" max="1294" width="12.5703125" style="106" customWidth="1"/>
    <col min="1295" max="1295" width="11" style="106" customWidth="1"/>
    <col min="1296" max="1536" width="9.140625" style="106"/>
    <col min="1537" max="1537" width="34.140625" style="106" customWidth="1"/>
    <col min="1538" max="1538" width="25.85546875" style="106" customWidth="1"/>
    <col min="1539" max="1539" width="15" style="106" customWidth="1"/>
    <col min="1540" max="1540" width="14.7109375" style="106" customWidth="1"/>
    <col min="1541" max="1542" width="14.5703125" style="106" customWidth="1"/>
    <col min="1543" max="1543" width="14.7109375" style="106" customWidth="1"/>
    <col min="1544" max="1544" width="19.42578125" style="106" customWidth="1"/>
    <col min="1545" max="1545" width="16.7109375" style="106" customWidth="1"/>
    <col min="1546" max="1546" width="17" style="106" customWidth="1"/>
    <col min="1547" max="1547" width="16.85546875" style="106" customWidth="1"/>
    <col min="1548" max="1548" width="16.7109375" style="106" customWidth="1"/>
    <col min="1549" max="1549" width="7.28515625" style="106" customWidth="1"/>
    <col min="1550" max="1550" width="12.5703125" style="106" customWidth="1"/>
    <col min="1551" max="1551" width="11" style="106" customWidth="1"/>
    <col min="1552" max="1792" width="9.140625" style="106"/>
    <col min="1793" max="1793" width="34.140625" style="106" customWidth="1"/>
    <col min="1794" max="1794" width="25.85546875" style="106" customWidth="1"/>
    <col min="1795" max="1795" width="15" style="106" customWidth="1"/>
    <col min="1796" max="1796" width="14.7109375" style="106" customWidth="1"/>
    <col min="1797" max="1798" width="14.5703125" style="106" customWidth="1"/>
    <col min="1799" max="1799" width="14.7109375" style="106" customWidth="1"/>
    <col min="1800" max="1800" width="19.42578125" style="106" customWidth="1"/>
    <col min="1801" max="1801" width="16.7109375" style="106" customWidth="1"/>
    <col min="1802" max="1802" width="17" style="106" customWidth="1"/>
    <col min="1803" max="1803" width="16.85546875" style="106" customWidth="1"/>
    <col min="1804" max="1804" width="16.7109375" style="106" customWidth="1"/>
    <col min="1805" max="1805" width="7.28515625" style="106" customWidth="1"/>
    <col min="1806" max="1806" width="12.5703125" style="106" customWidth="1"/>
    <col min="1807" max="1807" width="11" style="106" customWidth="1"/>
    <col min="1808" max="2048" width="9.140625" style="106"/>
    <col min="2049" max="2049" width="34.140625" style="106" customWidth="1"/>
    <col min="2050" max="2050" width="25.85546875" style="106" customWidth="1"/>
    <col min="2051" max="2051" width="15" style="106" customWidth="1"/>
    <col min="2052" max="2052" width="14.7109375" style="106" customWidth="1"/>
    <col min="2053" max="2054" width="14.5703125" style="106" customWidth="1"/>
    <col min="2055" max="2055" width="14.7109375" style="106" customWidth="1"/>
    <col min="2056" max="2056" width="19.42578125" style="106" customWidth="1"/>
    <col min="2057" max="2057" width="16.7109375" style="106" customWidth="1"/>
    <col min="2058" max="2058" width="17" style="106" customWidth="1"/>
    <col min="2059" max="2059" width="16.85546875" style="106" customWidth="1"/>
    <col min="2060" max="2060" width="16.7109375" style="106" customWidth="1"/>
    <col min="2061" max="2061" width="7.28515625" style="106" customWidth="1"/>
    <col min="2062" max="2062" width="12.5703125" style="106" customWidth="1"/>
    <col min="2063" max="2063" width="11" style="106" customWidth="1"/>
    <col min="2064" max="2304" width="9.140625" style="106"/>
    <col min="2305" max="2305" width="34.140625" style="106" customWidth="1"/>
    <col min="2306" max="2306" width="25.85546875" style="106" customWidth="1"/>
    <col min="2307" max="2307" width="15" style="106" customWidth="1"/>
    <col min="2308" max="2308" width="14.7109375" style="106" customWidth="1"/>
    <col min="2309" max="2310" width="14.5703125" style="106" customWidth="1"/>
    <col min="2311" max="2311" width="14.7109375" style="106" customWidth="1"/>
    <col min="2312" max="2312" width="19.42578125" style="106" customWidth="1"/>
    <col min="2313" max="2313" width="16.7109375" style="106" customWidth="1"/>
    <col min="2314" max="2314" width="17" style="106" customWidth="1"/>
    <col min="2315" max="2315" width="16.85546875" style="106" customWidth="1"/>
    <col min="2316" max="2316" width="16.7109375" style="106" customWidth="1"/>
    <col min="2317" max="2317" width="7.28515625" style="106" customWidth="1"/>
    <col min="2318" max="2318" width="12.5703125" style="106" customWidth="1"/>
    <col min="2319" max="2319" width="11" style="106" customWidth="1"/>
    <col min="2320" max="2560" width="9.140625" style="106"/>
    <col min="2561" max="2561" width="34.140625" style="106" customWidth="1"/>
    <col min="2562" max="2562" width="25.85546875" style="106" customWidth="1"/>
    <col min="2563" max="2563" width="15" style="106" customWidth="1"/>
    <col min="2564" max="2564" width="14.7109375" style="106" customWidth="1"/>
    <col min="2565" max="2566" width="14.5703125" style="106" customWidth="1"/>
    <col min="2567" max="2567" width="14.7109375" style="106" customWidth="1"/>
    <col min="2568" max="2568" width="19.42578125" style="106" customWidth="1"/>
    <col min="2569" max="2569" width="16.7109375" style="106" customWidth="1"/>
    <col min="2570" max="2570" width="17" style="106" customWidth="1"/>
    <col min="2571" max="2571" width="16.85546875" style="106" customWidth="1"/>
    <col min="2572" max="2572" width="16.7109375" style="106" customWidth="1"/>
    <col min="2573" max="2573" width="7.28515625" style="106" customWidth="1"/>
    <col min="2574" max="2574" width="12.5703125" style="106" customWidth="1"/>
    <col min="2575" max="2575" width="11" style="106" customWidth="1"/>
    <col min="2576" max="2816" width="9.140625" style="106"/>
    <col min="2817" max="2817" width="34.140625" style="106" customWidth="1"/>
    <col min="2818" max="2818" width="25.85546875" style="106" customWidth="1"/>
    <col min="2819" max="2819" width="15" style="106" customWidth="1"/>
    <col min="2820" max="2820" width="14.7109375" style="106" customWidth="1"/>
    <col min="2821" max="2822" width="14.5703125" style="106" customWidth="1"/>
    <col min="2823" max="2823" width="14.7109375" style="106" customWidth="1"/>
    <col min="2824" max="2824" width="19.42578125" style="106" customWidth="1"/>
    <col min="2825" max="2825" width="16.7109375" style="106" customWidth="1"/>
    <col min="2826" max="2826" width="17" style="106" customWidth="1"/>
    <col min="2827" max="2827" width="16.85546875" style="106" customWidth="1"/>
    <col min="2828" max="2828" width="16.7109375" style="106" customWidth="1"/>
    <col min="2829" max="2829" width="7.28515625" style="106" customWidth="1"/>
    <col min="2830" max="2830" width="12.5703125" style="106" customWidth="1"/>
    <col min="2831" max="2831" width="11" style="106" customWidth="1"/>
    <col min="2832" max="3072" width="9.140625" style="106"/>
    <col min="3073" max="3073" width="34.140625" style="106" customWidth="1"/>
    <col min="3074" max="3074" width="25.85546875" style="106" customWidth="1"/>
    <col min="3075" max="3075" width="15" style="106" customWidth="1"/>
    <col min="3076" max="3076" width="14.7109375" style="106" customWidth="1"/>
    <col min="3077" max="3078" width="14.5703125" style="106" customWidth="1"/>
    <col min="3079" max="3079" width="14.7109375" style="106" customWidth="1"/>
    <col min="3080" max="3080" width="19.42578125" style="106" customWidth="1"/>
    <col min="3081" max="3081" width="16.7109375" style="106" customWidth="1"/>
    <col min="3082" max="3082" width="17" style="106" customWidth="1"/>
    <col min="3083" max="3083" width="16.85546875" style="106" customWidth="1"/>
    <col min="3084" max="3084" width="16.7109375" style="106" customWidth="1"/>
    <col min="3085" max="3085" width="7.28515625" style="106" customWidth="1"/>
    <col min="3086" max="3086" width="12.5703125" style="106" customWidth="1"/>
    <col min="3087" max="3087" width="11" style="106" customWidth="1"/>
    <col min="3088" max="3328" width="9.140625" style="106"/>
    <col min="3329" max="3329" width="34.140625" style="106" customWidth="1"/>
    <col min="3330" max="3330" width="25.85546875" style="106" customWidth="1"/>
    <col min="3331" max="3331" width="15" style="106" customWidth="1"/>
    <col min="3332" max="3332" width="14.7109375" style="106" customWidth="1"/>
    <col min="3333" max="3334" width="14.5703125" style="106" customWidth="1"/>
    <col min="3335" max="3335" width="14.7109375" style="106" customWidth="1"/>
    <col min="3336" max="3336" width="19.42578125" style="106" customWidth="1"/>
    <col min="3337" max="3337" width="16.7109375" style="106" customWidth="1"/>
    <col min="3338" max="3338" width="17" style="106" customWidth="1"/>
    <col min="3339" max="3339" width="16.85546875" style="106" customWidth="1"/>
    <col min="3340" max="3340" width="16.7109375" style="106" customWidth="1"/>
    <col min="3341" max="3341" width="7.28515625" style="106" customWidth="1"/>
    <col min="3342" max="3342" width="12.5703125" style="106" customWidth="1"/>
    <col min="3343" max="3343" width="11" style="106" customWidth="1"/>
    <col min="3344" max="3584" width="9.140625" style="106"/>
    <col min="3585" max="3585" width="34.140625" style="106" customWidth="1"/>
    <col min="3586" max="3586" width="25.85546875" style="106" customWidth="1"/>
    <col min="3587" max="3587" width="15" style="106" customWidth="1"/>
    <col min="3588" max="3588" width="14.7109375" style="106" customWidth="1"/>
    <col min="3589" max="3590" width="14.5703125" style="106" customWidth="1"/>
    <col min="3591" max="3591" width="14.7109375" style="106" customWidth="1"/>
    <col min="3592" max="3592" width="19.42578125" style="106" customWidth="1"/>
    <col min="3593" max="3593" width="16.7109375" style="106" customWidth="1"/>
    <col min="3594" max="3594" width="17" style="106" customWidth="1"/>
    <col min="3595" max="3595" width="16.85546875" style="106" customWidth="1"/>
    <col min="3596" max="3596" width="16.7109375" style="106" customWidth="1"/>
    <col min="3597" max="3597" width="7.28515625" style="106" customWidth="1"/>
    <col min="3598" max="3598" width="12.5703125" style="106" customWidth="1"/>
    <col min="3599" max="3599" width="11" style="106" customWidth="1"/>
    <col min="3600" max="3840" width="9.140625" style="106"/>
    <col min="3841" max="3841" width="34.140625" style="106" customWidth="1"/>
    <col min="3842" max="3842" width="25.85546875" style="106" customWidth="1"/>
    <col min="3843" max="3843" width="15" style="106" customWidth="1"/>
    <col min="3844" max="3844" width="14.7109375" style="106" customWidth="1"/>
    <col min="3845" max="3846" width="14.5703125" style="106" customWidth="1"/>
    <col min="3847" max="3847" width="14.7109375" style="106" customWidth="1"/>
    <col min="3848" max="3848" width="19.42578125" style="106" customWidth="1"/>
    <col min="3849" max="3849" width="16.7109375" style="106" customWidth="1"/>
    <col min="3850" max="3850" width="17" style="106" customWidth="1"/>
    <col min="3851" max="3851" width="16.85546875" style="106" customWidth="1"/>
    <col min="3852" max="3852" width="16.7109375" style="106" customWidth="1"/>
    <col min="3853" max="3853" width="7.28515625" style="106" customWidth="1"/>
    <col min="3854" max="3854" width="12.5703125" style="106" customWidth="1"/>
    <col min="3855" max="3855" width="11" style="106" customWidth="1"/>
    <col min="3856" max="4096" width="9.140625" style="106"/>
    <col min="4097" max="4097" width="34.140625" style="106" customWidth="1"/>
    <col min="4098" max="4098" width="25.85546875" style="106" customWidth="1"/>
    <col min="4099" max="4099" width="15" style="106" customWidth="1"/>
    <col min="4100" max="4100" width="14.7109375" style="106" customWidth="1"/>
    <col min="4101" max="4102" width="14.5703125" style="106" customWidth="1"/>
    <col min="4103" max="4103" width="14.7109375" style="106" customWidth="1"/>
    <col min="4104" max="4104" width="19.42578125" style="106" customWidth="1"/>
    <col min="4105" max="4105" width="16.7109375" style="106" customWidth="1"/>
    <col min="4106" max="4106" width="17" style="106" customWidth="1"/>
    <col min="4107" max="4107" width="16.85546875" style="106" customWidth="1"/>
    <col min="4108" max="4108" width="16.7109375" style="106" customWidth="1"/>
    <col min="4109" max="4109" width="7.28515625" style="106" customWidth="1"/>
    <col min="4110" max="4110" width="12.5703125" style="106" customWidth="1"/>
    <col min="4111" max="4111" width="11" style="106" customWidth="1"/>
    <col min="4112" max="4352" width="9.140625" style="106"/>
    <col min="4353" max="4353" width="34.140625" style="106" customWidth="1"/>
    <col min="4354" max="4354" width="25.85546875" style="106" customWidth="1"/>
    <col min="4355" max="4355" width="15" style="106" customWidth="1"/>
    <col min="4356" max="4356" width="14.7109375" style="106" customWidth="1"/>
    <col min="4357" max="4358" width="14.5703125" style="106" customWidth="1"/>
    <col min="4359" max="4359" width="14.7109375" style="106" customWidth="1"/>
    <col min="4360" max="4360" width="19.42578125" style="106" customWidth="1"/>
    <col min="4361" max="4361" width="16.7109375" style="106" customWidth="1"/>
    <col min="4362" max="4362" width="17" style="106" customWidth="1"/>
    <col min="4363" max="4363" width="16.85546875" style="106" customWidth="1"/>
    <col min="4364" max="4364" width="16.7109375" style="106" customWidth="1"/>
    <col min="4365" max="4365" width="7.28515625" style="106" customWidth="1"/>
    <col min="4366" max="4366" width="12.5703125" style="106" customWidth="1"/>
    <col min="4367" max="4367" width="11" style="106" customWidth="1"/>
    <col min="4368" max="4608" width="9.140625" style="106"/>
    <col min="4609" max="4609" width="34.140625" style="106" customWidth="1"/>
    <col min="4610" max="4610" width="25.85546875" style="106" customWidth="1"/>
    <col min="4611" max="4611" width="15" style="106" customWidth="1"/>
    <col min="4612" max="4612" width="14.7109375" style="106" customWidth="1"/>
    <col min="4613" max="4614" width="14.5703125" style="106" customWidth="1"/>
    <col min="4615" max="4615" width="14.7109375" style="106" customWidth="1"/>
    <col min="4616" max="4616" width="19.42578125" style="106" customWidth="1"/>
    <col min="4617" max="4617" width="16.7109375" style="106" customWidth="1"/>
    <col min="4618" max="4618" width="17" style="106" customWidth="1"/>
    <col min="4619" max="4619" width="16.85546875" style="106" customWidth="1"/>
    <col min="4620" max="4620" width="16.7109375" style="106" customWidth="1"/>
    <col min="4621" max="4621" width="7.28515625" style="106" customWidth="1"/>
    <col min="4622" max="4622" width="12.5703125" style="106" customWidth="1"/>
    <col min="4623" max="4623" width="11" style="106" customWidth="1"/>
    <col min="4624" max="4864" width="9.140625" style="106"/>
    <col min="4865" max="4865" width="34.140625" style="106" customWidth="1"/>
    <col min="4866" max="4866" width="25.85546875" style="106" customWidth="1"/>
    <col min="4867" max="4867" width="15" style="106" customWidth="1"/>
    <col min="4868" max="4868" width="14.7109375" style="106" customWidth="1"/>
    <col min="4869" max="4870" width="14.5703125" style="106" customWidth="1"/>
    <col min="4871" max="4871" width="14.7109375" style="106" customWidth="1"/>
    <col min="4872" max="4872" width="19.42578125" style="106" customWidth="1"/>
    <col min="4873" max="4873" width="16.7109375" style="106" customWidth="1"/>
    <col min="4874" max="4874" width="17" style="106" customWidth="1"/>
    <col min="4875" max="4875" width="16.85546875" style="106" customWidth="1"/>
    <col min="4876" max="4876" width="16.7109375" style="106" customWidth="1"/>
    <col min="4877" max="4877" width="7.28515625" style="106" customWidth="1"/>
    <col min="4878" max="4878" width="12.5703125" style="106" customWidth="1"/>
    <col min="4879" max="4879" width="11" style="106" customWidth="1"/>
    <col min="4880" max="5120" width="9.140625" style="106"/>
    <col min="5121" max="5121" width="34.140625" style="106" customWidth="1"/>
    <col min="5122" max="5122" width="25.85546875" style="106" customWidth="1"/>
    <col min="5123" max="5123" width="15" style="106" customWidth="1"/>
    <col min="5124" max="5124" width="14.7109375" style="106" customWidth="1"/>
    <col min="5125" max="5126" width="14.5703125" style="106" customWidth="1"/>
    <col min="5127" max="5127" width="14.7109375" style="106" customWidth="1"/>
    <col min="5128" max="5128" width="19.42578125" style="106" customWidth="1"/>
    <col min="5129" max="5129" width="16.7109375" style="106" customWidth="1"/>
    <col min="5130" max="5130" width="17" style="106" customWidth="1"/>
    <col min="5131" max="5131" width="16.85546875" style="106" customWidth="1"/>
    <col min="5132" max="5132" width="16.7109375" style="106" customWidth="1"/>
    <col min="5133" max="5133" width="7.28515625" style="106" customWidth="1"/>
    <col min="5134" max="5134" width="12.5703125" style="106" customWidth="1"/>
    <col min="5135" max="5135" width="11" style="106" customWidth="1"/>
    <col min="5136" max="5376" width="9.140625" style="106"/>
    <col min="5377" max="5377" width="34.140625" style="106" customWidth="1"/>
    <col min="5378" max="5378" width="25.85546875" style="106" customWidth="1"/>
    <col min="5379" max="5379" width="15" style="106" customWidth="1"/>
    <col min="5380" max="5380" width="14.7109375" style="106" customWidth="1"/>
    <col min="5381" max="5382" width="14.5703125" style="106" customWidth="1"/>
    <col min="5383" max="5383" width="14.7109375" style="106" customWidth="1"/>
    <col min="5384" max="5384" width="19.42578125" style="106" customWidth="1"/>
    <col min="5385" max="5385" width="16.7109375" style="106" customWidth="1"/>
    <col min="5386" max="5386" width="17" style="106" customWidth="1"/>
    <col min="5387" max="5387" width="16.85546875" style="106" customWidth="1"/>
    <col min="5388" max="5388" width="16.7109375" style="106" customWidth="1"/>
    <col min="5389" max="5389" width="7.28515625" style="106" customWidth="1"/>
    <col min="5390" max="5390" width="12.5703125" style="106" customWidth="1"/>
    <col min="5391" max="5391" width="11" style="106" customWidth="1"/>
    <col min="5392" max="5632" width="9.140625" style="106"/>
    <col min="5633" max="5633" width="34.140625" style="106" customWidth="1"/>
    <col min="5634" max="5634" width="25.85546875" style="106" customWidth="1"/>
    <col min="5635" max="5635" width="15" style="106" customWidth="1"/>
    <col min="5636" max="5636" width="14.7109375" style="106" customWidth="1"/>
    <col min="5637" max="5638" width="14.5703125" style="106" customWidth="1"/>
    <col min="5639" max="5639" width="14.7109375" style="106" customWidth="1"/>
    <col min="5640" max="5640" width="19.42578125" style="106" customWidth="1"/>
    <col min="5641" max="5641" width="16.7109375" style="106" customWidth="1"/>
    <col min="5642" max="5642" width="17" style="106" customWidth="1"/>
    <col min="5643" max="5643" width="16.85546875" style="106" customWidth="1"/>
    <col min="5644" max="5644" width="16.7109375" style="106" customWidth="1"/>
    <col min="5645" max="5645" width="7.28515625" style="106" customWidth="1"/>
    <col min="5646" max="5646" width="12.5703125" style="106" customWidth="1"/>
    <col min="5647" max="5647" width="11" style="106" customWidth="1"/>
    <col min="5648" max="5888" width="9.140625" style="106"/>
    <col min="5889" max="5889" width="34.140625" style="106" customWidth="1"/>
    <col min="5890" max="5890" width="25.85546875" style="106" customWidth="1"/>
    <col min="5891" max="5891" width="15" style="106" customWidth="1"/>
    <col min="5892" max="5892" width="14.7109375" style="106" customWidth="1"/>
    <col min="5893" max="5894" width="14.5703125" style="106" customWidth="1"/>
    <col min="5895" max="5895" width="14.7109375" style="106" customWidth="1"/>
    <col min="5896" max="5896" width="19.42578125" style="106" customWidth="1"/>
    <col min="5897" max="5897" width="16.7109375" style="106" customWidth="1"/>
    <col min="5898" max="5898" width="17" style="106" customWidth="1"/>
    <col min="5899" max="5899" width="16.85546875" style="106" customWidth="1"/>
    <col min="5900" max="5900" width="16.7109375" style="106" customWidth="1"/>
    <col min="5901" max="5901" width="7.28515625" style="106" customWidth="1"/>
    <col min="5902" max="5902" width="12.5703125" style="106" customWidth="1"/>
    <col min="5903" max="5903" width="11" style="106" customWidth="1"/>
    <col min="5904" max="6144" width="9.140625" style="106"/>
    <col min="6145" max="6145" width="34.140625" style="106" customWidth="1"/>
    <col min="6146" max="6146" width="25.85546875" style="106" customWidth="1"/>
    <col min="6147" max="6147" width="15" style="106" customWidth="1"/>
    <col min="6148" max="6148" width="14.7109375" style="106" customWidth="1"/>
    <col min="6149" max="6150" width="14.5703125" style="106" customWidth="1"/>
    <col min="6151" max="6151" width="14.7109375" style="106" customWidth="1"/>
    <col min="6152" max="6152" width="19.42578125" style="106" customWidth="1"/>
    <col min="6153" max="6153" width="16.7109375" style="106" customWidth="1"/>
    <col min="6154" max="6154" width="17" style="106" customWidth="1"/>
    <col min="6155" max="6155" width="16.85546875" style="106" customWidth="1"/>
    <col min="6156" max="6156" width="16.7109375" style="106" customWidth="1"/>
    <col min="6157" max="6157" width="7.28515625" style="106" customWidth="1"/>
    <col min="6158" max="6158" width="12.5703125" style="106" customWidth="1"/>
    <col min="6159" max="6159" width="11" style="106" customWidth="1"/>
    <col min="6160" max="6400" width="9.140625" style="106"/>
    <col min="6401" max="6401" width="34.140625" style="106" customWidth="1"/>
    <col min="6402" max="6402" width="25.85546875" style="106" customWidth="1"/>
    <col min="6403" max="6403" width="15" style="106" customWidth="1"/>
    <col min="6404" max="6404" width="14.7109375" style="106" customWidth="1"/>
    <col min="6405" max="6406" width="14.5703125" style="106" customWidth="1"/>
    <col min="6407" max="6407" width="14.7109375" style="106" customWidth="1"/>
    <col min="6408" max="6408" width="19.42578125" style="106" customWidth="1"/>
    <col min="6409" max="6409" width="16.7109375" style="106" customWidth="1"/>
    <col min="6410" max="6410" width="17" style="106" customWidth="1"/>
    <col min="6411" max="6411" width="16.85546875" style="106" customWidth="1"/>
    <col min="6412" max="6412" width="16.7109375" style="106" customWidth="1"/>
    <col min="6413" max="6413" width="7.28515625" style="106" customWidth="1"/>
    <col min="6414" max="6414" width="12.5703125" style="106" customWidth="1"/>
    <col min="6415" max="6415" width="11" style="106" customWidth="1"/>
    <col min="6416" max="6656" width="9.140625" style="106"/>
    <col min="6657" max="6657" width="34.140625" style="106" customWidth="1"/>
    <col min="6658" max="6658" width="25.85546875" style="106" customWidth="1"/>
    <col min="6659" max="6659" width="15" style="106" customWidth="1"/>
    <col min="6660" max="6660" width="14.7109375" style="106" customWidth="1"/>
    <col min="6661" max="6662" width="14.5703125" style="106" customWidth="1"/>
    <col min="6663" max="6663" width="14.7109375" style="106" customWidth="1"/>
    <col min="6664" max="6664" width="19.42578125" style="106" customWidth="1"/>
    <col min="6665" max="6665" width="16.7109375" style="106" customWidth="1"/>
    <col min="6666" max="6666" width="17" style="106" customWidth="1"/>
    <col min="6667" max="6667" width="16.85546875" style="106" customWidth="1"/>
    <col min="6668" max="6668" width="16.7109375" style="106" customWidth="1"/>
    <col min="6669" max="6669" width="7.28515625" style="106" customWidth="1"/>
    <col min="6670" max="6670" width="12.5703125" style="106" customWidth="1"/>
    <col min="6671" max="6671" width="11" style="106" customWidth="1"/>
    <col min="6672" max="6912" width="9.140625" style="106"/>
    <col min="6913" max="6913" width="34.140625" style="106" customWidth="1"/>
    <col min="6914" max="6914" width="25.85546875" style="106" customWidth="1"/>
    <col min="6915" max="6915" width="15" style="106" customWidth="1"/>
    <col min="6916" max="6916" width="14.7109375" style="106" customWidth="1"/>
    <col min="6917" max="6918" width="14.5703125" style="106" customWidth="1"/>
    <col min="6919" max="6919" width="14.7109375" style="106" customWidth="1"/>
    <col min="6920" max="6920" width="19.42578125" style="106" customWidth="1"/>
    <col min="6921" max="6921" width="16.7109375" style="106" customWidth="1"/>
    <col min="6922" max="6922" width="17" style="106" customWidth="1"/>
    <col min="6923" max="6923" width="16.85546875" style="106" customWidth="1"/>
    <col min="6924" max="6924" width="16.7109375" style="106" customWidth="1"/>
    <col min="6925" max="6925" width="7.28515625" style="106" customWidth="1"/>
    <col min="6926" max="6926" width="12.5703125" style="106" customWidth="1"/>
    <col min="6927" max="6927" width="11" style="106" customWidth="1"/>
    <col min="6928" max="7168" width="9.140625" style="106"/>
    <col min="7169" max="7169" width="34.140625" style="106" customWidth="1"/>
    <col min="7170" max="7170" width="25.85546875" style="106" customWidth="1"/>
    <col min="7171" max="7171" width="15" style="106" customWidth="1"/>
    <col min="7172" max="7172" width="14.7109375" style="106" customWidth="1"/>
    <col min="7173" max="7174" width="14.5703125" style="106" customWidth="1"/>
    <col min="7175" max="7175" width="14.7109375" style="106" customWidth="1"/>
    <col min="7176" max="7176" width="19.42578125" style="106" customWidth="1"/>
    <col min="7177" max="7177" width="16.7109375" style="106" customWidth="1"/>
    <col min="7178" max="7178" width="17" style="106" customWidth="1"/>
    <col min="7179" max="7179" width="16.85546875" style="106" customWidth="1"/>
    <col min="7180" max="7180" width="16.7109375" style="106" customWidth="1"/>
    <col min="7181" max="7181" width="7.28515625" style="106" customWidth="1"/>
    <col min="7182" max="7182" width="12.5703125" style="106" customWidth="1"/>
    <col min="7183" max="7183" width="11" style="106" customWidth="1"/>
    <col min="7184" max="7424" width="9.140625" style="106"/>
    <col min="7425" max="7425" width="34.140625" style="106" customWidth="1"/>
    <col min="7426" max="7426" width="25.85546875" style="106" customWidth="1"/>
    <col min="7427" max="7427" width="15" style="106" customWidth="1"/>
    <col min="7428" max="7428" width="14.7109375" style="106" customWidth="1"/>
    <col min="7429" max="7430" width="14.5703125" style="106" customWidth="1"/>
    <col min="7431" max="7431" width="14.7109375" style="106" customWidth="1"/>
    <col min="7432" max="7432" width="19.42578125" style="106" customWidth="1"/>
    <col min="7433" max="7433" width="16.7109375" style="106" customWidth="1"/>
    <col min="7434" max="7434" width="17" style="106" customWidth="1"/>
    <col min="7435" max="7435" width="16.85546875" style="106" customWidth="1"/>
    <col min="7436" max="7436" width="16.7109375" style="106" customWidth="1"/>
    <col min="7437" max="7437" width="7.28515625" style="106" customWidth="1"/>
    <col min="7438" max="7438" width="12.5703125" style="106" customWidth="1"/>
    <col min="7439" max="7439" width="11" style="106" customWidth="1"/>
    <col min="7440" max="7680" width="9.140625" style="106"/>
    <col min="7681" max="7681" width="34.140625" style="106" customWidth="1"/>
    <col min="7682" max="7682" width="25.85546875" style="106" customWidth="1"/>
    <col min="7683" max="7683" width="15" style="106" customWidth="1"/>
    <col min="7684" max="7684" width="14.7109375" style="106" customWidth="1"/>
    <col min="7685" max="7686" width="14.5703125" style="106" customWidth="1"/>
    <col min="7687" max="7687" width="14.7109375" style="106" customWidth="1"/>
    <col min="7688" max="7688" width="19.42578125" style="106" customWidth="1"/>
    <col min="7689" max="7689" width="16.7109375" style="106" customWidth="1"/>
    <col min="7690" max="7690" width="17" style="106" customWidth="1"/>
    <col min="7691" max="7691" width="16.85546875" style="106" customWidth="1"/>
    <col min="7692" max="7692" width="16.7109375" style="106" customWidth="1"/>
    <col min="7693" max="7693" width="7.28515625" style="106" customWidth="1"/>
    <col min="7694" max="7694" width="12.5703125" style="106" customWidth="1"/>
    <col min="7695" max="7695" width="11" style="106" customWidth="1"/>
    <col min="7696" max="7936" width="9.140625" style="106"/>
    <col min="7937" max="7937" width="34.140625" style="106" customWidth="1"/>
    <col min="7938" max="7938" width="25.85546875" style="106" customWidth="1"/>
    <col min="7939" max="7939" width="15" style="106" customWidth="1"/>
    <col min="7940" max="7940" width="14.7109375" style="106" customWidth="1"/>
    <col min="7941" max="7942" width="14.5703125" style="106" customWidth="1"/>
    <col min="7943" max="7943" width="14.7109375" style="106" customWidth="1"/>
    <col min="7944" max="7944" width="19.42578125" style="106" customWidth="1"/>
    <col min="7945" max="7945" width="16.7109375" style="106" customWidth="1"/>
    <col min="7946" max="7946" width="17" style="106" customWidth="1"/>
    <col min="7947" max="7947" width="16.85546875" style="106" customWidth="1"/>
    <col min="7948" max="7948" width="16.7109375" style="106" customWidth="1"/>
    <col min="7949" max="7949" width="7.28515625" style="106" customWidth="1"/>
    <col min="7950" max="7950" width="12.5703125" style="106" customWidth="1"/>
    <col min="7951" max="7951" width="11" style="106" customWidth="1"/>
    <col min="7952" max="8192" width="9.140625" style="106"/>
    <col min="8193" max="8193" width="34.140625" style="106" customWidth="1"/>
    <col min="8194" max="8194" width="25.85546875" style="106" customWidth="1"/>
    <col min="8195" max="8195" width="15" style="106" customWidth="1"/>
    <col min="8196" max="8196" width="14.7109375" style="106" customWidth="1"/>
    <col min="8197" max="8198" width="14.5703125" style="106" customWidth="1"/>
    <col min="8199" max="8199" width="14.7109375" style="106" customWidth="1"/>
    <col min="8200" max="8200" width="19.42578125" style="106" customWidth="1"/>
    <col min="8201" max="8201" width="16.7109375" style="106" customWidth="1"/>
    <col min="8202" max="8202" width="17" style="106" customWidth="1"/>
    <col min="8203" max="8203" width="16.85546875" style="106" customWidth="1"/>
    <col min="8204" max="8204" width="16.7109375" style="106" customWidth="1"/>
    <col min="8205" max="8205" width="7.28515625" style="106" customWidth="1"/>
    <col min="8206" max="8206" width="12.5703125" style="106" customWidth="1"/>
    <col min="8207" max="8207" width="11" style="106" customWidth="1"/>
    <col min="8208" max="8448" width="9.140625" style="106"/>
    <col min="8449" max="8449" width="34.140625" style="106" customWidth="1"/>
    <col min="8450" max="8450" width="25.85546875" style="106" customWidth="1"/>
    <col min="8451" max="8451" width="15" style="106" customWidth="1"/>
    <col min="8452" max="8452" width="14.7109375" style="106" customWidth="1"/>
    <col min="8453" max="8454" width="14.5703125" style="106" customWidth="1"/>
    <col min="8455" max="8455" width="14.7109375" style="106" customWidth="1"/>
    <col min="8456" max="8456" width="19.42578125" style="106" customWidth="1"/>
    <col min="8457" max="8457" width="16.7109375" style="106" customWidth="1"/>
    <col min="8458" max="8458" width="17" style="106" customWidth="1"/>
    <col min="8459" max="8459" width="16.85546875" style="106" customWidth="1"/>
    <col min="8460" max="8460" width="16.7109375" style="106" customWidth="1"/>
    <col min="8461" max="8461" width="7.28515625" style="106" customWidth="1"/>
    <col min="8462" max="8462" width="12.5703125" style="106" customWidth="1"/>
    <col min="8463" max="8463" width="11" style="106" customWidth="1"/>
    <col min="8464" max="8704" width="9.140625" style="106"/>
    <col min="8705" max="8705" width="34.140625" style="106" customWidth="1"/>
    <col min="8706" max="8706" width="25.85546875" style="106" customWidth="1"/>
    <col min="8707" max="8707" width="15" style="106" customWidth="1"/>
    <col min="8708" max="8708" width="14.7109375" style="106" customWidth="1"/>
    <col min="8709" max="8710" width="14.5703125" style="106" customWidth="1"/>
    <col min="8711" max="8711" width="14.7109375" style="106" customWidth="1"/>
    <col min="8712" max="8712" width="19.42578125" style="106" customWidth="1"/>
    <col min="8713" max="8713" width="16.7109375" style="106" customWidth="1"/>
    <col min="8714" max="8714" width="17" style="106" customWidth="1"/>
    <col min="8715" max="8715" width="16.85546875" style="106" customWidth="1"/>
    <col min="8716" max="8716" width="16.7109375" style="106" customWidth="1"/>
    <col min="8717" max="8717" width="7.28515625" style="106" customWidth="1"/>
    <col min="8718" max="8718" width="12.5703125" style="106" customWidth="1"/>
    <col min="8719" max="8719" width="11" style="106" customWidth="1"/>
    <col min="8720" max="8960" width="9.140625" style="106"/>
    <col min="8961" max="8961" width="34.140625" style="106" customWidth="1"/>
    <col min="8962" max="8962" width="25.85546875" style="106" customWidth="1"/>
    <col min="8963" max="8963" width="15" style="106" customWidth="1"/>
    <col min="8964" max="8964" width="14.7109375" style="106" customWidth="1"/>
    <col min="8965" max="8966" width="14.5703125" style="106" customWidth="1"/>
    <col min="8967" max="8967" width="14.7109375" style="106" customWidth="1"/>
    <col min="8968" max="8968" width="19.42578125" style="106" customWidth="1"/>
    <col min="8969" max="8969" width="16.7109375" style="106" customWidth="1"/>
    <col min="8970" max="8970" width="17" style="106" customWidth="1"/>
    <col min="8971" max="8971" width="16.85546875" style="106" customWidth="1"/>
    <col min="8972" max="8972" width="16.7109375" style="106" customWidth="1"/>
    <col min="8973" max="8973" width="7.28515625" style="106" customWidth="1"/>
    <col min="8974" max="8974" width="12.5703125" style="106" customWidth="1"/>
    <col min="8975" max="8975" width="11" style="106" customWidth="1"/>
    <col min="8976" max="9216" width="9.140625" style="106"/>
    <col min="9217" max="9217" width="34.140625" style="106" customWidth="1"/>
    <col min="9218" max="9218" width="25.85546875" style="106" customWidth="1"/>
    <col min="9219" max="9219" width="15" style="106" customWidth="1"/>
    <col min="9220" max="9220" width="14.7109375" style="106" customWidth="1"/>
    <col min="9221" max="9222" width="14.5703125" style="106" customWidth="1"/>
    <col min="9223" max="9223" width="14.7109375" style="106" customWidth="1"/>
    <col min="9224" max="9224" width="19.42578125" style="106" customWidth="1"/>
    <col min="9225" max="9225" width="16.7109375" style="106" customWidth="1"/>
    <col min="9226" max="9226" width="17" style="106" customWidth="1"/>
    <col min="9227" max="9227" width="16.85546875" style="106" customWidth="1"/>
    <col min="9228" max="9228" width="16.7109375" style="106" customWidth="1"/>
    <col min="9229" max="9229" width="7.28515625" style="106" customWidth="1"/>
    <col min="9230" max="9230" width="12.5703125" style="106" customWidth="1"/>
    <col min="9231" max="9231" width="11" style="106" customWidth="1"/>
    <col min="9232" max="9472" width="9.140625" style="106"/>
    <col min="9473" max="9473" width="34.140625" style="106" customWidth="1"/>
    <col min="9474" max="9474" width="25.85546875" style="106" customWidth="1"/>
    <col min="9475" max="9475" width="15" style="106" customWidth="1"/>
    <col min="9476" max="9476" width="14.7109375" style="106" customWidth="1"/>
    <col min="9477" max="9478" width="14.5703125" style="106" customWidth="1"/>
    <col min="9479" max="9479" width="14.7109375" style="106" customWidth="1"/>
    <col min="9480" max="9480" width="19.42578125" style="106" customWidth="1"/>
    <col min="9481" max="9481" width="16.7109375" style="106" customWidth="1"/>
    <col min="9482" max="9482" width="17" style="106" customWidth="1"/>
    <col min="9483" max="9483" width="16.85546875" style="106" customWidth="1"/>
    <col min="9484" max="9484" width="16.7109375" style="106" customWidth="1"/>
    <col min="9485" max="9485" width="7.28515625" style="106" customWidth="1"/>
    <col min="9486" max="9486" width="12.5703125" style="106" customWidth="1"/>
    <col min="9487" max="9487" width="11" style="106" customWidth="1"/>
    <col min="9488" max="9728" width="9.140625" style="106"/>
    <col min="9729" max="9729" width="34.140625" style="106" customWidth="1"/>
    <col min="9730" max="9730" width="25.85546875" style="106" customWidth="1"/>
    <col min="9731" max="9731" width="15" style="106" customWidth="1"/>
    <col min="9732" max="9732" width="14.7109375" style="106" customWidth="1"/>
    <col min="9733" max="9734" width="14.5703125" style="106" customWidth="1"/>
    <col min="9735" max="9735" width="14.7109375" style="106" customWidth="1"/>
    <col min="9736" max="9736" width="19.42578125" style="106" customWidth="1"/>
    <col min="9737" max="9737" width="16.7109375" style="106" customWidth="1"/>
    <col min="9738" max="9738" width="17" style="106" customWidth="1"/>
    <col min="9739" max="9739" width="16.85546875" style="106" customWidth="1"/>
    <col min="9740" max="9740" width="16.7109375" style="106" customWidth="1"/>
    <col min="9741" max="9741" width="7.28515625" style="106" customWidth="1"/>
    <col min="9742" max="9742" width="12.5703125" style="106" customWidth="1"/>
    <col min="9743" max="9743" width="11" style="106" customWidth="1"/>
    <col min="9744" max="9984" width="9.140625" style="106"/>
    <col min="9985" max="9985" width="34.140625" style="106" customWidth="1"/>
    <col min="9986" max="9986" width="25.85546875" style="106" customWidth="1"/>
    <col min="9987" max="9987" width="15" style="106" customWidth="1"/>
    <col min="9988" max="9988" width="14.7109375" style="106" customWidth="1"/>
    <col min="9989" max="9990" width="14.5703125" style="106" customWidth="1"/>
    <col min="9991" max="9991" width="14.7109375" style="106" customWidth="1"/>
    <col min="9992" max="9992" width="19.42578125" style="106" customWidth="1"/>
    <col min="9993" max="9993" width="16.7109375" style="106" customWidth="1"/>
    <col min="9994" max="9994" width="17" style="106" customWidth="1"/>
    <col min="9995" max="9995" width="16.85546875" style="106" customWidth="1"/>
    <col min="9996" max="9996" width="16.7109375" style="106" customWidth="1"/>
    <col min="9997" max="9997" width="7.28515625" style="106" customWidth="1"/>
    <col min="9998" max="9998" width="12.5703125" style="106" customWidth="1"/>
    <col min="9999" max="9999" width="11" style="106" customWidth="1"/>
    <col min="10000" max="10240" width="9.140625" style="106"/>
    <col min="10241" max="10241" width="34.140625" style="106" customWidth="1"/>
    <col min="10242" max="10242" width="25.85546875" style="106" customWidth="1"/>
    <col min="10243" max="10243" width="15" style="106" customWidth="1"/>
    <col min="10244" max="10244" width="14.7109375" style="106" customWidth="1"/>
    <col min="10245" max="10246" width="14.5703125" style="106" customWidth="1"/>
    <col min="10247" max="10247" width="14.7109375" style="106" customWidth="1"/>
    <col min="10248" max="10248" width="19.42578125" style="106" customWidth="1"/>
    <col min="10249" max="10249" width="16.7109375" style="106" customWidth="1"/>
    <col min="10250" max="10250" width="17" style="106" customWidth="1"/>
    <col min="10251" max="10251" width="16.85546875" style="106" customWidth="1"/>
    <col min="10252" max="10252" width="16.7109375" style="106" customWidth="1"/>
    <col min="10253" max="10253" width="7.28515625" style="106" customWidth="1"/>
    <col min="10254" max="10254" width="12.5703125" style="106" customWidth="1"/>
    <col min="10255" max="10255" width="11" style="106" customWidth="1"/>
    <col min="10256" max="10496" width="9.140625" style="106"/>
    <col min="10497" max="10497" width="34.140625" style="106" customWidth="1"/>
    <col min="10498" max="10498" width="25.85546875" style="106" customWidth="1"/>
    <col min="10499" max="10499" width="15" style="106" customWidth="1"/>
    <col min="10500" max="10500" width="14.7109375" style="106" customWidth="1"/>
    <col min="10501" max="10502" width="14.5703125" style="106" customWidth="1"/>
    <col min="10503" max="10503" width="14.7109375" style="106" customWidth="1"/>
    <col min="10504" max="10504" width="19.42578125" style="106" customWidth="1"/>
    <col min="10505" max="10505" width="16.7109375" style="106" customWidth="1"/>
    <col min="10506" max="10506" width="17" style="106" customWidth="1"/>
    <col min="10507" max="10507" width="16.85546875" style="106" customWidth="1"/>
    <col min="10508" max="10508" width="16.7109375" style="106" customWidth="1"/>
    <col min="10509" max="10509" width="7.28515625" style="106" customWidth="1"/>
    <col min="10510" max="10510" width="12.5703125" style="106" customWidth="1"/>
    <col min="10511" max="10511" width="11" style="106" customWidth="1"/>
    <col min="10512" max="10752" width="9.140625" style="106"/>
    <col min="10753" max="10753" width="34.140625" style="106" customWidth="1"/>
    <col min="10754" max="10754" width="25.85546875" style="106" customWidth="1"/>
    <col min="10755" max="10755" width="15" style="106" customWidth="1"/>
    <col min="10756" max="10756" width="14.7109375" style="106" customWidth="1"/>
    <col min="10757" max="10758" width="14.5703125" style="106" customWidth="1"/>
    <col min="10759" max="10759" width="14.7109375" style="106" customWidth="1"/>
    <col min="10760" max="10760" width="19.42578125" style="106" customWidth="1"/>
    <col min="10761" max="10761" width="16.7109375" style="106" customWidth="1"/>
    <col min="10762" max="10762" width="17" style="106" customWidth="1"/>
    <col min="10763" max="10763" width="16.85546875" style="106" customWidth="1"/>
    <col min="10764" max="10764" width="16.7109375" style="106" customWidth="1"/>
    <col min="10765" max="10765" width="7.28515625" style="106" customWidth="1"/>
    <col min="10766" max="10766" width="12.5703125" style="106" customWidth="1"/>
    <col min="10767" max="10767" width="11" style="106" customWidth="1"/>
    <col min="10768" max="11008" width="9.140625" style="106"/>
    <col min="11009" max="11009" width="34.140625" style="106" customWidth="1"/>
    <col min="11010" max="11010" width="25.85546875" style="106" customWidth="1"/>
    <col min="11011" max="11011" width="15" style="106" customWidth="1"/>
    <col min="11012" max="11012" width="14.7109375" style="106" customWidth="1"/>
    <col min="11013" max="11014" width="14.5703125" style="106" customWidth="1"/>
    <col min="11015" max="11015" width="14.7109375" style="106" customWidth="1"/>
    <col min="11016" max="11016" width="19.42578125" style="106" customWidth="1"/>
    <col min="11017" max="11017" width="16.7109375" style="106" customWidth="1"/>
    <col min="11018" max="11018" width="17" style="106" customWidth="1"/>
    <col min="11019" max="11019" width="16.85546875" style="106" customWidth="1"/>
    <col min="11020" max="11020" width="16.7109375" style="106" customWidth="1"/>
    <col min="11021" max="11021" width="7.28515625" style="106" customWidth="1"/>
    <col min="11022" max="11022" width="12.5703125" style="106" customWidth="1"/>
    <col min="11023" max="11023" width="11" style="106" customWidth="1"/>
    <col min="11024" max="11264" width="9.140625" style="106"/>
    <col min="11265" max="11265" width="34.140625" style="106" customWidth="1"/>
    <col min="11266" max="11266" width="25.85546875" style="106" customWidth="1"/>
    <col min="11267" max="11267" width="15" style="106" customWidth="1"/>
    <col min="11268" max="11268" width="14.7109375" style="106" customWidth="1"/>
    <col min="11269" max="11270" width="14.5703125" style="106" customWidth="1"/>
    <col min="11271" max="11271" width="14.7109375" style="106" customWidth="1"/>
    <col min="11272" max="11272" width="19.42578125" style="106" customWidth="1"/>
    <col min="11273" max="11273" width="16.7109375" style="106" customWidth="1"/>
    <col min="11274" max="11274" width="17" style="106" customWidth="1"/>
    <col min="11275" max="11275" width="16.85546875" style="106" customWidth="1"/>
    <col min="11276" max="11276" width="16.7109375" style="106" customWidth="1"/>
    <col min="11277" max="11277" width="7.28515625" style="106" customWidth="1"/>
    <col min="11278" max="11278" width="12.5703125" style="106" customWidth="1"/>
    <col min="11279" max="11279" width="11" style="106" customWidth="1"/>
    <col min="11280" max="11520" width="9.140625" style="106"/>
    <col min="11521" max="11521" width="34.140625" style="106" customWidth="1"/>
    <col min="11522" max="11522" width="25.85546875" style="106" customWidth="1"/>
    <col min="11523" max="11523" width="15" style="106" customWidth="1"/>
    <col min="11524" max="11524" width="14.7109375" style="106" customWidth="1"/>
    <col min="11525" max="11526" width="14.5703125" style="106" customWidth="1"/>
    <col min="11527" max="11527" width="14.7109375" style="106" customWidth="1"/>
    <col min="11528" max="11528" width="19.42578125" style="106" customWidth="1"/>
    <col min="11529" max="11529" width="16.7109375" style="106" customWidth="1"/>
    <col min="11530" max="11530" width="17" style="106" customWidth="1"/>
    <col min="11531" max="11531" width="16.85546875" style="106" customWidth="1"/>
    <col min="11532" max="11532" width="16.7109375" style="106" customWidth="1"/>
    <col min="11533" max="11533" width="7.28515625" style="106" customWidth="1"/>
    <col min="11534" max="11534" width="12.5703125" style="106" customWidth="1"/>
    <col min="11535" max="11535" width="11" style="106" customWidth="1"/>
    <col min="11536" max="11776" width="9.140625" style="106"/>
    <col min="11777" max="11777" width="34.140625" style="106" customWidth="1"/>
    <col min="11778" max="11778" width="25.85546875" style="106" customWidth="1"/>
    <col min="11779" max="11779" width="15" style="106" customWidth="1"/>
    <col min="11780" max="11780" width="14.7109375" style="106" customWidth="1"/>
    <col min="11781" max="11782" width="14.5703125" style="106" customWidth="1"/>
    <col min="11783" max="11783" width="14.7109375" style="106" customWidth="1"/>
    <col min="11784" max="11784" width="19.42578125" style="106" customWidth="1"/>
    <col min="11785" max="11785" width="16.7109375" style="106" customWidth="1"/>
    <col min="11786" max="11786" width="17" style="106" customWidth="1"/>
    <col min="11787" max="11787" width="16.85546875" style="106" customWidth="1"/>
    <col min="11788" max="11788" width="16.7109375" style="106" customWidth="1"/>
    <col min="11789" max="11789" width="7.28515625" style="106" customWidth="1"/>
    <col min="11790" max="11790" width="12.5703125" style="106" customWidth="1"/>
    <col min="11791" max="11791" width="11" style="106" customWidth="1"/>
    <col min="11792" max="12032" width="9.140625" style="106"/>
    <col min="12033" max="12033" width="34.140625" style="106" customWidth="1"/>
    <col min="12034" max="12034" width="25.85546875" style="106" customWidth="1"/>
    <col min="12035" max="12035" width="15" style="106" customWidth="1"/>
    <col min="12036" max="12036" width="14.7109375" style="106" customWidth="1"/>
    <col min="12037" max="12038" width="14.5703125" style="106" customWidth="1"/>
    <col min="12039" max="12039" width="14.7109375" style="106" customWidth="1"/>
    <col min="12040" max="12040" width="19.42578125" style="106" customWidth="1"/>
    <col min="12041" max="12041" width="16.7109375" style="106" customWidth="1"/>
    <col min="12042" max="12042" width="17" style="106" customWidth="1"/>
    <col min="12043" max="12043" width="16.85546875" style="106" customWidth="1"/>
    <col min="12044" max="12044" width="16.7109375" style="106" customWidth="1"/>
    <col min="12045" max="12045" width="7.28515625" style="106" customWidth="1"/>
    <col min="12046" max="12046" width="12.5703125" style="106" customWidth="1"/>
    <col min="12047" max="12047" width="11" style="106" customWidth="1"/>
    <col min="12048" max="12288" width="9.140625" style="106"/>
    <col min="12289" max="12289" width="34.140625" style="106" customWidth="1"/>
    <col min="12290" max="12290" width="25.85546875" style="106" customWidth="1"/>
    <col min="12291" max="12291" width="15" style="106" customWidth="1"/>
    <col min="12292" max="12292" width="14.7109375" style="106" customWidth="1"/>
    <col min="12293" max="12294" width="14.5703125" style="106" customWidth="1"/>
    <col min="12295" max="12295" width="14.7109375" style="106" customWidth="1"/>
    <col min="12296" max="12296" width="19.42578125" style="106" customWidth="1"/>
    <col min="12297" max="12297" width="16.7109375" style="106" customWidth="1"/>
    <col min="12298" max="12298" width="17" style="106" customWidth="1"/>
    <col min="12299" max="12299" width="16.85546875" style="106" customWidth="1"/>
    <col min="12300" max="12300" width="16.7109375" style="106" customWidth="1"/>
    <col min="12301" max="12301" width="7.28515625" style="106" customWidth="1"/>
    <col min="12302" max="12302" width="12.5703125" style="106" customWidth="1"/>
    <col min="12303" max="12303" width="11" style="106" customWidth="1"/>
    <col min="12304" max="12544" width="9.140625" style="106"/>
    <col min="12545" max="12545" width="34.140625" style="106" customWidth="1"/>
    <col min="12546" max="12546" width="25.85546875" style="106" customWidth="1"/>
    <col min="12547" max="12547" width="15" style="106" customWidth="1"/>
    <col min="12548" max="12548" width="14.7109375" style="106" customWidth="1"/>
    <col min="12549" max="12550" width="14.5703125" style="106" customWidth="1"/>
    <col min="12551" max="12551" width="14.7109375" style="106" customWidth="1"/>
    <col min="12552" max="12552" width="19.42578125" style="106" customWidth="1"/>
    <col min="12553" max="12553" width="16.7109375" style="106" customWidth="1"/>
    <col min="12554" max="12554" width="17" style="106" customWidth="1"/>
    <col min="12555" max="12555" width="16.85546875" style="106" customWidth="1"/>
    <col min="12556" max="12556" width="16.7109375" style="106" customWidth="1"/>
    <col min="12557" max="12557" width="7.28515625" style="106" customWidth="1"/>
    <col min="12558" max="12558" width="12.5703125" style="106" customWidth="1"/>
    <col min="12559" max="12559" width="11" style="106" customWidth="1"/>
    <col min="12560" max="12800" width="9.140625" style="106"/>
    <col min="12801" max="12801" width="34.140625" style="106" customWidth="1"/>
    <col min="12802" max="12802" width="25.85546875" style="106" customWidth="1"/>
    <col min="12803" max="12803" width="15" style="106" customWidth="1"/>
    <col min="12804" max="12804" width="14.7109375" style="106" customWidth="1"/>
    <col min="12805" max="12806" width="14.5703125" style="106" customWidth="1"/>
    <col min="12807" max="12807" width="14.7109375" style="106" customWidth="1"/>
    <col min="12808" max="12808" width="19.42578125" style="106" customWidth="1"/>
    <col min="12809" max="12809" width="16.7109375" style="106" customWidth="1"/>
    <col min="12810" max="12810" width="17" style="106" customWidth="1"/>
    <col min="12811" max="12811" width="16.85546875" style="106" customWidth="1"/>
    <col min="12812" max="12812" width="16.7109375" style="106" customWidth="1"/>
    <col min="12813" max="12813" width="7.28515625" style="106" customWidth="1"/>
    <col min="12814" max="12814" width="12.5703125" style="106" customWidth="1"/>
    <col min="12815" max="12815" width="11" style="106" customWidth="1"/>
    <col min="12816" max="13056" width="9.140625" style="106"/>
    <col min="13057" max="13057" width="34.140625" style="106" customWidth="1"/>
    <col min="13058" max="13058" width="25.85546875" style="106" customWidth="1"/>
    <col min="13059" max="13059" width="15" style="106" customWidth="1"/>
    <col min="13060" max="13060" width="14.7109375" style="106" customWidth="1"/>
    <col min="13061" max="13062" width="14.5703125" style="106" customWidth="1"/>
    <col min="13063" max="13063" width="14.7109375" style="106" customWidth="1"/>
    <col min="13064" max="13064" width="19.42578125" style="106" customWidth="1"/>
    <col min="13065" max="13065" width="16.7109375" style="106" customWidth="1"/>
    <col min="13066" max="13066" width="17" style="106" customWidth="1"/>
    <col min="13067" max="13067" width="16.85546875" style="106" customWidth="1"/>
    <col min="13068" max="13068" width="16.7109375" style="106" customWidth="1"/>
    <col min="13069" max="13069" width="7.28515625" style="106" customWidth="1"/>
    <col min="13070" max="13070" width="12.5703125" style="106" customWidth="1"/>
    <col min="13071" max="13071" width="11" style="106" customWidth="1"/>
    <col min="13072" max="13312" width="9.140625" style="106"/>
    <col min="13313" max="13313" width="34.140625" style="106" customWidth="1"/>
    <col min="13314" max="13314" width="25.85546875" style="106" customWidth="1"/>
    <col min="13315" max="13315" width="15" style="106" customWidth="1"/>
    <col min="13316" max="13316" width="14.7109375" style="106" customWidth="1"/>
    <col min="13317" max="13318" width="14.5703125" style="106" customWidth="1"/>
    <col min="13319" max="13319" width="14.7109375" style="106" customWidth="1"/>
    <col min="13320" max="13320" width="19.42578125" style="106" customWidth="1"/>
    <col min="13321" max="13321" width="16.7109375" style="106" customWidth="1"/>
    <col min="13322" max="13322" width="17" style="106" customWidth="1"/>
    <col min="13323" max="13323" width="16.85546875" style="106" customWidth="1"/>
    <col min="13324" max="13324" width="16.7109375" style="106" customWidth="1"/>
    <col min="13325" max="13325" width="7.28515625" style="106" customWidth="1"/>
    <col min="13326" max="13326" width="12.5703125" style="106" customWidth="1"/>
    <col min="13327" max="13327" width="11" style="106" customWidth="1"/>
    <col min="13328" max="13568" width="9.140625" style="106"/>
    <col min="13569" max="13569" width="34.140625" style="106" customWidth="1"/>
    <col min="13570" max="13570" width="25.85546875" style="106" customWidth="1"/>
    <col min="13571" max="13571" width="15" style="106" customWidth="1"/>
    <col min="13572" max="13572" width="14.7109375" style="106" customWidth="1"/>
    <col min="13573" max="13574" width="14.5703125" style="106" customWidth="1"/>
    <col min="13575" max="13575" width="14.7109375" style="106" customWidth="1"/>
    <col min="13576" max="13576" width="19.42578125" style="106" customWidth="1"/>
    <col min="13577" max="13577" width="16.7109375" style="106" customWidth="1"/>
    <col min="13578" max="13578" width="17" style="106" customWidth="1"/>
    <col min="13579" max="13579" width="16.85546875" style="106" customWidth="1"/>
    <col min="13580" max="13580" width="16.7109375" style="106" customWidth="1"/>
    <col min="13581" max="13581" width="7.28515625" style="106" customWidth="1"/>
    <col min="13582" max="13582" width="12.5703125" style="106" customWidth="1"/>
    <col min="13583" max="13583" width="11" style="106" customWidth="1"/>
    <col min="13584" max="13824" width="9.140625" style="106"/>
    <col min="13825" max="13825" width="34.140625" style="106" customWidth="1"/>
    <col min="13826" max="13826" width="25.85546875" style="106" customWidth="1"/>
    <col min="13827" max="13827" width="15" style="106" customWidth="1"/>
    <col min="13828" max="13828" width="14.7109375" style="106" customWidth="1"/>
    <col min="13829" max="13830" width="14.5703125" style="106" customWidth="1"/>
    <col min="13831" max="13831" width="14.7109375" style="106" customWidth="1"/>
    <col min="13832" max="13832" width="19.42578125" style="106" customWidth="1"/>
    <col min="13833" max="13833" width="16.7109375" style="106" customWidth="1"/>
    <col min="13834" max="13834" width="17" style="106" customWidth="1"/>
    <col min="13835" max="13835" width="16.85546875" style="106" customWidth="1"/>
    <col min="13836" max="13836" width="16.7109375" style="106" customWidth="1"/>
    <col min="13837" max="13837" width="7.28515625" style="106" customWidth="1"/>
    <col min="13838" max="13838" width="12.5703125" style="106" customWidth="1"/>
    <col min="13839" max="13839" width="11" style="106" customWidth="1"/>
    <col min="13840" max="14080" width="9.140625" style="106"/>
    <col min="14081" max="14081" width="34.140625" style="106" customWidth="1"/>
    <col min="14082" max="14082" width="25.85546875" style="106" customWidth="1"/>
    <col min="14083" max="14083" width="15" style="106" customWidth="1"/>
    <col min="14084" max="14084" width="14.7109375" style="106" customWidth="1"/>
    <col min="14085" max="14086" width="14.5703125" style="106" customWidth="1"/>
    <col min="14087" max="14087" width="14.7109375" style="106" customWidth="1"/>
    <col min="14088" max="14088" width="19.42578125" style="106" customWidth="1"/>
    <col min="14089" max="14089" width="16.7109375" style="106" customWidth="1"/>
    <col min="14090" max="14090" width="17" style="106" customWidth="1"/>
    <col min="14091" max="14091" width="16.85546875" style="106" customWidth="1"/>
    <col min="14092" max="14092" width="16.7109375" style="106" customWidth="1"/>
    <col min="14093" max="14093" width="7.28515625" style="106" customWidth="1"/>
    <col min="14094" max="14094" width="12.5703125" style="106" customWidth="1"/>
    <col min="14095" max="14095" width="11" style="106" customWidth="1"/>
    <col min="14096" max="14336" width="9.140625" style="106"/>
    <col min="14337" max="14337" width="34.140625" style="106" customWidth="1"/>
    <col min="14338" max="14338" width="25.85546875" style="106" customWidth="1"/>
    <col min="14339" max="14339" width="15" style="106" customWidth="1"/>
    <col min="14340" max="14340" width="14.7109375" style="106" customWidth="1"/>
    <col min="14341" max="14342" width="14.5703125" style="106" customWidth="1"/>
    <col min="14343" max="14343" width="14.7109375" style="106" customWidth="1"/>
    <col min="14344" max="14344" width="19.42578125" style="106" customWidth="1"/>
    <col min="14345" max="14345" width="16.7109375" style="106" customWidth="1"/>
    <col min="14346" max="14346" width="17" style="106" customWidth="1"/>
    <col min="14347" max="14347" width="16.85546875" style="106" customWidth="1"/>
    <col min="14348" max="14348" width="16.7109375" style="106" customWidth="1"/>
    <col min="14349" max="14349" width="7.28515625" style="106" customWidth="1"/>
    <col min="14350" max="14350" width="12.5703125" style="106" customWidth="1"/>
    <col min="14351" max="14351" width="11" style="106" customWidth="1"/>
    <col min="14352" max="14592" width="9.140625" style="106"/>
    <col min="14593" max="14593" width="34.140625" style="106" customWidth="1"/>
    <col min="14594" max="14594" width="25.85546875" style="106" customWidth="1"/>
    <col min="14595" max="14595" width="15" style="106" customWidth="1"/>
    <col min="14596" max="14596" width="14.7109375" style="106" customWidth="1"/>
    <col min="14597" max="14598" width="14.5703125" style="106" customWidth="1"/>
    <col min="14599" max="14599" width="14.7109375" style="106" customWidth="1"/>
    <col min="14600" max="14600" width="19.42578125" style="106" customWidth="1"/>
    <col min="14601" max="14601" width="16.7109375" style="106" customWidth="1"/>
    <col min="14602" max="14602" width="17" style="106" customWidth="1"/>
    <col min="14603" max="14603" width="16.85546875" style="106" customWidth="1"/>
    <col min="14604" max="14604" width="16.7109375" style="106" customWidth="1"/>
    <col min="14605" max="14605" width="7.28515625" style="106" customWidth="1"/>
    <col min="14606" max="14606" width="12.5703125" style="106" customWidth="1"/>
    <col min="14607" max="14607" width="11" style="106" customWidth="1"/>
    <col min="14608" max="14848" width="9.140625" style="106"/>
    <col min="14849" max="14849" width="34.140625" style="106" customWidth="1"/>
    <col min="14850" max="14850" width="25.85546875" style="106" customWidth="1"/>
    <col min="14851" max="14851" width="15" style="106" customWidth="1"/>
    <col min="14852" max="14852" width="14.7109375" style="106" customWidth="1"/>
    <col min="14853" max="14854" width="14.5703125" style="106" customWidth="1"/>
    <col min="14855" max="14855" width="14.7109375" style="106" customWidth="1"/>
    <col min="14856" max="14856" width="19.42578125" style="106" customWidth="1"/>
    <col min="14857" max="14857" width="16.7109375" style="106" customWidth="1"/>
    <col min="14858" max="14858" width="17" style="106" customWidth="1"/>
    <col min="14859" max="14859" width="16.85546875" style="106" customWidth="1"/>
    <col min="14860" max="14860" width="16.7109375" style="106" customWidth="1"/>
    <col min="14861" max="14861" width="7.28515625" style="106" customWidth="1"/>
    <col min="14862" max="14862" width="12.5703125" style="106" customWidth="1"/>
    <col min="14863" max="14863" width="11" style="106" customWidth="1"/>
    <col min="14864" max="15104" width="9.140625" style="106"/>
    <col min="15105" max="15105" width="34.140625" style="106" customWidth="1"/>
    <col min="15106" max="15106" width="25.85546875" style="106" customWidth="1"/>
    <col min="15107" max="15107" width="15" style="106" customWidth="1"/>
    <col min="15108" max="15108" width="14.7109375" style="106" customWidth="1"/>
    <col min="15109" max="15110" width="14.5703125" style="106" customWidth="1"/>
    <col min="15111" max="15111" width="14.7109375" style="106" customWidth="1"/>
    <col min="15112" max="15112" width="19.42578125" style="106" customWidth="1"/>
    <col min="15113" max="15113" width="16.7109375" style="106" customWidth="1"/>
    <col min="15114" max="15114" width="17" style="106" customWidth="1"/>
    <col min="15115" max="15115" width="16.85546875" style="106" customWidth="1"/>
    <col min="15116" max="15116" width="16.7109375" style="106" customWidth="1"/>
    <col min="15117" max="15117" width="7.28515625" style="106" customWidth="1"/>
    <col min="15118" max="15118" width="12.5703125" style="106" customWidth="1"/>
    <col min="15119" max="15119" width="11" style="106" customWidth="1"/>
    <col min="15120" max="15360" width="9.140625" style="106"/>
    <col min="15361" max="15361" width="34.140625" style="106" customWidth="1"/>
    <col min="15362" max="15362" width="25.85546875" style="106" customWidth="1"/>
    <col min="15363" max="15363" width="15" style="106" customWidth="1"/>
    <col min="15364" max="15364" width="14.7109375" style="106" customWidth="1"/>
    <col min="15365" max="15366" width="14.5703125" style="106" customWidth="1"/>
    <col min="15367" max="15367" width="14.7109375" style="106" customWidth="1"/>
    <col min="15368" max="15368" width="19.42578125" style="106" customWidth="1"/>
    <col min="15369" max="15369" width="16.7109375" style="106" customWidth="1"/>
    <col min="15370" max="15370" width="17" style="106" customWidth="1"/>
    <col min="15371" max="15371" width="16.85546875" style="106" customWidth="1"/>
    <col min="15372" max="15372" width="16.7109375" style="106" customWidth="1"/>
    <col min="15373" max="15373" width="7.28515625" style="106" customWidth="1"/>
    <col min="15374" max="15374" width="12.5703125" style="106" customWidth="1"/>
    <col min="15375" max="15375" width="11" style="106" customWidth="1"/>
    <col min="15376" max="15616" width="9.140625" style="106"/>
    <col min="15617" max="15617" width="34.140625" style="106" customWidth="1"/>
    <col min="15618" max="15618" width="25.85546875" style="106" customWidth="1"/>
    <col min="15619" max="15619" width="15" style="106" customWidth="1"/>
    <col min="15620" max="15620" width="14.7109375" style="106" customWidth="1"/>
    <col min="15621" max="15622" width="14.5703125" style="106" customWidth="1"/>
    <col min="15623" max="15623" width="14.7109375" style="106" customWidth="1"/>
    <col min="15624" max="15624" width="19.42578125" style="106" customWidth="1"/>
    <col min="15625" max="15625" width="16.7109375" style="106" customWidth="1"/>
    <col min="15626" max="15626" width="17" style="106" customWidth="1"/>
    <col min="15627" max="15627" width="16.85546875" style="106" customWidth="1"/>
    <col min="15628" max="15628" width="16.7109375" style="106" customWidth="1"/>
    <col min="15629" max="15629" width="7.28515625" style="106" customWidth="1"/>
    <col min="15630" max="15630" width="12.5703125" style="106" customWidth="1"/>
    <col min="15631" max="15631" width="11" style="106" customWidth="1"/>
    <col min="15632" max="15872" width="9.140625" style="106"/>
    <col min="15873" max="15873" width="34.140625" style="106" customWidth="1"/>
    <col min="15874" max="15874" width="25.85546875" style="106" customWidth="1"/>
    <col min="15875" max="15875" width="15" style="106" customWidth="1"/>
    <col min="15876" max="15876" width="14.7109375" style="106" customWidth="1"/>
    <col min="15877" max="15878" width="14.5703125" style="106" customWidth="1"/>
    <col min="15879" max="15879" width="14.7109375" style="106" customWidth="1"/>
    <col min="15880" max="15880" width="19.42578125" style="106" customWidth="1"/>
    <col min="15881" max="15881" width="16.7109375" style="106" customWidth="1"/>
    <col min="15882" max="15882" width="17" style="106" customWidth="1"/>
    <col min="15883" max="15883" width="16.85546875" style="106" customWidth="1"/>
    <col min="15884" max="15884" width="16.7109375" style="106" customWidth="1"/>
    <col min="15885" max="15885" width="7.28515625" style="106" customWidth="1"/>
    <col min="15886" max="15886" width="12.5703125" style="106" customWidth="1"/>
    <col min="15887" max="15887" width="11" style="106" customWidth="1"/>
    <col min="15888" max="16128" width="9.140625" style="106"/>
    <col min="16129" max="16129" width="34.140625" style="106" customWidth="1"/>
    <col min="16130" max="16130" width="25.85546875" style="106" customWidth="1"/>
    <col min="16131" max="16131" width="15" style="106" customWidth="1"/>
    <col min="16132" max="16132" width="14.7109375" style="106" customWidth="1"/>
    <col min="16133" max="16134" width="14.5703125" style="106" customWidth="1"/>
    <col min="16135" max="16135" width="14.7109375" style="106" customWidth="1"/>
    <col min="16136" max="16136" width="19.42578125" style="106" customWidth="1"/>
    <col min="16137" max="16137" width="16.7109375" style="106" customWidth="1"/>
    <col min="16138" max="16138" width="17" style="106" customWidth="1"/>
    <col min="16139" max="16139" width="16.85546875" style="106" customWidth="1"/>
    <col min="16140" max="16140" width="16.7109375" style="106" customWidth="1"/>
    <col min="16141" max="16141" width="7.28515625" style="106" customWidth="1"/>
    <col min="16142" max="16142" width="12.5703125" style="106" customWidth="1"/>
    <col min="16143" max="16143" width="11" style="106" customWidth="1"/>
    <col min="16144" max="16384" width="9.140625" style="106"/>
  </cols>
  <sheetData>
    <row r="1" spans="1:13" ht="18" customHeight="1"/>
    <row r="2" spans="1:13" ht="18" customHeight="1"/>
    <row r="3" spans="1:13" ht="18" customHeight="1">
      <c r="A3" s="129" t="s">
        <v>144</v>
      </c>
    </row>
    <row r="4" spans="1:13" ht="18" customHeight="1">
      <c r="A4" s="112" t="s">
        <v>47</v>
      </c>
    </row>
    <row r="5" spans="1:13" ht="18" customHeight="1">
      <c r="I5" s="128"/>
      <c r="J5" s="127" t="s">
        <v>91</v>
      </c>
      <c r="K5" s="126" t="s">
        <v>90</v>
      </c>
      <c r="L5" s="125" t="s">
        <v>89</v>
      </c>
      <c r="M5" s="106" t="s">
        <v>88</v>
      </c>
    </row>
    <row r="6" spans="1:13" ht="18" customHeight="1">
      <c r="C6" s="121" t="s">
        <v>87</v>
      </c>
      <c r="D6" s="106" t="s">
        <v>86</v>
      </c>
      <c r="E6" s="108" t="s">
        <v>85</v>
      </c>
      <c r="F6" s="124" t="s">
        <v>84</v>
      </c>
      <c r="G6" s="113" t="s">
        <v>71</v>
      </c>
      <c r="H6" s="123" t="s">
        <v>83</v>
      </c>
      <c r="I6" s="118" t="s">
        <v>82</v>
      </c>
      <c r="J6" s="117" t="s">
        <v>28</v>
      </c>
      <c r="K6" s="116" t="s">
        <v>81</v>
      </c>
      <c r="L6" s="115" t="s">
        <v>28</v>
      </c>
      <c r="M6" s="106" t="s">
        <v>80</v>
      </c>
    </row>
    <row r="7" spans="1:13" ht="18" customHeight="1">
      <c r="C7" s="121"/>
      <c r="I7" s="118"/>
      <c r="J7" s="117"/>
      <c r="K7" s="116"/>
      <c r="L7" s="115"/>
    </row>
    <row r="8" spans="1:13" ht="18" customHeight="1">
      <c r="A8" s="112" t="s">
        <v>79</v>
      </c>
      <c r="C8" s="121"/>
      <c r="I8" s="118"/>
      <c r="J8" s="117"/>
      <c r="K8" s="116"/>
      <c r="L8" s="115"/>
    </row>
    <row r="9" spans="1:13" ht="18" customHeight="1">
      <c r="C9" s="121"/>
      <c r="F9" s="122" t="s">
        <v>78</v>
      </c>
      <c r="I9" s="118"/>
      <c r="J9" s="117"/>
      <c r="K9" s="116"/>
      <c r="L9" s="115"/>
    </row>
    <row r="10" spans="1:13" ht="18" customHeight="1">
      <c r="A10" s="114" t="s">
        <v>74</v>
      </c>
      <c r="C10" s="121">
        <v>24</v>
      </c>
      <c r="D10" s="106">
        <f>C10*0.14</f>
        <v>3.3600000000000003</v>
      </c>
      <c r="E10" s="111">
        <f>C10+D10</f>
        <v>27.36</v>
      </c>
      <c r="F10" s="120">
        <f>E10/8</f>
        <v>3.42</v>
      </c>
      <c r="G10" s="106">
        <v>3.1</v>
      </c>
      <c r="H10" s="119">
        <f>SUM(E10*8*25)/(47*5*8)</f>
        <v>2.9106382978723406</v>
      </c>
      <c r="I10" s="223"/>
      <c r="J10" s="224"/>
      <c r="K10" s="225"/>
      <c r="L10" s="226"/>
      <c r="M10" s="106">
        <f>((K10*4)+(12*L10))/16</f>
        <v>0</v>
      </c>
    </row>
    <row r="11" spans="1:13" ht="18" customHeight="1">
      <c r="A11" s="114" t="s">
        <v>70</v>
      </c>
      <c r="C11" s="121">
        <v>23</v>
      </c>
      <c r="D11" s="106">
        <f>C11*0.14</f>
        <v>3.22</v>
      </c>
      <c r="E11" s="111">
        <f>C11+D11</f>
        <v>26.22</v>
      </c>
      <c r="F11" s="120">
        <f>E11/8</f>
        <v>3.2774999999999999</v>
      </c>
      <c r="G11" s="106">
        <v>3.1</v>
      </c>
      <c r="H11" s="119">
        <f>SUM(E11*8*25)/(47*5*8)</f>
        <v>2.7893617021276595</v>
      </c>
      <c r="I11" s="223"/>
      <c r="J11" s="224"/>
      <c r="K11" s="225"/>
      <c r="L11" s="226"/>
      <c r="M11" s="106">
        <f>((K11*4)+(12*L11))/16</f>
        <v>0</v>
      </c>
    </row>
    <row r="12" spans="1:13" ht="18" customHeight="1">
      <c r="A12" s="114" t="s">
        <v>73</v>
      </c>
      <c r="C12" s="121">
        <v>23</v>
      </c>
      <c r="D12" s="106">
        <f>C12*0.14</f>
        <v>3.22</v>
      </c>
      <c r="E12" s="111">
        <f>C12+D12</f>
        <v>26.22</v>
      </c>
      <c r="F12" s="120">
        <f>E12/8</f>
        <v>3.2774999999999999</v>
      </c>
      <c r="G12" s="106">
        <v>3.1</v>
      </c>
      <c r="H12" s="119">
        <f>SUM(E12*8*25)/(47*5*8)</f>
        <v>2.7893617021276595</v>
      </c>
      <c r="I12" s="223"/>
      <c r="J12" s="224"/>
      <c r="K12" s="225"/>
      <c r="L12" s="226"/>
      <c r="M12" s="106">
        <f>((K12*4)+(12*L12))/16</f>
        <v>0</v>
      </c>
    </row>
    <row r="13" spans="1:13" ht="18" customHeight="1">
      <c r="A13" s="114" t="s">
        <v>72</v>
      </c>
      <c r="C13" s="121">
        <v>20</v>
      </c>
      <c r="D13" s="106">
        <f>C13*0.14</f>
        <v>2.8000000000000003</v>
      </c>
      <c r="E13" s="111">
        <f>C13+D13</f>
        <v>22.8</v>
      </c>
      <c r="F13" s="120">
        <f>E13/8</f>
        <v>2.85</v>
      </c>
      <c r="G13" s="106">
        <v>3.1</v>
      </c>
      <c r="H13" s="119">
        <f>SUM(E13*8*25)/(47*5*8)</f>
        <v>2.4255319148936172</v>
      </c>
      <c r="I13" s="223"/>
      <c r="J13" s="224"/>
      <c r="K13" s="225"/>
      <c r="L13" s="226"/>
      <c r="M13" s="106">
        <f>((K13*4)+(12*L13))/16</f>
        <v>0</v>
      </c>
    </row>
    <row r="14" spans="1:13" ht="18" customHeight="1">
      <c r="A14" s="114" t="s">
        <v>69</v>
      </c>
      <c r="C14" s="121">
        <v>17</v>
      </c>
      <c r="D14" s="106">
        <f>C14*0.14</f>
        <v>2.3800000000000003</v>
      </c>
      <c r="E14" s="111">
        <f>C14+D14</f>
        <v>19.38</v>
      </c>
      <c r="F14" s="120">
        <f>E14/8</f>
        <v>2.4224999999999999</v>
      </c>
      <c r="G14" s="106">
        <v>3.1</v>
      </c>
      <c r="H14" s="119">
        <f>SUM(E14*8*25)/(47*5*8)</f>
        <v>2.0617021276595744</v>
      </c>
      <c r="I14" s="223"/>
      <c r="J14" s="224"/>
      <c r="K14" s="225"/>
      <c r="L14" s="226"/>
      <c r="M14" s="106">
        <f>((K14*4)+(12*L14))/16</f>
        <v>0</v>
      </c>
    </row>
    <row r="15" spans="1:13" ht="18" customHeight="1">
      <c r="C15" s="121"/>
      <c r="I15" s="223"/>
      <c r="J15" s="224"/>
      <c r="K15" s="225"/>
      <c r="L15" s="226"/>
    </row>
    <row r="16" spans="1:13" ht="18" customHeight="1">
      <c r="C16" s="121"/>
      <c r="I16" s="223"/>
      <c r="J16" s="224"/>
      <c r="K16" s="225"/>
      <c r="L16" s="226"/>
    </row>
    <row r="17" spans="1:13" ht="18" customHeight="1">
      <c r="A17" s="112" t="s">
        <v>77</v>
      </c>
      <c r="C17" s="121"/>
      <c r="I17" s="223"/>
      <c r="J17" s="227"/>
      <c r="K17" s="225"/>
      <c r="L17" s="226"/>
    </row>
    <row r="18" spans="1:13" ht="18" customHeight="1">
      <c r="C18" s="121"/>
      <c r="F18" s="122" t="s">
        <v>76</v>
      </c>
      <c r="I18" s="223"/>
      <c r="J18" s="224"/>
      <c r="K18" s="225"/>
      <c r="L18" s="226"/>
      <c r="M18" s="106" t="s">
        <v>75</v>
      </c>
    </row>
    <row r="19" spans="1:13" ht="18" customHeight="1">
      <c r="A19" s="114" t="s">
        <v>74</v>
      </c>
      <c r="C19" s="121">
        <v>24</v>
      </c>
      <c r="D19" s="106">
        <f>C19*0.14</f>
        <v>3.3600000000000003</v>
      </c>
      <c r="E19" s="111">
        <f>C19+D19</f>
        <v>27.36</v>
      </c>
      <c r="F19" s="120">
        <f>(100*4)/50+(E19*8/50)</f>
        <v>12.377600000000001</v>
      </c>
      <c r="G19" s="106">
        <v>3.1</v>
      </c>
      <c r="H19" s="119">
        <f>SUM(E19*10*25)/(47*5*10)</f>
        <v>2.9106382978723406</v>
      </c>
      <c r="I19" s="223"/>
      <c r="J19" s="224"/>
      <c r="K19" s="225"/>
      <c r="L19" s="226"/>
      <c r="M19" s="106">
        <f>((K19*5)+(15*L19))/20</f>
        <v>0</v>
      </c>
    </row>
    <row r="20" spans="1:13" ht="18" customHeight="1">
      <c r="A20" s="114" t="s">
        <v>70</v>
      </c>
      <c r="C20" s="121">
        <v>23</v>
      </c>
      <c r="D20" s="106">
        <f>C20*0.14</f>
        <v>3.22</v>
      </c>
      <c r="E20" s="111">
        <f>C20+D20</f>
        <v>26.22</v>
      </c>
      <c r="F20" s="120">
        <f>(100*4)/50+(E20*8/50)</f>
        <v>12.1952</v>
      </c>
      <c r="G20" s="106">
        <v>3.1</v>
      </c>
      <c r="H20" s="119">
        <f>SUM(E20*10*25)/(47*5*10)</f>
        <v>2.7893617021276595</v>
      </c>
      <c r="I20" s="223"/>
      <c r="J20" s="224"/>
      <c r="K20" s="225"/>
      <c r="L20" s="226"/>
      <c r="M20" s="106">
        <f>((K20*5)+(15*L20))/20</f>
        <v>0</v>
      </c>
    </row>
    <row r="21" spans="1:13" ht="18" customHeight="1">
      <c r="A21" s="114" t="s">
        <v>73</v>
      </c>
      <c r="C21" s="121">
        <v>23</v>
      </c>
      <c r="D21" s="106">
        <f>C21*0.14</f>
        <v>3.22</v>
      </c>
      <c r="E21" s="111">
        <f>C21+D21</f>
        <v>26.22</v>
      </c>
      <c r="F21" s="120">
        <f>(100*4)/50+(E21*8/50)</f>
        <v>12.1952</v>
      </c>
      <c r="G21" s="106">
        <v>3.1</v>
      </c>
      <c r="H21" s="119">
        <f>SUM(E21*10*25)/(47*5*10)</f>
        <v>2.7893617021276595</v>
      </c>
      <c r="I21" s="223"/>
      <c r="J21" s="224"/>
      <c r="K21" s="225"/>
      <c r="L21" s="226"/>
      <c r="M21" s="106">
        <f>((K21*5)+(15*L21))/20</f>
        <v>0</v>
      </c>
    </row>
    <row r="22" spans="1:13" ht="18" customHeight="1">
      <c r="A22" s="114" t="s">
        <v>72</v>
      </c>
      <c r="C22" s="121">
        <v>20</v>
      </c>
      <c r="D22" s="106">
        <f>C22*0.14</f>
        <v>2.8000000000000003</v>
      </c>
      <c r="E22" s="111">
        <f>C22+D22</f>
        <v>22.8</v>
      </c>
      <c r="F22" s="120">
        <f>(100*4)/50+(E22*8/50)</f>
        <v>11.648</v>
      </c>
      <c r="G22" s="106">
        <v>3.1</v>
      </c>
      <c r="H22" s="119">
        <f>SUM(E22*10*25)/(47*5*10)</f>
        <v>2.4255319148936172</v>
      </c>
      <c r="I22" s="223"/>
      <c r="J22" s="224"/>
      <c r="K22" s="225"/>
      <c r="L22" s="226"/>
      <c r="M22" s="106">
        <f>((K22*5)+(15*L22))/20</f>
        <v>0</v>
      </c>
    </row>
    <row r="23" spans="1:13" ht="18" customHeight="1">
      <c r="A23" s="114" t="s">
        <v>69</v>
      </c>
      <c r="C23" s="121">
        <v>17</v>
      </c>
      <c r="D23" s="106">
        <f>C23*0.14</f>
        <v>2.3800000000000003</v>
      </c>
      <c r="E23" s="111">
        <f>C23+D23</f>
        <v>19.38</v>
      </c>
      <c r="F23" s="120">
        <f>(100*4)/50+(E23*8/50)</f>
        <v>11.1008</v>
      </c>
      <c r="G23" s="106">
        <v>3.1</v>
      </c>
      <c r="H23" s="119">
        <f>SUM(E23*10*25)/(47*5*10)</f>
        <v>2.0617021276595744</v>
      </c>
      <c r="I23" s="228"/>
      <c r="J23" s="229"/>
      <c r="K23" s="230"/>
      <c r="L23" s="231"/>
      <c r="M23" s="106">
        <f>((K23*5)+(15*L23))/20</f>
        <v>0</v>
      </c>
    </row>
  </sheetData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A6BFEB-D119-404F-ABDC-53586E03E1F8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3D302F0C-F091-47E7-BFD9-5DA8851F30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6275A3-3A0F-4633-8A2D-A45C4A1214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VO Summary - Issue</vt:lpstr>
      <vt:lpstr>VO Breakdown - Issue</vt:lpstr>
      <vt:lpstr>Variation Cost Sheet</vt:lpstr>
      <vt:lpstr>Preliminaries Cost Sheet</vt:lpstr>
      <vt:lpstr>Labour Calcs 2025</vt:lpstr>
      <vt:lpstr>'VO Breakdown - Issue'!Print_Area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cp:lastPrinted>2024-09-13T13:15:27Z</cp:lastPrinted>
  <dcterms:created xsi:type="dcterms:W3CDTF">2002-01-11T13:21:14Z</dcterms:created>
  <dcterms:modified xsi:type="dcterms:W3CDTF">2026-06-23T12:47:00Z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MediaServiceImageTags">
    <vt:lpwstr/>
  </property>
  <property fmtid="{D5CDD505-2E9C-101B-9397-08002B2CF9AE}" pid="5" name="ContentTypeId">
    <vt:lpwstr>0x01010001602292AB956749AB9C07AF01C808F9</vt:lpwstr>
  </property>
  <property fmtid="{D5CDD505-2E9C-101B-9397-08002B2CF9AE}" pid="6" name="Order">
    <vt:r8>309700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TriggerFlowInfo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
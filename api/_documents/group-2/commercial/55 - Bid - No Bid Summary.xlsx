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36" documentId="8_{7544F0B9-591C-4595-8CB6-541B7F23BEDE}" xr6:coauthVersionLast="47" xr6:coauthVersionMax="47" xr10:uidLastSave="{3701976B-7EE8-4610-A643-2D53DAEFF943}"/>
  <bookViews>
    <workbookView xWindow="-120" yWindow="-120" windowWidth="51840" windowHeight="21120" xr2:uid="{00000000-000D-0000-FFFF-FFFF00000000}"/>
  </bookViews>
  <sheets>
    <sheet name="Summary" sheetId="2" r:id="rId1"/>
    <sheet name="Scor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29" i="1"/>
  <c r="E21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0" i="1"/>
  <c r="E12" i="1" l="1"/>
  <c r="E8" i="1"/>
  <c r="E9" i="1"/>
  <c r="E10" i="1"/>
  <c r="E11" i="1"/>
  <c r="E13" i="1"/>
  <c r="E14" i="1"/>
  <c r="E15" i="1"/>
  <c r="E16" i="1"/>
  <c r="E17" i="1"/>
  <c r="E18" i="1"/>
  <c r="E19" i="1"/>
  <c r="E22" i="1"/>
  <c r="E23" i="1"/>
  <c r="E24" i="1"/>
  <c r="E44" i="1"/>
  <c r="E7" i="1"/>
  <c r="C16" i="2"/>
  <c r="C9" i="2"/>
  <c r="E6" i="1"/>
  <c r="C15" i="2" l="1"/>
  <c r="C8" i="2"/>
  <c r="C11" i="2" s="1"/>
  <c r="C14" i="2"/>
</calcChain>
</file>

<file path=xl/sharedStrings.xml><?xml version="1.0" encoding="utf-8"?>
<sst xmlns="http://schemas.openxmlformats.org/spreadsheetml/2006/main" count="97" uniqueCount="64">
  <si>
    <t>Section</t>
  </si>
  <si>
    <t>Question</t>
  </si>
  <si>
    <t>Weighted Score</t>
  </si>
  <si>
    <t>Client &amp; Relationship</t>
  </si>
  <si>
    <t>Is the client either the end user or a main contractor?</t>
  </si>
  <si>
    <t>Do we have an existing relationship or a strong working history with this client?</t>
  </si>
  <si>
    <t>Is the client financially stable and reliable in payment history?</t>
  </si>
  <si>
    <t>Is the client known for fair contract terms and reasonable expectations?</t>
  </si>
  <si>
    <t>Strategic Fit</t>
  </si>
  <si>
    <t>Does the project align with our business strategy and sector focus?</t>
  </si>
  <si>
    <t>Does this project support our growth, presence, or reputation in a key market or geography?</t>
  </si>
  <si>
    <t>Is this a repeatable or referenceable project type?</t>
  </si>
  <si>
    <t>Technical Fit &amp; Capability</t>
  </si>
  <si>
    <t>Do we have the in-house capability to deliver the M&amp;E scope required?</t>
  </si>
  <si>
    <t>Does the project fall within our operational capacity?</t>
  </si>
  <si>
    <t>Can we manage this project with existing or planned resources?</t>
  </si>
  <si>
    <t>Commercial Viability</t>
  </si>
  <si>
    <t>Is the project value commercially viable given our cost structure and risk appetite?</t>
  </si>
  <si>
    <t>Are payment terms acceptable?</t>
  </si>
  <si>
    <t>Programme &amp; Delivery Risk</t>
  </si>
  <si>
    <t>Is the programme realistic and achievable?</t>
  </si>
  <si>
    <t>Are we involved early enough to influence design and delivery?</t>
  </si>
  <si>
    <t>Are there significant delivery risks?</t>
  </si>
  <si>
    <t>Do we have mitigation plans or experience with similar delivery risks?</t>
  </si>
  <si>
    <t>Competitive Position</t>
  </si>
  <si>
    <t>Do we have a clear competitive advantage?</t>
  </si>
  <si>
    <t>Are we bidding against known competitors?</t>
  </si>
  <si>
    <t>Is there a realistic chance of winning?</t>
  </si>
  <si>
    <t>Internal Factors</t>
  </si>
  <si>
    <t>Do we have the bid team capacity to submit a high-quality tender?</t>
  </si>
  <si>
    <t>Are we able to meet the submission deadline?</t>
  </si>
  <si>
    <t>Have we recently won or are currently delivering similar projects that may stretch resources?</t>
  </si>
  <si>
    <t>Legal &amp; Compliance</t>
  </si>
  <si>
    <t>Are all insurances, accreditations, and qualifications in place and valid?</t>
  </si>
  <si>
    <t>Is there an acceptable level of risk transfer?</t>
  </si>
  <si>
    <t>Bid / No-Bid Summary</t>
  </si>
  <si>
    <t>Total Weighted Score:</t>
  </si>
  <si>
    <t>Maximum Possible Score:</t>
  </si>
  <si>
    <t>Recommendation:</t>
  </si>
  <si>
    <t>Score Breakdown by Weight:</t>
  </si>
  <si>
    <t>High (Weight=3)</t>
  </si>
  <si>
    <t>Medium (Weight=2)</t>
  </si>
  <si>
    <t>Low (Weight=1)</t>
  </si>
  <si>
    <t>Do we have sufficient credit cover availible to us to undertake the works</t>
  </si>
  <si>
    <t xml:space="preserve">Will there be any impact to client relations if we decide to not bid </t>
  </si>
  <si>
    <t>Have we secured works previously from this client</t>
  </si>
  <si>
    <t xml:space="preserve">Is the client Amber / Green on the RAG register </t>
  </si>
  <si>
    <t>Score:
0 = No
1 = Unknown
2 = Yes</t>
  </si>
  <si>
    <t>Weight:
Low = 1
Medium = 2
High = 3</t>
  </si>
  <si>
    <t>Does the project fall within our known 'challenging environments' expertise? And can we add value</t>
  </si>
  <si>
    <t>Will there sufficient margin opportunity?</t>
  </si>
  <si>
    <t>Are there any known legal, regulatory, or compliance issues that are a risk to the business that can't be properly managed</t>
  </si>
  <si>
    <t>Is there sufficient information to cost accurately or can the gaps be plugged with our expertise</t>
  </si>
  <si>
    <t>Is there a Programme included within the Tender Pack?</t>
  </si>
  <si>
    <t xml:space="preserve">Would we have suitable and required resource for delivery? </t>
  </si>
  <si>
    <t xml:space="preserve">Are we able to have access to survey the works/ area and scope out accordingly? </t>
  </si>
  <si>
    <t>Are there onerous contract amendements to clauses?</t>
  </si>
  <si>
    <t>Are the Client's Terms and Conditions included in ITT?</t>
  </si>
  <si>
    <t xml:space="preserve">Is the form of Contract known the business and experience? </t>
  </si>
  <si>
    <t xml:space="preserve">Has a CreditSafe been run against the Client to determine financial standing? </t>
  </si>
  <si>
    <t>If worked with Client previous, are there any lessons learnt to consider?</t>
  </si>
  <si>
    <t>Are the Insurances and Levels know, and do they align to company held?</t>
  </si>
  <si>
    <r>
      <rPr>
        <b/>
        <sz val="11"/>
        <color theme="1"/>
        <rFont val="Calibri"/>
        <family val="2"/>
        <scheme val="minor"/>
      </rPr>
      <t>Document ref:</t>
    </r>
    <r>
      <rPr>
        <sz val="11"/>
        <color theme="1"/>
        <rFont val="Calibri"/>
        <family val="2"/>
        <scheme val="minor"/>
      </rPr>
      <t xml:space="preserve"> IP-02-04-55.01</t>
    </r>
  </si>
  <si>
    <r>
      <rPr>
        <b/>
        <sz val="11"/>
        <color theme="1"/>
        <rFont val="Calibri"/>
        <family val="2"/>
        <scheme val="minor"/>
      </rPr>
      <t>Document ref:</t>
    </r>
    <r>
      <rPr>
        <sz val="11"/>
        <color theme="1"/>
        <rFont val="Calibri"/>
        <family val="2"/>
        <scheme val="minor"/>
      </rPr>
      <t xml:space="preserve"> IP-02-04-55.02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</si>
</sst>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Roboto"/>
    </font>
    <font>
      <sz val="12"/>
      <color theme="1"/>
      <name val="Roboto"/>
    </font>
    <font>
      <b/>
      <sz val="18"/>
      <name val="Robo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1333500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088BB7-6678-8A08-5160-F262E4D9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525"/>
          <a:ext cx="28575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1152525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8F96F0-FB63-AF83-41B8-891B77661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28575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F46"/>
  <sheetViews>
    <sheetView tabSelected="1" zoomScaleNormal="100" workbookViewId="0">
      <selection activeCell="C39" sqref="C39"/>
    </sheetView>
  </sheetViews>
  <sheetFormatPr defaultRowHeight="15" x14ac:dyDescent="0.25"/>
  <cols>
    <col min="1" max="1" width="22.85546875" customWidth="1"/>
    <col min="2" max="2" width="23.28515625" style="1" customWidth="1"/>
    <col min="3" max="3" width="16.85546875" customWidth="1"/>
  </cols>
  <sheetData>
    <row r="6" spans="1:6" ht="23.25" x14ac:dyDescent="0.35">
      <c r="A6" s="22" t="s">
        <v>35</v>
      </c>
      <c r="B6" s="22"/>
      <c r="C6" s="22"/>
      <c r="D6" s="22"/>
      <c r="E6" s="22"/>
      <c r="F6" s="2"/>
    </row>
    <row r="8" spans="1:6" x14ac:dyDescent="0.25">
      <c r="B8" s="6" t="s">
        <v>36</v>
      </c>
      <c r="C8" s="7">
        <f>SUM(Scoring!E6:E46)</f>
        <v>0</v>
      </c>
    </row>
    <row r="9" spans="1:6" x14ac:dyDescent="0.25">
      <c r="B9" s="8" t="s">
        <v>37</v>
      </c>
      <c r="C9" s="9">
        <f>SUMPRODUCT((Scoring!D6:D46)*2)</f>
        <v>0</v>
      </c>
    </row>
    <row r="10" spans="1:6" x14ac:dyDescent="0.25">
      <c r="B10" s="10"/>
      <c r="C10" s="11"/>
    </row>
    <row r="11" spans="1:6" x14ac:dyDescent="0.25">
      <c r="B11" s="12" t="s">
        <v>38</v>
      </c>
      <c r="C11" s="13" t="e">
        <f>IF(C8/C9&gt;=0.75,"Strong Bid Candidate",IF(C8/C9&gt;=0.5,"Bid with Caution","No Bid"))</f>
        <v>#DIV/0!</v>
      </c>
    </row>
    <row r="12" spans="1:6" x14ac:dyDescent="0.25">
      <c r="B12" s="10"/>
      <c r="C12" s="11"/>
    </row>
    <row r="13" spans="1:6" x14ac:dyDescent="0.25">
      <c r="B13" s="6" t="s">
        <v>39</v>
      </c>
      <c r="C13" s="7"/>
    </row>
    <row r="14" spans="1:6" x14ac:dyDescent="0.25">
      <c r="B14" s="14" t="s">
        <v>40</v>
      </c>
      <c r="C14" s="15">
        <f>SUMIFS(Scoring!E6:E46, Scoring!D6:D46, 3)</f>
        <v>0</v>
      </c>
    </row>
    <row r="15" spans="1:6" x14ac:dyDescent="0.25">
      <c r="B15" s="14" t="s">
        <v>41</v>
      </c>
      <c r="C15" s="15">
        <f>SUMIFS(Scoring!E6:E46, Scoring!D6:D46, 2)</f>
        <v>0</v>
      </c>
    </row>
    <row r="16" spans="1:6" x14ac:dyDescent="0.25">
      <c r="B16" s="8" t="s">
        <v>42</v>
      </c>
      <c r="C16" s="9">
        <f>SUMIFS(Scoring!E6:E46, Scoring!D6:D46, 1)</f>
        <v>0</v>
      </c>
    </row>
    <row r="46" spans="1:1" x14ac:dyDescent="0.25">
      <c r="A46" t="s">
        <v>62</v>
      </c>
    </row>
  </sheetData>
  <mergeCells count="1">
    <mergeCell ref="A6:E6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51"/>
  <sheetViews>
    <sheetView zoomScaleNormal="100" workbookViewId="0">
      <selection activeCell="B54" sqref="B54"/>
    </sheetView>
  </sheetViews>
  <sheetFormatPr defaultRowHeight="15" x14ac:dyDescent="0.25"/>
  <cols>
    <col min="1" max="1" width="25.5703125" bestFit="1" customWidth="1"/>
    <col min="2" max="2" width="85.28515625" customWidth="1"/>
    <col min="3" max="4" width="20" style="1" customWidth="1"/>
    <col min="5" max="5" width="17.85546875" style="1" bestFit="1" customWidth="1"/>
  </cols>
  <sheetData>
    <row r="5" spans="1:5" s="21" customFormat="1" ht="58.5" customHeight="1" x14ac:dyDescent="0.25">
      <c r="A5" s="19" t="s">
        <v>0</v>
      </c>
      <c r="B5" s="19" t="s">
        <v>1</v>
      </c>
      <c r="C5" s="20" t="s">
        <v>47</v>
      </c>
      <c r="D5" s="20" t="s">
        <v>48</v>
      </c>
      <c r="E5" s="19" t="s">
        <v>2</v>
      </c>
    </row>
    <row r="6" spans="1:5" x14ac:dyDescent="0.25">
      <c r="A6" s="16" t="s">
        <v>3</v>
      </c>
      <c r="B6" s="16" t="s">
        <v>4</v>
      </c>
      <c r="C6" s="4"/>
      <c r="D6" s="4"/>
      <c r="E6" s="4" t="str">
        <f t="shared" ref="E6:E46" si="0">IF(AND(ISNUMBER(C6), ISNUMBER(D6)), C6*D6, "")</f>
        <v/>
      </c>
    </row>
    <row r="7" spans="1:5" x14ac:dyDescent="0.25">
      <c r="A7" s="16" t="s">
        <v>3</v>
      </c>
      <c r="B7" s="16" t="s">
        <v>5</v>
      </c>
      <c r="C7" s="4"/>
      <c r="D7" s="4"/>
      <c r="E7" s="4" t="str">
        <f t="shared" si="0"/>
        <v/>
      </c>
    </row>
    <row r="8" spans="1:5" x14ac:dyDescent="0.25">
      <c r="A8" s="16" t="s">
        <v>3</v>
      </c>
      <c r="B8" s="16" t="s">
        <v>45</v>
      </c>
      <c r="C8" s="4"/>
      <c r="D8" s="4"/>
      <c r="E8" s="4" t="str">
        <f t="shared" si="0"/>
        <v/>
      </c>
    </row>
    <row r="9" spans="1:5" x14ac:dyDescent="0.25">
      <c r="A9" s="16" t="s">
        <v>3</v>
      </c>
      <c r="B9" s="16" t="s">
        <v>6</v>
      </c>
      <c r="C9" s="4"/>
      <c r="D9" s="4"/>
      <c r="E9" s="4" t="str">
        <f t="shared" si="0"/>
        <v/>
      </c>
    </row>
    <row r="10" spans="1:5" x14ac:dyDescent="0.25">
      <c r="A10" s="16" t="s">
        <v>3</v>
      </c>
      <c r="B10" s="16" t="s">
        <v>7</v>
      </c>
      <c r="C10" s="4"/>
      <c r="D10" s="4"/>
      <c r="E10" s="4" t="str">
        <f t="shared" si="0"/>
        <v/>
      </c>
    </row>
    <row r="11" spans="1:5" x14ac:dyDescent="0.25">
      <c r="A11" s="16" t="s">
        <v>3</v>
      </c>
      <c r="B11" s="16" t="s">
        <v>43</v>
      </c>
      <c r="C11" s="4"/>
      <c r="D11" s="4"/>
      <c r="E11" s="4" t="str">
        <f t="shared" si="0"/>
        <v/>
      </c>
    </row>
    <row r="12" spans="1:5" x14ac:dyDescent="0.25">
      <c r="A12" s="16" t="s">
        <v>3</v>
      </c>
      <c r="B12" s="16" t="s">
        <v>46</v>
      </c>
      <c r="C12" s="4"/>
      <c r="D12" s="4"/>
      <c r="E12" s="4" t="str">
        <f t="shared" si="0"/>
        <v/>
      </c>
    </row>
    <row r="13" spans="1:5" x14ac:dyDescent="0.25">
      <c r="A13" s="16" t="s">
        <v>8</v>
      </c>
      <c r="B13" s="16" t="s">
        <v>9</v>
      </c>
      <c r="C13" s="4"/>
      <c r="D13" s="4"/>
      <c r="E13" s="4" t="str">
        <f t="shared" si="0"/>
        <v/>
      </c>
    </row>
    <row r="14" spans="1:5" x14ac:dyDescent="0.25">
      <c r="A14" s="16" t="s">
        <v>8</v>
      </c>
      <c r="B14" s="16" t="s">
        <v>10</v>
      </c>
      <c r="C14" s="4"/>
      <c r="D14" s="4"/>
      <c r="E14" s="4" t="str">
        <f t="shared" si="0"/>
        <v/>
      </c>
    </row>
    <row r="15" spans="1:5" x14ac:dyDescent="0.25">
      <c r="A15" s="16" t="s">
        <v>8</v>
      </c>
      <c r="B15" s="16" t="s">
        <v>11</v>
      </c>
      <c r="C15" s="4"/>
      <c r="D15" s="4"/>
      <c r="E15" s="4" t="str">
        <f t="shared" si="0"/>
        <v/>
      </c>
    </row>
    <row r="16" spans="1:5" x14ac:dyDescent="0.25">
      <c r="A16" s="16" t="s">
        <v>12</v>
      </c>
      <c r="B16" s="16" t="s">
        <v>13</v>
      </c>
      <c r="C16" s="4"/>
      <c r="D16" s="4"/>
      <c r="E16" s="4" t="str">
        <f t="shared" si="0"/>
        <v/>
      </c>
    </row>
    <row r="17" spans="1:5" x14ac:dyDescent="0.25">
      <c r="A17" s="16" t="s">
        <v>12</v>
      </c>
      <c r="B17" s="16" t="s">
        <v>14</v>
      </c>
      <c r="C17" s="4"/>
      <c r="D17" s="4"/>
      <c r="E17" s="4" t="str">
        <f t="shared" si="0"/>
        <v/>
      </c>
    </row>
    <row r="18" spans="1:5" x14ac:dyDescent="0.25">
      <c r="A18" s="16" t="s">
        <v>12</v>
      </c>
      <c r="B18" s="16" t="s">
        <v>15</v>
      </c>
      <c r="C18" s="4"/>
      <c r="D18" s="4"/>
      <c r="E18" s="4" t="str">
        <f t="shared" si="0"/>
        <v/>
      </c>
    </row>
    <row r="19" spans="1:5" x14ac:dyDescent="0.25">
      <c r="A19" s="16" t="s">
        <v>12</v>
      </c>
      <c r="B19" s="16" t="s">
        <v>49</v>
      </c>
      <c r="C19" s="4"/>
      <c r="D19" s="4"/>
      <c r="E19" s="4" t="str">
        <f t="shared" si="0"/>
        <v/>
      </c>
    </row>
    <row r="20" spans="1:5" x14ac:dyDescent="0.25">
      <c r="A20" s="16" t="s">
        <v>12</v>
      </c>
      <c r="B20" s="16" t="s">
        <v>52</v>
      </c>
      <c r="C20" s="4"/>
      <c r="D20" s="4"/>
      <c r="E20" s="4" t="str">
        <f t="shared" si="0"/>
        <v/>
      </c>
    </row>
    <row r="21" spans="1:5" x14ac:dyDescent="0.25">
      <c r="A21" s="16" t="s">
        <v>16</v>
      </c>
      <c r="B21" s="16" t="s">
        <v>59</v>
      </c>
      <c r="C21" s="4"/>
      <c r="D21" s="4"/>
      <c r="E21" s="4" t="str">
        <f t="shared" si="0"/>
        <v/>
      </c>
    </row>
    <row r="22" spans="1:5" x14ac:dyDescent="0.25">
      <c r="A22" s="16" t="s">
        <v>16</v>
      </c>
      <c r="B22" s="16" t="s">
        <v>17</v>
      </c>
      <c r="C22" s="4"/>
      <c r="D22" s="4"/>
      <c r="E22" s="4" t="str">
        <f t="shared" si="0"/>
        <v/>
      </c>
    </row>
    <row r="23" spans="1:5" x14ac:dyDescent="0.25">
      <c r="A23" s="16" t="s">
        <v>16</v>
      </c>
      <c r="B23" s="16" t="s">
        <v>50</v>
      </c>
      <c r="C23" s="4"/>
      <c r="D23" s="4"/>
      <c r="E23" s="4" t="str">
        <f t="shared" si="0"/>
        <v/>
      </c>
    </row>
    <row r="24" spans="1:5" x14ac:dyDescent="0.25">
      <c r="A24" s="16" t="s">
        <v>16</v>
      </c>
      <c r="B24" s="16" t="s">
        <v>18</v>
      </c>
      <c r="C24" s="4"/>
      <c r="D24" s="4"/>
      <c r="E24" s="4" t="str">
        <f t="shared" si="0"/>
        <v/>
      </c>
    </row>
    <row r="25" spans="1:5" x14ac:dyDescent="0.25">
      <c r="A25" s="16" t="s">
        <v>16</v>
      </c>
      <c r="B25" s="16" t="s">
        <v>57</v>
      </c>
      <c r="C25" s="4"/>
      <c r="D25" s="4"/>
      <c r="E25" s="4" t="str">
        <f t="shared" si="0"/>
        <v/>
      </c>
    </row>
    <row r="26" spans="1:5" x14ac:dyDescent="0.25">
      <c r="A26" s="16" t="s">
        <v>16</v>
      </c>
      <c r="B26" s="16" t="s">
        <v>58</v>
      </c>
      <c r="C26" s="4"/>
      <c r="D26" s="4"/>
      <c r="E26" s="4" t="str">
        <f t="shared" si="0"/>
        <v/>
      </c>
    </row>
    <row r="27" spans="1:5" x14ac:dyDescent="0.25">
      <c r="A27" s="16" t="s">
        <v>16</v>
      </c>
      <c r="B27" s="16" t="s">
        <v>56</v>
      </c>
      <c r="C27" s="4"/>
      <c r="D27" s="4"/>
      <c r="E27" s="4" t="str">
        <f t="shared" si="0"/>
        <v/>
      </c>
    </row>
    <row r="28" spans="1:5" x14ac:dyDescent="0.25">
      <c r="A28" s="16" t="s">
        <v>16</v>
      </c>
      <c r="B28" s="16" t="s">
        <v>55</v>
      </c>
      <c r="C28" s="4"/>
      <c r="D28" s="4"/>
      <c r="E28" s="4" t="str">
        <f t="shared" si="0"/>
        <v/>
      </c>
    </row>
    <row r="29" spans="1:5" x14ac:dyDescent="0.25">
      <c r="A29" s="16" t="s">
        <v>16</v>
      </c>
      <c r="B29" s="16" t="s">
        <v>60</v>
      </c>
      <c r="C29" s="4"/>
      <c r="D29" s="4"/>
      <c r="E29" s="4" t="str">
        <f t="shared" si="0"/>
        <v/>
      </c>
    </row>
    <row r="30" spans="1:5" x14ac:dyDescent="0.25">
      <c r="A30" s="16" t="s">
        <v>19</v>
      </c>
      <c r="B30" s="16" t="s">
        <v>53</v>
      </c>
      <c r="C30" s="4"/>
      <c r="D30" s="4"/>
      <c r="E30" s="4" t="str">
        <f t="shared" si="0"/>
        <v/>
      </c>
    </row>
    <row r="31" spans="1:5" x14ac:dyDescent="0.25">
      <c r="A31" s="16" t="s">
        <v>19</v>
      </c>
      <c r="B31" s="16" t="s">
        <v>20</v>
      </c>
      <c r="C31" s="4"/>
      <c r="D31" s="4"/>
      <c r="E31" s="4" t="str">
        <f t="shared" si="0"/>
        <v/>
      </c>
    </row>
    <row r="32" spans="1:5" x14ac:dyDescent="0.25">
      <c r="A32" s="16" t="s">
        <v>19</v>
      </c>
      <c r="B32" s="16" t="s">
        <v>21</v>
      </c>
      <c r="C32" s="4"/>
      <c r="D32" s="4"/>
      <c r="E32" s="4" t="str">
        <f t="shared" si="0"/>
        <v/>
      </c>
    </row>
    <row r="33" spans="1:5" x14ac:dyDescent="0.25">
      <c r="A33" s="16" t="s">
        <v>19</v>
      </c>
      <c r="B33" s="16" t="s">
        <v>22</v>
      </c>
      <c r="C33" s="4"/>
      <c r="D33" s="4"/>
      <c r="E33" s="4" t="str">
        <f t="shared" si="0"/>
        <v/>
      </c>
    </row>
    <row r="34" spans="1:5" x14ac:dyDescent="0.25">
      <c r="A34" s="16" t="s">
        <v>19</v>
      </c>
      <c r="B34" s="16" t="s">
        <v>23</v>
      </c>
      <c r="C34" s="4"/>
      <c r="D34" s="4"/>
      <c r="E34" s="4" t="str">
        <f t="shared" si="0"/>
        <v/>
      </c>
    </row>
    <row r="35" spans="1:5" x14ac:dyDescent="0.25">
      <c r="A35" s="16" t="s">
        <v>24</v>
      </c>
      <c r="B35" s="16" t="s">
        <v>25</v>
      </c>
      <c r="C35" s="4"/>
      <c r="D35" s="4"/>
      <c r="E35" s="4" t="str">
        <f t="shared" si="0"/>
        <v/>
      </c>
    </row>
    <row r="36" spans="1:5" x14ac:dyDescent="0.25">
      <c r="A36" s="16" t="s">
        <v>24</v>
      </c>
      <c r="B36" s="16" t="s">
        <v>26</v>
      </c>
      <c r="C36" s="4"/>
      <c r="D36" s="4"/>
      <c r="E36" s="4" t="str">
        <f t="shared" si="0"/>
        <v/>
      </c>
    </row>
    <row r="37" spans="1:5" x14ac:dyDescent="0.25">
      <c r="A37" s="16" t="s">
        <v>24</v>
      </c>
      <c r="B37" s="16" t="s">
        <v>27</v>
      </c>
      <c r="C37" s="4"/>
      <c r="D37" s="4"/>
      <c r="E37" s="4" t="str">
        <f t="shared" si="0"/>
        <v/>
      </c>
    </row>
    <row r="38" spans="1:5" x14ac:dyDescent="0.25">
      <c r="A38" s="16" t="s">
        <v>28</v>
      </c>
      <c r="B38" s="16" t="s">
        <v>29</v>
      </c>
      <c r="C38" s="4"/>
      <c r="D38" s="4"/>
      <c r="E38" s="4" t="str">
        <f t="shared" si="0"/>
        <v/>
      </c>
    </row>
    <row r="39" spans="1:5" x14ac:dyDescent="0.25">
      <c r="A39" s="16" t="s">
        <v>28</v>
      </c>
      <c r="B39" s="16" t="s">
        <v>30</v>
      </c>
      <c r="C39" s="4"/>
      <c r="D39" s="4"/>
      <c r="E39" s="4" t="str">
        <f t="shared" si="0"/>
        <v/>
      </c>
    </row>
    <row r="40" spans="1:5" x14ac:dyDescent="0.25">
      <c r="A40" s="16" t="s">
        <v>28</v>
      </c>
      <c r="B40" s="16" t="s">
        <v>54</v>
      </c>
      <c r="C40" s="4"/>
      <c r="D40" s="4"/>
      <c r="E40" s="4" t="str">
        <f t="shared" si="0"/>
        <v/>
      </c>
    </row>
    <row r="41" spans="1:5" x14ac:dyDescent="0.25">
      <c r="A41" s="16" t="s">
        <v>28</v>
      </c>
      <c r="B41" s="16" t="s">
        <v>31</v>
      </c>
      <c r="C41" s="4"/>
      <c r="D41" s="4"/>
      <c r="E41" s="4" t="str">
        <f t="shared" si="0"/>
        <v/>
      </c>
    </row>
    <row r="42" spans="1:5" x14ac:dyDescent="0.25">
      <c r="A42" s="16" t="s">
        <v>28</v>
      </c>
      <c r="B42" s="16" t="s">
        <v>44</v>
      </c>
      <c r="C42" s="4"/>
      <c r="D42" s="4"/>
      <c r="E42" s="4" t="str">
        <f t="shared" si="0"/>
        <v/>
      </c>
    </row>
    <row r="43" spans="1:5" s="3" customFormat="1" ht="29.25" customHeight="1" x14ac:dyDescent="0.2">
      <c r="A43" s="18" t="s">
        <v>32</v>
      </c>
      <c r="B43" s="17" t="s">
        <v>51</v>
      </c>
      <c r="C43" s="5"/>
      <c r="D43" s="5"/>
      <c r="E43" s="4" t="str">
        <f t="shared" si="0"/>
        <v/>
      </c>
    </row>
    <row r="44" spans="1:5" x14ac:dyDescent="0.25">
      <c r="A44" s="16" t="s">
        <v>32</v>
      </c>
      <c r="B44" s="16" t="s">
        <v>33</v>
      </c>
      <c r="C44" s="4"/>
      <c r="D44" s="4"/>
      <c r="E44" s="4" t="str">
        <f t="shared" si="0"/>
        <v/>
      </c>
    </row>
    <row r="45" spans="1:5" x14ac:dyDescent="0.25">
      <c r="A45" s="16" t="s">
        <v>32</v>
      </c>
      <c r="B45" s="16" t="s">
        <v>61</v>
      </c>
      <c r="C45" s="4"/>
      <c r="D45" s="4"/>
      <c r="E45" s="4" t="str">
        <f t="shared" si="0"/>
        <v/>
      </c>
    </row>
    <row r="46" spans="1:5" x14ac:dyDescent="0.25">
      <c r="A46" s="16" t="s">
        <v>32</v>
      </c>
      <c r="B46" s="16" t="s">
        <v>34</v>
      </c>
      <c r="C46" s="4"/>
      <c r="D46" s="4"/>
      <c r="E46" s="4" t="str">
        <f t="shared" si="0"/>
        <v/>
      </c>
    </row>
    <row r="51" spans="1:1" x14ac:dyDescent="0.25">
      <c r="A51" t="s">
        <v>63</v>
      </c>
    </row>
  </sheetData>
  <conditionalFormatting sqref="E6:E46">
    <cfRule type="cellIs" dxfId="2" priority="13" operator="between">
      <formula>5</formula>
      <formula>6</formula>
    </cfRule>
    <cfRule type="cellIs" dxfId="1" priority="14" operator="between">
      <formula>3</formula>
      <formula>4</formula>
    </cfRule>
    <cfRule type="cellIs" dxfId="0" priority="15" operator="between">
      <formula>0</formula>
      <formula>2</formula>
    </cfRule>
  </conditionalFormatting>
  <printOptions headings="1" gridLines="1"/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5390E09F-0D93-4FFE-A379-94303B7FA5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3355A3-0300-4302-9BD9-A4D8479EF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52D469-0459-43F3-AD84-B5FDC2B60FC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dcterms:created xsi:type="dcterms:W3CDTF">2025-05-19T06:33:07Z</dcterms:created>
  <dcterms:modified xsi:type="dcterms:W3CDTF">2026-06-22T16:26:23Z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
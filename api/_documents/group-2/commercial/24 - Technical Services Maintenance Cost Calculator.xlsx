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CANT EDIT PROTECTED/"/>
    </mc:Choice>
  </mc:AlternateContent>
  <xr:revisionPtr revIDLastSave="16" documentId="13_ncr:1_{B1ECABA0-C64A-4AA0-B66A-0B7F84639CDA}" xr6:coauthVersionLast="47" xr6:coauthVersionMax="47" xr10:uidLastSave="{E330BE43-0069-45F3-A991-27ADBF984041}"/>
  <bookViews>
    <workbookView xWindow="-120" yWindow="-120" windowWidth="51840" windowHeight="21120" tabRatio="274" xr2:uid="{00000000-000D-0000-FFFF-FFFF00000000}"/>
  </bookViews>
  <sheets>
    <sheet name="Summary" sheetId="3" r:id="rId1"/>
    <sheet name="Maintenance Costs" sheetId="6" r:id="rId2"/>
  </sheets>
  <definedNames>
    <definedName name="_xlnm.Print_Area" localSheetId="0">Summary!#REF!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3" l="1"/>
  <c r="E25" i="3"/>
  <c r="H48" i="6"/>
  <c r="J48" i="6" s="1"/>
  <c r="H61" i="6"/>
  <c r="J61" i="6" s="1"/>
  <c r="H60" i="6"/>
  <c r="J60" i="6" s="1"/>
  <c r="H59" i="6"/>
  <c r="J59" i="6" s="1"/>
  <c r="H58" i="6"/>
  <c r="J58" i="6" s="1"/>
  <c r="H57" i="6"/>
  <c r="J57" i="6" s="1"/>
  <c r="H54" i="6"/>
  <c r="J54" i="6" s="1"/>
  <c r="H53" i="6"/>
  <c r="J53" i="6" s="1"/>
  <c r="H52" i="6"/>
  <c r="J52" i="6" s="1"/>
  <c r="H51" i="6"/>
  <c r="J51" i="6" s="1"/>
  <c r="H50" i="6"/>
  <c r="J50" i="6" s="1"/>
  <c r="H49" i="6"/>
  <c r="J49" i="6" s="1"/>
  <c r="H47" i="6"/>
  <c r="J47" i="6" s="1"/>
  <c r="H46" i="6"/>
  <c r="J46" i="6" s="1"/>
  <c r="H45" i="6"/>
  <c r="J45" i="6" s="1"/>
  <c r="H44" i="6"/>
  <c r="J44" i="6" s="1"/>
  <c r="H43" i="6"/>
  <c r="J43" i="6" s="1"/>
  <c r="H42" i="6"/>
  <c r="J42" i="6" s="1"/>
  <c r="H41" i="6"/>
  <c r="J41" i="6" s="1"/>
  <c r="H40" i="6"/>
  <c r="J40" i="6" s="1"/>
  <c r="H39" i="6"/>
  <c r="J39" i="6" s="1"/>
  <c r="H38" i="6"/>
  <c r="J38" i="6" s="1"/>
  <c r="H37" i="6"/>
  <c r="J37" i="6" s="1"/>
  <c r="H36" i="6"/>
  <c r="J36" i="6" s="1"/>
  <c r="H35" i="6"/>
  <c r="J35" i="6" s="1"/>
  <c r="H34" i="6"/>
  <c r="J34" i="6" s="1"/>
  <c r="H33" i="6"/>
  <c r="J33" i="6" s="1"/>
  <c r="H32" i="6"/>
  <c r="J32" i="6" s="1"/>
  <c r="H31" i="6"/>
  <c r="J31" i="6" s="1"/>
  <c r="H30" i="6"/>
  <c r="J30" i="6" s="1"/>
  <c r="H29" i="6"/>
  <c r="J29" i="6" s="1"/>
  <c r="H28" i="6"/>
  <c r="J28" i="6" s="1"/>
  <c r="H27" i="6"/>
  <c r="J27" i="6" s="1"/>
  <c r="H26" i="6"/>
  <c r="J26" i="6" s="1"/>
  <c r="H25" i="6"/>
  <c r="J25" i="6" s="1"/>
  <c r="H24" i="6"/>
  <c r="J24" i="6" s="1"/>
  <c r="H23" i="6"/>
  <c r="J23" i="6" s="1"/>
  <c r="H22" i="6"/>
  <c r="J22" i="6" s="1"/>
  <c r="H21" i="6"/>
  <c r="J21" i="6" s="1"/>
  <c r="H20" i="6"/>
  <c r="J20" i="6" s="1"/>
  <c r="H19" i="6"/>
  <c r="J19" i="6" s="1"/>
  <c r="H18" i="6"/>
  <c r="J18" i="6" s="1"/>
  <c r="H17" i="6"/>
  <c r="J17" i="6" s="1"/>
  <c r="H16" i="6"/>
  <c r="J16" i="6" s="1"/>
  <c r="H15" i="6"/>
  <c r="J15" i="6" s="1"/>
  <c r="H12" i="6"/>
  <c r="J12" i="6" s="1"/>
  <c r="H11" i="6"/>
  <c r="J11" i="6" s="1"/>
  <c r="H10" i="6"/>
  <c r="J10" i="6" s="1"/>
  <c r="H9" i="6"/>
  <c r="J9" i="6" s="1"/>
  <c r="H8" i="6"/>
  <c r="J8" i="6" s="1"/>
  <c r="J62" i="6" l="1"/>
  <c r="K17" i="3" s="1"/>
  <c r="K21" i="3" s="1"/>
  <c r="K23" i="3" s="1"/>
</calcChain>
</file>

<file path=xl/sharedStrings.xml><?xml version="1.0" encoding="utf-8"?>
<sst xmlns="http://schemas.openxmlformats.org/spreadsheetml/2006/main" count="53" uniqueCount="38">
  <si>
    <t>Frequency of Visits</t>
  </si>
  <si>
    <t>System Asset No</t>
  </si>
  <si>
    <t>Client Name:</t>
  </si>
  <si>
    <t>Site Address:</t>
  </si>
  <si>
    <t>Contract No:</t>
  </si>
  <si>
    <t>Date:</t>
  </si>
  <si>
    <t>Compliance Services</t>
  </si>
  <si>
    <t>Asset Maintenance</t>
  </si>
  <si>
    <t>Other Items</t>
  </si>
  <si>
    <t>System Description</t>
  </si>
  <si>
    <t>Areas Served</t>
  </si>
  <si>
    <t>Ducted split type air-conditioning system</t>
  </si>
  <si>
    <t>Technical Services Maintenance Cost Calculator</t>
  </si>
  <si>
    <t>Labour Costs</t>
  </si>
  <si>
    <t>Total Labour Cost</t>
  </si>
  <si>
    <t>In House No Of Hours Per Visit</t>
  </si>
  <si>
    <t>Sub-contractor Fixed Cost Per Visit</t>
  </si>
  <si>
    <t>TOTAL</t>
  </si>
  <si>
    <t>F-gas inspection</t>
  </si>
  <si>
    <t>Max No Of Visits</t>
  </si>
  <si>
    <t>Travel Time Per Visit</t>
  </si>
  <si>
    <t>No Of Miles Per Visit</t>
  </si>
  <si>
    <t>In House Hourly Labour Rate Cost</t>
  </si>
  <si>
    <t>Total</t>
  </si>
  <si>
    <t>Prelims</t>
  </si>
  <si>
    <t xml:space="preserve">Materials Costs Per Visit </t>
  </si>
  <si>
    <t>Pence Per Mile Cost</t>
  </si>
  <si>
    <t>TOTALS</t>
  </si>
  <si>
    <t>Total Maintenance Cost</t>
  </si>
  <si>
    <t>Total Prelims</t>
  </si>
  <si>
    <t>Mark Up %</t>
  </si>
  <si>
    <t>Profit</t>
  </si>
  <si>
    <t>Total Sell Price</t>
  </si>
  <si>
    <t>IP 02-04-24 Version 1</t>
  </si>
  <si>
    <t>Access Equipment Cost Per Visit</t>
  </si>
  <si>
    <t>Gas or Oil Fired AHU</t>
  </si>
  <si>
    <t>Water sampling</t>
  </si>
  <si>
    <t>BMS 1 x day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</si>
</sst>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8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indexed="56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name val="Calibri"/>
      <family val="2"/>
      <scheme val="minor"/>
    </font>
    <font>
      <sz val="14"/>
      <name val="Arial"/>
      <family val="2"/>
    </font>
    <font>
      <sz val="12"/>
      <color indexed="8"/>
      <name val="Calibri"/>
      <family val="2"/>
    </font>
    <font>
      <b/>
      <sz val="16"/>
      <name val="Calibri"/>
      <family val="2"/>
      <scheme val="minor"/>
    </font>
    <font>
      <b/>
      <sz val="22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0" fillId="2" borderId="32" xfId="0" applyFont="1" applyFill="1" applyBorder="1" applyAlignment="1">
      <alignment horizontal="left" vertical="center"/>
    </xf>
    <xf numFmtId="0" fontId="10" fillId="2" borderId="25" xfId="0" applyFont="1" applyFill="1" applyBorder="1" applyAlignment="1">
      <alignment horizontal="center"/>
    </xf>
    <xf numFmtId="0" fontId="10" fillId="0" borderId="16" xfId="0" applyFont="1" applyBorder="1" applyAlignment="1">
      <alignment horizontal="left"/>
    </xf>
    <xf numFmtId="0" fontId="5" fillId="0" borderId="35" xfId="0" applyFont="1" applyBorder="1" applyAlignment="1">
      <alignment horizontal="center" vertical="center"/>
    </xf>
    <xf numFmtId="0" fontId="10" fillId="0" borderId="17" xfId="0" applyFont="1" applyBorder="1" applyAlignment="1">
      <alignment horizontal="left"/>
    </xf>
    <xf numFmtId="0" fontId="10" fillId="2" borderId="26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10" fillId="2" borderId="17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25" xfId="0" applyFont="1" applyFill="1" applyBorder="1" applyAlignment="1">
      <alignment horizontal="left" vertical="center"/>
    </xf>
    <xf numFmtId="0" fontId="10" fillId="0" borderId="26" xfId="0" applyFont="1" applyBorder="1" applyAlignment="1">
      <alignment horizontal="left"/>
    </xf>
    <xf numFmtId="0" fontId="6" fillId="3" borderId="29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1" fillId="0" borderId="27" xfId="0" applyFont="1" applyBorder="1" applyAlignment="1">
      <alignment vertical="center"/>
    </xf>
    <xf numFmtId="0" fontId="6" fillId="0" borderId="45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45" xfId="0" applyNumberFormat="1" applyFont="1" applyBorder="1" applyAlignment="1">
      <alignment horizontal="center" vertical="center"/>
    </xf>
    <xf numFmtId="164" fontId="6" fillId="0" borderId="37" xfId="0" applyNumberFormat="1" applyFont="1" applyBorder="1" applyAlignment="1">
      <alignment horizontal="center" vertical="center"/>
    </xf>
    <xf numFmtId="164" fontId="6" fillId="0" borderId="46" xfId="0" applyNumberFormat="1" applyFont="1" applyBorder="1" applyAlignment="1">
      <alignment horizontal="center" vertical="center"/>
    </xf>
    <xf numFmtId="164" fontId="6" fillId="0" borderId="38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164" fontId="6" fillId="0" borderId="41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0" fontId="14" fillId="0" borderId="28" xfId="0" applyFont="1" applyBorder="1" applyAlignment="1" applyProtection="1">
      <alignment horizontal="center" vertical="center"/>
      <protection locked="0"/>
    </xf>
    <xf numFmtId="0" fontId="14" fillId="0" borderId="31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164" fontId="14" fillId="0" borderId="28" xfId="0" applyNumberFormat="1" applyFont="1" applyBorder="1" applyAlignment="1">
      <alignment horizontal="center" vertical="center"/>
    </xf>
    <xf numFmtId="164" fontId="14" fillId="0" borderId="41" xfId="0" applyNumberFormat="1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164" fontId="16" fillId="0" borderId="28" xfId="0" applyNumberFormat="1" applyFont="1" applyBorder="1" applyAlignment="1">
      <alignment horizontal="center" vertical="center"/>
    </xf>
    <xf numFmtId="164" fontId="16" fillId="0" borderId="41" xfId="0" applyNumberFormat="1" applyFont="1" applyBorder="1" applyAlignment="1">
      <alignment horizontal="center" vertical="center"/>
    </xf>
    <xf numFmtId="164" fontId="16" fillId="0" borderId="31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64" fontId="8" fillId="0" borderId="28" xfId="0" applyNumberFormat="1" applyFont="1" applyBorder="1" applyAlignment="1">
      <alignment horizontal="center" vertical="center"/>
    </xf>
    <xf numFmtId="164" fontId="8" fillId="0" borderId="31" xfId="0" applyNumberFormat="1" applyFont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164" fontId="8" fillId="0" borderId="28" xfId="0" applyNumberFormat="1" applyFont="1" applyBorder="1" applyAlignment="1" applyProtection="1">
      <alignment horizontal="center" vertical="center"/>
      <protection locked="0"/>
    </xf>
    <xf numFmtId="164" fontId="8" fillId="0" borderId="31" xfId="0" applyNumberFormat="1" applyFont="1" applyBorder="1" applyAlignment="1" applyProtection="1">
      <alignment horizontal="center" vertical="center"/>
      <protection locked="0"/>
    </xf>
    <xf numFmtId="0" fontId="15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164" fontId="14" fillId="0" borderId="21" xfId="0" applyNumberFormat="1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0" borderId="21" xfId="0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 wrapText="1"/>
    </xf>
    <xf numFmtId="0" fontId="5" fillId="0" borderId="0" xfId="0" applyFont="1" applyAlignment="1" applyProtection="1">
      <alignment horizontal="left" vertical="center"/>
      <protection locked="0"/>
    </xf>
    <xf numFmtId="0" fontId="10" fillId="3" borderId="22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64" fontId="14" fillId="0" borderId="44" xfId="0" applyNumberFormat="1" applyFont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164" fontId="6" fillId="3" borderId="22" xfId="0" applyNumberFormat="1" applyFont="1" applyFill="1" applyBorder="1" applyAlignment="1">
      <alignment horizontal="center" vertical="center"/>
    </xf>
    <xf numFmtId="164" fontId="6" fillId="3" borderId="23" xfId="0" applyNumberFormat="1" applyFont="1" applyFill="1" applyBorder="1" applyAlignment="1">
      <alignment horizontal="center" vertical="center"/>
    </xf>
    <xf numFmtId="164" fontId="6" fillId="3" borderId="24" xfId="0" applyNumberFormat="1" applyFont="1" applyFill="1" applyBorder="1" applyAlignment="1">
      <alignment horizontal="center" vertical="center"/>
    </xf>
    <xf numFmtId="164" fontId="6" fillId="3" borderId="29" xfId="0" applyNumberFormat="1" applyFont="1" applyFill="1" applyBorder="1" applyAlignment="1">
      <alignment horizontal="center" vertical="center"/>
    </xf>
    <xf numFmtId="164" fontId="6" fillId="3" borderId="27" xfId="0" applyNumberFormat="1" applyFont="1" applyFill="1" applyBorder="1" applyAlignment="1">
      <alignment horizontal="center" vertical="center"/>
    </xf>
    <xf numFmtId="164" fontId="6" fillId="3" borderId="30" xfId="0" applyNumberFormat="1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6" fillId="4" borderId="4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4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wrapText="1"/>
    </xf>
    <xf numFmtId="0" fontId="6" fillId="3" borderId="31" xfId="0" applyFont="1" applyFill="1" applyBorder="1" applyAlignment="1">
      <alignment horizontal="center" wrapText="1"/>
    </xf>
    <xf numFmtId="0" fontId="5" fillId="3" borderId="22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943282</xdr:colOff>
      <xdr:row>2</xdr:row>
      <xdr:rowOff>151758</xdr:rowOff>
    </xdr:from>
    <xdr:to>
      <xdr:col>10</xdr:col>
      <xdr:colOff>2940503</xdr:colOff>
      <xdr:row>5</xdr:row>
      <xdr:rowOff>38741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808461" y="559972"/>
          <a:ext cx="1997221" cy="499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BB42"/>
  <sheetViews>
    <sheetView tabSelected="1" zoomScale="70" workbookViewId="0">
      <selection activeCell="I11" sqref="I11:K12"/>
    </sheetView>
  </sheetViews>
  <sheetFormatPr defaultColWidth="9.140625" defaultRowHeight="15.75" x14ac:dyDescent="0.2"/>
  <cols>
    <col min="1" max="1" width="9.140625" style="6"/>
    <col min="2" max="2" width="9.140625" style="7"/>
    <col min="3" max="5" width="20.42578125" style="1" customWidth="1"/>
    <col min="6" max="8" width="9.140625" style="1"/>
    <col min="9" max="10" width="20.42578125" style="1" customWidth="1"/>
    <col min="11" max="11" width="45.7109375" style="1" customWidth="1"/>
    <col min="12" max="54" width="9.140625" style="1"/>
    <col min="55" max="16384" width="9.140625" style="2"/>
  </cols>
  <sheetData>
    <row r="3" spans="2:11" x14ac:dyDescent="0.2">
      <c r="B3" s="8" t="s">
        <v>2</v>
      </c>
      <c r="C3" s="98"/>
      <c r="D3" s="98"/>
      <c r="E3" s="98"/>
      <c r="F3" s="97" t="s">
        <v>12</v>
      </c>
      <c r="G3" s="97"/>
      <c r="H3" s="97"/>
      <c r="I3" s="97"/>
      <c r="J3" s="97"/>
    </row>
    <row r="4" spans="2:11" x14ac:dyDescent="0.2">
      <c r="B4" s="8" t="s">
        <v>3</v>
      </c>
      <c r="C4" s="98"/>
      <c r="D4" s="98"/>
      <c r="E4" s="98"/>
      <c r="F4" s="97"/>
      <c r="G4" s="97"/>
      <c r="H4" s="97"/>
      <c r="I4" s="97"/>
      <c r="J4" s="97"/>
    </row>
    <row r="5" spans="2:11" x14ac:dyDescent="0.2">
      <c r="B5" s="8"/>
      <c r="C5" s="98"/>
      <c r="D5" s="98"/>
      <c r="E5" s="98"/>
      <c r="F5" s="97"/>
      <c r="G5" s="97"/>
      <c r="H5" s="97"/>
      <c r="I5" s="97"/>
      <c r="J5" s="97"/>
    </row>
    <row r="6" spans="2:11" x14ac:dyDescent="0.2">
      <c r="B6" s="8" t="s">
        <v>4</v>
      </c>
      <c r="C6" s="98"/>
      <c r="D6" s="98"/>
      <c r="E6" s="98"/>
      <c r="F6" s="97"/>
      <c r="G6" s="97"/>
      <c r="H6" s="97"/>
      <c r="I6" s="97"/>
      <c r="J6" s="97"/>
    </row>
    <row r="7" spans="2:11" x14ac:dyDescent="0.2">
      <c r="B7" s="8" t="s">
        <v>5</v>
      </c>
      <c r="C7" s="98"/>
      <c r="D7" s="98"/>
      <c r="E7" s="98"/>
      <c r="F7" s="97"/>
      <c r="G7" s="97"/>
      <c r="H7" s="97"/>
      <c r="I7" s="97"/>
      <c r="J7" s="97"/>
    </row>
    <row r="8" spans="2:11" x14ac:dyDescent="0.2">
      <c r="F8" s="97"/>
      <c r="G8" s="97"/>
      <c r="H8" s="97"/>
      <c r="I8" s="97"/>
      <c r="J8" s="97"/>
    </row>
    <row r="10" spans="2:11" ht="16.5" thickBot="1" x14ac:dyDescent="0.25"/>
    <row r="11" spans="2:11" ht="16.5" thickBot="1" x14ac:dyDescent="0.25">
      <c r="C11" s="91" t="s">
        <v>24</v>
      </c>
      <c r="D11" s="91"/>
      <c r="E11" s="91"/>
      <c r="I11" s="91" t="s">
        <v>27</v>
      </c>
      <c r="J11" s="91"/>
      <c r="K11" s="91"/>
    </row>
    <row r="12" spans="2:11" ht="16.5" thickBot="1" x14ac:dyDescent="0.25">
      <c r="C12" s="91"/>
      <c r="D12" s="91"/>
      <c r="E12" s="91"/>
      <c r="I12" s="91"/>
      <c r="J12" s="91"/>
      <c r="K12" s="91"/>
    </row>
    <row r="13" spans="2:11" ht="16.5" thickBot="1" x14ac:dyDescent="0.25">
      <c r="C13" s="94" t="s">
        <v>19</v>
      </c>
      <c r="D13" s="94"/>
      <c r="E13" s="95"/>
      <c r="I13" s="92" t="s">
        <v>28</v>
      </c>
      <c r="J13" s="92"/>
      <c r="K13" s="93"/>
    </row>
    <row r="14" spans="2:11" ht="16.5" thickBot="1" x14ac:dyDescent="0.25">
      <c r="C14" s="94"/>
      <c r="D14" s="94"/>
      <c r="E14" s="95"/>
      <c r="I14" s="92"/>
      <c r="J14" s="92"/>
      <c r="K14" s="93"/>
    </row>
    <row r="15" spans="2:11" ht="16.5" thickBot="1" x14ac:dyDescent="0.25">
      <c r="C15" s="94" t="s">
        <v>34</v>
      </c>
      <c r="D15" s="94"/>
      <c r="E15" s="96"/>
      <c r="I15" s="92" t="s">
        <v>29</v>
      </c>
      <c r="J15" s="92"/>
      <c r="K15" s="93">
        <f>SUM(E25)</f>
        <v>0</v>
      </c>
    </row>
    <row r="16" spans="2:11" ht="16.5" thickBot="1" x14ac:dyDescent="0.25">
      <c r="C16" s="94"/>
      <c r="D16" s="94"/>
      <c r="E16" s="96"/>
      <c r="I16" s="92"/>
      <c r="J16" s="92"/>
      <c r="K16" s="93"/>
    </row>
    <row r="17" spans="3:11" ht="21.75" thickBot="1" x14ac:dyDescent="0.25">
      <c r="C17" s="94" t="s">
        <v>20</v>
      </c>
      <c r="D17" s="94"/>
      <c r="E17" s="95"/>
      <c r="I17" s="63"/>
      <c r="J17" s="69" t="s">
        <v>23</v>
      </c>
      <c r="K17" s="71">
        <f>SUM(K13:K16)</f>
        <v>0</v>
      </c>
    </row>
    <row r="18" spans="3:11" ht="21.75" thickBot="1" x14ac:dyDescent="0.25">
      <c r="C18" s="94"/>
      <c r="D18" s="94"/>
      <c r="E18" s="95"/>
      <c r="I18" s="63"/>
      <c r="J18" s="70"/>
      <c r="K18" s="72"/>
    </row>
    <row r="19" spans="3:11" x14ac:dyDescent="0.2">
      <c r="C19" s="83" t="s">
        <v>22</v>
      </c>
      <c r="D19" s="84"/>
      <c r="E19" s="89"/>
      <c r="I19" s="64" t="s">
        <v>30</v>
      </c>
      <c r="J19" s="64"/>
      <c r="K19" s="66">
        <v>35</v>
      </c>
    </row>
    <row r="20" spans="3:11" ht="16.5" thickBot="1" x14ac:dyDescent="0.25">
      <c r="C20" s="85"/>
      <c r="D20" s="86"/>
      <c r="E20" s="90"/>
      <c r="I20" s="65"/>
      <c r="J20" s="65"/>
      <c r="K20" s="67"/>
    </row>
    <row r="21" spans="3:11" ht="21" x14ac:dyDescent="0.2">
      <c r="C21" s="83" t="s">
        <v>21</v>
      </c>
      <c r="D21" s="84"/>
      <c r="E21" s="87"/>
      <c r="I21" s="63"/>
      <c r="J21" s="69" t="s">
        <v>31</v>
      </c>
      <c r="K21" s="71">
        <f>SUM(K19/100)*K17</f>
        <v>0</v>
      </c>
    </row>
    <row r="22" spans="3:11" ht="21.75" thickBot="1" x14ac:dyDescent="0.25">
      <c r="C22" s="85"/>
      <c r="D22" s="86"/>
      <c r="E22" s="88"/>
      <c r="I22" s="63"/>
      <c r="J22" s="70"/>
      <c r="K22" s="72"/>
    </row>
    <row r="23" spans="3:11" ht="15.75" customHeight="1" x14ac:dyDescent="0.2">
      <c r="C23" s="83" t="s">
        <v>26</v>
      </c>
      <c r="D23" s="84"/>
      <c r="E23" s="89"/>
      <c r="I23" s="73" t="s">
        <v>32</v>
      </c>
      <c r="J23" s="73"/>
      <c r="K23" s="76">
        <f>SUM(K17+K21)</f>
        <v>0</v>
      </c>
    </row>
    <row r="24" spans="3:11" ht="16.5" customHeight="1" thickBot="1" x14ac:dyDescent="0.25">
      <c r="C24" s="85"/>
      <c r="D24" s="86"/>
      <c r="E24" s="90"/>
      <c r="I24" s="74"/>
      <c r="J24" s="74"/>
      <c r="K24" s="77"/>
    </row>
    <row r="25" spans="3:11" ht="19.5" customHeight="1" thickBot="1" x14ac:dyDescent="0.25">
      <c r="C25" s="59"/>
      <c r="D25" s="79" t="s">
        <v>17</v>
      </c>
      <c r="E25" s="81">
        <f>SUM(E13*E15)+(E13*E17*E19)+(E13*E21*E23)</f>
        <v>0</v>
      </c>
      <c r="I25" s="75"/>
      <c r="J25" s="75"/>
      <c r="K25" s="78"/>
    </row>
    <row r="26" spans="3:11" ht="19.5" customHeight="1" thickBot="1" x14ac:dyDescent="0.25">
      <c r="C26" s="60"/>
      <c r="D26" s="80"/>
      <c r="E26" s="82"/>
    </row>
    <row r="27" spans="3:11" ht="28.5" x14ac:dyDescent="0.2">
      <c r="C27" s="61"/>
      <c r="D27" s="61"/>
      <c r="E27" s="61"/>
    </row>
    <row r="28" spans="3:11" x14ac:dyDescent="0.2">
      <c r="C28" s="28"/>
      <c r="D28" s="28"/>
      <c r="E28" s="28"/>
    </row>
    <row r="29" spans="3:11" ht="18" x14ac:dyDescent="0.2">
      <c r="C29" s="68" t="s">
        <v>33</v>
      </c>
      <c r="D29" s="68"/>
      <c r="E29" s="2"/>
    </row>
    <row r="30" spans="3:11" x14ac:dyDescent="0.2">
      <c r="C30" s="2"/>
      <c r="D30" s="2"/>
      <c r="E30" s="2"/>
    </row>
    <row r="31" spans="3:11" x14ac:dyDescent="0.2">
      <c r="C31" s="2"/>
      <c r="D31" s="2"/>
      <c r="E31" s="2"/>
    </row>
    <row r="32" spans="3:11" x14ac:dyDescent="0.2">
      <c r="C32" s="2"/>
      <c r="D32" s="2"/>
      <c r="E32" s="2"/>
    </row>
    <row r="33" spans="3:5" x14ac:dyDescent="0.2">
      <c r="C33" s="2"/>
      <c r="D33" s="2"/>
      <c r="E33" s="2"/>
    </row>
    <row r="34" spans="3:5" x14ac:dyDescent="0.2">
      <c r="C34" s="2"/>
      <c r="D34" s="2"/>
      <c r="E34" s="2"/>
    </row>
    <row r="35" spans="3:5" x14ac:dyDescent="0.2">
      <c r="C35" s="2"/>
      <c r="D35" s="2"/>
      <c r="E35" s="2"/>
    </row>
    <row r="36" spans="3:5" x14ac:dyDescent="0.2">
      <c r="C36" s="2"/>
      <c r="D36" s="2"/>
      <c r="E36" s="2"/>
    </row>
    <row r="37" spans="3:5" x14ac:dyDescent="0.2">
      <c r="C37" s="2"/>
      <c r="D37" s="2"/>
      <c r="E37" s="2"/>
    </row>
    <row r="38" spans="3:5" x14ac:dyDescent="0.2">
      <c r="C38" s="2"/>
      <c r="D38" s="2"/>
      <c r="E38" s="2"/>
    </row>
    <row r="39" spans="3:5" x14ac:dyDescent="0.2">
      <c r="C39" s="2"/>
      <c r="D39" s="2"/>
      <c r="E39" s="2"/>
    </row>
    <row r="40" spans="3:5" x14ac:dyDescent="0.2">
      <c r="C40" s="2"/>
      <c r="D40" s="2"/>
      <c r="E40" s="2"/>
    </row>
    <row r="41" spans="3:5" x14ac:dyDescent="0.2">
      <c r="C41" s="2"/>
      <c r="D41" s="2"/>
      <c r="E41" s="2"/>
    </row>
    <row r="42" spans="3:5" x14ac:dyDescent="0.2">
      <c r="C42" s="2"/>
      <c r="D42" s="2"/>
      <c r="E42" s="2"/>
    </row>
  </sheetData>
  <mergeCells count="35">
    <mergeCell ref="F3:J8"/>
    <mergeCell ref="C3:E3"/>
    <mergeCell ref="C4:E4"/>
    <mergeCell ref="C5:E5"/>
    <mergeCell ref="C6:E6"/>
    <mergeCell ref="C7:E7"/>
    <mergeCell ref="I11:K12"/>
    <mergeCell ref="I13:J14"/>
    <mergeCell ref="K13:K14"/>
    <mergeCell ref="C19:D20"/>
    <mergeCell ref="E19:E20"/>
    <mergeCell ref="C13:D14"/>
    <mergeCell ref="E13:E14"/>
    <mergeCell ref="C15:D16"/>
    <mergeCell ref="E15:E16"/>
    <mergeCell ref="C17:D18"/>
    <mergeCell ref="E17:E18"/>
    <mergeCell ref="C11:E12"/>
    <mergeCell ref="I15:J16"/>
    <mergeCell ref="K15:K16"/>
    <mergeCell ref="J17:J18"/>
    <mergeCell ref="K17:K18"/>
    <mergeCell ref="I19:J20"/>
    <mergeCell ref="K19:K20"/>
    <mergeCell ref="C29:D29"/>
    <mergeCell ref="J21:J22"/>
    <mergeCell ref="K21:K22"/>
    <mergeCell ref="I23:J25"/>
    <mergeCell ref="K23:K25"/>
    <mergeCell ref="D25:D26"/>
    <mergeCell ref="E25:E26"/>
    <mergeCell ref="C21:D22"/>
    <mergeCell ref="E21:E22"/>
    <mergeCell ref="C23:D24"/>
    <mergeCell ref="E23:E24"/>
  </mergeCells>
  <phoneticPr fontId="0" type="noConversion"/>
  <printOptions horizontalCentered="1" verticalCentered="1"/>
  <pageMargins left="0.196850393700787" right="0.196850393700787" top="0.39370078740157499" bottom="0.39370078740157499" header="0.39370078740157499" footer="0.59055118110236204"/>
  <pageSetup paperSize="9" scale="74" fitToHeight="15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D87"/>
  <sheetViews>
    <sheetView zoomScale="70" zoomScaleNormal="70" workbookViewId="0">
      <pane xSplit="4" ySplit="5" topLeftCell="E6" activePane="bottomRight" state="frozen"/>
      <selection pane="topRight" activeCell="E1" sqref="E1"/>
      <selection pane="bottomLeft" activeCell="A12" sqref="A12"/>
      <selection pane="bottomRight" activeCell="A58" sqref="A58:C58"/>
    </sheetView>
  </sheetViews>
  <sheetFormatPr defaultColWidth="9.140625" defaultRowHeight="15.75" x14ac:dyDescent="0.2"/>
  <cols>
    <col min="1" max="1" width="15.85546875" style="2" customWidth="1"/>
    <col min="2" max="2" width="42.140625" style="6" bestFit="1" customWidth="1"/>
    <col min="3" max="3" width="32.140625" style="6" customWidth="1"/>
    <col min="4" max="4" width="12.5703125" style="7" customWidth="1"/>
    <col min="5" max="6" width="19.85546875" style="1" customWidth="1"/>
    <col min="7" max="8" width="19.7109375" style="1" customWidth="1"/>
    <col min="9" max="9" width="18.28515625" style="1" customWidth="1"/>
    <col min="10" max="10" width="19.7109375" style="1" customWidth="1"/>
    <col min="11" max="54" width="3.5703125" style="1" customWidth="1"/>
    <col min="55" max="55" width="7.85546875" style="2" customWidth="1"/>
    <col min="56" max="16384" width="9.140625" style="2"/>
  </cols>
  <sheetData>
    <row r="2" spans="1:56" ht="21" customHeight="1" thickBot="1" x14ac:dyDescent="0.25">
      <c r="A2" s="8"/>
      <c r="B2" s="27"/>
      <c r="C2" s="27"/>
      <c r="D2" s="9"/>
      <c r="E2" s="40"/>
      <c r="F2" s="40"/>
      <c r="G2" s="40"/>
      <c r="H2" s="40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</row>
    <row r="3" spans="1:56" s="4" customFormat="1" ht="21" customHeight="1" thickBot="1" x14ac:dyDescent="0.25">
      <c r="A3" s="8"/>
      <c r="B3" s="27"/>
      <c r="C3" s="27"/>
      <c r="D3" s="62"/>
      <c r="E3" s="132" t="s">
        <v>13</v>
      </c>
      <c r="F3" s="132"/>
      <c r="G3" s="132"/>
      <c r="H3" s="133"/>
      <c r="I3" s="43"/>
      <c r="J3" s="44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5"/>
      <c r="BD3" s="5"/>
    </row>
    <row r="4" spans="1:56" s="3" customFormat="1" ht="15.75" customHeight="1" x14ac:dyDescent="0.2">
      <c r="A4" s="149"/>
      <c r="B4" s="104"/>
      <c r="C4" s="104"/>
      <c r="D4" s="151"/>
      <c r="E4" s="120" t="s">
        <v>15</v>
      </c>
      <c r="F4" s="108" t="s">
        <v>22</v>
      </c>
      <c r="G4" s="122" t="s">
        <v>16</v>
      </c>
      <c r="H4" s="124" t="s">
        <v>14</v>
      </c>
      <c r="I4" s="116" t="s">
        <v>25</v>
      </c>
      <c r="J4" s="118" t="s">
        <v>17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"/>
    </row>
    <row r="5" spans="1:56" s="3" customFormat="1" ht="15.75" customHeight="1" thickBot="1" x14ac:dyDescent="0.25">
      <c r="A5" s="150"/>
      <c r="B5" s="105"/>
      <c r="C5" s="105"/>
      <c r="D5" s="152"/>
      <c r="E5" s="121"/>
      <c r="F5" s="109"/>
      <c r="G5" s="123"/>
      <c r="H5" s="125"/>
      <c r="I5" s="117"/>
      <c r="J5" s="119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"/>
    </row>
    <row r="6" spans="1:56" s="3" customFormat="1" ht="15.75" customHeight="1" x14ac:dyDescent="0.2">
      <c r="A6" s="99"/>
      <c r="B6" s="128" t="s">
        <v>6</v>
      </c>
      <c r="C6" s="129"/>
      <c r="D6" s="126" t="s">
        <v>0</v>
      </c>
      <c r="E6" s="38"/>
      <c r="F6" s="41"/>
      <c r="G6" s="52"/>
      <c r="H6" s="46"/>
      <c r="I6" s="48"/>
      <c r="J6" s="46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"/>
    </row>
    <row r="7" spans="1:56" ht="16.5" customHeight="1" thickBot="1" x14ac:dyDescent="0.25">
      <c r="A7" s="100"/>
      <c r="B7" s="130"/>
      <c r="C7" s="131"/>
      <c r="D7" s="127"/>
      <c r="E7" s="38"/>
      <c r="F7" s="41"/>
      <c r="G7" s="52"/>
      <c r="H7" s="46"/>
      <c r="I7" s="48"/>
      <c r="J7" s="46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1"/>
    </row>
    <row r="8" spans="1:56" ht="16.5" customHeight="1" x14ac:dyDescent="0.2">
      <c r="A8" s="101" t="s">
        <v>18</v>
      </c>
      <c r="B8" s="102"/>
      <c r="C8" s="103"/>
      <c r="D8" s="10">
        <v>1</v>
      </c>
      <c r="E8" s="38"/>
      <c r="F8" s="48"/>
      <c r="G8" s="52"/>
      <c r="H8" s="46">
        <f>SUM(D8*E8*F8)+(D8*G8)</f>
        <v>0</v>
      </c>
      <c r="I8" s="48"/>
      <c r="J8" s="46">
        <f>SUM(H8)+(I8*D8)</f>
        <v>0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1"/>
    </row>
    <row r="9" spans="1:56" ht="16.5" customHeight="1" x14ac:dyDescent="0.2">
      <c r="A9" s="101"/>
      <c r="B9" s="102"/>
      <c r="C9" s="103"/>
      <c r="D9" s="10"/>
      <c r="E9" s="38"/>
      <c r="F9" s="48"/>
      <c r="G9" s="52"/>
      <c r="H9" s="46">
        <f t="shared" ref="H9:H12" si="0">SUM(D9*E9*F9)+(D9*G9)</f>
        <v>0</v>
      </c>
      <c r="I9" s="48"/>
      <c r="J9" s="46">
        <f t="shared" ref="J9:J12" si="1">SUM(H9)+(I9*D9)</f>
        <v>0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1"/>
    </row>
    <row r="10" spans="1:56" ht="16.5" customHeight="1" x14ac:dyDescent="0.2">
      <c r="A10" s="101"/>
      <c r="B10" s="102"/>
      <c r="C10" s="103"/>
      <c r="D10" s="10"/>
      <c r="E10" s="38"/>
      <c r="F10" s="48"/>
      <c r="G10" s="52"/>
      <c r="H10" s="46">
        <f t="shared" si="0"/>
        <v>0</v>
      </c>
      <c r="I10" s="48"/>
      <c r="J10" s="46">
        <f t="shared" si="1"/>
        <v>0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1"/>
    </row>
    <row r="11" spans="1:56" ht="16.5" customHeight="1" x14ac:dyDescent="0.2">
      <c r="A11" s="101"/>
      <c r="B11" s="102"/>
      <c r="C11" s="103"/>
      <c r="D11" s="10"/>
      <c r="E11" s="38"/>
      <c r="F11" s="48"/>
      <c r="G11" s="52"/>
      <c r="H11" s="46">
        <f t="shared" si="0"/>
        <v>0</v>
      </c>
      <c r="I11" s="48"/>
      <c r="J11" s="46">
        <f t="shared" si="1"/>
        <v>0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1"/>
    </row>
    <row r="12" spans="1:56" ht="16.5" customHeight="1" thickBot="1" x14ac:dyDescent="0.25">
      <c r="A12" s="136"/>
      <c r="B12" s="137"/>
      <c r="C12" s="138"/>
      <c r="D12" s="11"/>
      <c r="E12" s="39"/>
      <c r="F12" s="56"/>
      <c r="G12" s="57"/>
      <c r="H12" s="46">
        <f t="shared" si="0"/>
        <v>0</v>
      </c>
      <c r="I12" s="56"/>
      <c r="J12" s="46">
        <f t="shared" si="1"/>
        <v>0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1"/>
    </row>
    <row r="13" spans="1:56" ht="16.5" customHeight="1" x14ac:dyDescent="0.2">
      <c r="A13" s="139" t="s">
        <v>1</v>
      </c>
      <c r="B13" s="148" t="s">
        <v>7</v>
      </c>
      <c r="C13" s="129"/>
      <c r="D13" s="139" t="s">
        <v>0</v>
      </c>
      <c r="E13" s="110"/>
      <c r="F13" s="111"/>
      <c r="G13" s="111"/>
      <c r="H13" s="111"/>
      <c r="I13" s="111"/>
      <c r="J13" s="112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1"/>
    </row>
    <row r="14" spans="1:56" ht="16.5" customHeight="1" thickBot="1" x14ac:dyDescent="0.25">
      <c r="A14" s="140"/>
      <c r="B14" s="34" t="s">
        <v>9</v>
      </c>
      <c r="C14" s="30" t="s">
        <v>10</v>
      </c>
      <c r="D14" s="140"/>
      <c r="E14" s="113"/>
      <c r="F14" s="114"/>
      <c r="G14" s="114"/>
      <c r="H14" s="114"/>
      <c r="I14" s="114"/>
      <c r="J14" s="115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1"/>
    </row>
    <row r="15" spans="1:56" ht="16.5" customHeight="1" x14ac:dyDescent="0.25">
      <c r="A15" s="13"/>
      <c r="B15" s="14"/>
      <c r="C15" s="32"/>
      <c r="D15" s="15"/>
      <c r="E15" s="38"/>
      <c r="F15" s="48"/>
      <c r="G15" s="52"/>
      <c r="H15" s="46">
        <f t="shared" ref="H15:H61" si="2">SUM(D15*E15*F15)+(D15*G15)</f>
        <v>0</v>
      </c>
      <c r="I15" s="48"/>
      <c r="J15" s="46">
        <f t="shared" ref="J15:J54" si="3">SUM(H15)+(I15*D15)</f>
        <v>0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1"/>
    </row>
    <row r="16" spans="1:56" ht="16.5" customHeight="1" x14ac:dyDescent="0.25">
      <c r="A16" s="21"/>
      <c r="B16" s="35" t="s">
        <v>11</v>
      </c>
      <c r="C16" s="35"/>
      <c r="D16" s="22">
        <v>2</v>
      </c>
      <c r="E16" s="12">
        <v>1</v>
      </c>
      <c r="F16" s="49">
        <v>20</v>
      </c>
      <c r="G16" s="53"/>
      <c r="H16" s="46">
        <f t="shared" si="2"/>
        <v>40</v>
      </c>
      <c r="I16" s="49">
        <v>5</v>
      </c>
      <c r="J16" s="46">
        <f t="shared" si="3"/>
        <v>50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1"/>
    </row>
    <row r="17" spans="1:55" ht="16.5" customHeight="1" x14ac:dyDescent="0.25">
      <c r="A17" s="21"/>
      <c r="B17" s="35" t="s">
        <v>11</v>
      </c>
      <c r="C17" s="35"/>
      <c r="D17" s="22">
        <v>2</v>
      </c>
      <c r="E17" s="12">
        <v>1</v>
      </c>
      <c r="F17" s="49">
        <v>20</v>
      </c>
      <c r="G17" s="53"/>
      <c r="H17" s="46">
        <f t="shared" si="2"/>
        <v>40</v>
      </c>
      <c r="I17" s="49">
        <v>5</v>
      </c>
      <c r="J17" s="46">
        <f t="shared" si="3"/>
        <v>50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1"/>
    </row>
    <row r="18" spans="1:55" ht="16.5" customHeight="1" x14ac:dyDescent="0.25">
      <c r="A18" s="21"/>
      <c r="B18" s="35" t="s">
        <v>11</v>
      </c>
      <c r="C18" s="35"/>
      <c r="D18" s="22">
        <v>2</v>
      </c>
      <c r="E18" s="12">
        <v>1</v>
      </c>
      <c r="F18" s="49">
        <v>20</v>
      </c>
      <c r="G18" s="53"/>
      <c r="H18" s="46">
        <f t="shared" si="2"/>
        <v>40</v>
      </c>
      <c r="I18" s="49">
        <v>5</v>
      </c>
      <c r="J18" s="46">
        <f t="shared" si="3"/>
        <v>50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1"/>
    </row>
    <row r="19" spans="1:55" ht="16.5" customHeight="1" x14ac:dyDescent="0.25">
      <c r="A19" s="21"/>
      <c r="B19" s="35" t="s">
        <v>11</v>
      </c>
      <c r="C19" s="35"/>
      <c r="D19" s="22">
        <v>2</v>
      </c>
      <c r="E19" s="12">
        <v>1</v>
      </c>
      <c r="F19" s="49">
        <v>20</v>
      </c>
      <c r="G19" s="53"/>
      <c r="H19" s="46">
        <f t="shared" si="2"/>
        <v>40</v>
      </c>
      <c r="I19" s="49">
        <v>5</v>
      </c>
      <c r="J19" s="46">
        <f t="shared" si="3"/>
        <v>50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1"/>
    </row>
    <row r="20" spans="1:55" ht="16.5" customHeight="1" x14ac:dyDescent="0.25">
      <c r="A20" s="21"/>
      <c r="B20" s="35" t="s">
        <v>11</v>
      </c>
      <c r="C20" s="35"/>
      <c r="D20" s="22">
        <v>2</v>
      </c>
      <c r="E20" s="12">
        <v>1</v>
      </c>
      <c r="F20" s="49">
        <v>20</v>
      </c>
      <c r="G20" s="53"/>
      <c r="H20" s="46">
        <f t="shared" si="2"/>
        <v>40</v>
      </c>
      <c r="I20" s="49">
        <v>5</v>
      </c>
      <c r="J20" s="46">
        <f t="shared" si="3"/>
        <v>50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1"/>
    </row>
    <row r="21" spans="1:55" ht="16.5" customHeight="1" x14ac:dyDescent="0.25">
      <c r="A21" s="21"/>
      <c r="B21" s="35" t="s">
        <v>11</v>
      </c>
      <c r="C21" s="35"/>
      <c r="D21" s="22">
        <v>2</v>
      </c>
      <c r="E21" s="12">
        <v>1</v>
      </c>
      <c r="F21" s="49">
        <v>20</v>
      </c>
      <c r="G21" s="53"/>
      <c r="H21" s="46">
        <f t="shared" si="2"/>
        <v>40</v>
      </c>
      <c r="I21" s="49">
        <v>5</v>
      </c>
      <c r="J21" s="46">
        <f t="shared" si="3"/>
        <v>50</v>
      </c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1"/>
    </row>
    <row r="22" spans="1:55" ht="16.5" customHeight="1" x14ac:dyDescent="0.25">
      <c r="A22" s="21"/>
      <c r="B22" s="35" t="s">
        <v>11</v>
      </c>
      <c r="C22" s="35"/>
      <c r="D22" s="22">
        <v>2</v>
      </c>
      <c r="E22" s="12">
        <v>1</v>
      </c>
      <c r="F22" s="49">
        <v>20</v>
      </c>
      <c r="G22" s="53"/>
      <c r="H22" s="46">
        <f t="shared" si="2"/>
        <v>40</v>
      </c>
      <c r="I22" s="49">
        <v>5</v>
      </c>
      <c r="J22" s="46">
        <f t="shared" si="3"/>
        <v>50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1"/>
    </row>
    <row r="23" spans="1:55" ht="16.5" customHeight="1" x14ac:dyDescent="0.25">
      <c r="A23" s="21"/>
      <c r="B23" s="35" t="s">
        <v>11</v>
      </c>
      <c r="C23" s="35"/>
      <c r="D23" s="22">
        <v>2</v>
      </c>
      <c r="E23" s="12">
        <v>1</v>
      </c>
      <c r="F23" s="49">
        <v>20</v>
      </c>
      <c r="G23" s="53"/>
      <c r="H23" s="46">
        <f t="shared" si="2"/>
        <v>40</v>
      </c>
      <c r="I23" s="49">
        <v>5</v>
      </c>
      <c r="J23" s="46">
        <f t="shared" si="3"/>
        <v>50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1"/>
    </row>
    <row r="24" spans="1:55" ht="16.5" customHeight="1" x14ac:dyDescent="0.25">
      <c r="A24" s="21"/>
      <c r="B24" s="35" t="s">
        <v>11</v>
      </c>
      <c r="C24" s="35"/>
      <c r="D24" s="22">
        <v>2</v>
      </c>
      <c r="E24" s="12">
        <v>1</v>
      </c>
      <c r="F24" s="49">
        <v>20</v>
      </c>
      <c r="G24" s="53"/>
      <c r="H24" s="46">
        <f t="shared" si="2"/>
        <v>40</v>
      </c>
      <c r="I24" s="49">
        <v>5</v>
      </c>
      <c r="J24" s="46">
        <f t="shared" si="3"/>
        <v>50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1"/>
    </row>
    <row r="25" spans="1:55" ht="16.5" customHeight="1" x14ac:dyDescent="0.25">
      <c r="A25" s="21"/>
      <c r="B25" s="35" t="s">
        <v>11</v>
      </c>
      <c r="C25" s="35"/>
      <c r="D25" s="22">
        <v>2</v>
      </c>
      <c r="E25" s="12">
        <v>1</v>
      </c>
      <c r="F25" s="49">
        <v>20</v>
      </c>
      <c r="G25" s="53"/>
      <c r="H25" s="46">
        <f t="shared" si="2"/>
        <v>40</v>
      </c>
      <c r="I25" s="49">
        <v>5</v>
      </c>
      <c r="J25" s="46">
        <f t="shared" si="3"/>
        <v>50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1"/>
    </row>
    <row r="26" spans="1:55" ht="16.5" customHeight="1" x14ac:dyDescent="0.25">
      <c r="A26" s="21"/>
      <c r="B26" s="35" t="s">
        <v>35</v>
      </c>
      <c r="C26" s="35"/>
      <c r="D26" s="22">
        <v>2</v>
      </c>
      <c r="E26" s="12">
        <v>1</v>
      </c>
      <c r="F26" s="49">
        <v>20</v>
      </c>
      <c r="G26" s="53">
        <v>125</v>
      </c>
      <c r="H26" s="46">
        <f t="shared" si="2"/>
        <v>290</v>
      </c>
      <c r="I26" s="49">
        <v>5</v>
      </c>
      <c r="J26" s="46">
        <f t="shared" si="3"/>
        <v>300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1"/>
    </row>
    <row r="27" spans="1:55" ht="16.5" customHeight="1" x14ac:dyDescent="0.25">
      <c r="A27" s="21"/>
      <c r="B27" s="35" t="s">
        <v>35</v>
      </c>
      <c r="C27" s="35"/>
      <c r="D27" s="22">
        <v>2</v>
      </c>
      <c r="E27" s="12">
        <v>1</v>
      </c>
      <c r="F27" s="49">
        <v>20</v>
      </c>
      <c r="G27" s="53">
        <v>125</v>
      </c>
      <c r="H27" s="46">
        <f t="shared" si="2"/>
        <v>290</v>
      </c>
      <c r="I27" s="49">
        <v>5</v>
      </c>
      <c r="J27" s="46">
        <f t="shared" si="3"/>
        <v>300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1"/>
    </row>
    <row r="28" spans="1:55" ht="16.5" customHeight="1" x14ac:dyDescent="0.25">
      <c r="A28" s="21"/>
      <c r="B28" s="35"/>
      <c r="C28" s="36"/>
      <c r="D28" s="22"/>
      <c r="E28" s="12"/>
      <c r="F28" s="49"/>
      <c r="G28" s="53"/>
      <c r="H28" s="46">
        <f t="shared" si="2"/>
        <v>0</v>
      </c>
      <c r="I28" s="49"/>
      <c r="J28" s="46">
        <f t="shared" si="3"/>
        <v>0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1"/>
    </row>
    <row r="29" spans="1:55" ht="16.5" customHeight="1" x14ac:dyDescent="0.25">
      <c r="A29" s="21"/>
      <c r="B29" s="35"/>
      <c r="C29" s="36"/>
      <c r="D29" s="22"/>
      <c r="E29" s="12"/>
      <c r="F29" s="49"/>
      <c r="G29" s="53"/>
      <c r="H29" s="46">
        <f t="shared" si="2"/>
        <v>0</v>
      </c>
      <c r="I29" s="49"/>
      <c r="J29" s="46">
        <f t="shared" si="3"/>
        <v>0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1"/>
    </row>
    <row r="30" spans="1:55" ht="16.5" customHeight="1" x14ac:dyDescent="0.25">
      <c r="A30" s="21"/>
      <c r="B30" s="35"/>
      <c r="C30" s="37"/>
      <c r="D30" s="22"/>
      <c r="E30" s="12"/>
      <c r="F30" s="49"/>
      <c r="G30" s="53"/>
      <c r="H30" s="46">
        <f t="shared" si="2"/>
        <v>0</v>
      </c>
      <c r="I30" s="49"/>
      <c r="J30" s="46">
        <f t="shared" si="3"/>
        <v>0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1"/>
    </row>
    <row r="31" spans="1:55" ht="16.5" customHeight="1" x14ac:dyDescent="0.25">
      <c r="A31" s="21"/>
      <c r="B31" s="35"/>
      <c r="C31" s="35"/>
      <c r="D31" s="22"/>
      <c r="E31" s="12"/>
      <c r="F31" s="49"/>
      <c r="G31" s="53"/>
      <c r="H31" s="46">
        <f t="shared" si="2"/>
        <v>0</v>
      </c>
      <c r="I31" s="49"/>
      <c r="J31" s="46">
        <f t="shared" si="3"/>
        <v>0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1"/>
    </row>
    <row r="32" spans="1:55" ht="16.5" customHeight="1" x14ac:dyDescent="0.25">
      <c r="A32" s="21"/>
      <c r="B32" s="35"/>
      <c r="C32" s="35"/>
      <c r="D32" s="22"/>
      <c r="E32" s="12"/>
      <c r="F32" s="49"/>
      <c r="G32" s="53"/>
      <c r="H32" s="46">
        <f t="shared" si="2"/>
        <v>0</v>
      </c>
      <c r="I32" s="49"/>
      <c r="J32" s="46">
        <f t="shared" si="3"/>
        <v>0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1"/>
    </row>
    <row r="33" spans="1:55" ht="16.5" customHeight="1" x14ac:dyDescent="0.25">
      <c r="A33" s="21"/>
      <c r="B33" s="35"/>
      <c r="C33" s="35"/>
      <c r="D33" s="22"/>
      <c r="E33" s="12"/>
      <c r="F33" s="49"/>
      <c r="G33" s="53"/>
      <c r="H33" s="46">
        <f t="shared" si="2"/>
        <v>0</v>
      </c>
      <c r="I33" s="49"/>
      <c r="J33" s="46">
        <f t="shared" si="3"/>
        <v>0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1"/>
    </row>
    <row r="34" spans="1:55" ht="16.5" customHeight="1" x14ac:dyDescent="0.25">
      <c r="A34" s="21"/>
      <c r="B34" s="35"/>
      <c r="C34" s="35"/>
      <c r="D34" s="22"/>
      <c r="E34" s="12"/>
      <c r="F34" s="49"/>
      <c r="G34" s="53"/>
      <c r="H34" s="46">
        <f t="shared" si="2"/>
        <v>0</v>
      </c>
      <c r="I34" s="49"/>
      <c r="J34" s="46">
        <f t="shared" si="3"/>
        <v>0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1"/>
    </row>
    <row r="35" spans="1:55" ht="16.5" customHeight="1" x14ac:dyDescent="0.25">
      <c r="A35" s="21"/>
      <c r="B35" s="35"/>
      <c r="C35" s="35"/>
      <c r="D35" s="22"/>
      <c r="E35" s="12"/>
      <c r="F35" s="49"/>
      <c r="G35" s="53"/>
      <c r="H35" s="46">
        <f t="shared" si="2"/>
        <v>0</v>
      </c>
      <c r="I35" s="49"/>
      <c r="J35" s="46">
        <f t="shared" si="3"/>
        <v>0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1"/>
    </row>
    <row r="36" spans="1:55" ht="16.5" customHeight="1" x14ac:dyDescent="0.25">
      <c r="A36" s="21"/>
      <c r="B36" s="35"/>
      <c r="C36" s="35"/>
      <c r="D36" s="22"/>
      <c r="E36" s="12"/>
      <c r="F36" s="49"/>
      <c r="G36" s="53"/>
      <c r="H36" s="46">
        <f t="shared" si="2"/>
        <v>0</v>
      </c>
      <c r="I36" s="49"/>
      <c r="J36" s="46">
        <f t="shared" si="3"/>
        <v>0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1"/>
    </row>
    <row r="37" spans="1:55" ht="16.5" customHeight="1" x14ac:dyDescent="0.25">
      <c r="A37" s="21"/>
      <c r="B37" s="35"/>
      <c r="C37" s="35"/>
      <c r="D37" s="22"/>
      <c r="E37" s="12"/>
      <c r="F37" s="49"/>
      <c r="G37" s="53"/>
      <c r="H37" s="46">
        <f t="shared" si="2"/>
        <v>0</v>
      </c>
      <c r="I37" s="49"/>
      <c r="J37" s="46">
        <f t="shared" si="3"/>
        <v>0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1"/>
    </row>
    <row r="38" spans="1:55" ht="16.5" customHeight="1" x14ac:dyDescent="0.25">
      <c r="A38" s="21"/>
      <c r="B38" s="35"/>
      <c r="C38" s="35"/>
      <c r="D38" s="22"/>
      <c r="E38" s="12"/>
      <c r="F38" s="49"/>
      <c r="G38" s="53"/>
      <c r="H38" s="46">
        <f t="shared" si="2"/>
        <v>0</v>
      </c>
      <c r="I38" s="49"/>
      <c r="J38" s="46">
        <f t="shared" si="3"/>
        <v>0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1"/>
    </row>
    <row r="39" spans="1:55" ht="16.5" customHeight="1" x14ac:dyDescent="0.25">
      <c r="A39" s="21"/>
      <c r="B39" s="35"/>
      <c r="C39" s="35"/>
      <c r="D39" s="22"/>
      <c r="E39" s="12"/>
      <c r="F39" s="49"/>
      <c r="G39" s="53"/>
      <c r="H39" s="46">
        <f t="shared" si="2"/>
        <v>0</v>
      </c>
      <c r="I39" s="49"/>
      <c r="J39" s="46">
        <f t="shared" si="3"/>
        <v>0</v>
      </c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1"/>
    </row>
    <row r="40" spans="1:55" ht="16.5" customHeight="1" x14ac:dyDescent="0.25">
      <c r="A40" s="21"/>
      <c r="B40" s="35"/>
      <c r="C40" s="35"/>
      <c r="D40" s="22"/>
      <c r="E40" s="12"/>
      <c r="F40" s="49"/>
      <c r="G40" s="53"/>
      <c r="H40" s="46">
        <f t="shared" si="2"/>
        <v>0</v>
      </c>
      <c r="I40" s="49"/>
      <c r="J40" s="46">
        <f t="shared" si="3"/>
        <v>0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1"/>
    </row>
    <row r="41" spans="1:55" ht="16.5" customHeight="1" x14ac:dyDescent="0.25">
      <c r="A41" s="21"/>
      <c r="B41" s="35"/>
      <c r="C41" s="35"/>
      <c r="D41" s="22"/>
      <c r="E41" s="12"/>
      <c r="F41" s="49"/>
      <c r="G41" s="53"/>
      <c r="H41" s="46">
        <f t="shared" si="2"/>
        <v>0</v>
      </c>
      <c r="I41" s="49"/>
      <c r="J41" s="46">
        <f t="shared" si="3"/>
        <v>0</v>
      </c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1"/>
    </row>
    <row r="42" spans="1:55" ht="16.5" customHeight="1" x14ac:dyDescent="0.25">
      <c r="A42" s="21"/>
      <c r="B42" s="35"/>
      <c r="C42" s="35"/>
      <c r="D42" s="22"/>
      <c r="E42" s="12"/>
      <c r="F42" s="49"/>
      <c r="G42" s="53"/>
      <c r="H42" s="46">
        <f t="shared" si="2"/>
        <v>0</v>
      </c>
      <c r="I42" s="49"/>
      <c r="J42" s="46">
        <f t="shared" si="3"/>
        <v>0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1"/>
    </row>
    <row r="43" spans="1:55" ht="16.5" customHeight="1" x14ac:dyDescent="0.25">
      <c r="A43" s="21"/>
      <c r="B43" s="35"/>
      <c r="C43" s="35"/>
      <c r="D43" s="22"/>
      <c r="E43" s="12"/>
      <c r="F43" s="49"/>
      <c r="G43" s="53"/>
      <c r="H43" s="46">
        <f t="shared" si="2"/>
        <v>0</v>
      </c>
      <c r="I43" s="49"/>
      <c r="J43" s="46">
        <f t="shared" si="3"/>
        <v>0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1"/>
    </row>
    <row r="44" spans="1:55" ht="16.5" customHeight="1" x14ac:dyDescent="0.25">
      <c r="A44" s="21"/>
      <c r="B44" s="35"/>
      <c r="C44" s="35"/>
      <c r="D44" s="22"/>
      <c r="E44" s="12"/>
      <c r="F44" s="49"/>
      <c r="G44" s="53"/>
      <c r="H44" s="46">
        <f t="shared" si="2"/>
        <v>0</v>
      </c>
      <c r="I44" s="49"/>
      <c r="J44" s="46">
        <f t="shared" si="3"/>
        <v>0</v>
      </c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1"/>
    </row>
    <row r="45" spans="1:55" ht="16.5" customHeight="1" x14ac:dyDescent="0.25">
      <c r="A45" s="21"/>
      <c r="B45" s="35"/>
      <c r="C45" s="35"/>
      <c r="D45" s="22"/>
      <c r="E45" s="12"/>
      <c r="F45" s="49"/>
      <c r="G45" s="53"/>
      <c r="H45" s="46">
        <f t="shared" si="2"/>
        <v>0</v>
      </c>
      <c r="I45" s="49"/>
      <c r="J45" s="46">
        <f t="shared" si="3"/>
        <v>0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1"/>
    </row>
    <row r="46" spans="1:55" ht="16.5" customHeight="1" x14ac:dyDescent="0.25">
      <c r="A46" s="21"/>
      <c r="B46" s="35"/>
      <c r="C46" s="35"/>
      <c r="D46" s="22"/>
      <c r="E46" s="12"/>
      <c r="F46" s="49"/>
      <c r="G46" s="53"/>
      <c r="H46" s="46">
        <f t="shared" si="2"/>
        <v>0</v>
      </c>
      <c r="I46" s="49"/>
      <c r="J46" s="46">
        <f t="shared" si="3"/>
        <v>0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1"/>
    </row>
    <row r="47" spans="1:55" ht="16.5" customHeight="1" x14ac:dyDescent="0.25">
      <c r="A47" s="21"/>
      <c r="B47" s="35"/>
      <c r="C47" s="35"/>
      <c r="D47" s="22"/>
      <c r="E47" s="12"/>
      <c r="F47" s="49"/>
      <c r="G47" s="53"/>
      <c r="H47" s="46">
        <f t="shared" si="2"/>
        <v>0</v>
      </c>
      <c r="I47" s="49"/>
      <c r="J47" s="46">
        <f t="shared" si="3"/>
        <v>0</v>
      </c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1"/>
    </row>
    <row r="48" spans="1:55" ht="16.5" customHeight="1" x14ac:dyDescent="0.25">
      <c r="A48" s="21"/>
      <c r="B48" s="35"/>
      <c r="C48" s="35"/>
      <c r="D48" s="22"/>
      <c r="E48" s="12"/>
      <c r="F48" s="49"/>
      <c r="G48" s="53"/>
      <c r="H48" s="46">
        <f>SUM(D48*E48*F48)+(D48*G48)</f>
        <v>0</v>
      </c>
      <c r="I48" s="49"/>
      <c r="J48" s="46">
        <f t="shared" si="3"/>
        <v>0</v>
      </c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1"/>
    </row>
    <row r="49" spans="1:55" ht="16.5" customHeight="1" x14ac:dyDescent="0.25">
      <c r="A49" s="21"/>
      <c r="B49" s="35"/>
      <c r="C49" s="35"/>
      <c r="D49" s="22"/>
      <c r="E49" s="12"/>
      <c r="F49" s="49"/>
      <c r="G49" s="53"/>
      <c r="H49" s="46">
        <f t="shared" si="2"/>
        <v>0</v>
      </c>
      <c r="I49" s="49"/>
      <c r="J49" s="46">
        <f t="shared" si="3"/>
        <v>0</v>
      </c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1"/>
    </row>
    <row r="50" spans="1:55" ht="16.5" customHeight="1" x14ac:dyDescent="0.25">
      <c r="A50" s="21"/>
      <c r="B50" s="35"/>
      <c r="C50" s="35"/>
      <c r="D50" s="22"/>
      <c r="E50" s="12"/>
      <c r="F50" s="49"/>
      <c r="G50" s="53"/>
      <c r="H50" s="46">
        <f t="shared" si="2"/>
        <v>0</v>
      </c>
      <c r="I50" s="49"/>
      <c r="J50" s="46">
        <f t="shared" si="3"/>
        <v>0</v>
      </c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1"/>
    </row>
    <row r="51" spans="1:55" ht="16.5" customHeight="1" x14ac:dyDescent="0.25">
      <c r="A51" s="21"/>
      <c r="B51" s="35"/>
      <c r="C51" s="35"/>
      <c r="D51" s="22"/>
      <c r="E51" s="12"/>
      <c r="F51" s="49"/>
      <c r="G51" s="53"/>
      <c r="H51" s="46">
        <f t="shared" si="2"/>
        <v>0</v>
      </c>
      <c r="I51" s="49"/>
      <c r="J51" s="46">
        <f t="shared" si="3"/>
        <v>0</v>
      </c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1"/>
    </row>
    <row r="52" spans="1:55" ht="16.5" customHeight="1" x14ac:dyDescent="0.25">
      <c r="A52" s="21"/>
      <c r="B52" s="35"/>
      <c r="C52" s="35"/>
      <c r="D52" s="22"/>
      <c r="E52" s="12"/>
      <c r="F52" s="49"/>
      <c r="G52" s="53"/>
      <c r="H52" s="46">
        <f t="shared" si="2"/>
        <v>0</v>
      </c>
      <c r="I52" s="49"/>
      <c r="J52" s="46">
        <f t="shared" si="3"/>
        <v>0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1"/>
    </row>
    <row r="53" spans="1:55" ht="16.5" customHeight="1" x14ac:dyDescent="0.25">
      <c r="A53" s="21"/>
      <c r="B53" s="16"/>
      <c r="C53" s="16"/>
      <c r="D53" s="22"/>
      <c r="E53" s="12"/>
      <c r="F53" s="49"/>
      <c r="G53" s="53"/>
      <c r="H53" s="46">
        <f t="shared" si="2"/>
        <v>0</v>
      </c>
      <c r="I53" s="49"/>
      <c r="J53" s="46">
        <f t="shared" si="3"/>
        <v>0</v>
      </c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1"/>
    </row>
    <row r="54" spans="1:55" ht="16.5" customHeight="1" thickBot="1" x14ac:dyDescent="0.3">
      <c r="A54" s="17"/>
      <c r="B54" s="18"/>
      <c r="C54" s="33"/>
      <c r="D54" s="19"/>
      <c r="E54" s="23"/>
      <c r="F54" s="50"/>
      <c r="G54" s="54"/>
      <c r="H54" s="58">
        <f t="shared" si="2"/>
        <v>0</v>
      </c>
      <c r="I54" s="50"/>
      <c r="J54" s="46">
        <f t="shared" si="3"/>
        <v>0</v>
      </c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1"/>
    </row>
    <row r="55" spans="1:55" ht="16.5" customHeight="1" x14ac:dyDescent="0.2">
      <c r="A55" s="143"/>
      <c r="B55" s="128" t="s">
        <v>8</v>
      </c>
      <c r="C55" s="129"/>
      <c r="D55" s="141" t="s">
        <v>0</v>
      </c>
      <c r="E55" s="110"/>
      <c r="F55" s="111"/>
      <c r="G55" s="111"/>
      <c r="H55" s="111"/>
      <c r="I55" s="111"/>
      <c r="J55" s="112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1"/>
    </row>
    <row r="56" spans="1:55" ht="16.5" customHeight="1" thickBot="1" x14ac:dyDescent="0.25">
      <c r="A56" s="144"/>
      <c r="B56" s="130"/>
      <c r="C56" s="131"/>
      <c r="D56" s="142"/>
      <c r="E56" s="113"/>
      <c r="F56" s="114"/>
      <c r="G56" s="114"/>
      <c r="H56" s="114"/>
      <c r="I56" s="114"/>
      <c r="J56" s="115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1"/>
    </row>
    <row r="57" spans="1:55" ht="16.5" customHeight="1" x14ac:dyDescent="0.25">
      <c r="A57" s="145" t="s">
        <v>36</v>
      </c>
      <c r="B57" s="146"/>
      <c r="C57" s="147"/>
      <c r="D57" s="20">
        <v>1</v>
      </c>
      <c r="E57" s="38"/>
      <c r="F57" s="48"/>
      <c r="G57" s="52"/>
      <c r="H57" s="46">
        <f t="shared" si="2"/>
        <v>0</v>
      </c>
      <c r="I57" s="48"/>
      <c r="J57" s="46">
        <f t="shared" ref="J57:J61" si="4">SUM(H57)+(I57*D57)</f>
        <v>0</v>
      </c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1"/>
    </row>
    <row r="58" spans="1:55" ht="16.5" customHeight="1" x14ac:dyDescent="0.25">
      <c r="A58" s="101" t="s">
        <v>37</v>
      </c>
      <c r="B58" s="102"/>
      <c r="C58" s="103"/>
      <c r="D58" s="22">
        <v>1</v>
      </c>
      <c r="E58" s="12"/>
      <c r="F58" s="49"/>
      <c r="G58" s="53">
        <v>450</v>
      </c>
      <c r="H58" s="46">
        <f t="shared" si="2"/>
        <v>450</v>
      </c>
      <c r="I58" s="49"/>
      <c r="J58" s="46">
        <f t="shared" si="4"/>
        <v>450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1"/>
    </row>
    <row r="59" spans="1:55" ht="16.5" customHeight="1" x14ac:dyDescent="0.25">
      <c r="A59" s="101"/>
      <c r="B59" s="102"/>
      <c r="C59" s="103"/>
      <c r="D59" s="22"/>
      <c r="E59" s="12"/>
      <c r="F59" s="49"/>
      <c r="G59" s="53"/>
      <c r="H59" s="46">
        <f t="shared" si="2"/>
        <v>0</v>
      </c>
      <c r="I59" s="49"/>
      <c r="J59" s="46">
        <f t="shared" si="4"/>
        <v>0</v>
      </c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1"/>
    </row>
    <row r="60" spans="1:55" ht="16.5" customHeight="1" x14ac:dyDescent="0.25">
      <c r="A60" s="101"/>
      <c r="B60" s="102"/>
      <c r="C60" s="103"/>
      <c r="D60" s="22"/>
      <c r="E60" s="23"/>
      <c r="F60" s="50"/>
      <c r="G60" s="54"/>
      <c r="H60" s="46">
        <f t="shared" si="2"/>
        <v>0</v>
      </c>
      <c r="I60" s="50"/>
      <c r="J60" s="46">
        <f t="shared" si="4"/>
        <v>0</v>
      </c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1"/>
    </row>
    <row r="61" spans="1:55" ht="16.5" customHeight="1" thickBot="1" x14ac:dyDescent="0.3">
      <c r="A61" s="136"/>
      <c r="B61" s="137"/>
      <c r="C61" s="138"/>
      <c r="D61" s="24"/>
      <c r="E61" s="25"/>
      <c r="F61" s="51"/>
      <c r="G61" s="55"/>
      <c r="H61" s="47">
        <f t="shared" si="2"/>
        <v>0</v>
      </c>
      <c r="I61" s="51"/>
      <c r="J61" s="46">
        <f t="shared" si="4"/>
        <v>0</v>
      </c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1"/>
    </row>
    <row r="62" spans="1:55" ht="16.5" customHeight="1" x14ac:dyDescent="0.2">
      <c r="A62" s="26"/>
      <c r="B62" s="27"/>
      <c r="C62" s="27"/>
      <c r="D62" s="28"/>
      <c r="E62" s="29"/>
      <c r="F62" s="29"/>
      <c r="G62" s="29"/>
      <c r="H62" s="29"/>
      <c r="I62" s="134" t="s">
        <v>17</v>
      </c>
      <c r="J62" s="106">
        <f>SUM(J8:J61)</f>
        <v>1550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1"/>
    </row>
    <row r="63" spans="1:55" ht="18.75" thickBot="1" x14ac:dyDescent="0.25">
      <c r="A63" s="26"/>
      <c r="B63" s="2"/>
      <c r="C63" s="31"/>
      <c r="D63" s="28"/>
      <c r="E63" s="29"/>
      <c r="F63" s="29"/>
      <c r="G63" s="29"/>
      <c r="H63" s="29"/>
      <c r="I63" s="135"/>
      <c r="J63" s="107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</row>
    <row r="64" spans="1:55" x14ac:dyDescent="0.2">
      <c r="A64" s="26"/>
      <c r="B64" s="27"/>
      <c r="C64" s="27"/>
      <c r="D64" s="28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</row>
    <row r="65" spans="1:54" x14ac:dyDescent="0.2">
      <c r="A65" s="26"/>
      <c r="B65" s="27"/>
      <c r="C65" s="27"/>
      <c r="D65" s="28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</row>
    <row r="66" spans="1:54" x14ac:dyDescent="0.2">
      <c r="A66" s="26"/>
      <c r="B66" s="27"/>
      <c r="C66" s="27"/>
      <c r="D66" s="28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</row>
    <row r="67" spans="1:54" x14ac:dyDescent="0.2">
      <c r="A67" s="26"/>
      <c r="B67" s="27"/>
      <c r="C67" s="27"/>
      <c r="D67" s="28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</row>
    <row r="68" spans="1:54" x14ac:dyDescent="0.2">
      <c r="A68" s="26"/>
      <c r="B68" s="27"/>
      <c r="C68" s="27"/>
      <c r="D68" s="28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</row>
    <row r="69" spans="1:54" x14ac:dyDescent="0.2">
      <c r="A69" s="26"/>
      <c r="B69" s="27"/>
      <c r="C69" s="27"/>
      <c r="D69" s="28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</row>
    <row r="70" spans="1:54" x14ac:dyDescent="0.2">
      <c r="A70" s="26"/>
      <c r="B70" s="27"/>
      <c r="C70" s="27"/>
      <c r="D70" s="28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</row>
    <row r="71" spans="1:54" x14ac:dyDescent="0.2">
      <c r="A71" s="26"/>
      <c r="B71" s="27"/>
      <c r="C71" s="27"/>
      <c r="D71" s="28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</row>
    <row r="72" spans="1:54" x14ac:dyDescent="0.2">
      <c r="A72" s="26"/>
      <c r="B72" s="27"/>
      <c r="C72" s="27"/>
      <c r="D72" s="28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</row>
    <row r="73" spans="1:54" x14ac:dyDescent="0.2">
      <c r="A73" s="26"/>
      <c r="B73" s="27"/>
      <c r="C73" s="27"/>
      <c r="D73" s="28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</row>
    <row r="74" spans="1:54" x14ac:dyDescent="0.2">
      <c r="A74" s="26"/>
      <c r="B74" s="27"/>
      <c r="C74" s="27"/>
      <c r="D74" s="28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</row>
    <row r="75" spans="1:54" x14ac:dyDescent="0.2">
      <c r="A75" s="26"/>
      <c r="B75" s="27"/>
      <c r="C75" s="27"/>
      <c r="D75" s="28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</row>
    <row r="76" spans="1:54" x14ac:dyDescent="0.2">
      <c r="A76" s="26"/>
      <c r="B76" s="27"/>
      <c r="C76" s="27"/>
      <c r="D76" s="28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</row>
    <row r="77" spans="1:54" x14ac:dyDescent="0.2">
      <c r="A77" s="26"/>
      <c r="B77" s="27"/>
      <c r="C77" s="27"/>
      <c r="D77" s="28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</row>
    <row r="78" spans="1:54" x14ac:dyDescent="0.2">
      <c r="A78" s="26"/>
      <c r="B78" s="27"/>
      <c r="C78" s="27"/>
      <c r="D78" s="28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</row>
    <row r="79" spans="1:54" x14ac:dyDescent="0.2">
      <c r="A79" s="26"/>
      <c r="B79" s="27"/>
      <c r="C79" s="27"/>
      <c r="D79" s="28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</row>
    <row r="80" spans="1:54" x14ac:dyDescent="0.2">
      <c r="A80" s="26"/>
      <c r="B80" s="27"/>
      <c r="C80" s="27"/>
      <c r="D80" s="28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</row>
    <row r="81" spans="1:54" x14ac:dyDescent="0.2">
      <c r="A81" s="26"/>
      <c r="B81" s="27"/>
      <c r="C81" s="27"/>
      <c r="D81" s="28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</row>
    <row r="82" spans="1:54" x14ac:dyDescent="0.2">
      <c r="A82" s="26"/>
      <c r="B82" s="27"/>
      <c r="C82" s="27"/>
      <c r="D82" s="28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</row>
    <row r="83" spans="1:54" x14ac:dyDescent="0.2">
      <c r="A83" s="26"/>
      <c r="B83" s="27"/>
      <c r="C83" s="27"/>
      <c r="D83" s="28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</row>
    <row r="84" spans="1:54" x14ac:dyDescent="0.2">
      <c r="A84" s="26"/>
      <c r="B84" s="27"/>
      <c r="C84" s="27"/>
      <c r="D84" s="28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</row>
    <row r="85" spans="1:54" x14ac:dyDescent="0.2">
      <c r="A85" s="26"/>
      <c r="B85" s="27"/>
      <c r="C85" s="27"/>
      <c r="D85" s="28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</row>
    <row r="86" spans="1:54" x14ac:dyDescent="0.2">
      <c r="A86" s="26"/>
      <c r="B86" s="27"/>
      <c r="C86" s="27"/>
      <c r="D86" s="28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</row>
    <row r="87" spans="1:54" x14ac:dyDescent="0.2">
      <c r="A87" s="26"/>
      <c r="B87" s="27"/>
      <c r="C87" s="27"/>
      <c r="D87" s="28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</row>
  </sheetData>
  <mergeCells count="33">
    <mergeCell ref="A60:C60"/>
    <mergeCell ref="A61:C61"/>
    <mergeCell ref="D13:D14"/>
    <mergeCell ref="A13:A14"/>
    <mergeCell ref="D55:D56"/>
    <mergeCell ref="A55:A56"/>
    <mergeCell ref="B55:C56"/>
    <mergeCell ref="A57:C57"/>
    <mergeCell ref="B13:C13"/>
    <mergeCell ref="D6:D7"/>
    <mergeCell ref="A10:C10"/>
    <mergeCell ref="A8:C8"/>
    <mergeCell ref="B6:C7"/>
    <mergeCell ref="E3:H3"/>
    <mergeCell ref="A4:A5"/>
    <mergeCell ref="D4:D5"/>
    <mergeCell ref="J62:J63"/>
    <mergeCell ref="F4:F5"/>
    <mergeCell ref="E55:J56"/>
    <mergeCell ref="E13:J14"/>
    <mergeCell ref="I4:I5"/>
    <mergeCell ref="J4:J5"/>
    <mergeCell ref="E4:E5"/>
    <mergeCell ref="G4:G5"/>
    <mergeCell ref="H4:H5"/>
    <mergeCell ref="I62:I63"/>
    <mergeCell ref="A6:A7"/>
    <mergeCell ref="A9:C9"/>
    <mergeCell ref="B4:C5"/>
    <mergeCell ref="A58:C58"/>
    <mergeCell ref="A59:C59"/>
    <mergeCell ref="A11:C11"/>
    <mergeCell ref="A12:C12"/>
  </mergeCells>
  <phoneticPr fontId="0" type="noConversion"/>
  <printOptions horizontalCentered="1" verticalCentered="1"/>
  <pageMargins left="0.19685039370078741" right="0.19685039370078741" top="0.39370078740157483" bottom="0.39370078740157483" header="0.39370078740157483" footer="0.59055118110236227"/>
  <pageSetup paperSize="9" scale="34" fitToHeight="15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D169E41C-C564-469E-A2B0-32E3BD8FE5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B66D30-71EF-4321-8F96-C120310996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6F9A2B-0F6A-45BB-B5FE-5E16C5A27D2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Maintenance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Engineering Business Academy</dc:creator>
  <cp:lastModifiedBy>The Engineering Business Academy</cp:lastModifiedBy>
  <cp:lastPrinted>2012-04-03T18:28:30Z</cp:lastPrinted>
  <dcterms:created xsi:type="dcterms:W3CDTF">2001-07-03T07:25:40Z</dcterms:created>
  <dcterms:modified xsi:type="dcterms:W3CDTF">2026-06-23T12:37:22Z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
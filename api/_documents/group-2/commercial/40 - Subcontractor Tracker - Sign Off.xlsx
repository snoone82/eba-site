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21" documentId="8_{F2CC8404-7252-412B-A913-865C4C9E9363}" xr6:coauthVersionLast="47" xr6:coauthVersionMax="47" xr10:uidLastSave="{69DEE5D9-0217-4BBA-B8C2-E30F800C1CC6}"/>
  <bookViews>
    <workbookView xWindow="-120" yWindow="-120" windowWidth="51840" windowHeight="21120" xr2:uid="{B46C3F53-0332-4B06-B736-CCB6575FB1C9}"/>
  </bookViews>
  <sheets>
    <sheet name="Job Numbers " sheetId="1" r:id="rId1"/>
  </sheets>
  <externalReferences>
    <externalReference r:id="rId2"/>
  </externalReferences>
  <definedNames>
    <definedName name="_xlnm._FilterDatabase" localSheetId="0" hidden="1">'Job Numbers '!$A$3:$AF$92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1" l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J64" i="1"/>
  <c r="J65" i="1"/>
  <c r="J66" i="1"/>
  <c r="P81" i="1"/>
  <c r="U81" i="1" s="1"/>
  <c r="K81" i="1"/>
  <c r="R81" i="1" s="1"/>
  <c r="J81" i="1"/>
  <c r="T92" i="1"/>
  <c r="P64" i="1"/>
  <c r="U64" i="1" s="1"/>
  <c r="P76" i="1"/>
  <c r="U76" i="1" s="1"/>
  <c r="K76" i="1"/>
  <c r="R76" i="1" s="1"/>
  <c r="J76" i="1"/>
  <c r="P80" i="1"/>
  <c r="U80" i="1" s="1"/>
  <c r="K80" i="1"/>
  <c r="AA80" i="1" s="1"/>
  <c r="J80" i="1"/>
  <c r="P58" i="1"/>
  <c r="P50" i="1"/>
  <c r="U50" i="1" s="1"/>
  <c r="K50" i="1"/>
  <c r="AA50" i="1" s="1"/>
  <c r="AB50" i="1" s="1"/>
  <c r="J50" i="1"/>
  <c r="X92" i="1"/>
  <c r="N92" i="1"/>
  <c r="M92" i="1"/>
  <c r="I92" i="1"/>
  <c r="H92" i="1"/>
  <c r="P91" i="1"/>
  <c r="U91" i="1" s="1"/>
  <c r="K91" i="1"/>
  <c r="R91" i="1" s="1"/>
  <c r="J91" i="1"/>
  <c r="P90" i="1"/>
  <c r="U90" i="1" s="1"/>
  <c r="K90" i="1"/>
  <c r="AA90" i="1" s="1"/>
  <c r="R90" i="1"/>
  <c r="J90" i="1"/>
  <c r="P89" i="1"/>
  <c r="U89" i="1" s="1"/>
  <c r="K89" i="1"/>
  <c r="AA89" i="1" s="1"/>
  <c r="J89" i="1"/>
  <c r="P88" i="1"/>
  <c r="U88" i="1" s="1"/>
  <c r="K88" i="1"/>
  <c r="AA88" i="1" s="1"/>
  <c r="J88" i="1"/>
  <c r="P87" i="1"/>
  <c r="U87" i="1" s="1"/>
  <c r="K87" i="1"/>
  <c r="AA87" i="1" s="1"/>
  <c r="J87" i="1"/>
  <c r="P86" i="1"/>
  <c r="U86" i="1" s="1"/>
  <c r="K86" i="1"/>
  <c r="AA86" i="1" s="1"/>
  <c r="J86" i="1"/>
  <c r="P85" i="1"/>
  <c r="U85" i="1" s="1"/>
  <c r="K85" i="1"/>
  <c r="AA85" i="1" s="1"/>
  <c r="J85" i="1"/>
  <c r="P84" i="1"/>
  <c r="U84" i="1" s="1"/>
  <c r="K84" i="1"/>
  <c r="AA84" i="1" s="1"/>
  <c r="J84" i="1"/>
  <c r="P83" i="1"/>
  <c r="U83" i="1" s="1"/>
  <c r="K83" i="1"/>
  <c r="R83" i="1" s="1"/>
  <c r="J83" i="1"/>
  <c r="P82" i="1"/>
  <c r="K82" i="1"/>
  <c r="AA82" i="1" s="1"/>
  <c r="J82" i="1"/>
  <c r="P79" i="1"/>
  <c r="U79" i="1" s="1"/>
  <c r="K79" i="1"/>
  <c r="AA79" i="1" s="1"/>
  <c r="J79" i="1"/>
  <c r="P78" i="1"/>
  <c r="U78" i="1" s="1"/>
  <c r="K78" i="1"/>
  <c r="J78" i="1"/>
  <c r="P77" i="1"/>
  <c r="U77" i="1" s="1"/>
  <c r="K77" i="1"/>
  <c r="J77" i="1"/>
  <c r="P75" i="1"/>
  <c r="U75" i="1" s="1"/>
  <c r="K75" i="1"/>
  <c r="R75" i="1" s="1"/>
  <c r="J75" i="1"/>
  <c r="P74" i="1"/>
  <c r="U74" i="1" s="1"/>
  <c r="K74" i="1"/>
  <c r="AA74" i="1" s="1"/>
  <c r="J74" i="1"/>
  <c r="P73" i="1"/>
  <c r="U73" i="1" s="1"/>
  <c r="K73" i="1"/>
  <c r="AA73" i="1" s="1"/>
  <c r="J73" i="1"/>
  <c r="P72" i="1"/>
  <c r="K72" i="1"/>
  <c r="AA72" i="1" s="1"/>
  <c r="J72" i="1"/>
  <c r="P71" i="1"/>
  <c r="U71" i="1" s="1"/>
  <c r="K71" i="1"/>
  <c r="J71" i="1"/>
  <c r="P70" i="1"/>
  <c r="U70" i="1" s="1"/>
  <c r="K70" i="1"/>
  <c r="J70" i="1"/>
  <c r="P69" i="1"/>
  <c r="U69" i="1" s="1"/>
  <c r="K69" i="1"/>
  <c r="AA69" i="1" s="1"/>
  <c r="J69" i="1"/>
  <c r="P68" i="1"/>
  <c r="U68" i="1" s="1"/>
  <c r="K68" i="1"/>
  <c r="R68" i="1" s="1"/>
  <c r="J68" i="1"/>
  <c r="P67" i="1"/>
  <c r="U67" i="1" s="1"/>
  <c r="K67" i="1"/>
  <c r="AA67" i="1" s="1"/>
  <c r="J67" i="1"/>
  <c r="P66" i="1"/>
  <c r="U66" i="1" s="1"/>
  <c r="K66" i="1"/>
  <c r="AA66" i="1" s="1"/>
  <c r="P65" i="1"/>
  <c r="U65" i="1" s="1"/>
  <c r="K65" i="1"/>
  <c r="AA65" i="1" s="1"/>
  <c r="K64" i="1"/>
  <c r="AA64" i="1" s="1"/>
  <c r="P63" i="1"/>
  <c r="U63" i="1" s="1"/>
  <c r="K63" i="1"/>
  <c r="AA63" i="1" s="1"/>
  <c r="J63" i="1"/>
  <c r="P62" i="1"/>
  <c r="U62" i="1" s="1"/>
  <c r="AA62" i="1"/>
  <c r="J62" i="1"/>
  <c r="P61" i="1"/>
  <c r="U61" i="1" s="1"/>
  <c r="K61" i="1"/>
  <c r="R61" i="1" s="1"/>
  <c r="J61" i="1"/>
  <c r="P60" i="1"/>
  <c r="U60" i="1" s="1"/>
  <c r="K60" i="1"/>
  <c r="AA60" i="1" s="1"/>
  <c r="J60" i="1"/>
  <c r="P59" i="1"/>
  <c r="U59" i="1" s="1"/>
  <c r="K59" i="1"/>
  <c r="AA59" i="1" s="1"/>
  <c r="J59" i="1"/>
  <c r="K58" i="1"/>
  <c r="R58" i="1" s="1"/>
  <c r="J58" i="1"/>
  <c r="P57" i="1"/>
  <c r="U57" i="1" s="1"/>
  <c r="K57" i="1"/>
  <c r="AA57" i="1" s="1"/>
  <c r="J57" i="1"/>
  <c r="P56" i="1"/>
  <c r="U56" i="1" s="1"/>
  <c r="K56" i="1"/>
  <c r="AA56" i="1" s="1"/>
  <c r="J56" i="1"/>
  <c r="P55" i="1"/>
  <c r="U55" i="1" s="1"/>
  <c r="K55" i="1"/>
  <c r="AA55" i="1" s="1"/>
  <c r="J55" i="1"/>
  <c r="P54" i="1"/>
  <c r="U54" i="1" s="1"/>
  <c r="K54" i="1"/>
  <c r="R54" i="1" s="1"/>
  <c r="J54" i="1"/>
  <c r="P53" i="1"/>
  <c r="U53" i="1" s="1"/>
  <c r="K53" i="1"/>
  <c r="R53" i="1" s="1"/>
  <c r="J53" i="1"/>
  <c r="P52" i="1"/>
  <c r="K52" i="1"/>
  <c r="AA52" i="1" s="1"/>
  <c r="AB52" i="1" s="1"/>
  <c r="J52" i="1"/>
  <c r="P51" i="1"/>
  <c r="U51" i="1" s="1"/>
  <c r="K51" i="1"/>
  <c r="AA51" i="1" s="1"/>
  <c r="AB51" i="1" s="1"/>
  <c r="J51" i="1"/>
  <c r="P49" i="1"/>
  <c r="U49" i="1" s="1"/>
  <c r="K49" i="1"/>
  <c r="AA49" i="1" s="1"/>
  <c r="AB49" i="1" s="1"/>
  <c r="J49" i="1"/>
  <c r="P48" i="1"/>
  <c r="U48" i="1" s="1"/>
  <c r="K48" i="1"/>
  <c r="AA48" i="1" s="1"/>
  <c r="AB48" i="1" s="1"/>
  <c r="J48" i="1"/>
  <c r="P47" i="1"/>
  <c r="U47" i="1" s="1"/>
  <c r="K47" i="1"/>
  <c r="R47" i="1" s="1"/>
  <c r="J47" i="1"/>
  <c r="P46" i="1"/>
  <c r="U46" i="1" s="1"/>
  <c r="K46" i="1"/>
  <c r="AA46" i="1" s="1"/>
  <c r="AB46" i="1" s="1"/>
  <c r="J46" i="1"/>
  <c r="P45" i="1"/>
  <c r="U45" i="1" s="1"/>
  <c r="K45" i="1"/>
  <c r="R45" i="1" s="1"/>
  <c r="J45" i="1"/>
  <c r="P44" i="1"/>
  <c r="U44" i="1" s="1"/>
  <c r="K44" i="1"/>
  <c r="R44" i="1" s="1"/>
  <c r="J44" i="1"/>
  <c r="P43" i="1"/>
  <c r="U43" i="1" s="1"/>
  <c r="K43" i="1"/>
  <c r="AA43" i="1" s="1"/>
  <c r="J43" i="1"/>
  <c r="P42" i="1"/>
  <c r="U42" i="1" s="1"/>
  <c r="K42" i="1"/>
  <c r="R42" i="1" s="1"/>
  <c r="J42" i="1"/>
  <c r="P41" i="1"/>
  <c r="U41" i="1" s="1"/>
  <c r="K41" i="1"/>
  <c r="AA41" i="1" s="1"/>
  <c r="J41" i="1"/>
  <c r="P40" i="1"/>
  <c r="U40" i="1" s="1"/>
  <c r="K40" i="1"/>
  <c r="AA40" i="1" s="1"/>
  <c r="J40" i="1"/>
  <c r="P39" i="1"/>
  <c r="U39" i="1" s="1"/>
  <c r="K39" i="1"/>
  <c r="AA39" i="1" s="1"/>
  <c r="J39" i="1"/>
  <c r="P38" i="1"/>
  <c r="U38" i="1" s="1"/>
  <c r="K38" i="1"/>
  <c r="AA38" i="1" s="1"/>
  <c r="J38" i="1"/>
  <c r="P37" i="1"/>
  <c r="U37" i="1" s="1"/>
  <c r="K37" i="1"/>
  <c r="R37" i="1" s="1"/>
  <c r="J37" i="1"/>
  <c r="P36" i="1"/>
  <c r="U36" i="1" s="1"/>
  <c r="K36" i="1"/>
  <c r="R36" i="1" s="1"/>
  <c r="J36" i="1"/>
  <c r="P35" i="1"/>
  <c r="U35" i="1" s="1"/>
  <c r="K35" i="1"/>
  <c r="AA35" i="1" s="1"/>
  <c r="J35" i="1"/>
  <c r="P34" i="1"/>
  <c r="U34" i="1" s="1"/>
  <c r="K34" i="1"/>
  <c r="AA34" i="1" s="1"/>
  <c r="J34" i="1"/>
  <c r="P33" i="1"/>
  <c r="U33" i="1" s="1"/>
  <c r="K33" i="1"/>
  <c r="J33" i="1"/>
  <c r="P32" i="1"/>
  <c r="K32" i="1"/>
  <c r="AA32" i="1" s="1"/>
  <c r="J32" i="1"/>
  <c r="P31" i="1"/>
  <c r="U31" i="1" s="1"/>
  <c r="K31" i="1"/>
  <c r="AA31" i="1" s="1"/>
  <c r="J31" i="1"/>
  <c r="P30" i="1"/>
  <c r="U30" i="1" s="1"/>
  <c r="K30" i="1"/>
  <c r="R30" i="1" s="1"/>
  <c r="J30" i="1"/>
  <c r="P29" i="1"/>
  <c r="U29" i="1" s="1"/>
  <c r="K29" i="1"/>
  <c r="R29" i="1" s="1"/>
  <c r="J29" i="1"/>
  <c r="P28" i="1"/>
  <c r="U28" i="1" s="1"/>
  <c r="K28" i="1"/>
  <c r="R28" i="1" s="1"/>
  <c r="J28" i="1"/>
  <c r="P27" i="1"/>
  <c r="U27" i="1" s="1"/>
  <c r="K27" i="1"/>
  <c r="AA27" i="1" s="1"/>
  <c r="J27" i="1"/>
  <c r="P26" i="1"/>
  <c r="U26" i="1" s="1"/>
  <c r="K26" i="1"/>
  <c r="AA26" i="1" s="1"/>
  <c r="J26" i="1"/>
  <c r="P25" i="1"/>
  <c r="U25" i="1" s="1"/>
  <c r="K25" i="1"/>
  <c r="R25" i="1" s="1"/>
  <c r="J25" i="1"/>
  <c r="P24" i="1"/>
  <c r="U24" i="1" s="1"/>
  <c r="K24" i="1"/>
  <c r="R24" i="1" s="1"/>
  <c r="J24" i="1"/>
  <c r="P23" i="1"/>
  <c r="U23" i="1" s="1"/>
  <c r="K23" i="1"/>
  <c r="AA23" i="1" s="1"/>
  <c r="J23" i="1"/>
  <c r="P22" i="1"/>
  <c r="U22" i="1" s="1"/>
  <c r="K22" i="1"/>
  <c r="AA22" i="1" s="1"/>
  <c r="J22" i="1"/>
  <c r="P21" i="1"/>
  <c r="U21" i="1" s="1"/>
  <c r="K21" i="1"/>
  <c r="R21" i="1" s="1"/>
  <c r="J21" i="1"/>
  <c r="P20" i="1"/>
  <c r="U20" i="1" s="1"/>
  <c r="K20" i="1"/>
  <c r="AA20" i="1" s="1"/>
  <c r="J20" i="1"/>
  <c r="P19" i="1"/>
  <c r="U19" i="1" s="1"/>
  <c r="K19" i="1"/>
  <c r="R19" i="1" s="1"/>
  <c r="J19" i="1"/>
  <c r="P18" i="1"/>
  <c r="U18" i="1" s="1"/>
  <c r="K18" i="1"/>
  <c r="R18" i="1" s="1"/>
  <c r="J18" i="1"/>
  <c r="P17" i="1"/>
  <c r="U17" i="1" s="1"/>
  <c r="K17" i="1"/>
  <c r="AA17" i="1" s="1"/>
  <c r="J17" i="1"/>
  <c r="P16" i="1"/>
  <c r="U16" i="1" s="1"/>
  <c r="K16" i="1"/>
  <c r="AA16" i="1" s="1"/>
  <c r="J16" i="1"/>
  <c r="P15" i="1"/>
  <c r="U15" i="1" s="1"/>
  <c r="K15" i="1"/>
  <c r="AA15" i="1" s="1"/>
  <c r="J15" i="1"/>
  <c r="P14" i="1"/>
  <c r="U14" i="1" s="1"/>
  <c r="K14" i="1"/>
  <c r="AA14" i="1" s="1"/>
  <c r="J14" i="1"/>
  <c r="P13" i="1"/>
  <c r="U13" i="1" s="1"/>
  <c r="K13" i="1"/>
  <c r="AA13" i="1" s="1"/>
  <c r="J13" i="1"/>
  <c r="P12" i="1"/>
  <c r="U12" i="1" s="1"/>
  <c r="K12" i="1"/>
  <c r="R12" i="1" s="1"/>
  <c r="J12" i="1"/>
  <c r="P11" i="1"/>
  <c r="K11" i="1"/>
  <c r="R11" i="1" s="1"/>
  <c r="J11" i="1"/>
  <c r="P10" i="1"/>
  <c r="U10" i="1" s="1"/>
  <c r="K10" i="1"/>
  <c r="AA10" i="1" s="1"/>
  <c r="J10" i="1"/>
  <c r="P9" i="1"/>
  <c r="U9" i="1" s="1"/>
  <c r="K9" i="1"/>
  <c r="AA9" i="1" s="1"/>
  <c r="AB9" i="1" s="1"/>
  <c r="J9" i="1"/>
  <c r="P8" i="1"/>
  <c r="U8" i="1" s="1"/>
  <c r="K8" i="1"/>
  <c r="AA8" i="1" s="1"/>
  <c r="AB8" i="1" s="1"/>
  <c r="J8" i="1"/>
  <c r="P7" i="1"/>
  <c r="U7" i="1" s="1"/>
  <c r="K7" i="1"/>
  <c r="AA7" i="1" s="1"/>
  <c r="AB7" i="1" s="1"/>
  <c r="J7" i="1"/>
  <c r="P6" i="1"/>
  <c r="U6" i="1" s="1"/>
  <c r="K6" i="1"/>
  <c r="AA6" i="1" s="1"/>
  <c r="AB6" i="1" s="1"/>
  <c r="J6" i="1"/>
  <c r="P5" i="1"/>
  <c r="U5" i="1" s="1"/>
  <c r="K5" i="1"/>
  <c r="R5" i="1" s="1"/>
  <c r="J5" i="1"/>
  <c r="P4" i="1"/>
  <c r="K4" i="1"/>
  <c r="AA4" i="1" s="1"/>
  <c r="AB4" i="1" s="1"/>
  <c r="J4" i="1"/>
  <c r="R50" i="1"/>
  <c r="R88" i="1"/>
  <c r="R87" i="1"/>
  <c r="R85" i="1" l="1"/>
  <c r="AA70" i="1"/>
  <c r="R70" i="1"/>
  <c r="AA77" i="1"/>
  <c r="R77" i="1"/>
  <c r="AA71" i="1"/>
  <c r="R71" i="1"/>
  <c r="AA78" i="1"/>
  <c r="R78" i="1"/>
  <c r="O81" i="1"/>
  <c r="AA81" i="1"/>
  <c r="AA54" i="1"/>
  <c r="AB54" i="1" s="1"/>
  <c r="O90" i="1"/>
  <c r="R60" i="1"/>
  <c r="R80" i="1"/>
  <c r="O91" i="1"/>
  <c r="AA44" i="1"/>
  <c r="O76" i="1"/>
  <c r="O80" i="1"/>
  <c r="O79" i="1"/>
  <c r="R22" i="1"/>
  <c r="AA29" i="1"/>
  <c r="R14" i="1"/>
  <c r="R79" i="1"/>
  <c r="R8" i="1"/>
  <c r="R55" i="1"/>
  <c r="R46" i="1"/>
  <c r="O69" i="1"/>
  <c r="R49" i="1"/>
  <c r="O55" i="1"/>
  <c r="AA36" i="1"/>
  <c r="R9" i="1"/>
  <c r="R17" i="1"/>
  <c r="R73" i="1"/>
  <c r="R84" i="1"/>
  <c r="R26" i="1"/>
  <c r="AA37" i="1"/>
  <c r="O88" i="1"/>
  <c r="O73" i="1"/>
  <c r="O50" i="1"/>
  <c r="R48" i="1"/>
  <c r="R86" i="1"/>
  <c r="AA53" i="1"/>
  <c r="AB53" i="1" s="1"/>
  <c r="R59" i="1"/>
  <c r="R82" i="1"/>
  <c r="O9" i="1"/>
  <c r="R6" i="1"/>
  <c r="O70" i="1"/>
  <c r="O7" i="1"/>
  <c r="R15" i="1"/>
  <c r="O87" i="1"/>
  <c r="O86" i="1"/>
  <c r="O71" i="1"/>
  <c r="R56" i="1"/>
  <c r="O48" i="1"/>
  <c r="O84" i="1"/>
  <c r="R16" i="1"/>
  <c r="O67" i="1"/>
  <c r="R43" i="1"/>
  <c r="O58" i="1"/>
  <c r="O82" i="1"/>
  <c r="R57" i="1"/>
  <c r="U58" i="1"/>
  <c r="O37" i="1"/>
  <c r="O77" i="1"/>
  <c r="AA83" i="1"/>
  <c r="AA68" i="1"/>
  <c r="R72" i="1"/>
  <c r="O16" i="1"/>
  <c r="R63" i="1"/>
  <c r="O57" i="1"/>
  <c r="O24" i="1"/>
  <c r="O14" i="1"/>
  <c r="O64" i="1"/>
  <c r="O31" i="1"/>
  <c r="AA18" i="1"/>
  <c r="O18" i="1"/>
  <c r="O29" i="1"/>
  <c r="O39" i="1"/>
  <c r="O60" i="1"/>
  <c r="R13" i="1"/>
  <c r="O56" i="1"/>
  <c r="O89" i="1"/>
  <c r="R34" i="1"/>
  <c r="AA91" i="1"/>
  <c r="AB91" i="1" s="1"/>
  <c r="O47" i="1"/>
  <c r="U82" i="1"/>
  <c r="R74" i="1"/>
  <c r="O6" i="1"/>
  <c r="O83" i="1"/>
  <c r="R51" i="1"/>
  <c r="R52" i="1"/>
  <c r="O75" i="1"/>
  <c r="R4" i="1"/>
  <c r="R31" i="1"/>
  <c r="O15" i="1"/>
  <c r="O61" i="1"/>
  <c r="AA30" i="1"/>
  <c r="O32" i="1"/>
  <c r="AA61" i="1"/>
  <c r="O28" i="1"/>
  <c r="O46" i="1"/>
  <c r="O22" i="1"/>
  <c r="O52" i="1"/>
  <c r="R40" i="1"/>
  <c r="AA25" i="1"/>
  <c r="O20" i="1"/>
  <c r="O13" i="1"/>
  <c r="O40" i="1"/>
  <c r="R67" i="1"/>
  <c r="P92" i="1"/>
  <c r="O72" i="1"/>
  <c r="AA5" i="1"/>
  <c r="O25" i="1"/>
  <c r="O35" i="1"/>
  <c r="AA19" i="1"/>
  <c r="O62" i="1"/>
  <c r="O10" i="1"/>
  <c r="R35" i="1"/>
  <c r="O23" i="1"/>
  <c r="AA45" i="1"/>
  <c r="AB45" i="1" s="1"/>
  <c r="O43" i="1"/>
  <c r="R32" i="1"/>
  <c r="AA58" i="1"/>
  <c r="O19" i="1"/>
  <c r="R7" i="1"/>
  <c r="R38" i="1"/>
  <c r="R10" i="1"/>
  <c r="O85" i="1"/>
  <c r="O38" i="1"/>
  <c r="R23" i="1"/>
  <c r="R89" i="1"/>
  <c r="U72" i="1"/>
  <c r="O33" i="1"/>
  <c r="O11" i="1"/>
  <c r="O53" i="1"/>
  <c r="O12" i="1"/>
  <c r="O78" i="1"/>
  <c r="O30" i="1"/>
  <c r="O54" i="1"/>
  <c r="O66" i="1"/>
  <c r="R27" i="1"/>
  <c r="O44" i="1"/>
  <c r="O8" i="1"/>
  <c r="O74" i="1"/>
  <c r="O5" i="1"/>
  <c r="O34" i="1"/>
  <c r="O59" i="1"/>
  <c r="O4" i="1"/>
  <c r="O45" i="1"/>
  <c r="O21" i="1"/>
  <c r="O65" i="1"/>
  <c r="O49" i="1"/>
  <c r="O17" i="1"/>
  <c r="R39" i="1"/>
  <c r="AA75" i="1"/>
  <c r="AA21" i="1"/>
  <c r="O27" i="1"/>
  <c r="O51" i="1"/>
  <c r="AA12" i="1"/>
  <c r="O68" i="1"/>
  <c r="AA11" i="1"/>
  <c r="U32" i="1"/>
  <c r="AA47" i="1"/>
  <c r="AB47" i="1" s="1"/>
  <c r="O26" i="1"/>
  <c r="AA42" i="1"/>
  <c r="R33" i="1"/>
  <c r="AA24" i="1"/>
  <c r="R20" i="1"/>
  <c r="AA33" i="1"/>
  <c r="R69" i="1"/>
  <c r="O41" i="1"/>
  <c r="K92" i="1"/>
  <c r="O36" i="1"/>
  <c r="U52" i="1"/>
  <c r="O42" i="1"/>
  <c r="R62" i="1"/>
  <c r="O63" i="1"/>
  <c r="R41" i="1"/>
  <c r="AA76" i="1"/>
  <c r="AA28" i="1"/>
  <c r="R92" i="1" l="1"/>
  <c r="U9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Peers</author>
    <author>Ryan Jones</author>
  </authors>
  <commentList>
    <comment ref="M21" authorId="0" shapeId="0" xr:uid="{7935EE69-1F02-47A8-990C-64377430D3C5}">
      <text>
        <r>
          <rPr>
            <b/>
            <sz val="9"/>
            <color indexed="81"/>
            <rFont val="Tahoma"/>
            <family val="2"/>
          </rPr>
          <t>Michelle Peers:</t>
        </r>
        <r>
          <rPr>
            <sz val="9"/>
            <color indexed="81"/>
            <rFont val="Tahoma"/>
            <family val="2"/>
          </rPr>
          <t xml:space="preserve">
Contract works over applied at £2,190k</t>
        </r>
      </text>
    </comment>
    <comment ref="Y27" authorId="1" shapeId="0" xr:uid="{0AADCC29-1AC3-46D0-97BC-495EFE874B2D}">
      <text>
        <r>
          <rPr>
            <b/>
            <sz val="9"/>
            <color indexed="81"/>
            <rFont val="Tahoma"/>
            <family val="2"/>
          </rPr>
          <t>Ryan Jones:</t>
        </r>
        <r>
          <rPr>
            <sz val="9"/>
            <color indexed="81"/>
            <rFont val="Tahoma"/>
            <family val="2"/>
          </rPr>
          <t xml:space="preserve">
PLN With comments within application </t>
        </r>
      </text>
    </comment>
  </commentList>
</comments>
</file>

<file path=xl/sharedStrings.xml><?xml version="1.0" encoding="utf-8"?>
<sst xmlns="http://schemas.openxmlformats.org/spreadsheetml/2006/main" count="31" uniqueCount="29">
  <si>
    <t xml:space="preserve">Sub-Contract Tracker </t>
  </si>
  <si>
    <t xml:space="preserve">Month / Year </t>
  </si>
  <si>
    <t>Sub-Contractor Name</t>
  </si>
  <si>
    <t xml:space="preserve">Job No. </t>
  </si>
  <si>
    <t>Contract</t>
  </si>
  <si>
    <t>PM</t>
  </si>
  <si>
    <t>Pre-Let 
Signed
(Y/N)</t>
  </si>
  <si>
    <t>S/C Order  Signed 
(Y/N)</t>
  </si>
  <si>
    <t>PO No.</t>
  </si>
  <si>
    <t xml:space="preserve">Order Value </t>
  </si>
  <si>
    <t>Variations
(Indentified)</t>
  </si>
  <si>
    <t>OV/VO % Ratio</t>
  </si>
  <si>
    <t>Total</t>
  </si>
  <si>
    <t>Applied (Contract)</t>
  </si>
  <si>
    <t>Applied (Variations)</t>
  </si>
  <si>
    <t>% applied</t>
  </si>
  <si>
    <t>Construction Manager Value (Delta)</t>
  </si>
  <si>
    <t>Certified (Cumulative)</t>
  </si>
  <si>
    <t>Applied in Period</t>
  </si>
  <si>
    <t xml:space="preserve">AFP No. </t>
  </si>
  <si>
    <t>AFP Date</t>
  </si>
  <si>
    <t>PM approved</t>
  </si>
  <si>
    <t>Director / SCM Authorise
LOA</t>
  </si>
  <si>
    <t>Contract Works % Certified</t>
  </si>
  <si>
    <t>Final Accounts Cert. to be Issued</t>
  </si>
  <si>
    <t>FA Agreed Signed 
Y/N</t>
  </si>
  <si>
    <t>Comments</t>
  </si>
  <si>
    <t xml:space="preserve">&lt; 20% </t>
  </si>
  <si>
    <t xml:space="preserve">Test -Insert Hyperlink to  CSA in Contact File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</si>
</sst>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£&quot;#,##0.00;[Red]\-&quot;£&quot;#,##0.00"/>
    <numFmt numFmtId="44" formatCode="_-&quot;£&quot;* #,##0.00_-;\-&quot;£&quot;* #,##0.00_-;_-&quot;£&quot;* &quot;-&quot;??_-;_-@_-"/>
    <numFmt numFmtId="164" formatCode="_(* #,##0.00_);_(* \(#,##0.0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rial"/>
      <family val="1"/>
    </font>
    <font>
      <sz val="10"/>
      <name val="Arial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2"/>
      <color theme="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</cellStyleXfs>
  <cellXfs count="15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9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2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4" fontId="0" fillId="0" borderId="2" xfId="2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" fontId="0" fillId="0" borderId="2" xfId="0" applyNumberFormat="1" applyBorder="1" applyAlignment="1">
      <alignment horizontal="center" vertical="center"/>
    </xf>
    <xf numFmtId="44" fontId="0" fillId="5" borderId="0" xfId="2" applyFont="1" applyFill="1" applyAlignment="1">
      <alignment horizontal="center" vertical="center"/>
    </xf>
    <xf numFmtId="44" fontId="0" fillId="0" borderId="0" xfId="2" applyFont="1" applyFill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44" fontId="0" fillId="0" borderId="2" xfId="2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44" fontId="0" fillId="0" borderId="5" xfId="2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7" xfId="2" applyFont="1" applyFill="1" applyBorder="1" applyAlignment="1">
      <alignment horizontal="center" vertical="center"/>
    </xf>
    <xf numFmtId="9" fontId="0" fillId="0" borderId="7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4" fontId="0" fillId="0" borderId="4" xfId="2" applyFont="1" applyFill="1" applyBorder="1" applyAlignment="1">
      <alignment horizontal="center" vertical="center"/>
    </xf>
    <xf numFmtId="9" fontId="0" fillId="0" borderId="3" xfId="1" applyFont="1" applyFill="1" applyBorder="1" applyAlignment="1">
      <alignment horizontal="center" vertical="center"/>
    </xf>
    <xf numFmtId="44" fontId="0" fillId="0" borderId="3" xfId="2" applyFont="1" applyFill="1" applyBorder="1" applyAlignment="1">
      <alignment horizontal="center" vertical="center"/>
    </xf>
    <xf numFmtId="44" fontId="0" fillId="0" borderId="0" xfId="2" applyFont="1" applyFill="1" applyBorder="1" applyAlignment="1">
      <alignment horizontal="center" vertical="center"/>
    </xf>
    <xf numFmtId="44" fontId="2" fillId="0" borderId="2" xfId="2" applyFont="1" applyBorder="1" applyAlignment="1">
      <alignment horizontal="center" vertical="center"/>
    </xf>
    <xf numFmtId="44" fontId="2" fillId="0" borderId="5" xfId="2" applyFont="1" applyBorder="1" applyAlignment="1">
      <alignment horizontal="center" vertical="center"/>
    </xf>
    <xf numFmtId="44" fontId="2" fillId="0" borderId="4" xfId="2" applyFont="1" applyFill="1" applyBorder="1" applyAlignment="1">
      <alignment horizontal="center" vertical="center"/>
    </xf>
    <xf numFmtId="44" fontId="2" fillId="0" borderId="2" xfId="2" applyFont="1" applyFill="1" applyBorder="1" applyAlignment="1">
      <alignment horizontal="center" vertical="center"/>
    </xf>
    <xf numFmtId="8" fontId="0" fillId="0" borderId="2" xfId="2" applyNumberFormat="1" applyFont="1" applyBorder="1" applyAlignment="1">
      <alignment horizontal="center" vertical="center"/>
    </xf>
    <xf numFmtId="8" fontId="0" fillId="0" borderId="5" xfId="2" applyNumberFormat="1" applyFont="1" applyBorder="1" applyAlignment="1">
      <alignment horizontal="center" vertical="center"/>
    </xf>
    <xf numFmtId="8" fontId="0" fillId="0" borderId="4" xfId="2" applyNumberFormat="1" applyFont="1" applyFill="1" applyBorder="1" applyAlignment="1">
      <alignment horizontal="center" vertical="center"/>
    </xf>
    <xf numFmtId="8" fontId="0" fillId="0" borderId="2" xfId="2" applyNumberFormat="1" applyFont="1" applyFill="1" applyBorder="1" applyAlignment="1">
      <alignment horizontal="center" vertical="center"/>
    </xf>
    <xf numFmtId="8" fontId="0" fillId="0" borderId="7" xfId="2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44" fontId="2" fillId="7" borderId="4" xfId="2" applyFont="1" applyFill="1" applyBorder="1" applyAlignment="1">
      <alignment horizontal="center" vertical="center"/>
    </xf>
    <xf numFmtId="44" fontId="2" fillId="7" borderId="2" xfId="2" applyFont="1" applyFill="1" applyBorder="1" applyAlignment="1">
      <alignment horizontal="center" vertical="center"/>
    </xf>
    <xf numFmtId="44" fontId="2" fillId="7" borderId="3" xfId="2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/>
    </xf>
    <xf numFmtId="44" fontId="2" fillId="3" borderId="4" xfId="2" applyFont="1" applyFill="1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9" fontId="0" fillId="0" borderId="9" xfId="1" applyFont="1" applyBorder="1"/>
    <xf numFmtId="9" fontId="0" fillId="0" borderId="10" xfId="1" applyFont="1" applyBorder="1"/>
    <xf numFmtId="9" fontId="0" fillId="0" borderId="10" xfId="1" applyFont="1" applyFill="1" applyBorder="1"/>
    <xf numFmtId="9" fontId="2" fillId="0" borderId="10" xfId="1" applyFont="1" applyBorder="1"/>
    <xf numFmtId="9" fontId="0" fillId="0" borderId="11" xfId="1" applyFont="1" applyBorder="1"/>
    <xf numFmtId="9" fontId="0" fillId="0" borderId="4" xfId="1" applyFont="1" applyBorder="1"/>
    <xf numFmtId="0" fontId="0" fillId="0" borderId="4" xfId="0" applyBorder="1"/>
    <xf numFmtId="44" fontId="1" fillId="0" borderId="0" xfId="2" applyFont="1" applyFill="1" applyAlignment="1">
      <alignment horizontal="center" vertical="center"/>
    </xf>
    <xf numFmtId="44" fontId="1" fillId="0" borderId="0" xfId="2" applyFont="1" applyFill="1" applyBorder="1" applyAlignment="1">
      <alignment horizontal="center" vertical="center"/>
    </xf>
    <xf numFmtId="44" fontId="1" fillId="0" borderId="0" xfId="2" applyFont="1" applyAlignment="1">
      <alignment horizontal="center" vertical="center"/>
    </xf>
    <xf numFmtId="44" fontId="2" fillId="0" borderId="3" xfId="2" applyFont="1" applyBorder="1" applyAlignment="1">
      <alignment horizontal="center" vertical="center"/>
    </xf>
    <xf numFmtId="0" fontId="0" fillId="0" borderId="0" xfId="0" applyAlignment="1">
      <alignment horizontal="left"/>
    </xf>
    <xf numFmtId="9" fontId="0" fillId="0" borderId="2" xfId="1" applyFont="1" applyFill="1" applyBorder="1" applyAlignment="1">
      <alignment horizontal="center" vertical="center"/>
    </xf>
    <xf numFmtId="44" fontId="2" fillId="0" borderId="3" xfId="2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44" fontId="0" fillId="2" borderId="13" xfId="2" applyFont="1" applyFill="1" applyBorder="1" applyAlignment="1">
      <alignment horizontal="center" vertical="center"/>
    </xf>
    <xf numFmtId="9" fontId="0" fillId="2" borderId="13" xfId="1" applyFont="1" applyFill="1" applyBorder="1" applyAlignment="1">
      <alignment horizontal="center" vertical="center"/>
    </xf>
    <xf numFmtId="44" fontId="0" fillId="2" borderId="13" xfId="2" applyFont="1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9" fontId="0" fillId="2" borderId="13" xfId="1" applyFont="1" applyFill="1" applyBorder="1" applyProtection="1">
      <protection locked="0"/>
    </xf>
    <xf numFmtId="0" fontId="0" fillId="0" borderId="13" xfId="0" applyBorder="1" applyAlignment="1">
      <alignment horizontal="center" vertical="center"/>
    </xf>
    <xf numFmtId="9" fontId="0" fillId="0" borderId="13" xfId="1" applyFont="1" applyBorder="1"/>
    <xf numFmtId="44" fontId="2" fillId="8" borderId="2" xfId="2" applyFont="1" applyFill="1" applyBorder="1" applyAlignment="1">
      <alignment horizontal="center" vertical="center"/>
    </xf>
    <xf numFmtId="44" fontId="2" fillId="8" borderId="4" xfId="2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17" fontId="0" fillId="0" borderId="0" xfId="0" applyNumberFormat="1" applyAlignment="1">
      <alignment horizontal="center"/>
    </xf>
    <xf numFmtId="9" fontId="0" fillId="6" borderId="10" xfId="1" applyFont="1" applyFill="1" applyBorder="1"/>
    <xf numFmtId="0" fontId="0" fillId="0" borderId="14" xfId="0" applyBorder="1" applyAlignment="1">
      <alignment horizontal="center" wrapText="1"/>
    </xf>
    <xf numFmtId="164" fontId="0" fillId="0" borderId="0" xfId="0" applyNumberFormat="1"/>
    <xf numFmtId="0" fontId="2" fillId="2" borderId="15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44" fontId="2" fillId="2" borderId="15" xfId="2" applyFont="1" applyFill="1" applyBorder="1" applyAlignment="1">
      <alignment horizontal="center" vertical="center" wrapText="1"/>
    </xf>
    <xf numFmtId="44" fontId="2" fillId="0" borderId="15" xfId="2" applyFont="1" applyFill="1" applyBorder="1" applyAlignment="1">
      <alignment horizontal="center" vertical="center" wrapText="1"/>
    </xf>
    <xf numFmtId="44" fontId="1" fillId="2" borderId="15" xfId="2" applyFont="1" applyFill="1" applyBorder="1" applyAlignment="1">
      <alignment horizontal="center" vertical="center" wrapText="1"/>
    </xf>
    <xf numFmtId="9" fontId="2" fillId="4" borderId="16" xfId="0" applyNumberFormat="1" applyFont="1" applyFill="1" applyBorder="1" applyAlignment="1">
      <alignment horizontal="center" vertical="center" wrapText="1"/>
    </xf>
    <xf numFmtId="9" fontId="2" fillId="0" borderId="17" xfId="1" applyFont="1" applyBorder="1" applyAlignment="1">
      <alignment horizontal="center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44" fontId="2" fillId="3" borderId="18" xfId="2" applyFont="1" applyFill="1" applyBorder="1" applyAlignment="1">
      <alignment horizontal="center" vertical="center" wrapText="1"/>
    </xf>
    <xf numFmtId="9" fontId="2" fillId="3" borderId="18" xfId="1" applyFont="1" applyFill="1" applyBorder="1" applyAlignment="1">
      <alignment horizontal="center" vertical="center" wrapText="1"/>
    </xf>
    <xf numFmtId="44" fontId="0" fillId="0" borderId="19" xfId="2" applyFont="1" applyBorder="1" applyAlignment="1">
      <alignment horizontal="center" vertical="center"/>
    </xf>
    <xf numFmtId="44" fontId="2" fillId="0" borderId="19" xfId="2" applyFont="1" applyBorder="1" applyAlignment="1">
      <alignment horizontal="center" vertical="center"/>
    </xf>
    <xf numFmtId="8" fontId="0" fillId="0" borderId="19" xfId="2" applyNumberFormat="1" applyFont="1" applyBorder="1" applyAlignment="1">
      <alignment horizontal="center" vertical="center"/>
    </xf>
    <xf numFmtId="44" fontId="1" fillId="3" borderId="18" xfId="2" applyFont="1" applyFill="1" applyBorder="1" applyAlignment="1">
      <alignment horizontal="center" vertical="center" wrapText="1"/>
    </xf>
    <xf numFmtId="9" fontId="2" fillId="3" borderId="18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44" fontId="0" fillId="6" borderId="3" xfId="2" applyFont="1" applyFill="1" applyBorder="1" applyAlignment="1">
      <alignment horizontal="center" vertical="center"/>
    </xf>
    <xf numFmtId="44" fontId="2" fillId="6" borderId="3" xfId="2" applyFont="1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4" fillId="0" borderId="10" xfId="3" applyFill="1" applyBorder="1"/>
    <xf numFmtId="0" fontId="4" fillId="0" borderId="10" xfId="3" applyBorder="1"/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44" fontId="11" fillId="0" borderId="2" xfId="2" applyFont="1" applyBorder="1" applyAlignment="1">
      <alignment horizontal="center" vertical="center"/>
    </xf>
    <xf numFmtId="9" fontId="11" fillId="0" borderId="2" xfId="1" applyFont="1" applyBorder="1" applyAlignment="1">
      <alignment horizontal="center" vertical="center"/>
    </xf>
    <xf numFmtId="44" fontId="12" fillId="7" borderId="2" xfId="2" applyFont="1" applyFill="1" applyBorder="1" applyAlignment="1">
      <alignment horizontal="center" vertical="center"/>
    </xf>
    <xf numFmtId="44" fontId="12" fillId="3" borderId="2" xfId="2" applyFont="1" applyFill="1" applyBorder="1" applyAlignment="1">
      <alignment horizontal="center" vertical="center"/>
    </xf>
    <xf numFmtId="44" fontId="12" fillId="0" borderId="2" xfId="2" applyFont="1" applyBorder="1" applyAlignment="1">
      <alignment horizontal="center" vertical="center"/>
    </xf>
    <xf numFmtId="8" fontId="11" fillId="0" borderId="2" xfId="2" applyNumberFormat="1" applyFont="1" applyBorder="1" applyAlignment="1">
      <alignment horizontal="center" vertical="center"/>
    </xf>
    <xf numFmtId="17" fontId="11" fillId="0" borderId="2" xfId="0" applyNumberFormat="1" applyFont="1" applyBorder="1" applyAlignment="1">
      <alignment horizontal="center" vertical="center"/>
    </xf>
    <xf numFmtId="44" fontId="12" fillId="0" borderId="3" xfId="2" applyFont="1" applyBorder="1" applyAlignment="1">
      <alignment horizontal="center" vertical="center"/>
    </xf>
    <xf numFmtId="44" fontId="11" fillId="0" borderId="3" xfId="2" applyFont="1" applyBorder="1" applyAlignment="1">
      <alignment horizontal="center" vertical="center"/>
    </xf>
    <xf numFmtId="9" fontId="11" fillId="0" borderId="3" xfId="1" applyFont="1" applyBorder="1" applyAlignment="1">
      <alignment horizontal="center" vertical="center"/>
    </xf>
    <xf numFmtId="9" fontId="11" fillId="6" borderId="10" xfId="1" applyFont="1" applyFill="1" applyBorder="1"/>
    <xf numFmtId="0" fontId="0" fillId="3" borderId="18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9" fontId="1" fillId="0" borderId="10" xfId="1" applyFont="1" applyBorder="1"/>
    <xf numFmtId="9" fontId="0" fillId="0" borderId="0" xfId="2" applyNumberFormat="1" applyFont="1" applyFill="1" applyAlignment="1">
      <alignment horizontal="center" vertical="center"/>
    </xf>
    <xf numFmtId="17" fontId="13" fillId="5" borderId="13" xfId="2" applyNumberFormat="1" applyFont="1" applyFill="1" applyBorder="1" applyAlignment="1">
      <alignment horizontal="center" vertical="center"/>
    </xf>
    <xf numFmtId="9" fontId="0" fillId="6" borderId="3" xfId="1" applyFont="1" applyFill="1" applyBorder="1" applyAlignment="1">
      <alignment horizontal="center" vertical="center"/>
    </xf>
    <xf numFmtId="17" fontId="13" fillId="6" borderId="13" xfId="2" applyNumberFormat="1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4" fillId="0" borderId="10" xfId="3" applyBorder="1" applyAlignment="1">
      <alignment horizontal="left" vertical="center"/>
    </xf>
    <xf numFmtId="0" fontId="0" fillId="6" borderId="10" xfId="0" applyFill="1" applyBorder="1" applyAlignment="1">
      <alignment horizontal="left" vertical="center"/>
    </xf>
    <xf numFmtId="0" fontId="4" fillId="0" borderId="10" xfId="3" applyFill="1" applyBorder="1" applyAlignment="1">
      <alignment horizontal="left" vertical="center"/>
    </xf>
    <xf numFmtId="0" fontId="0" fillId="0" borderId="10" xfId="0" applyBorder="1"/>
    <xf numFmtId="0" fontId="4" fillId="6" borderId="10" xfId="3" applyFill="1" applyBorder="1"/>
    <xf numFmtId="0" fontId="4" fillId="0" borderId="14" xfId="3" applyFill="1" applyBorder="1"/>
    <xf numFmtId="0" fontId="4" fillId="0" borderId="14" xfId="3" applyBorder="1"/>
    <xf numFmtId="0" fontId="4" fillId="0" borderId="11" xfId="3" applyBorder="1"/>
    <xf numFmtId="0" fontId="4" fillId="6" borderId="14" xfId="3" applyFill="1" applyBorder="1"/>
    <xf numFmtId="0" fontId="10" fillId="0" borderId="14" xfId="3" applyFont="1" applyBorder="1"/>
    <xf numFmtId="0" fontId="0" fillId="0" borderId="14" xfId="0" applyBorder="1"/>
    <xf numFmtId="0" fontId="4" fillId="0" borderId="14" xfId="3" applyFill="1" applyBorder="1" applyAlignment="1">
      <alignment horizontal="left"/>
    </xf>
    <xf numFmtId="0" fontId="0" fillId="0" borderId="23" xfId="0" applyBorder="1"/>
    <xf numFmtId="9" fontId="2" fillId="0" borderId="3" xfId="1" applyFont="1" applyFill="1" applyBorder="1" applyAlignment="1">
      <alignment horizontal="center" vertical="center"/>
    </xf>
    <xf numFmtId="9" fontId="11" fillId="0" borderId="3" xfId="1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 wrapText="1"/>
    </xf>
    <xf numFmtId="0" fontId="0" fillId="0" borderId="24" xfId="0" applyBorder="1"/>
    <xf numFmtId="0" fontId="2" fillId="0" borderId="2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/>
    </xf>
  </cellXfs>
  <cellStyles count="5">
    <cellStyle name="Currency" xfId="2" builtinId="4"/>
    <cellStyle name="Hyperlink" xfId="3" builtinId="8"/>
    <cellStyle name="Normal" xfId="0" builtinId="0"/>
    <cellStyle name="Normal 2" xfId="4" xr:uid="{07F44022-8D7C-4266-AC15-5ACFA573A72E}"/>
    <cellStyle name="Per 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FFFF"/>
      <color rgb="FFCCEC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1409699</xdr:colOff>
      <xdr:row>0</xdr:row>
      <xdr:rowOff>47625</xdr:rowOff>
    </xdr:from>
    <xdr:to>
      <xdr:col>29</xdr:col>
      <xdr:colOff>3807985</xdr:colOff>
      <xdr:row>0</xdr:row>
      <xdr:rowOff>647196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5C28C8-17A0-4848-9590-E71C0D68D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079824" y="47625"/>
          <a:ext cx="2398286" cy="5995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ersonal/michelle_peers_keyis_com/Documents/Mechanical%20SC%20Tracker%20-%20June.xlsx" TargetMode="External"/><Relationship Id="rId2" Type="http://schemas.openxmlformats.org/officeDocument/2006/relationships/externalLinkPath" Target="file:///C:\Users\michelle.peers\Downloads\Mechanical%20SC%20Tracker%20-%20June.xlsx" TargetMode="External"/><Relationship Id="rId1" Type="http://schemas.openxmlformats.org/officeDocument/2006/relationships/externalLinkPath" Target="/personal/michelle_peers_keyis_com/Documents/Mechanical%20SC%20Tracker%20-%20Ju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1900 - C1999"/>
      <sheetName val="C2000-C2999"/>
      <sheetName val="CMDATA"/>
    </sheetNames>
    <sheetDataSet>
      <sheetData sheetId="0"/>
      <sheetData sheetId="1"/>
      <sheetData sheetId="2">
        <row r="1">
          <cell r="A1" t="str">
            <v>Key Integrated Services Ltd</v>
          </cell>
        </row>
        <row r="2">
          <cell r="A2" t="str">
            <v>SupplierPOPList</v>
          </cell>
        </row>
        <row r="3">
          <cell r="A3" t="str">
            <v>Number</v>
          </cell>
          <cell r="B3" t="str">
            <v>Date</v>
          </cell>
          <cell r="C3" t="str">
            <v>Job No</v>
          </cell>
          <cell r="D3" t="str">
            <v>Details</v>
          </cell>
          <cell r="E3" t="str">
            <v>Supplier Name</v>
          </cell>
          <cell r="F3" t="str">
            <v>Type</v>
          </cell>
          <cell r="G3" t="str">
            <v>Delivery Date</v>
          </cell>
          <cell r="H3" t="str">
            <v>Delivered</v>
          </cell>
          <cell r="I3" t="str">
            <v>Show</v>
          </cell>
          <cell r="J3" t="str">
            <v>Net</v>
          </cell>
          <cell r="K3" t="str">
            <v>VAT</v>
          </cell>
          <cell r="L3" t="str">
            <v>Invoiced</v>
          </cell>
          <cell r="M3" t="str">
            <v>Over Invoiced</v>
          </cell>
          <cell r="N3" t="str">
            <v>Outstanding</v>
          </cell>
        </row>
        <row r="4">
          <cell r="A4">
            <v>27601</v>
          </cell>
          <cell r="B4" t="str">
            <v>04/07/2025</v>
          </cell>
          <cell r="C4" t="str">
            <v>C1907</v>
          </cell>
          <cell r="D4" t="str">
            <v>Labour costs</v>
          </cell>
          <cell r="E4" t="str">
            <v>Apex Mechanical Limited</v>
          </cell>
          <cell r="F4" t="str">
            <v>Subcontractor</v>
          </cell>
          <cell r="G4" t="str">
            <v/>
          </cell>
          <cell r="H4" t="str">
            <v/>
          </cell>
          <cell r="I4" t="str">
            <v/>
          </cell>
          <cell r="J4">
            <v>1500</v>
          </cell>
          <cell r="K4">
            <v>0</v>
          </cell>
          <cell r="L4">
            <v>0</v>
          </cell>
          <cell r="M4" t="str">
            <v/>
          </cell>
          <cell r="N4">
            <v>1500</v>
          </cell>
        </row>
        <row r="5">
          <cell r="A5">
            <v>27584</v>
          </cell>
          <cell r="B5" t="str">
            <v>02/07/2025</v>
          </cell>
          <cell r="C5" t="str">
            <v>C1952</v>
          </cell>
          <cell r="D5" t="str">
            <v xml:space="preserve">Install Additional compressed air at Ashton green </v>
          </cell>
          <cell r="E5" t="str">
            <v>Direct Air &amp; Pipework Ltd</v>
          </cell>
          <cell r="F5" t="str">
            <v>Subcontractor</v>
          </cell>
          <cell r="G5" t="str">
            <v/>
          </cell>
          <cell r="H5" t="str">
            <v>Part</v>
          </cell>
          <cell r="I5" t="str">
            <v/>
          </cell>
          <cell r="J5">
            <v>1650</v>
          </cell>
          <cell r="K5">
            <v>0</v>
          </cell>
          <cell r="L5">
            <v>0</v>
          </cell>
          <cell r="M5" t="str">
            <v/>
          </cell>
          <cell r="N5">
            <v>1650</v>
          </cell>
        </row>
        <row r="6">
          <cell r="A6">
            <v>27579</v>
          </cell>
          <cell r="B6" t="str">
            <v>01/07/2025</v>
          </cell>
          <cell r="C6" t="str">
            <v>C1948</v>
          </cell>
          <cell r="D6" t="str">
            <v xml:space="preserve">Connecting 3No. hamworthy boilers </v>
          </cell>
          <cell r="E6" t="str">
            <v>A1 Flue Systems</v>
          </cell>
          <cell r="F6" t="str">
            <v>Subcontractor</v>
          </cell>
          <cell r="G6" t="str">
            <v>07/07/2025</v>
          </cell>
          <cell r="H6" t="str">
            <v>Part</v>
          </cell>
          <cell r="I6" t="str">
            <v/>
          </cell>
          <cell r="J6">
            <v>3511</v>
          </cell>
          <cell r="K6">
            <v>702.2</v>
          </cell>
          <cell r="L6">
            <v>0</v>
          </cell>
          <cell r="M6" t="str">
            <v/>
          </cell>
          <cell r="N6">
            <v>3511</v>
          </cell>
        </row>
        <row r="7">
          <cell r="A7">
            <v>27576</v>
          </cell>
          <cell r="B7" t="str">
            <v>30/06/2025</v>
          </cell>
          <cell r="C7" t="str">
            <v>C1970</v>
          </cell>
          <cell r="D7" t="str">
            <v xml:space="preserve">AC issues </v>
          </cell>
          <cell r="E7" t="str">
            <v>ACR (NW) Ltd</v>
          </cell>
          <cell r="F7" t="str">
            <v>Subcontractor</v>
          </cell>
          <cell r="G7" t="str">
            <v>28/06/2025</v>
          </cell>
          <cell r="H7" t="str">
            <v/>
          </cell>
          <cell r="I7" t="str">
            <v/>
          </cell>
          <cell r="J7">
            <v>2726</v>
          </cell>
          <cell r="K7">
            <v>545.20000000000005</v>
          </cell>
          <cell r="L7">
            <v>0</v>
          </cell>
          <cell r="M7" t="str">
            <v/>
          </cell>
          <cell r="N7">
            <v>2726</v>
          </cell>
        </row>
        <row r="8">
          <cell r="A8">
            <v>27570</v>
          </cell>
          <cell r="B8" t="str">
            <v>30/06/2025</v>
          </cell>
          <cell r="C8" t="str">
            <v>C1908</v>
          </cell>
          <cell r="D8" t="str">
            <v xml:space="preserve">As per attached report </v>
          </cell>
          <cell r="E8" t="str">
            <v>Key Integrated Services Maintenance Limited</v>
          </cell>
          <cell r="F8" t="str">
            <v>Subcontractor</v>
          </cell>
          <cell r="G8" t="str">
            <v/>
          </cell>
          <cell r="H8" t="str">
            <v>Part</v>
          </cell>
          <cell r="I8" t="str">
            <v/>
          </cell>
          <cell r="J8">
            <v>695</v>
          </cell>
          <cell r="K8">
            <v>139</v>
          </cell>
          <cell r="L8">
            <v>0</v>
          </cell>
          <cell r="M8" t="str">
            <v/>
          </cell>
          <cell r="N8">
            <v>695</v>
          </cell>
        </row>
        <row r="9">
          <cell r="A9">
            <v>27562</v>
          </cell>
          <cell r="B9" t="str">
            <v>30/06/2025</v>
          </cell>
          <cell r="C9" t="str">
            <v>C1935</v>
          </cell>
          <cell r="D9" t="str">
            <v>Pipework materials for plantroom</v>
          </cell>
          <cell r="E9" t="str">
            <v>Premier Process Ltd</v>
          </cell>
          <cell r="F9" t="str">
            <v>Subcontractor</v>
          </cell>
          <cell r="G9" t="str">
            <v/>
          </cell>
          <cell r="H9" t="str">
            <v/>
          </cell>
          <cell r="I9" t="str">
            <v/>
          </cell>
          <cell r="J9">
            <v>92.86</v>
          </cell>
          <cell r="K9">
            <v>18.57</v>
          </cell>
          <cell r="L9">
            <v>0</v>
          </cell>
          <cell r="M9" t="str">
            <v/>
          </cell>
          <cell r="N9">
            <v>92.86</v>
          </cell>
        </row>
        <row r="10">
          <cell r="A10">
            <v>27553</v>
          </cell>
          <cell r="B10" t="str">
            <v>27/06/2025</v>
          </cell>
          <cell r="C10" t="str">
            <v>C1957</v>
          </cell>
          <cell r="D10" t="str">
            <v>ACR125 A B MARRI DX</v>
          </cell>
          <cell r="E10" t="str">
            <v>ACR (NW) Ltd</v>
          </cell>
          <cell r="F10" t="str">
            <v>Subcontractor</v>
          </cell>
          <cell r="G10" t="str">
            <v>21/07/2025</v>
          </cell>
          <cell r="H10" t="str">
            <v/>
          </cell>
          <cell r="I10" t="str">
            <v/>
          </cell>
          <cell r="J10">
            <v>3360</v>
          </cell>
          <cell r="K10">
            <v>672</v>
          </cell>
          <cell r="L10">
            <v>0</v>
          </cell>
          <cell r="M10" t="str">
            <v/>
          </cell>
          <cell r="N10">
            <v>3360</v>
          </cell>
        </row>
        <row r="11">
          <cell r="A11">
            <v>27548</v>
          </cell>
          <cell r="B11" t="str">
            <v>26/06/2025</v>
          </cell>
          <cell r="C11" t="str">
            <v>C1935</v>
          </cell>
          <cell r="D11" t="str">
            <v xml:space="preserve">Existing Gas Supply And Purging </v>
          </cell>
          <cell r="E11" t="str">
            <v>Specialist HVAC Solutions Ltd</v>
          </cell>
          <cell r="F11" t="str">
            <v>Subcontractor</v>
          </cell>
          <cell r="G11" t="str">
            <v/>
          </cell>
          <cell r="H11" t="str">
            <v/>
          </cell>
          <cell r="I11" t="str">
            <v/>
          </cell>
          <cell r="J11">
            <v>4500</v>
          </cell>
          <cell r="K11">
            <v>900</v>
          </cell>
          <cell r="L11">
            <v>0</v>
          </cell>
          <cell r="M11" t="str">
            <v/>
          </cell>
          <cell r="N11">
            <v>4500</v>
          </cell>
        </row>
        <row r="12">
          <cell r="A12">
            <v>27546</v>
          </cell>
          <cell r="B12" t="str">
            <v>26/06/2025</v>
          </cell>
          <cell r="C12" t="str">
            <v>C1963</v>
          </cell>
          <cell r="D12" t="str">
            <v xml:space="preserve">To undertake the Electrical Design on Meadow Foods </v>
          </cell>
          <cell r="E12" t="str">
            <v>Key Integrated Services (Electrical) Ltd</v>
          </cell>
          <cell r="F12" t="str">
            <v>Subcontractor</v>
          </cell>
          <cell r="G12" t="str">
            <v>26/06/2025</v>
          </cell>
          <cell r="H12" t="str">
            <v>Part</v>
          </cell>
          <cell r="I12" t="str">
            <v/>
          </cell>
          <cell r="J12">
            <v>14250</v>
          </cell>
          <cell r="K12">
            <v>2850</v>
          </cell>
          <cell r="L12">
            <v>0</v>
          </cell>
          <cell r="M12" t="str">
            <v/>
          </cell>
          <cell r="N12">
            <v>14250</v>
          </cell>
        </row>
        <row r="13">
          <cell r="A13">
            <v>27533</v>
          </cell>
          <cell r="B13" t="str">
            <v>24/06/2025</v>
          </cell>
          <cell r="C13" t="str">
            <v>C1941</v>
          </cell>
          <cell r="D13" t="str">
            <v>AHU Bakery</v>
          </cell>
          <cell r="E13" t="str">
            <v>Sovereign Air Movement Ltd</v>
          </cell>
          <cell r="F13" t="str">
            <v>Subcontractor</v>
          </cell>
          <cell r="G13" t="str">
            <v>14/07/2025</v>
          </cell>
          <cell r="H13" t="str">
            <v/>
          </cell>
          <cell r="I13" t="str">
            <v/>
          </cell>
          <cell r="J13">
            <v>11750</v>
          </cell>
          <cell r="K13">
            <v>2350</v>
          </cell>
          <cell r="L13">
            <v>0</v>
          </cell>
          <cell r="M13" t="str">
            <v/>
          </cell>
          <cell r="N13">
            <v>11750</v>
          </cell>
        </row>
        <row r="14">
          <cell r="A14">
            <v>27532</v>
          </cell>
          <cell r="B14" t="str">
            <v>24/06/2025</v>
          </cell>
          <cell r="C14" t="str">
            <v>C1941</v>
          </cell>
          <cell r="D14" t="str">
            <v>Bakery - Canopy</v>
          </cell>
          <cell r="E14" t="str">
            <v>Halton Foodservice Limited</v>
          </cell>
          <cell r="F14" t="str">
            <v>Subcontractor</v>
          </cell>
          <cell r="G14" t="str">
            <v>07/07/2025</v>
          </cell>
          <cell r="H14" t="str">
            <v/>
          </cell>
          <cell r="I14" t="str">
            <v/>
          </cell>
          <cell r="J14">
            <v>6101</v>
          </cell>
          <cell r="K14">
            <v>1220.2</v>
          </cell>
          <cell r="L14">
            <v>0</v>
          </cell>
          <cell r="M14" t="str">
            <v/>
          </cell>
          <cell r="N14">
            <v>6101</v>
          </cell>
        </row>
        <row r="15">
          <cell r="A15">
            <v>27528</v>
          </cell>
          <cell r="B15" t="str">
            <v>24/06/2025</v>
          </cell>
          <cell r="C15" t="str">
            <v>C1948</v>
          </cell>
          <cell r="D15" t="str">
            <v>Temporary Ventilation to Finn Coaters</v>
          </cell>
          <cell r="E15" t="str">
            <v>Newsome Ltd</v>
          </cell>
          <cell r="F15" t="str">
            <v>Subcontractor</v>
          </cell>
          <cell r="G15" t="str">
            <v/>
          </cell>
          <cell r="H15" t="str">
            <v>Part</v>
          </cell>
          <cell r="I15" t="str">
            <v/>
          </cell>
          <cell r="J15">
            <v>16763</v>
          </cell>
          <cell r="K15">
            <v>0</v>
          </cell>
          <cell r="L15">
            <v>0</v>
          </cell>
          <cell r="M15" t="str">
            <v/>
          </cell>
          <cell r="N15">
            <v>16763</v>
          </cell>
        </row>
        <row r="16">
          <cell r="A16">
            <v>27526</v>
          </cell>
          <cell r="B16" t="str">
            <v>24/06/2025</v>
          </cell>
          <cell r="C16" t="str">
            <v>C1943</v>
          </cell>
          <cell r="D16" t="str">
            <v>lifting extisting Dehum unit and other items round courtyard</v>
          </cell>
          <cell r="E16" t="str">
            <v>Hird Ltd</v>
          </cell>
          <cell r="F16" t="str">
            <v>Subcontractor</v>
          </cell>
          <cell r="G16" t="str">
            <v>25/06/2025</v>
          </cell>
          <cell r="H16" t="str">
            <v/>
          </cell>
          <cell r="I16" t="str">
            <v/>
          </cell>
          <cell r="J16">
            <v>3750</v>
          </cell>
          <cell r="K16">
            <v>0</v>
          </cell>
          <cell r="L16">
            <v>0</v>
          </cell>
          <cell r="M16" t="str">
            <v/>
          </cell>
          <cell r="N16">
            <v>3750</v>
          </cell>
        </row>
        <row r="17">
          <cell r="A17">
            <v>27521</v>
          </cell>
          <cell r="B17" t="str">
            <v>23/06/2025</v>
          </cell>
          <cell r="C17" t="str">
            <v>C1941</v>
          </cell>
          <cell r="D17" t="str">
            <v>LTHW, DHW, CHW</v>
          </cell>
          <cell r="E17" t="str">
            <v>Apex Mechanical Limited</v>
          </cell>
          <cell r="F17" t="str">
            <v>Subcontractor</v>
          </cell>
          <cell r="G17" t="str">
            <v>30/06/2025</v>
          </cell>
          <cell r="H17" t="str">
            <v/>
          </cell>
          <cell r="I17" t="str">
            <v/>
          </cell>
          <cell r="J17">
            <v>56000</v>
          </cell>
          <cell r="K17">
            <v>0</v>
          </cell>
          <cell r="L17">
            <v>0</v>
          </cell>
          <cell r="M17" t="str">
            <v/>
          </cell>
          <cell r="N17">
            <v>56000</v>
          </cell>
        </row>
        <row r="18">
          <cell r="A18">
            <v>27520</v>
          </cell>
          <cell r="B18" t="str">
            <v>23/06/2025</v>
          </cell>
          <cell r="C18" t="str">
            <v>C1884</v>
          </cell>
          <cell r="D18" t="str">
            <v xml:space="preserve">Relocate and replace free issue cistermiser </v>
          </cell>
          <cell r="E18" t="str">
            <v>Key Integrated Services (Electrical) Ltd</v>
          </cell>
          <cell r="F18" t="str">
            <v>Subcontractor</v>
          </cell>
          <cell r="G18" t="str">
            <v>27/06/2025</v>
          </cell>
          <cell r="H18" t="str">
            <v/>
          </cell>
          <cell r="I18" t="str">
            <v/>
          </cell>
          <cell r="J18">
            <v>548.5</v>
          </cell>
          <cell r="K18">
            <v>109.7</v>
          </cell>
          <cell r="L18">
            <v>0</v>
          </cell>
          <cell r="M18" t="str">
            <v/>
          </cell>
          <cell r="N18">
            <v>548.5</v>
          </cell>
        </row>
        <row r="19">
          <cell r="A19">
            <v>27490</v>
          </cell>
          <cell r="B19" t="str">
            <v>19/06/2025</v>
          </cell>
          <cell r="C19" t="str">
            <v>C1903</v>
          </cell>
          <cell r="D19" t="str">
            <v xml:space="preserve">site attendance on the 9th July </v>
          </cell>
          <cell r="E19" t="str">
            <v>Impact Control Systems Ltd</v>
          </cell>
          <cell r="F19" t="str">
            <v>Subcontractor</v>
          </cell>
          <cell r="G19" t="str">
            <v>09/06/2025</v>
          </cell>
          <cell r="H19" t="str">
            <v/>
          </cell>
          <cell r="I19" t="str">
            <v/>
          </cell>
          <cell r="J19">
            <v>886</v>
          </cell>
          <cell r="K19">
            <v>0</v>
          </cell>
          <cell r="L19">
            <v>0</v>
          </cell>
          <cell r="M19" t="str">
            <v/>
          </cell>
          <cell r="N19">
            <v>886</v>
          </cell>
        </row>
        <row r="20">
          <cell r="A20">
            <v>27484</v>
          </cell>
          <cell r="B20" t="str">
            <v>18/06/2025</v>
          </cell>
          <cell r="C20" t="str">
            <v>C1946</v>
          </cell>
          <cell r="D20" t="str">
            <v>To undertake the weld and inspection</v>
          </cell>
          <cell r="E20" t="str">
            <v>WQ Inspection &amp; Certification Ltd</v>
          </cell>
          <cell r="F20" t="str">
            <v>Subcontractor</v>
          </cell>
          <cell r="G20" t="str">
            <v>18/06/2025</v>
          </cell>
          <cell r="H20" t="str">
            <v>Part</v>
          </cell>
          <cell r="I20" t="str">
            <v/>
          </cell>
          <cell r="J20">
            <v>2525</v>
          </cell>
          <cell r="K20">
            <v>505</v>
          </cell>
          <cell r="L20">
            <v>0</v>
          </cell>
          <cell r="M20" t="str">
            <v/>
          </cell>
          <cell r="N20">
            <v>2525</v>
          </cell>
        </row>
        <row r="21">
          <cell r="A21">
            <v>27454</v>
          </cell>
          <cell r="B21" t="str">
            <v>12/06/2025</v>
          </cell>
          <cell r="C21" t="str">
            <v>C1952</v>
          </cell>
          <cell r="D21" t="str">
            <v>To undertake the WSE of the compressed air plantroom at Asht</v>
          </cell>
          <cell r="E21" t="str">
            <v>Direct Air &amp; Pipework Ltd</v>
          </cell>
          <cell r="F21" t="str">
            <v>Subcontractor</v>
          </cell>
          <cell r="G21" t="str">
            <v/>
          </cell>
          <cell r="H21" t="str">
            <v>Part</v>
          </cell>
          <cell r="I21" t="str">
            <v/>
          </cell>
          <cell r="J21">
            <v>1500</v>
          </cell>
          <cell r="K21">
            <v>0</v>
          </cell>
          <cell r="L21">
            <v>0</v>
          </cell>
          <cell r="M21" t="str">
            <v/>
          </cell>
          <cell r="N21">
            <v>1500</v>
          </cell>
        </row>
        <row r="22">
          <cell r="A22">
            <v>27452</v>
          </cell>
          <cell r="B22" t="str">
            <v>12/06/2025</v>
          </cell>
          <cell r="C22" t="str">
            <v>C1948</v>
          </cell>
          <cell r="D22" t="str">
            <v xml:space="preserve">Ventilation supply and install as attached quote </v>
          </cell>
          <cell r="E22" t="str">
            <v>Firth Sheet Metal Limited</v>
          </cell>
          <cell r="F22" t="str">
            <v>Subcontractor</v>
          </cell>
          <cell r="G22" t="str">
            <v>17/06/2025</v>
          </cell>
          <cell r="H22" t="str">
            <v>Part</v>
          </cell>
          <cell r="I22" t="str">
            <v/>
          </cell>
          <cell r="J22">
            <v>5988</v>
          </cell>
          <cell r="K22">
            <v>0</v>
          </cell>
          <cell r="L22">
            <v>0</v>
          </cell>
          <cell r="M22" t="str">
            <v/>
          </cell>
          <cell r="N22">
            <v>5988</v>
          </cell>
        </row>
        <row r="23">
          <cell r="A23">
            <v>27447</v>
          </cell>
          <cell r="B23" t="str">
            <v>11/06/2025</v>
          </cell>
          <cell r="C23" t="str">
            <v>C1943</v>
          </cell>
          <cell r="D23" t="str">
            <v>weekly hire cost of 160kw chiller</v>
          </cell>
          <cell r="E23" t="str">
            <v>ICS Cool Energy Ltd</v>
          </cell>
          <cell r="F23" t="str">
            <v>Subcontractor</v>
          </cell>
          <cell r="G23" t="str">
            <v>16/06/2025</v>
          </cell>
          <cell r="H23" t="str">
            <v>Part</v>
          </cell>
          <cell r="I23" t="str">
            <v/>
          </cell>
          <cell r="J23">
            <v>20856</v>
          </cell>
          <cell r="K23">
            <v>0</v>
          </cell>
          <cell r="L23">
            <v>0</v>
          </cell>
          <cell r="M23" t="str">
            <v/>
          </cell>
          <cell r="N23">
            <v>20856</v>
          </cell>
        </row>
        <row r="24">
          <cell r="A24">
            <v>27421</v>
          </cell>
          <cell r="B24" t="str">
            <v>06/06/2025</v>
          </cell>
          <cell r="C24" t="str">
            <v>C1941</v>
          </cell>
          <cell r="D24" t="str">
            <v>For the supply and Installation of the accompanying SCA</v>
          </cell>
          <cell r="E24" t="str">
            <v>Impact Control Systems Ltd</v>
          </cell>
          <cell r="F24" t="str">
            <v>Subcontractor</v>
          </cell>
          <cell r="G24" t="str">
            <v>21/07/2025</v>
          </cell>
          <cell r="H24" t="str">
            <v>Part</v>
          </cell>
          <cell r="I24" t="str">
            <v/>
          </cell>
          <cell r="J24">
            <v>40200</v>
          </cell>
          <cell r="K24">
            <v>0</v>
          </cell>
          <cell r="L24">
            <v>0</v>
          </cell>
          <cell r="M24" t="str">
            <v/>
          </cell>
          <cell r="N24">
            <v>40200</v>
          </cell>
        </row>
        <row r="25">
          <cell r="A25">
            <v>27401</v>
          </cell>
          <cell r="B25" t="str">
            <v>03/06/2025</v>
          </cell>
          <cell r="C25" t="str">
            <v>C1966</v>
          </cell>
          <cell r="D25" t="str">
            <v xml:space="preserve">2 x AC installs </v>
          </cell>
          <cell r="E25" t="str">
            <v>ACR (NW) Ltd</v>
          </cell>
          <cell r="F25" t="str">
            <v>Subcontractor</v>
          </cell>
          <cell r="G25" t="str">
            <v>27/06/2025</v>
          </cell>
          <cell r="H25" t="str">
            <v/>
          </cell>
          <cell r="I25" t="str">
            <v/>
          </cell>
          <cell r="J25">
            <v>2500</v>
          </cell>
          <cell r="K25">
            <v>500</v>
          </cell>
          <cell r="L25">
            <v>0</v>
          </cell>
          <cell r="M25" t="str">
            <v/>
          </cell>
          <cell r="N25">
            <v>2500</v>
          </cell>
        </row>
        <row r="26">
          <cell r="A26">
            <v>27379</v>
          </cell>
          <cell r="B26" t="str">
            <v>29/05/2025</v>
          </cell>
          <cell r="C26" t="str">
            <v>C1959</v>
          </cell>
          <cell r="D26" t="str">
            <v>Cause anbd Effect</v>
          </cell>
          <cell r="E26" t="str">
            <v>Impact Control Systems Ltd</v>
          </cell>
          <cell r="F26" t="str">
            <v>Subcontractor</v>
          </cell>
          <cell r="G26" t="str">
            <v>05/05/2025</v>
          </cell>
          <cell r="H26" t="str">
            <v>Part</v>
          </cell>
          <cell r="I26" t="str">
            <v>Posted</v>
          </cell>
          <cell r="J26">
            <v>2381.96</v>
          </cell>
          <cell r="K26">
            <v>0</v>
          </cell>
          <cell r="L26">
            <v>2262.86</v>
          </cell>
          <cell r="M26" t="str">
            <v/>
          </cell>
          <cell r="N26">
            <v>119.1</v>
          </cell>
        </row>
        <row r="27">
          <cell r="A27">
            <v>27373</v>
          </cell>
          <cell r="B27" t="str">
            <v>28/05/2025</v>
          </cell>
          <cell r="C27" t="str">
            <v>C1935</v>
          </cell>
          <cell r="D27" t="str">
            <v>System Flushing And Chlorination</v>
          </cell>
          <cell r="E27" t="str">
            <v>MSB Hygiene Ltd</v>
          </cell>
          <cell r="F27" t="str">
            <v>Subcontractor</v>
          </cell>
          <cell r="G27" t="str">
            <v/>
          </cell>
          <cell r="H27" t="str">
            <v>Part</v>
          </cell>
          <cell r="I27" t="str">
            <v/>
          </cell>
          <cell r="J27">
            <v>6750</v>
          </cell>
          <cell r="K27">
            <v>0</v>
          </cell>
          <cell r="L27">
            <v>0</v>
          </cell>
          <cell r="M27" t="str">
            <v/>
          </cell>
          <cell r="N27">
            <v>6750</v>
          </cell>
        </row>
        <row r="28">
          <cell r="A28">
            <v>27362</v>
          </cell>
          <cell r="B28" t="str">
            <v>23/05/2025</v>
          </cell>
          <cell r="C28" t="str">
            <v>C1928</v>
          </cell>
          <cell r="D28" t="str">
            <v>For the supply and installation of Stainless Steel Cladding</v>
          </cell>
          <cell r="E28" t="str">
            <v>DPR Thermal Limited</v>
          </cell>
          <cell r="F28" t="str">
            <v>Subcontractor</v>
          </cell>
          <cell r="G28" t="str">
            <v>03/06/2025</v>
          </cell>
          <cell r="H28" t="str">
            <v>Part</v>
          </cell>
          <cell r="I28" t="str">
            <v/>
          </cell>
          <cell r="J28">
            <v>27500</v>
          </cell>
          <cell r="K28">
            <v>5500</v>
          </cell>
          <cell r="L28">
            <v>0</v>
          </cell>
          <cell r="M28" t="str">
            <v/>
          </cell>
          <cell r="N28">
            <v>27500</v>
          </cell>
        </row>
        <row r="29">
          <cell r="A29">
            <v>27344</v>
          </cell>
          <cell r="B29" t="str">
            <v>21/05/2025</v>
          </cell>
          <cell r="C29" t="str">
            <v>C1959</v>
          </cell>
          <cell r="D29" t="str">
            <v>Drain Survey</v>
          </cell>
          <cell r="E29" t="str">
            <v>Copeman Construction Services Limited</v>
          </cell>
          <cell r="F29" t="str">
            <v>Subcontractor</v>
          </cell>
          <cell r="G29" t="str">
            <v>30/05/2025</v>
          </cell>
          <cell r="H29" t="str">
            <v/>
          </cell>
          <cell r="I29" t="str">
            <v/>
          </cell>
          <cell r="J29">
            <v>1554.66</v>
          </cell>
          <cell r="K29">
            <v>310.93</v>
          </cell>
          <cell r="L29">
            <v>0</v>
          </cell>
          <cell r="M29" t="str">
            <v/>
          </cell>
          <cell r="N29">
            <v>1554.66</v>
          </cell>
        </row>
        <row r="30">
          <cell r="A30">
            <v>27342</v>
          </cell>
          <cell r="B30" t="str">
            <v>21/05/2025</v>
          </cell>
          <cell r="C30" t="str">
            <v>C1951</v>
          </cell>
          <cell r="D30" t="str">
            <v>Materials</v>
          </cell>
          <cell r="E30" t="str">
            <v>Direct Refrigeration Services Ltd</v>
          </cell>
          <cell r="F30" t="str">
            <v>Subcontractor</v>
          </cell>
          <cell r="G30" t="str">
            <v>14/05/2025</v>
          </cell>
          <cell r="H30" t="str">
            <v>Complete</v>
          </cell>
          <cell r="I30" t="str">
            <v/>
          </cell>
          <cell r="J30">
            <v>0</v>
          </cell>
          <cell r="K30">
            <v>0</v>
          </cell>
          <cell r="L30">
            <v>0</v>
          </cell>
          <cell r="M30" t="str">
            <v/>
          </cell>
          <cell r="N30">
            <v>0</v>
          </cell>
        </row>
        <row r="31">
          <cell r="A31">
            <v>27341</v>
          </cell>
          <cell r="B31" t="str">
            <v>21/05/2025</v>
          </cell>
          <cell r="C31" t="str">
            <v>C1960</v>
          </cell>
          <cell r="D31" t="str">
            <v xml:space="preserve">Manish's Office </v>
          </cell>
          <cell r="E31" t="str">
            <v>ACR (NW) Ltd</v>
          </cell>
          <cell r="F31" t="str">
            <v>Subcontractor</v>
          </cell>
          <cell r="G31" t="str">
            <v>28/05/2025</v>
          </cell>
          <cell r="H31" t="str">
            <v>Part</v>
          </cell>
          <cell r="I31" t="str">
            <v/>
          </cell>
          <cell r="J31">
            <v>4000</v>
          </cell>
          <cell r="K31">
            <v>800</v>
          </cell>
          <cell r="L31">
            <v>0</v>
          </cell>
          <cell r="M31" t="str">
            <v/>
          </cell>
          <cell r="N31">
            <v>4000</v>
          </cell>
        </row>
        <row r="32">
          <cell r="A32">
            <v>27334</v>
          </cell>
          <cell r="B32" t="str">
            <v>20/05/2025</v>
          </cell>
          <cell r="C32" t="str">
            <v>C1948</v>
          </cell>
          <cell r="D32" t="str">
            <v xml:space="preserve">Ductwork </v>
          </cell>
          <cell r="E32" t="str">
            <v>Aldridge Air Conditioning</v>
          </cell>
          <cell r="F32" t="str">
            <v>Subcontractor</v>
          </cell>
          <cell r="G32" t="str">
            <v>21/05/2025</v>
          </cell>
          <cell r="H32" t="str">
            <v>Part</v>
          </cell>
          <cell r="I32" t="str">
            <v>Posted</v>
          </cell>
          <cell r="J32">
            <v>200389.07</v>
          </cell>
          <cell r="K32">
            <v>40077.82</v>
          </cell>
          <cell r="L32">
            <v>26706.33</v>
          </cell>
          <cell r="M32" t="str">
            <v/>
          </cell>
          <cell r="N32">
            <v>173682.74</v>
          </cell>
        </row>
        <row r="33">
          <cell r="A33">
            <v>27321</v>
          </cell>
          <cell r="B33" t="str">
            <v>16/05/2025</v>
          </cell>
          <cell r="C33" t="str">
            <v>C1948</v>
          </cell>
          <cell r="D33" t="str">
            <v>Insulation Wors</v>
          </cell>
          <cell r="E33" t="str">
            <v>Thermal Insulation Covers Ltd</v>
          </cell>
          <cell r="F33" t="str">
            <v>Subcontractor</v>
          </cell>
          <cell r="G33" t="str">
            <v>18/05/2025</v>
          </cell>
          <cell r="H33" t="str">
            <v>Part</v>
          </cell>
          <cell r="I33" t="str">
            <v/>
          </cell>
          <cell r="J33">
            <v>98292</v>
          </cell>
          <cell r="K33">
            <v>0</v>
          </cell>
          <cell r="L33">
            <v>0</v>
          </cell>
          <cell r="M33" t="str">
            <v/>
          </cell>
          <cell r="N33">
            <v>98292</v>
          </cell>
        </row>
        <row r="34">
          <cell r="A34">
            <v>27320</v>
          </cell>
          <cell r="B34" t="str">
            <v>15/05/2025</v>
          </cell>
          <cell r="C34" t="str">
            <v>C1928</v>
          </cell>
          <cell r="D34" t="str">
            <v>Electrical Fault</v>
          </cell>
          <cell r="E34" t="str">
            <v>Sovereign Air Movement Ltd</v>
          </cell>
          <cell r="F34" t="str">
            <v>Subcontractor</v>
          </cell>
          <cell r="G34" t="str">
            <v>03/06/2025</v>
          </cell>
          <cell r="H34" t="str">
            <v>Part</v>
          </cell>
          <cell r="I34" t="str">
            <v/>
          </cell>
          <cell r="J34">
            <v>1374.54</v>
          </cell>
          <cell r="K34">
            <v>274.91000000000003</v>
          </cell>
          <cell r="L34">
            <v>0</v>
          </cell>
          <cell r="M34" t="str">
            <v/>
          </cell>
          <cell r="N34">
            <v>1374.54</v>
          </cell>
        </row>
        <row r="35">
          <cell r="A35">
            <v>27302</v>
          </cell>
          <cell r="B35" t="str">
            <v>13/05/2025</v>
          </cell>
          <cell r="C35" t="str">
            <v>C1943</v>
          </cell>
          <cell r="D35" t="str">
            <v>Thermal Insulation Works</v>
          </cell>
          <cell r="E35" t="str">
            <v>Thermal Insulation Covers Ltd</v>
          </cell>
          <cell r="F35" t="str">
            <v>Subcontractor</v>
          </cell>
          <cell r="G35" t="str">
            <v/>
          </cell>
          <cell r="H35" t="str">
            <v>Part</v>
          </cell>
          <cell r="I35" t="str">
            <v>Posted</v>
          </cell>
          <cell r="J35">
            <v>121708</v>
          </cell>
          <cell r="K35">
            <v>0</v>
          </cell>
          <cell r="L35">
            <v>4968</v>
          </cell>
          <cell r="M35" t="str">
            <v/>
          </cell>
          <cell r="N35">
            <v>116740</v>
          </cell>
        </row>
        <row r="36">
          <cell r="A36">
            <v>27296</v>
          </cell>
          <cell r="B36" t="str">
            <v>12/05/2025</v>
          </cell>
          <cell r="C36" t="str">
            <v>C1943</v>
          </cell>
          <cell r="D36" t="str">
            <v>Wall penetrations as per builders schedule including Flashi</v>
          </cell>
          <cell r="E36" t="str">
            <v>Hickton Construction Ltd</v>
          </cell>
          <cell r="F36" t="str">
            <v>Subcontractor</v>
          </cell>
          <cell r="G36" t="str">
            <v>25/05/2025</v>
          </cell>
          <cell r="H36" t="str">
            <v>Part</v>
          </cell>
          <cell r="I36" t="str">
            <v>Posted</v>
          </cell>
          <cell r="J36">
            <v>14810</v>
          </cell>
          <cell r="K36">
            <v>626</v>
          </cell>
          <cell r="L36">
            <v>1878</v>
          </cell>
          <cell r="M36" t="str">
            <v/>
          </cell>
          <cell r="N36">
            <v>12932</v>
          </cell>
        </row>
        <row r="37">
          <cell r="A37">
            <v>27294</v>
          </cell>
          <cell r="B37" t="str">
            <v>12/05/2025</v>
          </cell>
          <cell r="C37" t="str">
            <v>C1951</v>
          </cell>
          <cell r="D37" t="str">
            <v>QN2878</v>
          </cell>
          <cell r="E37" t="str">
            <v>Direct Refrigeration Services Ltd</v>
          </cell>
          <cell r="F37" t="str">
            <v>Subcontractor</v>
          </cell>
          <cell r="G37" t="str">
            <v>07/07/2025</v>
          </cell>
          <cell r="H37" t="str">
            <v>Complete</v>
          </cell>
          <cell r="I37" t="str">
            <v/>
          </cell>
          <cell r="J37">
            <v>0</v>
          </cell>
          <cell r="K37">
            <v>0</v>
          </cell>
          <cell r="L37">
            <v>0</v>
          </cell>
          <cell r="M37" t="str">
            <v/>
          </cell>
          <cell r="N37">
            <v>0</v>
          </cell>
        </row>
        <row r="38">
          <cell r="A38">
            <v>27268</v>
          </cell>
          <cell r="B38" t="str">
            <v>07/05/2025</v>
          </cell>
          <cell r="C38" t="str">
            <v>C1908</v>
          </cell>
          <cell r="D38" t="str">
            <v>Engineers time to weld SE0700 Liners</v>
          </cell>
          <cell r="E38" t="str">
            <v>PJ Heat Exchangers Ltd</v>
          </cell>
          <cell r="F38" t="str">
            <v>Subcontractor</v>
          </cell>
          <cell r="G38" t="str">
            <v>07/05/2025</v>
          </cell>
          <cell r="H38" t="str">
            <v>Part</v>
          </cell>
          <cell r="I38" t="str">
            <v/>
          </cell>
          <cell r="J38">
            <v>1716</v>
          </cell>
          <cell r="K38">
            <v>343.2</v>
          </cell>
          <cell r="L38">
            <v>0</v>
          </cell>
          <cell r="M38" t="str">
            <v/>
          </cell>
          <cell r="N38">
            <v>1716</v>
          </cell>
        </row>
        <row r="39">
          <cell r="A39">
            <v>27263</v>
          </cell>
          <cell r="B39" t="str">
            <v>07/05/2025</v>
          </cell>
          <cell r="C39" t="str">
            <v>C1945</v>
          </cell>
          <cell r="D39" t="str">
            <v>Electrical Package - Prelims/subcontractor Profit</v>
          </cell>
          <cell r="E39" t="str">
            <v>Key Integrated Services (Electrical) Ltd</v>
          </cell>
          <cell r="F39" t="str">
            <v>Subcontractor</v>
          </cell>
          <cell r="G39" t="str">
            <v>07/05/2025</v>
          </cell>
          <cell r="H39" t="str">
            <v>Part</v>
          </cell>
          <cell r="I39" t="str">
            <v>Posted</v>
          </cell>
          <cell r="J39">
            <v>1067859</v>
          </cell>
          <cell r="K39">
            <v>213571.8</v>
          </cell>
          <cell r="L39">
            <v>122058.31</v>
          </cell>
          <cell r="M39" t="str">
            <v/>
          </cell>
          <cell r="N39">
            <v>945800.69</v>
          </cell>
        </row>
        <row r="40">
          <cell r="A40">
            <v>27254</v>
          </cell>
          <cell r="B40" t="str">
            <v>06/05/2025</v>
          </cell>
          <cell r="C40" t="str">
            <v>C1960</v>
          </cell>
          <cell r="D40" t="str">
            <v xml:space="preserve">Installation of 6 x DX </v>
          </cell>
          <cell r="E40" t="str">
            <v>ACR (NW) Ltd</v>
          </cell>
          <cell r="F40" t="str">
            <v>Subcontractor</v>
          </cell>
          <cell r="G40" t="str">
            <v>26/05/2025</v>
          </cell>
          <cell r="H40" t="str">
            <v/>
          </cell>
          <cell r="I40" t="str">
            <v/>
          </cell>
          <cell r="J40">
            <v>18800</v>
          </cell>
          <cell r="K40">
            <v>3760</v>
          </cell>
          <cell r="L40">
            <v>0</v>
          </cell>
          <cell r="M40" t="str">
            <v/>
          </cell>
          <cell r="N40">
            <v>18800</v>
          </cell>
        </row>
        <row r="41">
          <cell r="A41">
            <v>27246</v>
          </cell>
          <cell r="B41" t="str">
            <v>01/05/2025</v>
          </cell>
          <cell r="C41" t="str">
            <v>C1943</v>
          </cell>
          <cell r="D41" t="str">
            <v xml:space="preserve">Crane Hire To Lift GRP &amp; Switchgear </v>
          </cell>
          <cell r="E41" t="str">
            <v>Hird Ltd</v>
          </cell>
          <cell r="F41" t="str">
            <v>Subcontractor</v>
          </cell>
          <cell r="G41" t="str">
            <v>12/05/2025</v>
          </cell>
          <cell r="H41" t="str">
            <v>Part</v>
          </cell>
          <cell r="I41" t="str">
            <v>Posted</v>
          </cell>
          <cell r="J41">
            <v>4855</v>
          </cell>
          <cell r="K41">
            <v>0</v>
          </cell>
          <cell r="L41">
            <v>2435</v>
          </cell>
          <cell r="M41" t="str">
            <v/>
          </cell>
          <cell r="N41">
            <v>2420</v>
          </cell>
        </row>
        <row r="42">
          <cell r="A42">
            <v>27239</v>
          </cell>
          <cell r="B42" t="str">
            <v>01/05/2025</v>
          </cell>
          <cell r="C42" t="str">
            <v>C1948</v>
          </cell>
          <cell r="D42" t="str">
            <v>Compressed Air Package</v>
          </cell>
          <cell r="E42" t="str">
            <v>Direct Air &amp; Pipework Ltd</v>
          </cell>
          <cell r="F42" t="str">
            <v>Subcontractor</v>
          </cell>
          <cell r="G42" t="str">
            <v>06/05/2025</v>
          </cell>
          <cell r="H42" t="str">
            <v>Part</v>
          </cell>
          <cell r="I42" t="str">
            <v>Posted</v>
          </cell>
          <cell r="J42">
            <v>71306</v>
          </cell>
          <cell r="K42">
            <v>0</v>
          </cell>
          <cell r="L42">
            <v>26500</v>
          </cell>
          <cell r="M42" t="str">
            <v/>
          </cell>
          <cell r="N42">
            <v>44806</v>
          </cell>
        </row>
        <row r="43">
          <cell r="A43">
            <v>27233</v>
          </cell>
          <cell r="B43" t="str">
            <v>30/04/2025</v>
          </cell>
          <cell r="C43" t="str">
            <v>C1949</v>
          </cell>
          <cell r="D43" t="str">
            <v>Electrical Installation Package</v>
          </cell>
          <cell r="E43" t="str">
            <v>Key Integrated Services North West Ltd</v>
          </cell>
          <cell r="F43" t="str">
            <v>Subcontractor</v>
          </cell>
          <cell r="G43" t="str">
            <v/>
          </cell>
          <cell r="H43" t="str">
            <v/>
          </cell>
          <cell r="I43" t="str">
            <v/>
          </cell>
          <cell r="J43">
            <v>20353.580000000002</v>
          </cell>
          <cell r="K43">
            <v>0</v>
          </cell>
          <cell r="L43">
            <v>0</v>
          </cell>
          <cell r="M43" t="str">
            <v/>
          </cell>
          <cell r="N43">
            <v>20353.580000000002</v>
          </cell>
        </row>
        <row r="44">
          <cell r="A44">
            <v>27226</v>
          </cell>
          <cell r="B44" t="str">
            <v>29/04/2025</v>
          </cell>
          <cell r="C44" t="str">
            <v>C1959</v>
          </cell>
          <cell r="D44" t="str">
            <v xml:space="preserve">Variation 33 additional Electrical works </v>
          </cell>
          <cell r="E44" t="str">
            <v>Key Integrated Services North West Ltd</v>
          </cell>
          <cell r="F44" t="str">
            <v>Subcontractor</v>
          </cell>
          <cell r="G44" t="str">
            <v>09/03/2025</v>
          </cell>
          <cell r="H44" t="str">
            <v>Part</v>
          </cell>
          <cell r="I44" t="str">
            <v/>
          </cell>
          <cell r="J44">
            <v>11213.89</v>
          </cell>
          <cell r="K44">
            <v>0</v>
          </cell>
          <cell r="L44">
            <v>0</v>
          </cell>
          <cell r="M44" t="str">
            <v/>
          </cell>
          <cell r="N44">
            <v>11213.89</v>
          </cell>
        </row>
        <row r="45">
          <cell r="A45">
            <v>27143</v>
          </cell>
          <cell r="B45" t="str">
            <v>28/04/2025</v>
          </cell>
          <cell r="C45" t="str">
            <v>C1958</v>
          </cell>
          <cell r="D45" t="str">
            <v>Order as per schedule KS0474</v>
          </cell>
          <cell r="E45" t="str">
            <v>Koolsolutions Air Conditioning &amp; Ventilation Ltd</v>
          </cell>
          <cell r="F45" t="str">
            <v>Subcontractor</v>
          </cell>
          <cell r="G45" t="str">
            <v>28/05/2025</v>
          </cell>
          <cell r="H45" t="str">
            <v>Part</v>
          </cell>
          <cell r="I45" t="str">
            <v>Posted</v>
          </cell>
          <cell r="J45">
            <v>39200</v>
          </cell>
          <cell r="K45">
            <v>7840</v>
          </cell>
          <cell r="L45">
            <v>28900</v>
          </cell>
          <cell r="M45" t="str">
            <v/>
          </cell>
          <cell r="N45">
            <v>10300</v>
          </cell>
        </row>
        <row r="46">
          <cell r="A46">
            <v>27207</v>
          </cell>
          <cell r="B46" t="str">
            <v>25/04/2025</v>
          </cell>
          <cell r="C46" t="str">
            <v>C1908</v>
          </cell>
          <cell r="D46" t="str">
            <v>Ashton Green Chlorination</v>
          </cell>
          <cell r="E46" t="str">
            <v>MSB Hygiene Ltd</v>
          </cell>
          <cell r="F46" t="str">
            <v>Subcontractor</v>
          </cell>
          <cell r="G46" t="str">
            <v>28/04/2025</v>
          </cell>
          <cell r="H46" t="str">
            <v>Part</v>
          </cell>
          <cell r="I46" t="str">
            <v/>
          </cell>
          <cell r="J46">
            <v>650</v>
          </cell>
          <cell r="K46">
            <v>0</v>
          </cell>
          <cell r="L46">
            <v>0</v>
          </cell>
          <cell r="M46" t="str">
            <v/>
          </cell>
          <cell r="N46">
            <v>650</v>
          </cell>
        </row>
        <row r="47">
          <cell r="A47">
            <v>27184</v>
          </cell>
          <cell r="B47" t="str">
            <v>22/04/2025</v>
          </cell>
          <cell r="C47" t="str">
            <v>C1941</v>
          </cell>
          <cell r="D47" t="str">
            <v>Tempering Room Ductwork supply and return</v>
          </cell>
          <cell r="E47" t="str">
            <v>Thermal Insulation Covers Ltd</v>
          </cell>
          <cell r="F47" t="str">
            <v>Subcontractor</v>
          </cell>
          <cell r="G47" t="str">
            <v>02/05/2025</v>
          </cell>
          <cell r="H47" t="str">
            <v>Part</v>
          </cell>
          <cell r="I47" t="str">
            <v>Posted</v>
          </cell>
          <cell r="J47">
            <v>62441.120000000003</v>
          </cell>
          <cell r="K47">
            <v>0</v>
          </cell>
          <cell r="L47">
            <v>6754.27</v>
          </cell>
          <cell r="M47" t="str">
            <v/>
          </cell>
          <cell r="N47">
            <v>55686.85</v>
          </cell>
        </row>
        <row r="48">
          <cell r="A48">
            <v>27178</v>
          </cell>
          <cell r="B48" t="str">
            <v>22/04/2025</v>
          </cell>
          <cell r="C48" t="str">
            <v>C1949</v>
          </cell>
          <cell r="D48" t="str">
            <v>Toxic Refuge System</v>
          </cell>
          <cell r="E48" t="str">
            <v>Impact Control Systems Ltd</v>
          </cell>
          <cell r="F48" t="str">
            <v>Subcontractor</v>
          </cell>
          <cell r="G48" t="str">
            <v/>
          </cell>
          <cell r="H48" t="str">
            <v>Part</v>
          </cell>
          <cell r="I48" t="str">
            <v>Posted</v>
          </cell>
          <cell r="J48">
            <v>18000</v>
          </cell>
          <cell r="K48">
            <v>0</v>
          </cell>
          <cell r="L48">
            <v>576.65</v>
          </cell>
          <cell r="M48" t="str">
            <v/>
          </cell>
          <cell r="N48">
            <v>17423.349999999999</v>
          </cell>
        </row>
        <row r="49">
          <cell r="A49">
            <v>27172</v>
          </cell>
          <cell r="B49" t="str">
            <v>17/04/2025</v>
          </cell>
          <cell r="C49" t="str">
            <v>C1943</v>
          </cell>
          <cell r="D49" t="str">
            <v>Internal scaffold item 1 Birdcage 1 hire total 8 weeks</v>
          </cell>
          <cell r="E49" t="str">
            <v xml:space="preserve">PDL Access Limited </v>
          </cell>
          <cell r="F49" t="str">
            <v>Subcontractor</v>
          </cell>
          <cell r="G49" t="str">
            <v>22/04/2025</v>
          </cell>
          <cell r="H49" t="str">
            <v>Part</v>
          </cell>
          <cell r="I49" t="str">
            <v>Posted</v>
          </cell>
          <cell r="J49">
            <v>30086</v>
          </cell>
          <cell r="K49">
            <v>0</v>
          </cell>
          <cell r="L49">
            <v>6912</v>
          </cell>
          <cell r="M49" t="str">
            <v/>
          </cell>
          <cell r="N49">
            <v>23174</v>
          </cell>
        </row>
        <row r="50">
          <cell r="A50">
            <v>27059</v>
          </cell>
          <cell r="B50" t="str">
            <v>17/04/2025</v>
          </cell>
          <cell r="C50" t="str">
            <v>C1945</v>
          </cell>
          <cell r="D50" t="str">
            <v>Electrical Sub-Con</v>
          </cell>
          <cell r="E50" t="str">
            <v>Aiut SP. Zo.o</v>
          </cell>
          <cell r="F50" t="str">
            <v>Subcontractor</v>
          </cell>
          <cell r="G50" t="str">
            <v>20/03/2025</v>
          </cell>
          <cell r="H50" t="str">
            <v>Part</v>
          </cell>
          <cell r="I50" t="str">
            <v>Posted</v>
          </cell>
          <cell r="J50">
            <v>3520005.18</v>
          </cell>
          <cell r="K50">
            <v>809601.19</v>
          </cell>
          <cell r="L50">
            <v>666279.94999999995</v>
          </cell>
          <cell r="M50" t="str">
            <v/>
          </cell>
          <cell r="N50">
            <v>2853725.23</v>
          </cell>
        </row>
        <row r="51">
          <cell r="A51">
            <v>27163</v>
          </cell>
          <cell r="B51" t="str">
            <v>16/04/2025</v>
          </cell>
          <cell r="C51" t="str">
            <v>C1958</v>
          </cell>
          <cell r="D51" t="str">
            <v xml:space="preserve">VENTILATION SERVICES Level 3 </v>
          </cell>
          <cell r="E51" t="str">
            <v>JDE Ventilation Systems Ltd</v>
          </cell>
          <cell r="F51" t="str">
            <v>Subcontractor</v>
          </cell>
          <cell r="G51" t="str">
            <v>08/05/2025</v>
          </cell>
          <cell r="H51" t="str">
            <v>Part</v>
          </cell>
          <cell r="I51" t="str">
            <v>Posted</v>
          </cell>
          <cell r="J51">
            <v>51500</v>
          </cell>
          <cell r="K51">
            <v>10300</v>
          </cell>
          <cell r="L51">
            <v>35000</v>
          </cell>
          <cell r="M51" t="str">
            <v/>
          </cell>
          <cell r="N51">
            <v>16500</v>
          </cell>
        </row>
        <row r="52">
          <cell r="A52">
            <v>27155</v>
          </cell>
          <cell r="B52" t="str">
            <v>15/04/2025</v>
          </cell>
          <cell r="C52" t="str">
            <v>C1943</v>
          </cell>
          <cell r="D52" t="str">
            <v>BMS Deign, Supply &amp; Install</v>
          </cell>
          <cell r="E52" t="str">
            <v>Impact Control Systems Ltd</v>
          </cell>
          <cell r="F52" t="str">
            <v>Subcontractor</v>
          </cell>
          <cell r="G52" t="str">
            <v>14/04/2025</v>
          </cell>
          <cell r="H52" t="str">
            <v>Part</v>
          </cell>
          <cell r="I52" t="str">
            <v>Posted</v>
          </cell>
          <cell r="J52">
            <v>320002</v>
          </cell>
          <cell r="K52">
            <v>0</v>
          </cell>
          <cell r="L52">
            <v>50010.55</v>
          </cell>
          <cell r="M52" t="str">
            <v/>
          </cell>
          <cell r="N52">
            <v>269991.45</v>
          </cell>
        </row>
        <row r="53">
          <cell r="A53">
            <v>27142</v>
          </cell>
          <cell r="B53" t="str">
            <v>11/04/2025</v>
          </cell>
          <cell r="C53" t="str">
            <v>C1943</v>
          </cell>
          <cell r="D53" t="str">
            <v>Grille Boxes and Plenums for May shut Down 8357</v>
          </cell>
          <cell r="E53" t="str">
            <v>Firth Sheet Metal Limited</v>
          </cell>
          <cell r="F53" t="str">
            <v>Subcontractor</v>
          </cell>
          <cell r="G53" t="str">
            <v>09/05/2025</v>
          </cell>
          <cell r="H53" t="str">
            <v>Part</v>
          </cell>
          <cell r="I53" t="str">
            <v/>
          </cell>
          <cell r="J53">
            <v>14168</v>
          </cell>
          <cell r="K53">
            <v>0</v>
          </cell>
          <cell r="L53">
            <v>0</v>
          </cell>
          <cell r="M53" t="str">
            <v/>
          </cell>
          <cell r="N53">
            <v>14168</v>
          </cell>
        </row>
        <row r="54">
          <cell r="A54">
            <v>27107</v>
          </cell>
          <cell r="B54" t="str">
            <v>04/04/2025</v>
          </cell>
          <cell r="C54" t="str">
            <v>C1935</v>
          </cell>
          <cell r="D54" t="str">
            <v>BMS Installation as per OP-240306-14079321(Decarb</v>
          </cell>
          <cell r="E54" t="str">
            <v>Schneider Electric Ltd</v>
          </cell>
          <cell r="F54" t="str">
            <v>Subcontractor</v>
          </cell>
          <cell r="G54" t="str">
            <v/>
          </cell>
          <cell r="H54" t="str">
            <v>Part</v>
          </cell>
          <cell r="I54" t="str">
            <v/>
          </cell>
          <cell r="J54">
            <v>238858</v>
          </cell>
          <cell r="K54">
            <v>0</v>
          </cell>
          <cell r="L54">
            <v>0</v>
          </cell>
          <cell r="M54" t="str">
            <v/>
          </cell>
          <cell r="N54">
            <v>238858</v>
          </cell>
        </row>
        <row r="55">
          <cell r="A55">
            <v>27105</v>
          </cell>
          <cell r="B55" t="str">
            <v>04/04/2025</v>
          </cell>
          <cell r="C55" t="str">
            <v>C1916</v>
          </cell>
          <cell r="D55" t="str">
            <v>BMS Installation as per OP-230821-13491918.(Extension)</v>
          </cell>
          <cell r="E55" t="str">
            <v>Schneider Electric Ltd</v>
          </cell>
          <cell r="F55" t="str">
            <v>Subcontractor</v>
          </cell>
          <cell r="G55" t="str">
            <v/>
          </cell>
          <cell r="H55" t="str">
            <v>Part</v>
          </cell>
          <cell r="I55" t="str">
            <v/>
          </cell>
          <cell r="J55">
            <v>83067</v>
          </cell>
          <cell r="K55">
            <v>0</v>
          </cell>
          <cell r="L55">
            <v>0</v>
          </cell>
          <cell r="M55" t="str">
            <v/>
          </cell>
          <cell r="N55">
            <v>83067</v>
          </cell>
        </row>
        <row r="56">
          <cell r="A56">
            <v>27101</v>
          </cell>
          <cell r="B56" t="str">
            <v>03/04/2025</v>
          </cell>
          <cell r="C56" t="str">
            <v>C1960</v>
          </cell>
          <cell r="D56" t="str">
            <v>As Per schedule KS0525</v>
          </cell>
          <cell r="E56" t="str">
            <v>Koolsolutions Air Conditioning &amp; Ventilation Ltd</v>
          </cell>
          <cell r="F56" t="str">
            <v>Subcontractor</v>
          </cell>
          <cell r="G56" t="str">
            <v>26/05/2025</v>
          </cell>
          <cell r="H56" t="str">
            <v>Complete</v>
          </cell>
          <cell r="I56" t="str">
            <v/>
          </cell>
          <cell r="J56">
            <v>0</v>
          </cell>
          <cell r="K56">
            <v>0</v>
          </cell>
          <cell r="L56">
            <v>0</v>
          </cell>
          <cell r="M56" t="str">
            <v/>
          </cell>
          <cell r="N56">
            <v>0</v>
          </cell>
        </row>
        <row r="57">
          <cell r="A57">
            <v>27067</v>
          </cell>
          <cell r="B57" t="str">
            <v>25/03/2025</v>
          </cell>
          <cell r="C57" t="str">
            <v>C1949</v>
          </cell>
          <cell r="D57" t="str">
            <v xml:space="preserve">Thermal Insulation Package </v>
          </cell>
          <cell r="E57" t="str">
            <v>Thermal Insulation Covers Ltd</v>
          </cell>
          <cell r="F57" t="str">
            <v>Subcontractor</v>
          </cell>
          <cell r="G57" t="str">
            <v/>
          </cell>
          <cell r="H57" t="str">
            <v/>
          </cell>
          <cell r="I57" t="str">
            <v/>
          </cell>
          <cell r="J57">
            <v>5500</v>
          </cell>
          <cell r="K57">
            <v>0</v>
          </cell>
          <cell r="L57">
            <v>0</v>
          </cell>
          <cell r="M57" t="str">
            <v/>
          </cell>
          <cell r="N57">
            <v>5500</v>
          </cell>
        </row>
        <row r="58">
          <cell r="A58">
            <v>27057</v>
          </cell>
          <cell r="B58" t="str">
            <v>21/03/2025</v>
          </cell>
          <cell r="C58" t="str">
            <v>C1957</v>
          </cell>
          <cell r="D58" t="str">
            <v>site isolate and decommission, reclaim refrigerant</v>
          </cell>
          <cell r="E58" t="str">
            <v>Airconuk Ltd</v>
          </cell>
          <cell r="F58" t="str">
            <v>Subcontractor</v>
          </cell>
          <cell r="G58" t="str">
            <v>25/03/2025</v>
          </cell>
          <cell r="H58" t="str">
            <v>Part</v>
          </cell>
          <cell r="I58" t="str">
            <v/>
          </cell>
          <cell r="J58">
            <v>1735</v>
          </cell>
          <cell r="K58">
            <v>347</v>
          </cell>
          <cell r="L58">
            <v>0</v>
          </cell>
          <cell r="M58" t="str">
            <v/>
          </cell>
          <cell r="N58">
            <v>1735</v>
          </cell>
        </row>
        <row r="59">
          <cell r="A59">
            <v>27047</v>
          </cell>
          <cell r="B59" t="str">
            <v>19/03/2025</v>
          </cell>
          <cell r="C59" t="str">
            <v>C1943</v>
          </cell>
          <cell r="D59" t="str">
            <v>Cabin PAT Testing</v>
          </cell>
          <cell r="E59" t="str">
            <v>Key Integrated Services North West Ltd</v>
          </cell>
          <cell r="F59" t="str">
            <v>Subcontractor</v>
          </cell>
          <cell r="G59" t="str">
            <v>20/03/2025</v>
          </cell>
          <cell r="H59" t="str">
            <v/>
          </cell>
          <cell r="I59" t="str">
            <v/>
          </cell>
          <cell r="J59">
            <v>225</v>
          </cell>
          <cell r="K59">
            <v>0</v>
          </cell>
          <cell r="L59">
            <v>0</v>
          </cell>
          <cell r="M59" t="str">
            <v/>
          </cell>
          <cell r="N59">
            <v>225</v>
          </cell>
        </row>
        <row r="60">
          <cell r="A60">
            <v>27045</v>
          </cell>
          <cell r="B60" t="str">
            <v>19/03/2025</v>
          </cell>
          <cell r="C60" t="str">
            <v>C1952</v>
          </cell>
          <cell r="D60" t="str">
            <v>Upgrade to QJS DB and installation of EM shower supply and t</v>
          </cell>
          <cell r="E60" t="str">
            <v>Key Integrated Services (Electrical) Ltd</v>
          </cell>
          <cell r="F60" t="str">
            <v>Subcontractor</v>
          </cell>
          <cell r="G60" t="str">
            <v/>
          </cell>
          <cell r="H60" t="str">
            <v/>
          </cell>
          <cell r="I60" t="str">
            <v/>
          </cell>
          <cell r="J60">
            <v>2425</v>
          </cell>
          <cell r="K60">
            <v>485</v>
          </cell>
          <cell r="L60">
            <v>0</v>
          </cell>
          <cell r="M60" t="str">
            <v/>
          </cell>
          <cell r="N60">
            <v>2425</v>
          </cell>
        </row>
        <row r="61">
          <cell r="A61">
            <v>27042</v>
          </cell>
          <cell r="B61" t="str">
            <v>19/03/2025</v>
          </cell>
          <cell r="C61" t="str">
            <v>C1935</v>
          </cell>
          <cell r="D61" t="str">
            <v>Decarb &amp; Extension Commissioning</v>
          </cell>
          <cell r="E61" t="str">
            <v>New Era Commissioning Specialists Ltd</v>
          </cell>
          <cell r="F61" t="str">
            <v>Subcontractor</v>
          </cell>
          <cell r="G61" t="str">
            <v/>
          </cell>
          <cell r="H61" t="str">
            <v>Part</v>
          </cell>
          <cell r="I61" t="str">
            <v/>
          </cell>
          <cell r="J61">
            <v>5900</v>
          </cell>
          <cell r="K61">
            <v>0</v>
          </cell>
          <cell r="L61">
            <v>0</v>
          </cell>
          <cell r="M61" t="str">
            <v/>
          </cell>
          <cell r="N61">
            <v>5900</v>
          </cell>
        </row>
        <row r="62">
          <cell r="A62">
            <v>27029</v>
          </cell>
          <cell r="B62" t="str">
            <v>17/03/2025</v>
          </cell>
          <cell r="C62" t="str">
            <v>C1945</v>
          </cell>
          <cell r="D62" t="str">
            <v xml:space="preserve">As per Sub-contract document </v>
          </cell>
          <cell r="E62" t="str">
            <v>BORUTA SP.z o.o</v>
          </cell>
          <cell r="F62" t="str">
            <v>Subcontractor</v>
          </cell>
          <cell r="G62" t="str">
            <v>31/10/2025</v>
          </cell>
          <cell r="H62" t="str">
            <v>Part</v>
          </cell>
          <cell r="I62" t="str">
            <v>Posted</v>
          </cell>
          <cell r="J62">
            <v>2086252.33</v>
          </cell>
          <cell r="K62">
            <v>479838.03</v>
          </cell>
          <cell r="L62">
            <v>545618.49</v>
          </cell>
          <cell r="M62" t="str">
            <v/>
          </cell>
          <cell r="N62">
            <v>1540633.84</v>
          </cell>
        </row>
        <row r="63">
          <cell r="A63">
            <v>27158</v>
          </cell>
          <cell r="B63" t="str">
            <v>14/03/2025</v>
          </cell>
          <cell r="C63" t="str">
            <v>C1943</v>
          </cell>
          <cell r="D63" t="str">
            <v>Mech Pipework</v>
          </cell>
          <cell r="E63" t="str">
            <v>Lymecastle Mechanical Services Ltd</v>
          </cell>
          <cell r="F63" t="str">
            <v>Subcontractor</v>
          </cell>
          <cell r="G63" t="str">
            <v/>
          </cell>
          <cell r="H63" t="str">
            <v>Part</v>
          </cell>
          <cell r="I63" t="str">
            <v>Posted</v>
          </cell>
          <cell r="J63">
            <v>715011.99</v>
          </cell>
          <cell r="K63">
            <v>143002.4</v>
          </cell>
          <cell r="L63">
            <v>208150.23</v>
          </cell>
          <cell r="M63" t="str">
            <v/>
          </cell>
          <cell r="N63">
            <v>506861.76</v>
          </cell>
        </row>
        <row r="64">
          <cell r="A64">
            <v>27157</v>
          </cell>
          <cell r="B64" t="str">
            <v>14/03/2025</v>
          </cell>
          <cell r="C64" t="str">
            <v>C1943</v>
          </cell>
          <cell r="D64" t="str">
            <v>Ductwork Package</v>
          </cell>
          <cell r="E64" t="str">
            <v>BMVS Merseyside Ltd</v>
          </cell>
          <cell r="F64" t="str">
            <v>Subcontractor</v>
          </cell>
          <cell r="G64" t="str">
            <v/>
          </cell>
          <cell r="H64" t="str">
            <v>Part</v>
          </cell>
          <cell r="I64" t="str">
            <v>Posted</v>
          </cell>
          <cell r="J64">
            <v>633300</v>
          </cell>
          <cell r="K64">
            <v>126660</v>
          </cell>
          <cell r="L64">
            <v>104731.65</v>
          </cell>
          <cell r="M64" t="str">
            <v/>
          </cell>
          <cell r="N64">
            <v>528568.35</v>
          </cell>
        </row>
        <row r="65">
          <cell r="A65">
            <v>27008</v>
          </cell>
          <cell r="B65" t="str">
            <v>11/03/2025</v>
          </cell>
          <cell r="C65" t="str">
            <v>C1951</v>
          </cell>
          <cell r="D65" t="str">
            <v>installation of 4 x 25kw Air conditioning systems</v>
          </cell>
          <cell r="E65" t="str">
            <v>Direct Refrigeration Services Ltd</v>
          </cell>
          <cell r="F65" t="str">
            <v>Subcontractor</v>
          </cell>
          <cell r="G65" t="str">
            <v>01/05/2025</v>
          </cell>
          <cell r="H65" t="str">
            <v>Complete</v>
          </cell>
          <cell r="I65" t="str">
            <v/>
          </cell>
          <cell r="J65">
            <v>0</v>
          </cell>
          <cell r="K65">
            <v>0</v>
          </cell>
          <cell r="L65">
            <v>0</v>
          </cell>
          <cell r="M65" t="str">
            <v/>
          </cell>
          <cell r="N65">
            <v>0</v>
          </cell>
        </row>
        <row r="66">
          <cell r="A66">
            <v>27007</v>
          </cell>
          <cell r="B66" t="str">
            <v>11/03/2025</v>
          </cell>
          <cell r="C66" t="str">
            <v>C1951</v>
          </cell>
          <cell r="D66" t="str">
            <v xml:space="preserve">Installation of refrigeration systems in G35 +16c. </v>
          </cell>
          <cell r="E66" t="str">
            <v>Direct Refrigeration Services Ltd</v>
          </cell>
          <cell r="F66" t="str">
            <v>Subcontractor</v>
          </cell>
          <cell r="G66" t="str">
            <v>21/04/2025</v>
          </cell>
          <cell r="H66" t="str">
            <v>Part</v>
          </cell>
          <cell r="I66" t="str">
            <v>Posted</v>
          </cell>
          <cell r="J66">
            <v>38420.82</v>
          </cell>
          <cell r="K66">
            <v>7684.16</v>
          </cell>
          <cell r="L66">
            <v>17844.82</v>
          </cell>
          <cell r="M66" t="str">
            <v/>
          </cell>
          <cell r="N66">
            <v>20576</v>
          </cell>
        </row>
        <row r="67">
          <cell r="A67">
            <v>26980</v>
          </cell>
          <cell r="B67" t="str">
            <v>05/03/2025</v>
          </cell>
          <cell r="C67" t="str">
            <v>C1954</v>
          </cell>
          <cell r="D67" t="str">
            <v>LEV ventilation modifications</v>
          </cell>
          <cell r="E67" t="str">
            <v>JDE Ventilation Systems Ltd</v>
          </cell>
          <cell r="F67" t="str">
            <v>Subcontractor</v>
          </cell>
          <cell r="G67" t="str">
            <v/>
          </cell>
          <cell r="H67" t="str">
            <v>Part</v>
          </cell>
          <cell r="I67" t="str">
            <v>Posted</v>
          </cell>
          <cell r="J67">
            <v>30350</v>
          </cell>
          <cell r="K67">
            <v>6070</v>
          </cell>
          <cell r="L67">
            <v>18210</v>
          </cell>
          <cell r="M67" t="str">
            <v/>
          </cell>
          <cell r="N67">
            <v>12140</v>
          </cell>
        </row>
        <row r="68">
          <cell r="A68">
            <v>26973</v>
          </cell>
          <cell r="B68" t="str">
            <v>03/03/2025</v>
          </cell>
          <cell r="C68" t="str">
            <v>C1907</v>
          </cell>
          <cell r="D68" t="str">
            <v>Moving Condensate Receiver</v>
          </cell>
          <cell r="E68" t="str">
            <v>Jack Waghorn International Ltd</v>
          </cell>
          <cell r="F68" t="str">
            <v>Subcontractor</v>
          </cell>
          <cell r="G68" t="str">
            <v>12/03/2025</v>
          </cell>
          <cell r="H68" t="str">
            <v>Complete</v>
          </cell>
          <cell r="I68" t="str">
            <v/>
          </cell>
          <cell r="J68">
            <v>0</v>
          </cell>
          <cell r="K68">
            <v>0</v>
          </cell>
          <cell r="L68">
            <v>0</v>
          </cell>
          <cell r="M68" t="str">
            <v/>
          </cell>
          <cell r="N68">
            <v>0</v>
          </cell>
        </row>
        <row r="69">
          <cell r="A69">
            <v>26961</v>
          </cell>
          <cell r="B69" t="str">
            <v>27/02/2025</v>
          </cell>
          <cell r="C69" t="str">
            <v>C1899</v>
          </cell>
          <cell r="D69" t="str">
            <v>Return Commissioning</v>
          </cell>
          <cell r="E69" t="str">
            <v>EJ Peak Technology Solutions LTD</v>
          </cell>
          <cell r="F69" t="str">
            <v>Subcontractor</v>
          </cell>
          <cell r="G69" t="str">
            <v>17/03/2025</v>
          </cell>
          <cell r="H69" t="str">
            <v>Part</v>
          </cell>
          <cell r="I69" t="str">
            <v>Posted</v>
          </cell>
          <cell r="J69">
            <v>8744.5</v>
          </cell>
          <cell r="K69">
            <v>1748.9</v>
          </cell>
          <cell r="L69">
            <v>6194.5</v>
          </cell>
          <cell r="M69" t="str">
            <v/>
          </cell>
          <cell r="N69">
            <v>2550</v>
          </cell>
        </row>
        <row r="70">
          <cell r="A70">
            <v>26886</v>
          </cell>
          <cell r="B70" t="str">
            <v>12/02/2025</v>
          </cell>
          <cell r="C70" t="str">
            <v>C1943</v>
          </cell>
          <cell r="D70" t="str">
            <v>C4 Architectural planning</v>
          </cell>
          <cell r="E70" t="str">
            <v>C4 Projects Ltd</v>
          </cell>
          <cell r="F70" t="str">
            <v>Subcontractor</v>
          </cell>
          <cell r="G70" t="str">
            <v/>
          </cell>
          <cell r="H70" t="str">
            <v>Part</v>
          </cell>
          <cell r="I70" t="str">
            <v>Posted</v>
          </cell>
          <cell r="J70">
            <v>18335</v>
          </cell>
          <cell r="K70">
            <v>0</v>
          </cell>
          <cell r="L70">
            <v>6800</v>
          </cell>
          <cell r="M70" t="str">
            <v/>
          </cell>
          <cell r="N70">
            <v>11535</v>
          </cell>
        </row>
        <row r="71">
          <cell r="A71">
            <v>26874</v>
          </cell>
          <cell r="B71" t="str">
            <v>10/02/2025</v>
          </cell>
          <cell r="C71" t="str">
            <v>C1925</v>
          </cell>
          <cell r="D71" t="str">
            <v>NP/BS civils work for system 18 and Gran 5 REV 2</v>
          </cell>
          <cell r="E71" t="str">
            <v>NP Services (Leicester) Ltd</v>
          </cell>
          <cell r="F71" t="str">
            <v>Subcontractor</v>
          </cell>
          <cell r="G71" t="str">
            <v>17/02/2025</v>
          </cell>
          <cell r="H71" t="str">
            <v>Part</v>
          </cell>
          <cell r="I71" t="str">
            <v/>
          </cell>
          <cell r="J71">
            <v>29587.200000000001</v>
          </cell>
          <cell r="K71">
            <v>0</v>
          </cell>
          <cell r="L71">
            <v>0</v>
          </cell>
          <cell r="M71" t="str">
            <v/>
          </cell>
          <cell r="N71">
            <v>29587.200000000001</v>
          </cell>
        </row>
        <row r="72">
          <cell r="A72">
            <v>26866</v>
          </cell>
          <cell r="B72" t="str">
            <v>10/02/2025</v>
          </cell>
          <cell r="C72" t="str">
            <v>C1941</v>
          </cell>
          <cell r="D72" t="str">
            <v>For the supply and install of the AB Mauri Ventilation Packa</v>
          </cell>
          <cell r="E72" t="str">
            <v>JDE Ventilation Systems Ltd</v>
          </cell>
          <cell r="F72" t="str">
            <v>Subcontractor</v>
          </cell>
          <cell r="G72" t="str">
            <v>19/02/2025</v>
          </cell>
          <cell r="H72" t="str">
            <v>Complete</v>
          </cell>
          <cell r="I72" t="str">
            <v/>
          </cell>
          <cell r="J72">
            <v>0</v>
          </cell>
          <cell r="K72">
            <v>0</v>
          </cell>
          <cell r="L72">
            <v>0</v>
          </cell>
          <cell r="M72" t="str">
            <v/>
          </cell>
          <cell r="N72">
            <v>0</v>
          </cell>
        </row>
        <row r="73">
          <cell r="A73">
            <v>26848</v>
          </cell>
          <cell r="B73" t="str">
            <v>05/02/2025</v>
          </cell>
          <cell r="C73" t="str">
            <v>C1941</v>
          </cell>
          <cell r="D73" t="str">
            <v>PO for Immediate securing site labour 10/02/25, offsite fabr</v>
          </cell>
          <cell r="E73" t="str">
            <v>Entech Services UK Ltd</v>
          </cell>
          <cell r="F73" t="str">
            <v>Subcontractor</v>
          </cell>
          <cell r="G73" t="str">
            <v>10/02/2025</v>
          </cell>
          <cell r="H73" t="str">
            <v>Part</v>
          </cell>
          <cell r="I73" t="str">
            <v>Posted</v>
          </cell>
          <cell r="J73">
            <v>66450</v>
          </cell>
          <cell r="K73">
            <v>0</v>
          </cell>
          <cell r="L73">
            <v>33000</v>
          </cell>
          <cell r="M73" t="str">
            <v/>
          </cell>
          <cell r="N73">
            <v>33450</v>
          </cell>
        </row>
        <row r="74">
          <cell r="A74">
            <v>26841</v>
          </cell>
          <cell r="B74" t="str">
            <v>04/02/2025</v>
          </cell>
          <cell r="C74" t="str">
            <v>C1893</v>
          </cell>
          <cell r="D74" t="str">
            <v>Attend site to survey drains and unblock if required.</v>
          </cell>
          <cell r="E74" t="str">
            <v>Key Integrated Services Maintenance Limited</v>
          </cell>
          <cell r="F74" t="str">
            <v>Subcontractor</v>
          </cell>
          <cell r="G74" t="str">
            <v>10/02/2025</v>
          </cell>
          <cell r="H74" t="str">
            <v/>
          </cell>
          <cell r="I74" t="str">
            <v/>
          </cell>
          <cell r="J74">
            <v>300</v>
          </cell>
          <cell r="K74">
            <v>60</v>
          </cell>
          <cell r="L74">
            <v>0</v>
          </cell>
          <cell r="M74" t="str">
            <v/>
          </cell>
          <cell r="N74">
            <v>300</v>
          </cell>
        </row>
        <row r="75">
          <cell r="A75">
            <v>26832</v>
          </cell>
          <cell r="B75" t="str">
            <v>03/02/2025</v>
          </cell>
          <cell r="C75" t="str">
            <v>C1948</v>
          </cell>
          <cell r="D75" t="str">
            <v>LV DISTRIBUTION</v>
          </cell>
          <cell r="E75" t="str">
            <v>Key Integrated Services (Electrical) Ltd</v>
          </cell>
          <cell r="F75" t="str">
            <v>Subcontractor</v>
          </cell>
          <cell r="G75" t="str">
            <v>31/07/2025</v>
          </cell>
          <cell r="H75" t="str">
            <v>Part</v>
          </cell>
          <cell r="I75" t="str">
            <v>Posted</v>
          </cell>
          <cell r="J75">
            <v>719139.64</v>
          </cell>
          <cell r="K75">
            <v>0</v>
          </cell>
          <cell r="L75">
            <v>443827.92</v>
          </cell>
          <cell r="M75" t="str">
            <v/>
          </cell>
          <cell r="N75">
            <v>275311.71999999997</v>
          </cell>
        </row>
        <row r="76">
          <cell r="A76">
            <v>26828</v>
          </cell>
          <cell r="B76" t="str">
            <v>31/01/2025</v>
          </cell>
          <cell r="C76" t="str">
            <v>C1907</v>
          </cell>
          <cell r="D76" t="str">
            <v>AHU Replacement Project (Scaffolding)</v>
          </cell>
          <cell r="E76" t="str">
            <v>NP Services (Leicester) Ltd</v>
          </cell>
          <cell r="F76" t="str">
            <v>Subcontractor</v>
          </cell>
          <cell r="G76" t="str">
            <v>02/02/2025</v>
          </cell>
          <cell r="H76" t="str">
            <v>Complete</v>
          </cell>
          <cell r="I76" t="str">
            <v/>
          </cell>
          <cell r="J76">
            <v>0</v>
          </cell>
          <cell r="K76">
            <v>0</v>
          </cell>
          <cell r="L76">
            <v>0</v>
          </cell>
          <cell r="M76" t="str">
            <v/>
          </cell>
          <cell r="N76">
            <v>0</v>
          </cell>
        </row>
        <row r="77">
          <cell r="A77">
            <v>26817</v>
          </cell>
          <cell r="B77" t="str">
            <v>28/01/2025</v>
          </cell>
          <cell r="C77" t="str">
            <v>C1935</v>
          </cell>
          <cell r="D77" t="str">
            <v>Thermal Insulation Package</v>
          </cell>
          <cell r="E77" t="str">
            <v>Thermal Insulation Covers Ltd</v>
          </cell>
          <cell r="F77" t="str">
            <v>Subcontractor</v>
          </cell>
          <cell r="G77" t="str">
            <v>10/02/2025</v>
          </cell>
          <cell r="H77" t="str">
            <v>Part</v>
          </cell>
          <cell r="I77" t="str">
            <v>Posted</v>
          </cell>
          <cell r="J77">
            <v>42249.27</v>
          </cell>
          <cell r="K77">
            <v>0</v>
          </cell>
          <cell r="L77">
            <v>32250</v>
          </cell>
          <cell r="M77" t="str">
            <v/>
          </cell>
          <cell r="N77">
            <v>9999.27</v>
          </cell>
        </row>
        <row r="78">
          <cell r="A78">
            <v>26809</v>
          </cell>
          <cell r="B78" t="str">
            <v>27/01/2025</v>
          </cell>
          <cell r="C78" t="str">
            <v>C1941</v>
          </cell>
          <cell r="D78" t="str">
            <v>For the Install of both self supplied and free issue equipme</v>
          </cell>
          <cell r="E78" t="str">
            <v>JDE Ventilation Systems Ltd</v>
          </cell>
          <cell r="F78" t="str">
            <v>Subcontractor</v>
          </cell>
          <cell r="G78" t="str">
            <v>29/01/2025</v>
          </cell>
          <cell r="H78" t="str">
            <v>Part</v>
          </cell>
          <cell r="I78" t="str">
            <v>Posted</v>
          </cell>
          <cell r="J78">
            <v>68075</v>
          </cell>
          <cell r="K78">
            <v>13615</v>
          </cell>
          <cell r="L78">
            <v>41823.75</v>
          </cell>
          <cell r="M78" t="str">
            <v/>
          </cell>
          <cell r="N78">
            <v>26251.25</v>
          </cell>
        </row>
        <row r="79">
          <cell r="A79">
            <v>26765</v>
          </cell>
          <cell r="B79" t="str">
            <v>27/01/2025</v>
          </cell>
          <cell r="C79" t="str">
            <v>C1935</v>
          </cell>
          <cell r="D79" t="str">
            <v>Decarb LTHW Installation Package</v>
          </cell>
          <cell r="E79" t="str">
            <v>Entech Services UK Ltd</v>
          </cell>
          <cell r="F79" t="str">
            <v>Subcontractor</v>
          </cell>
          <cell r="G79" t="str">
            <v/>
          </cell>
          <cell r="H79" t="str">
            <v>Part</v>
          </cell>
          <cell r="I79" t="str">
            <v>Posted</v>
          </cell>
          <cell r="J79">
            <v>213140</v>
          </cell>
          <cell r="K79">
            <v>0</v>
          </cell>
          <cell r="L79">
            <v>198280</v>
          </cell>
          <cell r="M79" t="str">
            <v/>
          </cell>
          <cell r="N79">
            <v>14860</v>
          </cell>
        </row>
        <row r="80">
          <cell r="A80">
            <v>26802</v>
          </cell>
          <cell r="B80" t="str">
            <v>23/01/2025</v>
          </cell>
          <cell r="C80" t="str">
            <v>C1941</v>
          </cell>
          <cell r="D80" t="str">
            <v>For the supply and install of general ducting materials comb</v>
          </cell>
          <cell r="E80" t="str">
            <v>Firth Sheet Metal Limited</v>
          </cell>
          <cell r="F80" t="str">
            <v>Subcontractor</v>
          </cell>
          <cell r="G80" t="str">
            <v>27/01/2025</v>
          </cell>
          <cell r="H80" t="str">
            <v>Complete</v>
          </cell>
          <cell r="I80" t="str">
            <v/>
          </cell>
          <cell r="J80">
            <v>0</v>
          </cell>
          <cell r="K80">
            <v>0</v>
          </cell>
          <cell r="L80">
            <v>0</v>
          </cell>
          <cell r="M80" t="str">
            <v/>
          </cell>
          <cell r="N80">
            <v>0</v>
          </cell>
        </row>
        <row r="81">
          <cell r="A81">
            <v>26801</v>
          </cell>
          <cell r="B81" t="str">
            <v>23/01/2025</v>
          </cell>
          <cell r="C81" t="str">
            <v>C1943</v>
          </cell>
          <cell r="D81" t="str">
            <v>Temporary power supplies to CDM compound</v>
          </cell>
          <cell r="E81" t="str">
            <v>Key Integrated Services (Electrical) Ltd</v>
          </cell>
          <cell r="F81" t="str">
            <v>Subcontractor</v>
          </cell>
          <cell r="G81" t="str">
            <v>09/02/2025</v>
          </cell>
          <cell r="H81" t="str">
            <v>Part</v>
          </cell>
          <cell r="I81" t="str">
            <v>Posted</v>
          </cell>
          <cell r="J81">
            <v>338910.22</v>
          </cell>
          <cell r="K81">
            <v>318.54000000000002</v>
          </cell>
          <cell r="L81">
            <v>27600</v>
          </cell>
          <cell r="M81" t="str">
            <v/>
          </cell>
          <cell r="N81">
            <v>311310.21999999997</v>
          </cell>
        </row>
        <row r="82">
          <cell r="A82">
            <v>26793</v>
          </cell>
          <cell r="B82" t="str">
            <v>22/01/2025</v>
          </cell>
          <cell r="C82" t="str">
            <v>C1903</v>
          </cell>
          <cell r="D82" t="str">
            <v xml:space="preserve">Cost to remove / modify / Reinstall free issue fans </v>
          </cell>
          <cell r="E82" t="str">
            <v>Ventxlabs Ltd TA Ventec NW Ltd</v>
          </cell>
          <cell r="F82" t="str">
            <v>Subcontractor</v>
          </cell>
          <cell r="G82" t="str">
            <v>11/02/2025</v>
          </cell>
          <cell r="H82" t="str">
            <v/>
          </cell>
          <cell r="I82" t="str">
            <v/>
          </cell>
          <cell r="J82">
            <v>5325</v>
          </cell>
          <cell r="K82">
            <v>0</v>
          </cell>
          <cell r="L82">
            <v>0</v>
          </cell>
          <cell r="M82" t="str">
            <v/>
          </cell>
          <cell r="N82">
            <v>5325</v>
          </cell>
        </row>
        <row r="83">
          <cell r="A83">
            <v>26781</v>
          </cell>
          <cell r="B83" t="str">
            <v>20/01/2025</v>
          </cell>
          <cell r="C83" t="str">
            <v>C1943</v>
          </cell>
          <cell r="D83" t="str">
            <v>builders works</v>
          </cell>
          <cell r="E83" t="str">
            <v>Leverage Projects Limited</v>
          </cell>
          <cell r="F83" t="str">
            <v>Subcontractor</v>
          </cell>
          <cell r="G83" t="str">
            <v>14/02/2025</v>
          </cell>
          <cell r="H83" t="str">
            <v>Part</v>
          </cell>
          <cell r="I83" t="str">
            <v>Posted</v>
          </cell>
          <cell r="J83">
            <v>320797.87</v>
          </cell>
          <cell r="K83">
            <v>55687.839999999997</v>
          </cell>
          <cell r="L83">
            <v>54688.67</v>
          </cell>
          <cell r="M83" t="str">
            <v/>
          </cell>
          <cell r="N83">
            <v>266109.2</v>
          </cell>
        </row>
        <row r="84">
          <cell r="A84">
            <v>26725</v>
          </cell>
          <cell r="B84" t="str">
            <v>06/01/2025</v>
          </cell>
          <cell r="C84" t="str">
            <v>C1935</v>
          </cell>
          <cell r="D84" t="str">
            <v>Ductwork installation package</v>
          </cell>
          <cell r="E84" t="str">
            <v xml:space="preserve">Aldridge Air Conditioning </v>
          </cell>
          <cell r="F84" t="str">
            <v>Subcontractor</v>
          </cell>
          <cell r="G84" t="str">
            <v/>
          </cell>
          <cell r="H84" t="str">
            <v>Part</v>
          </cell>
          <cell r="I84" t="str">
            <v>Posted</v>
          </cell>
          <cell r="J84">
            <v>76050.289999999994</v>
          </cell>
          <cell r="K84">
            <v>15210.05</v>
          </cell>
          <cell r="L84">
            <v>64388.65</v>
          </cell>
          <cell r="M84" t="str">
            <v/>
          </cell>
          <cell r="N84">
            <v>11661.64</v>
          </cell>
        </row>
        <row r="85">
          <cell r="A85">
            <v>26818</v>
          </cell>
          <cell r="B85" t="str">
            <v>02/01/2025</v>
          </cell>
          <cell r="C85" t="str">
            <v>C1908</v>
          </cell>
          <cell r="D85" t="str">
            <v>Samworth Brothers Food Factory – Ashton Green Q13483 Rev 2</v>
          </cell>
          <cell r="E85" t="str">
            <v xml:space="preserve">Learnd UK Limited </v>
          </cell>
          <cell r="F85" t="str">
            <v>Subcontractor</v>
          </cell>
          <cell r="G85" t="str">
            <v>02/01/2025</v>
          </cell>
          <cell r="H85" t="str">
            <v>Part</v>
          </cell>
          <cell r="I85" t="str">
            <v>Posted</v>
          </cell>
          <cell r="J85">
            <v>67577.399999999994</v>
          </cell>
          <cell r="K85">
            <v>0</v>
          </cell>
          <cell r="L85">
            <v>68700.289999999994</v>
          </cell>
          <cell r="M85" t="str">
            <v/>
          </cell>
          <cell r="N85">
            <v>-1122.8900000000001</v>
          </cell>
        </row>
        <row r="86">
          <cell r="A86">
            <v>26677</v>
          </cell>
          <cell r="B86" t="str">
            <v>06/12/2024</v>
          </cell>
          <cell r="C86" t="str">
            <v>C1908</v>
          </cell>
          <cell r="D86" t="str">
            <v xml:space="preserve">Supply of Skilled Labour </v>
          </cell>
          <cell r="E86" t="str">
            <v>Premier Process Ltd</v>
          </cell>
          <cell r="F86" t="str">
            <v>Subcontractor</v>
          </cell>
          <cell r="G86" t="str">
            <v>09/12/2024</v>
          </cell>
          <cell r="H86" t="str">
            <v>Complete</v>
          </cell>
          <cell r="I86" t="str">
            <v/>
          </cell>
          <cell r="J86">
            <v>0</v>
          </cell>
          <cell r="K86">
            <v>0</v>
          </cell>
          <cell r="L86">
            <v>0</v>
          </cell>
          <cell r="M86" t="str">
            <v/>
          </cell>
          <cell r="N86">
            <v>0</v>
          </cell>
        </row>
        <row r="87">
          <cell r="A87">
            <v>26654</v>
          </cell>
          <cell r="B87" t="str">
            <v>02/12/2024</v>
          </cell>
          <cell r="C87" t="str">
            <v>C1872</v>
          </cell>
          <cell r="D87" t="str">
            <v>LEV Checks before and after on Fume Cupboard Extract</v>
          </cell>
          <cell r="E87" t="str">
            <v>New Era Commissioning Specialists Ltd</v>
          </cell>
          <cell r="F87" t="str">
            <v>Subcontractor</v>
          </cell>
          <cell r="G87" t="str">
            <v>05/12/2024</v>
          </cell>
          <cell r="H87" t="str">
            <v/>
          </cell>
          <cell r="I87" t="str">
            <v/>
          </cell>
          <cell r="J87">
            <v>1900</v>
          </cell>
          <cell r="K87">
            <v>0</v>
          </cell>
          <cell r="L87">
            <v>0</v>
          </cell>
          <cell r="M87" t="str">
            <v/>
          </cell>
          <cell r="N87">
            <v>1900</v>
          </cell>
        </row>
        <row r="88">
          <cell r="A88">
            <v>26638</v>
          </cell>
          <cell r="B88" t="str">
            <v>22/11/2024</v>
          </cell>
          <cell r="C88" t="str">
            <v>C1925</v>
          </cell>
          <cell r="D88" t="str">
            <v>Commissioning / Testing</v>
          </cell>
          <cell r="E88" t="str">
            <v>Combat Commissioning Services Ltd</v>
          </cell>
          <cell r="F88" t="str">
            <v>Subcontractor</v>
          </cell>
          <cell r="G88" t="str">
            <v>27/11/2024</v>
          </cell>
          <cell r="H88" t="str">
            <v>Part</v>
          </cell>
          <cell r="I88" t="str">
            <v/>
          </cell>
          <cell r="J88">
            <v>6950</v>
          </cell>
          <cell r="K88">
            <v>0</v>
          </cell>
          <cell r="L88">
            <v>0</v>
          </cell>
          <cell r="M88" t="str">
            <v/>
          </cell>
          <cell r="N88">
            <v>6950</v>
          </cell>
        </row>
        <row r="89">
          <cell r="A89">
            <v>26592</v>
          </cell>
          <cell r="B89" t="str">
            <v>11/11/2024</v>
          </cell>
          <cell r="C89" t="str">
            <v>C1928</v>
          </cell>
          <cell r="D89" t="str">
            <v>Enabling Works PO in lieu of Contract due for £65,775.00</v>
          </cell>
          <cell r="E89" t="str">
            <v>Firth Sheet Metal Limited</v>
          </cell>
          <cell r="F89" t="str">
            <v>Subcontractor</v>
          </cell>
          <cell r="G89" t="str">
            <v>11/11/2024</v>
          </cell>
          <cell r="H89" t="str">
            <v>Part</v>
          </cell>
          <cell r="I89" t="str">
            <v>Posted</v>
          </cell>
          <cell r="J89">
            <v>64849.58</v>
          </cell>
          <cell r="K89">
            <v>0</v>
          </cell>
          <cell r="L89">
            <v>60000</v>
          </cell>
          <cell r="M89" t="str">
            <v/>
          </cell>
          <cell r="N89">
            <v>4849.58</v>
          </cell>
        </row>
        <row r="90">
          <cell r="A90">
            <v>26582</v>
          </cell>
          <cell r="B90" t="str">
            <v>07/11/2024</v>
          </cell>
          <cell r="C90" t="str">
            <v>C1925</v>
          </cell>
          <cell r="D90" t="str">
            <v>Lift and Shift S18 &amp; S17 AHU's</v>
          </cell>
          <cell r="E90" t="str">
            <v>Jack Waghorn International Ltd</v>
          </cell>
          <cell r="F90" t="str">
            <v>Subcontractor</v>
          </cell>
          <cell r="G90" t="str">
            <v>18/11/2024</v>
          </cell>
          <cell r="H90" t="str">
            <v>Part</v>
          </cell>
          <cell r="I90" t="str">
            <v>Posted</v>
          </cell>
          <cell r="J90">
            <v>5780</v>
          </cell>
          <cell r="K90">
            <v>0</v>
          </cell>
          <cell r="L90">
            <v>2890</v>
          </cell>
          <cell r="M90" t="str">
            <v/>
          </cell>
          <cell r="N90">
            <v>2890</v>
          </cell>
        </row>
        <row r="91">
          <cell r="A91">
            <v>26544</v>
          </cell>
          <cell r="B91" t="str">
            <v>29/10/2024</v>
          </cell>
          <cell r="C91" t="str">
            <v>C1936</v>
          </cell>
          <cell r="D91" t="str">
            <v>strip out electrical services to oven and coil for transport</v>
          </cell>
          <cell r="E91" t="str">
            <v>Key Integrated Services (Electrical) Ltd</v>
          </cell>
          <cell r="F91" t="str">
            <v>Subcontractor</v>
          </cell>
          <cell r="G91" t="str">
            <v>11/11/2024</v>
          </cell>
          <cell r="H91" t="str">
            <v/>
          </cell>
          <cell r="I91" t="str">
            <v/>
          </cell>
          <cell r="J91">
            <v>4950</v>
          </cell>
          <cell r="K91">
            <v>0</v>
          </cell>
          <cell r="L91">
            <v>0</v>
          </cell>
          <cell r="M91" t="str">
            <v/>
          </cell>
          <cell r="N91">
            <v>4950</v>
          </cell>
        </row>
        <row r="92">
          <cell r="A92">
            <v>26540</v>
          </cell>
          <cell r="B92" t="str">
            <v>25/10/2024</v>
          </cell>
          <cell r="C92" t="str">
            <v>C1932</v>
          </cell>
          <cell r="D92" t="str">
            <v>Magic man costs on the Lab at JM</v>
          </cell>
          <cell r="E92" t="str">
            <v>Copeman Construction Services Limited</v>
          </cell>
          <cell r="F92" t="str">
            <v>Subcontractor</v>
          </cell>
          <cell r="G92" t="str">
            <v>04/11/2024</v>
          </cell>
          <cell r="H92" t="str">
            <v>Complete</v>
          </cell>
          <cell r="I92" t="str">
            <v/>
          </cell>
          <cell r="J92">
            <v>0</v>
          </cell>
          <cell r="K92">
            <v>0</v>
          </cell>
          <cell r="L92">
            <v>0</v>
          </cell>
          <cell r="M92" t="str">
            <v/>
          </cell>
          <cell r="N92">
            <v>0</v>
          </cell>
        </row>
        <row r="93">
          <cell r="A93">
            <v>26527</v>
          </cell>
          <cell r="B93" t="str">
            <v>22/10/2024</v>
          </cell>
          <cell r="C93" t="str">
            <v>C1936</v>
          </cell>
          <cell r="D93" t="str">
            <v>To Relocate Oven &amp; Ancilliaries at JM Royston</v>
          </cell>
          <cell r="E93" t="str">
            <v>Hird Ltd</v>
          </cell>
          <cell r="F93" t="str">
            <v>Subcontractor</v>
          </cell>
          <cell r="G93" t="str">
            <v>05/11/2024</v>
          </cell>
          <cell r="H93" t="str">
            <v>Part</v>
          </cell>
          <cell r="I93" t="str">
            <v>Posted</v>
          </cell>
          <cell r="J93">
            <v>15164</v>
          </cell>
          <cell r="K93">
            <v>0</v>
          </cell>
          <cell r="L93">
            <v>11413</v>
          </cell>
          <cell r="M93" t="str">
            <v/>
          </cell>
          <cell r="N93">
            <v>3751</v>
          </cell>
        </row>
        <row r="94">
          <cell r="A94">
            <v>26526</v>
          </cell>
          <cell r="B94" t="str">
            <v>22/10/2024</v>
          </cell>
          <cell r="C94" t="str">
            <v>C1930</v>
          </cell>
          <cell r="D94" t="str">
            <v>Lift &amp; Shift works for the Oven Relocation</v>
          </cell>
          <cell r="E94" t="str">
            <v>Hird Ltd</v>
          </cell>
          <cell r="F94" t="str">
            <v>Subcontractor</v>
          </cell>
          <cell r="G94" t="str">
            <v/>
          </cell>
          <cell r="H94" t="str">
            <v>Complete</v>
          </cell>
          <cell r="I94" t="str">
            <v/>
          </cell>
          <cell r="J94">
            <v>0</v>
          </cell>
          <cell r="K94">
            <v>0</v>
          </cell>
          <cell r="L94">
            <v>0</v>
          </cell>
          <cell r="M94" t="str">
            <v/>
          </cell>
          <cell r="N94">
            <v>0</v>
          </cell>
        </row>
        <row r="95">
          <cell r="A95">
            <v>26507</v>
          </cell>
          <cell r="B95" t="str">
            <v>16/10/2024</v>
          </cell>
          <cell r="C95" t="str">
            <v>C1923</v>
          </cell>
          <cell r="D95" t="str">
            <v>order to cover sundries prior to order</v>
          </cell>
          <cell r="E95" t="str">
            <v>Key Integrated Services (Electrical) Ltd</v>
          </cell>
          <cell r="F95" t="str">
            <v>Subcontractor</v>
          </cell>
          <cell r="G95" t="str">
            <v/>
          </cell>
          <cell r="H95" t="str">
            <v>Complete</v>
          </cell>
          <cell r="I95" t="str">
            <v/>
          </cell>
          <cell r="J95">
            <v>0</v>
          </cell>
          <cell r="K95">
            <v>0</v>
          </cell>
          <cell r="L95">
            <v>0</v>
          </cell>
          <cell r="M95" t="str">
            <v/>
          </cell>
          <cell r="N95">
            <v>0</v>
          </cell>
        </row>
        <row r="96">
          <cell r="A96">
            <v>26492</v>
          </cell>
          <cell r="B96" t="str">
            <v>14/10/2024</v>
          </cell>
          <cell r="C96" t="str">
            <v>C1932</v>
          </cell>
          <cell r="D96" t="str">
            <v>Flushing services at JM</v>
          </cell>
          <cell r="E96" t="str">
            <v>New Era Commissioning Specialists Ltd</v>
          </cell>
          <cell r="F96" t="str">
            <v>Subcontractor</v>
          </cell>
          <cell r="G96" t="str">
            <v>17/10/2024</v>
          </cell>
          <cell r="H96" t="str">
            <v>Complete</v>
          </cell>
          <cell r="I96" t="str">
            <v/>
          </cell>
          <cell r="J96">
            <v>0</v>
          </cell>
          <cell r="K96">
            <v>0</v>
          </cell>
          <cell r="L96">
            <v>0</v>
          </cell>
          <cell r="M96" t="str">
            <v/>
          </cell>
          <cell r="N96">
            <v>0</v>
          </cell>
        </row>
        <row r="97">
          <cell r="A97">
            <v>26444</v>
          </cell>
          <cell r="B97" t="str">
            <v>30/09/2024</v>
          </cell>
          <cell r="C97" t="str">
            <v>C1896</v>
          </cell>
          <cell r="D97" t="str">
            <v>Electrical Works at Coca cola Line 6 &amp; RMW</v>
          </cell>
          <cell r="E97" t="str">
            <v>Key Integrated Services (Electrical) Ltd</v>
          </cell>
          <cell r="F97" t="str">
            <v>Subcontractor</v>
          </cell>
          <cell r="G97" t="str">
            <v>30/09/2024</v>
          </cell>
          <cell r="H97" t="str">
            <v/>
          </cell>
          <cell r="I97" t="str">
            <v/>
          </cell>
          <cell r="J97">
            <v>2000</v>
          </cell>
          <cell r="K97">
            <v>0</v>
          </cell>
          <cell r="L97">
            <v>0</v>
          </cell>
          <cell r="M97" t="str">
            <v/>
          </cell>
          <cell r="N97">
            <v>2000</v>
          </cell>
        </row>
        <row r="98">
          <cell r="A98">
            <v>26426</v>
          </cell>
          <cell r="B98" t="str">
            <v>24/09/2024</v>
          </cell>
          <cell r="C98" t="str">
            <v>C1930</v>
          </cell>
          <cell r="D98" t="str">
            <v>AHU Modification works at Melton Foods</v>
          </cell>
          <cell r="E98" t="str">
            <v>Impact Control Systems Ltd</v>
          </cell>
          <cell r="F98" t="str">
            <v>Subcontractor</v>
          </cell>
          <cell r="G98" t="str">
            <v>01/10/2024</v>
          </cell>
          <cell r="H98" t="str">
            <v>Part</v>
          </cell>
          <cell r="I98" t="str">
            <v>Posted</v>
          </cell>
          <cell r="J98">
            <v>19246</v>
          </cell>
          <cell r="K98">
            <v>0</v>
          </cell>
          <cell r="L98">
            <v>17985.46</v>
          </cell>
          <cell r="M98" t="str">
            <v/>
          </cell>
          <cell r="N98">
            <v>1260.54</v>
          </cell>
        </row>
        <row r="99">
          <cell r="A99">
            <v>26377</v>
          </cell>
          <cell r="B99" t="str">
            <v>12/09/2024</v>
          </cell>
          <cell r="C99" t="str">
            <v>C1928</v>
          </cell>
          <cell r="D99" t="str">
            <v>Supplying 2 x Skilled men for the 23rd 24th</v>
          </cell>
          <cell r="E99" t="str">
            <v>Premier Process Ltd</v>
          </cell>
          <cell r="F99" t="str">
            <v>Subcontractor</v>
          </cell>
          <cell r="G99" t="str">
            <v/>
          </cell>
          <cell r="H99" t="str">
            <v>Complete</v>
          </cell>
          <cell r="I99" t="str">
            <v/>
          </cell>
          <cell r="J99">
            <v>0</v>
          </cell>
          <cell r="K99">
            <v>0</v>
          </cell>
          <cell r="L99">
            <v>0</v>
          </cell>
          <cell r="M99" t="str">
            <v/>
          </cell>
          <cell r="N99">
            <v>0</v>
          </cell>
        </row>
        <row r="100">
          <cell r="A100">
            <v>26307</v>
          </cell>
          <cell r="B100" t="str">
            <v>03/09/2024</v>
          </cell>
          <cell r="C100" t="str">
            <v>C1916</v>
          </cell>
          <cell r="D100" t="str">
            <v xml:space="preserve">Full Ductwork Installation </v>
          </cell>
          <cell r="E100" t="str">
            <v xml:space="preserve">Aldridge Air Conditioning </v>
          </cell>
          <cell r="F100" t="str">
            <v>Subcontractor</v>
          </cell>
          <cell r="G100" t="str">
            <v/>
          </cell>
          <cell r="H100" t="str">
            <v>Part</v>
          </cell>
          <cell r="I100" t="str">
            <v>Posted</v>
          </cell>
          <cell r="J100">
            <v>67251.850000000006</v>
          </cell>
          <cell r="K100">
            <v>13450.37</v>
          </cell>
          <cell r="L100">
            <v>33993.96</v>
          </cell>
          <cell r="M100" t="str">
            <v/>
          </cell>
          <cell r="N100">
            <v>33257.89</v>
          </cell>
        </row>
        <row r="101">
          <cell r="A101">
            <v>26326</v>
          </cell>
          <cell r="B101" t="str">
            <v>02/09/2024</v>
          </cell>
          <cell r="C101" t="str">
            <v>C1916</v>
          </cell>
          <cell r="D101" t="str">
            <v>Mechanical Installation Package</v>
          </cell>
          <cell r="E101" t="str">
            <v>Entech Services UK Ltd</v>
          </cell>
          <cell r="F101" t="str">
            <v>Subcontractor</v>
          </cell>
          <cell r="G101" t="str">
            <v/>
          </cell>
          <cell r="H101" t="str">
            <v>Part</v>
          </cell>
          <cell r="I101" t="str">
            <v>Posted</v>
          </cell>
          <cell r="J101">
            <v>48230</v>
          </cell>
          <cell r="K101">
            <v>0</v>
          </cell>
          <cell r="L101">
            <v>43407</v>
          </cell>
          <cell r="M101" t="str">
            <v/>
          </cell>
          <cell r="N101">
            <v>4823</v>
          </cell>
        </row>
        <row r="102">
          <cell r="A102">
            <v>26324</v>
          </cell>
          <cell r="B102" t="str">
            <v>30/08/2024</v>
          </cell>
          <cell r="C102" t="str">
            <v>C1925</v>
          </cell>
          <cell r="D102" t="str">
            <v xml:space="preserve">AHU Replacement for System 17, 18 &amp; Gran 5 </v>
          </cell>
          <cell r="E102" t="str">
            <v xml:space="preserve">Surepipe Plumbing &amp; Mechanical Pipeline Services Ltd </v>
          </cell>
          <cell r="F102" t="str">
            <v>Subcontractor</v>
          </cell>
          <cell r="G102" t="str">
            <v>02/09/2024</v>
          </cell>
          <cell r="H102" t="str">
            <v>Part</v>
          </cell>
          <cell r="I102" t="str">
            <v>Posted</v>
          </cell>
          <cell r="J102">
            <v>96502</v>
          </cell>
          <cell r="K102">
            <v>19300.400000000001</v>
          </cell>
          <cell r="L102">
            <v>54359</v>
          </cell>
          <cell r="M102" t="str">
            <v/>
          </cell>
          <cell r="N102">
            <v>42143</v>
          </cell>
        </row>
        <row r="103">
          <cell r="A103">
            <v>26321</v>
          </cell>
          <cell r="B103" t="str">
            <v>29/08/2024</v>
          </cell>
          <cell r="C103" t="str">
            <v>C1916</v>
          </cell>
          <cell r="D103" t="str">
            <v>Thermal Insulation Package For Mechanical Services</v>
          </cell>
          <cell r="E103" t="str">
            <v>Thermal Insulation Covers Ltd</v>
          </cell>
          <cell r="F103" t="str">
            <v>Subcontractor</v>
          </cell>
          <cell r="G103" t="str">
            <v/>
          </cell>
          <cell r="H103" t="str">
            <v>Part</v>
          </cell>
          <cell r="I103" t="str">
            <v>Posted</v>
          </cell>
          <cell r="J103">
            <v>15842.22</v>
          </cell>
          <cell r="K103">
            <v>0</v>
          </cell>
          <cell r="L103">
            <v>8132.5</v>
          </cell>
          <cell r="M103" t="str">
            <v/>
          </cell>
          <cell r="N103">
            <v>7709.72</v>
          </cell>
        </row>
        <row r="104">
          <cell r="A104">
            <v>26229</v>
          </cell>
          <cell r="B104" t="str">
            <v>06/08/2024</v>
          </cell>
          <cell r="C104" t="str">
            <v>C1908</v>
          </cell>
          <cell r="D104" t="str">
            <v xml:space="preserve">Ashton Green Thermal Insulation </v>
          </cell>
          <cell r="E104" t="str">
            <v>Thermal Insulation Covers Ltd</v>
          </cell>
          <cell r="F104" t="str">
            <v>Subcontractor</v>
          </cell>
          <cell r="G104" t="str">
            <v>18/08/2024</v>
          </cell>
          <cell r="H104" t="str">
            <v>Complete</v>
          </cell>
          <cell r="I104" t="str">
            <v>Posted</v>
          </cell>
          <cell r="J104">
            <v>39000</v>
          </cell>
          <cell r="K104">
            <v>0</v>
          </cell>
          <cell r="L104">
            <v>46152.94</v>
          </cell>
          <cell r="M104" t="str">
            <v/>
          </cell>
          <cell r="N104">
            <v>-7152.94</v>
          </cell>
        </row>
        <row r="105">
          <cell r="A105">
            <v>26204</v>
          </cell>
          <cell r="B105" t="str">
            <v>01/08/2024</v>
          </cell>
          <cell r="C105" t="str">
            <v>C1907</v>
          </cell>
          <cell r="D105" t="str">
            <v>Commissioning</v>
          </cell>
          <cell r="E105" t="str">
            <v>Combat Commissioning Services Ltd</v>
          </cell>
          <cell r="F105" t="str">
            <v>Subcontractor</v>
          </cell>
          <cell r="G105" t="str">
            <v>13/08/2024</v>
          </cell>
          <cell r="H105" t="str">
            <v>Complete</v>
          </cell>
          <cell r="I105" t="str">
            <v>Posted</v>
          </cell>
          <cell r="J105">
            <v>8330</v>
          </cell>
          <cell r="K105">
            <v>0</v>
          </cell>
          <cell r="L105">
            <v>8942.5</v>
          </cell>
          <cell r="M105" t="str">
            <v/>
          </cell>
          <cell r="N105">
            <v>-612.5</v>
          </cell>
        </row>
        <row r="106">
          <cell r="A106">
            <v>26198</v>
          </cell>
          <cell r="B106" t="str">
            <v>31/07/2024</v>
          </cell>
          <cell r="C106" t="str">
            <v>C1925</v>
          </cell>
          <cell r="D106" t="str">
            <v>Control Panels and BMS ancillary Controls</v>
          </cell>
          <cell r="E106" t="str">
            <v>Schneider Electric Ltd</v>
          </cell>
          <cell r="F106" t="str">
            <v>Subcontractor</v>
          </cell>
          <cell r="G106" t="str">
            <v>12/08/2024</v>
          </cell>
          <cell r="H106" t="str">
            <v>Part</v>
          </cell>
          <cell r="I106" t="str">
            <v>Posted</v>
          </cell>
          <cell r="J106">
            <v>119484</v>
          </cell>
          <cell r="K106">
            <v>0</v>
          </cell>
          <cell r="L106">
            <v>73656</v>
          </cell>
          <cell r="M106" t="str">
            <v/>
          </cell>
          <cell r="N106">
            <v>45828</v>
          </cell>
        </row>
        <row r="107">
          <cell r="A107">
            <v>26193</v>
          </cell>
          <cell r="B107" t="str">
            <v>30/07/2024</v>
          </cell>
          <cell r="C107" t="str">
            <v>C1908</v>
          </cell>
          <cell r="D107" t="str">
            <v>Direct Air Ref: 230815SB01rev4</v>
          </cell>
          <cell r="E107" t="str">
            <v>Direct Air &amp; Pipework Ltd</v>
          </cell>
          <cell r="F107" t="str">
            <v>Subcontractor</v>
          </cell>
          <cell r="G107" t="str">
            <v>12/08/2024</v>
          </cell>
          <cell r="H107" t="str">
            <v>Part</v>
          </cell>
          <cell r="I107" t="str">
            <v>Posted</v>
          </cell>
          <cell r="J107">
            <v>81765.83</v>
          </cell>
          <cell r="K107">
            <v>0</v>
          </cell>
          <cell r="L107">
            <v>76098.78</v>
          </cell>
          <cell r="M107" t="str">
            <v/>
          </cell>
          <cell r="N107">
            <v>5667.05</v>
          </cell>
        </row>
        <row r="108">
          <cell r="A108">
            <v>26168</v>
          </cell>
          <cell r="B108" t="str">
            <v>24/07/2024</v>
          </cell>
          <cell r="C108" t="str">
            <v>C1925</v>
          </cell>
          <cell r="D108" t="str">
            <v>Ductwork AHU Replacement</v>
          </cell>
          <cell r="E108" t="str">
            <v>Firth Sheet Metal Limited</v>
          </cell>
          <cell r="F108" t="str">
            <v>Subcontractor</v>
          </cell>
          <cell r="G108" t="str">
            <v>28/07/2024</v>
          </cell>
          <cell r="H108" t="str">
            <v>Part</v>
          </cell>
          <cell r="I108" t="str">
            <v>Posted</v>
          </cell>
          <cell r="J108">
            <v>88429</v>
          </cell>
          <cell r="K108">
            <v>0</v>
          </cell>
          <cell r="L108">
            <v>69880</v>
          </cell>
          <cell r="M108" t="str">
            <v/>
          </cell>
          <cell r="N108">
            <v>18549</v>
          </cell>
        </row>
        <row r="109">
          <cell r="A109">
            <v>26148</v>
          </cell>
          <cell r="B109" t="str">
            <v>19/07/2024</v>
          </cell>
          <cell r="C109" t="str">
            <v>C1925</v>
          </cell>
          <cell r="D109" t="str">
            <v>Controls Wiring</v>
          </cell>
          <cell r="E109" t="str">
            <v>Eamonn Reilly</v>
          </cell>
          <cell r="F109" t="str">
            <v>Subcontractor</v>
          </cell>
          <cell r="G109" t="str">
            <v>23/07/2024</v>
          </cell>
          <cell r="H109" t="str">
            <v>Part</v>
          </cell>
          <cell r="I109" t="str">
            <v>Posted</v>
          </cell>
          <cell r="J109">
            <v>26345.41</v>
          </cell>
          <cell r="K109">
            <v>0</v>
          </cell>
          <cell r="L109">
            <v>22264.82</v>
          </cell>
          <cell r="M109" t="str">
            <v/>
          </cell>
          <cell r="N109">
            <v>4080.59</v>
          </cell>
        </row>
        <row r="110">
          <cell r="A110">
            <v>26055</v>
          </cell>
          <cell r="B110" t="str">
            <v>28/06/2024</v>
          </cell>
          <cell r="C110" t="str">
            <v>C1899</v>
          </cell>
          <cell r="D110" t="str">
            <v>Siemens Hardware</v>
          </cell>
          <cell r="E110" t="str">
            <v xml:space="preserve">EJ Peak Technology Solutions LTD </v>
          </cell>
          <cell r="F110" t="str">
            <v>Subcontractor</v>
          </cell>
          <cell r="G110" t="str">
            <v>12/07/2024</v>
          </cell>
          <cell r="H110" t="str">
            <v>Complete</v>
          </cell>
          <cell r="I110" t="str">
            <v/>
          </cell>
          <cell r="J110">
            <v>0</v>
          </cell>
          <cell r="K110">
            <v>0</v>
          </cell>
          <cell r="L110">
            <v>0</v>
          </cell>
          <cell r="M110" t="str">
            <v/>
          </cell>
          <cell r="N110">
            <v>0</v>
          </cell>
        </row>
        <row r="111">
          <cell r="A111">
            <v>25956</v>
          </cell>
          <cell r="B111" t="str">
            <v>07/06/2024</v>
          </cell>
          <cell r="C111" t="str">
            <v>C1896</v>
          </cell>
          <cell r="D111" t="str">
            <v>Thermal Insulation to Ductwork as agreed</v>
          </cell>
          <cell r="E111" t="str">
            <v>Thermal Insulation Covers Ltd</v>
          </cell>
          <cell r="F111" t="str">
            <v>Subcontractor</v>
          </cell>
          <cell r="G111" t="str">
            <v>23/06/2024</v>
          </cell>
          <cell r="H111" t="str">
            <v>Part</v>
          </cell>
          <cell r="I111" t="str">
            <v>Posted</v>
          </cell>
          <cell r="J111">
            <v>7180.52</v>
          </cell>
          <cell r="K111">
            <v>0</v>
          </cell>
          <cell r="L111">
            <v>6045</v>
          </cell>
          <cell r="M111" t="str">
            <v/>
          </cell>
          <cell r="N111">
            <v>1135.52</v>
          </cell>
        </row>
        <row r="112">
          <cell r="A112">
            <v>25904</v>
          </cell>
          <cell r="B112" t="str">
            <v>30/05/2024</v>
          </cell>
          <cell r="C112" t="str">
            <v>C1907</v>
          </cell>
          <cell r="D112" t="str">
            <v>BMS Controls &amp; Equipment</v>
          </cell>
          <cell r="E112" t="str">
            <v>Schneider Electric Ltd</v>
          </cell>
          <cell r="F112" t="str">
            <v>Subcontractor</v>
          </cell>
          <cell r="G112" t="str">
            <v>17/06/2024</v>
          </cell>
          <cell r="H112" t="str">
            <v>Part</v>
          </cell>
          <cell r="I112" t="str">
            <v>Posted</v>
          </cell>
          <cell r="J112">
            <v>83403</v>
          </cell>
          <cell r="K112">
            <v>16680.599999999999</v>
          </cell>
          <cell r="L112">
            <v>75083</v>
          </cell>
          <cell r="M112" t="str">
            <v/>
          </cell>
          <cell r="N112">
            <v>8320</v>
          </cell>
        </row>
        <row r="113">
          <cell r="A113">
            <v>25803</v>
          </cell>
          <cell r="B113" t="str">
            <v>29/04/2024</v>
          </cell>
          <cell r="C113" t="str">
            <v>C1903</v>
          </cell>
          <cell r="D113" t="str">
            <v>Commissioning and water treatment subcontract order</v>
          </cell>
          <cell r="E113" t="str">
            <v>New Era Commissioning Specialists Ltd</v>
          </cell>
          <cell r="F113" t="str">
            <v>Subcontractor</v>
          </cell>
          <cell r="G113" t="str">
            <v/>
          </cell>
          <cell r="H113" t="str">
            <v>Part</v>
          </cell>
          <cell r="I113" t="str">
            <v>Posted</v>
          </cell>
          <cell r="J113">
            <v>17950</v>
          </cell>
          <cell r="K113">
            <v>0</v>
          </cell>
          <cell r="L113">
            <v>15450</v>
          </cell>
          <cell r="M113" t="str">
            <v/>
          </cell>
          <cell r="N113">
            <v>2500</v>
          </cell>
        </row>
        <row r="114">
          <cell r="A114">
            <v>25752</v>
          </cell>
          <cell r="B114" t="str">
            <v>18/04/2024</v>
          </cell>
          <cell r="C114" t="str">
            <v>C1908</v>
          </cell>
          <cell r="D114" t="str">
            <v xml:space="preserve">Mitsubishi Electric </v>
          </cell>
          <cell r="E114" t="str">
            <v xml:space="preserve">Koolsolutions Air Conditioning &amp; Ventilation Ltd </v>
          </cell>
          <cell r="F114" t="str">
            <v>Subcontractor</v>
          </cell>
          <cell r="G114" t="str">
            <v>23/04/2024</v>
          </cell>
          <cell r="H114" t="str">
            <v>Complete</v>
          </cell>
          <cell r="I114" t="str">
            <v/>
          </cell>
          <cell r="J114">
            <v>0</v>
          </cell>
          <cell r="K114">
            <v>0</v>
          </cell>
          <cell r="L114">
            <v>0</v>
          </cell>
          <cell r="M114" t="str">
            <v/>
          </cell>
          <cell r="N114">
            <v>0</v>
          </cell>
        </row>
        <row r="115">
          <cell r="A115">
            <v>25711</v>
          </cell>
          <cell r="B115" t="str">
            <v>12/04/2024</v>
          </cell>
          <cell r="C115" t="str">
            <v>C1907</v>
          </cell>
          <cell r="D115" t="str">
            <v>Thermal Insulation</v>
          </cell>
          <cell r="E115" t="str">
            <v>Thermal Insulation Covers Ltd</v>
          </cell>
          <cell r="F115" t="str">
            <v>Subcontractor</v>
          </cell>
          <cell r="G115" t="str">
            <v>22/04/2024</v>
          </cell>
          <cell r="H115" t="str">
            <v>Part</v>
          </cell>
          <cell r="I115" t="str">
            <v>Posted</v>
          </cell>
          <cell r="J115">
            <v>49129.57</v>
          </cell>
          <cell r="K115">
            <v>0</v>
          </cell>
          <cell r="L115">
            <v>46008.02</v>
          </cell>
          <cell r="M115" t="str">
            <v/>
          </cell>
          <cell r="N115">
            <v>3121.55</v>
          </cell>
        </row>
        <row r="116">
          <cell r="A116">
            <v>25689</v>
          </cell>
          <cell r="B116" t="str">
            <v>10/04/2024</v>
          </cell>
          <cell r="C116" t="str">
            <v>C1896</v>
          </cell>
          <cell r="D116" t="str">
            <v>Coca Cola BMS Works</v>
          </cell>
          <cell r="E116" t="str">
            <v>Impact Control Systems Ltd</v>
          </cell>
          <cell r="F116" t="str">
            <v>Subcontractor</v>
          </cell>
          <cell r="G116" t="str">
            <v>01/05/2024</v>
          </cell>
          <cell r="H116" t="str">
            <v>Part</v>
          </cell>
          <cell r="I116" t="str">
            <v>Posted</v>
          </cell>
          <cell r="J116">
            <v>27785</v>
          </cell>
          <cell r="K116">
            <v>0</v>
          </cell>
          <cell r="L116">
            <v>25857</v>
          </cell>
          <cell r="M116" t="str">
            <v/>
          </cell>
          <cell r="N116">
            <v>1928</v>
          </cell>
        </row>
        <row r="117">
          <cell r="A117">
            <v>25688</v>
          </cell>
          <cell r="B117" t="str">
            <v>10/04/2024</v>
          </cell>
          <cell r="C117" t="str">
            <v>C1917</v>
          </cell>
          <cell r="D117" t="str">
            <v>Replace High Level fan</v>
          </cell>
          <cell r="E117" t="str">
            <v>Firth Sheet Metal Limited</v>
          </cell>
          <cell r="F117" t="str">
            <v>Subcontractor</v>
          </cell>
          <cell r="G117" t="str">
            <v>15/04/2024</v>
          </cell>
          <cell r="H117" t="str">
            <v/>
          </cell>
          <cell r="I117" t="str">
            <v/>
          </cell>
          <cell r="J117">
            <v>1836</v>
          </cell>
          <cell r="K117">
            <v>0</v>
          </cell>
          <cell r="L117">
            <v>0</v>
          </cell>
          <cell r="M117" t="str">
            <v/>
          </cell>
          <cell r="N117">
            <v>1836</v>
          </cell>
        </row>
        <row r="118">
          <cell r="A118">
            <v>25671</v>
          </cell>
          <cell r="B118" t="str">
            <v>05/04/2024</v>
          </cell>
          <cell r="C118" t="str">
            <v>C1907</v>
          </cell>
          <cell r="D118" t="str">
            <v>Fire Protection (Sprinklers)</v>
          </cell>
          <cell r="E118" t="str">
            <v xml:space="preserve">B4 Fire Protection Ltd </v>
          </cell>
          <cell r="F118" t="str">
            <v>Subcontractor</v>
          </cell>
          <cell r="G118" t="str">
            <v>08/04/2024</v>
          </cell>
          <cell r="H118" t="str">
            <v>Part</v>
          </cell>
          <cell r="I118" t="str">
            <v>Posted</v>
          </cell>
          <cell r="J118">
            <v>138226</v>
          </cell>
          <cell r="K118">
            <v>27645.200000000001</v>
          </cell>
          <cell r="L118">
            <v>127109.4</v>
          </cell>
          <cell r="M118" t="str">
            <v/>
          </cell>
          <cell r="N118">
            <v>11116.6</v>
          </cell>
        </row>
        <row r="119">
          <cell r="A119">
            <v>25670</v>
          </cell>
          <cell r="B119" t="str">
            <v>05/04/2024</v>
          </cell>
          <cell r="C119" t="str">
            <v>C1907</v>
          </cell>
          <cell r="D119" t="str">
            <v>Electrical Package</v>
          </cell>
          <cell r="E119" t="str">
            <v>Electroglow LTD</v>
          </cell>
          <cell r="F119" t="str">
            <v>Subcontractor</v>
          </cell>
          <cell r="G119" t="str">
            <v>08/04/2024</v>
          </cell>
          <cell r="H119" t="str">
            <v>Part</v>
          </cell>
          <cell r="I119" t="str">
            <v>Posted</v>
          </cell>
          <cell r="J119">
            <v>415264.44</v>
          </cell>
          <cell r="K119">
            <v>0</v>
          </cell>
          <cell r="L119">
            <v>392392.39</v>
          </cell>
          <cell r="M119" t="str">
            <v/>
          </cell>
          <cell r="N119">
            <v>22872.05</v>
          </cell>
        </row>
        <row r="120">
          <cell r="A120">
            <v>25668</v>
          </cell>
          <cell r="B120" t="str">
            <v>05/04/2024</v>
          </cell>
          <cell r="C120" t="str">
            <v>C1908</v>
          </cell>
          <cell r="D120" t="str">
            <v>Extra Over pipework</v>
          </cell>
          <cell r="E120" t="str">
            <v xml:space="preserve">Primary Water Installations Limited </v>
          </cell>
          <cell r="F120" t="str">
            <v>Subcontractor</v>
          </cell>
          <cell r="G120" t="str">
            <v/>
          </cell>
          <cell r="H120" t="str">
            <v>Complete</v>
          </cell>
          <cell r="I120" t="str">
            <v/>
          </cell>
          <cell r="J120">
            <v>0</v>
          </cell>
          <cell r="K120">
            <v>0</v>
          </cell>
          <cell r="L120">
            <v>0</v>
          </cell>
          <cell r="M120" t="str">
            <v/>
          </cell>
          <cell r="N120">
            <v>0</v>
          </cell>
        </row>
        <row r="121">
          <cell r="A121">
            <v>25646</v>
          </cell>
          <cell r="B121" t="str">
            <v>27/03/2024</v>
          </cell>
          <cell r="C121" t="str">
            <v>C1898</v>
          </cell>
          <cell r="D121" t="str">
            <v>The disinfection of the domestic water services via localise</v>
          </cell>
          <cell r="E121" t="str">
            <v>MSB Hygiene Ltd</v>
          </cell>
          <cell r="F121" t="str">
            <v>Subcontractor</v>
          </cell>
          <cell r="G121" t="str">
            <v>28/03/2024</v>
          </cell>
          <cell r="H121" t="str">
            <v>Complete</v>
          </cell>
          <cell r="I121" t="str">
            <v/>
          </cell>
          <cell r="J121">
            <v>0</v>
          </cell>
          <cell r="K121">
            <v>0</v>
          </cell>
          <cell r="L121">
            <v>0</v>
          </cell>
          <cell r="M121" t="str">
            <v/>
          </cell>
          <cell r="N121">
            <v>0</v>
          </cell>
        </row>
        <row r="122">
          <cell r="A122">
            <v>25622</v>
          </cell>
          <cell r="B122" t="str">
            <v>22/03/2024</v>
          </cell>
          <cell r="C122" t="str">
            <v>C1907</v>
          </cell>
          <cell r="D122" t="str">
            <v>Ductwork Systems Installation</v>
          </cell>
          <cell r="E122" t="str">
            <v>Firth Sheet Metal Limited</v>
          </cell>
          <cell r="F122" t="str">
            <v>Subcontractor</v>
          </cell>
          <cell r="G122" t="str">
            <v>08/04/2024</v>
          </cell>
          <cell r="H122" t="str">
            <v>Part</v>
          </cell>
          <cell r="I122" t="str">
            <v>Posted</v>
          </cell>
          <cell r="J122">
            <v>180044</v>
          </cell>
          <cell r="K122">
            <v>0</v>
          </cell>
          <cell r="L122">
            <v>197753.75</v>
          </cell>
          <cell r="M122" t="str">
            <v/>
          </cell>
          <cell r="N122">
            <v>-17709.75</v>
          </cell>
        </row>
        <row r="123">
          <cell r="A123">
            <v>25617</v>
          </cell>
          <cell r="B123" t="str">
            <v>22/03/2024</v>
          </cell>
          <cell r="C123" t="str">
            <v>C1907</v>
          </cell>
          <cell r="D123" t="str">
            <v>Pipework Packages</v>
          </cell>
          <cell r="E123" t="str">
            <v xml:space="preserve">Surepipe Plumbing &amp; Mechanical Pipeline Services Ltd </v>
          </cell>
          <cell r="F123" t="str">
            <v>Subcontractor</v>
          </cell>
          <cell r="G123" t="str">
            <v/>
          </cell>
          <cell r="H123" t="str">
            <v>Part</v>
          </cell>
          <cell r="I123" t="str">
            <v>Posted</v>
          </cell>
          <cell r="J123">
            <v>420583</v>
          </cell>
          <cell r="K123">
            <v>0</v>
          </cell>
          <cell r="L123">
            <v>401230.95</v>
          </cell>
          <cell r="M123" t="str">
            <v/>
          </cell>
          <cell r="N123">
            <v>19352.05</v>
          </cell>
        </row>
        <row r="124">
          <cell r="A124">
            <v>25613</v>
          </cell>
          <cell r="B124" t="str">
            <v>21/03/2024</v>
          </cell>
          <cell r="C124" t="str">
            <v>C1891</v>
          </cell>
          <cell r="D124" t="str">
            <v xml:space="preserve">Insulation to drops </v>
          </cell>
          <cell r="E124" t="str">
            <v>Thermal Insulation Covers Ltd</v>
          </cell>
          <cell r="F124" t="str">
            <v>Subcontractor</v>
          </cell>
          <cell r="G124" t="str">
            <v>26/03/2024</v>
          </cell>
          <cell r="H124" t="str">
            <v>Complete</v>
          </cell>
          <cell r="I124" t="str">
            <v/>
          </cell>
          <cell r="J124">
            <v>0</v>
          </cell>
          <cell r="K124">
            <v>0</v>
          </cell>
          <cell r="L124">
            <v>0</v>
          </cell>
          <cell r="M124" t="str">
            <v/>
          </cell>
          <cell r="N124">
            <v>0</v>
          </cell>
        </row>
        <row r="125">
          <cell r="A125">
            <v>25608</v>
          </cell>
          <cell r="B125" t="str">
            <v>20/03/2024</v>
          </cell>
          <cell r="C125" t="str">
            <v>C1906</v>
          </cell>
          <cell r="D125" t="str">
            <v>gas purge of incoming gas pipework to the plant room</v>
          </cell>
          <cell r="E125" t="str">
            <v>Modern Heating Services Limited</v>
          </cell>
          <cell r="F125" t="str">
            <v>Subcontractor</v>
          </cell>
          <cell r="G125" t="str">
            <v/>
          </cell>
          <cell r="H125" t="str">
            <v>Part</v>
          </cell>
          <cell r="I125" t="str">
            <v>Posted</v>
          </cell>
          <cell r="J125">
            <v>3828</v>
          </cell>
          <cell r="K125">
            <v>0</v>
          </cell>
          <cell r="L125">
            <v>3495</v>
          </cell>
          <cell r="M125" t="str">
            <v/>
          </cell>
          <cell r="N125">
            <v>333</v>
          </cell>
        </row>
        <row r="126">
          <cell r="A126">
            <v>25605</v>
          </cell>
          <cell r="B126" t="str">
            <v>19/03/2024</v>
          </cell>
          <cell r="C126" t="str">
            <v>C1907</v>
          </cell>
          <cell r="D126" t="str">
            <v>Civils Package</v>
          </cell>
          <cell r="E126" t="str">
            <v>NP Services (Leicester) Ltd</v>
          </cell>
          <cell r="F126" t="str">
            <v>Subcontractor</v>
          </cell>
          <cell r="G126" t="str">
            <v/>
          </cell>
          <cell r="H126" t="str">
            <v>Part</v>
          </cell>
          <cell r="I126" t="str">
            <v>Posted</v>
          </cell>
          <cell r="J126">
            <v>2281314.86</v>
          </cell>
          <cell r="K126">
            <v>0</v>
          </cell>
          <cell r="L126">
            <v>2215186.8199999998</v>
          </cell>
          <cell r="M126" t="str">
            <v/>
          </cell>
          <cell r="N126">
            <v>66128.039999999994</v>
          </cell>
        </row>
        <row r="127">
          <cell r="A127">
            <v>25598</v>
          </cell>
          <cell r="B127" t="str">
            <v>19/03/2024</v>
          </cell>
          <cell r="C127" t="str">
            <v>C1906</v>
          </cell>
          <cell r="D127" t="str">
            <v>gas pipework removal 5” steam pipework from temporary boiler</v>
          </cell>
          <cell r="E127" t="str">
            <v>Premier Process Ltd</v>
          </cell>
          <cell r="F127" t="str">
            <v>Subcontractor</v>
          </cell>
          <cell r="G127" t="str">
            <v/>
          </cell>
          <cell r="H127" t="str">
            <v>Part</v>
          </cell>
          <cell r="I127" t="str">
            <v>Posted</v>
          </cell>
          <cell r="J127">
            <v>23898</v>
          </cell>
          <cell r="K127">
            <v>4779.6000000000004</v>
          </cell>
          <cell r="L127">
            <v>21282</v>
          </cell>
          <cell r="M127" t="str">
            <v/>
          </cell>
          <cell r="N127">
            <v>2616</v>
          </cell>
        </row>
        <row r="128">
          <cell r="A128">
            <v>25591</v>
          </cell>
          <cell r="B128" t="str">
            <v>15/03/2024</v>
          </cell>
          <cell r="C128" t="str">
            <v>C1908</v>
          </cell>
          <cell r="D128" t="str">
            <v>Installation and testing of Mains Cold Water service</v>
          </cell>
          <cell r="E128" t="str">
            <v xml:space="preserve">Primary Water Installations Limited </v>
          </cell>
          <cell r="F128" t="str">
            <v>Subcontractor</v>
          </cell>
          <cell r="G128" t="str">
            <v>02/04/2024</v>
          </cell>
          <cell r="H128" t="str">
            <v>Complete</v>
          </cell>
          <cell r="I128" t="str">
            <v>Posted</v>
          </cell>
          <cell r="J128">
            <v>34345</v>
          </cell>
          <cell r="K128">
            <v>0</v>
          </cell>
          <cell r="L128">
            <v>35625</v>
          </cell>
          <cell r="M128" t="str">
            <v/>
          </cell>
          <cell r="N128">
            <v>-1280</v>
          </cell>
        </row>
        <row r="129">
          <cell r="A129">
            <v>25590</v>
          </cell>
          <cell r="B129" t="str">
            <v>15/03/2024</v>
          </cell>
          <cell r="C129" t="str">
            <v>C1863</v>
          </cell>
          <cell r="D129" t="str">
            <v>power to saniflo unit</v>
          </cell>
          <cell r="E129" t="str">
            <v>Key Integrated Services (Electrical) Ltd</v>
          </cell>
          <cell r="F129" t="str">
            <v>Subcontractor</v>
          </cell>
          <cell r="G129" t="str">
            <v/>
          </cell>
          <cell r="H129" t="str">
            <v>Complete</v>
          </cell>
          <cell r="I129" t="str">
            <v/>
          </cell>
          <cell r="J129">
            <v>0</v>
          </cell>
          <cell r="K129">
            <v>0</v>
          </cell>
          <cell r="L129">
            <v>0</v>
          </cell>
          <cell r="M129" t="str">
            <v/>
          </cell>
          <cell r="N129">
            <v>0</v>
          </cell>
        </row>
        <row r="130">
          <cell r="A130">
            <v>25572</v>
          </cell>
          <cell r="B130" t="str">
            <v>12/03/2024</v>
          </cell>
          <cell r="C130" t="str">
            <v>C1891</v>
          </cell>
          <cell r="D130" t="str">
            <v xml:space="preserve">tHERMAL INSULATION TO EXISTING 3" PIPEWRORK. </v>
          </cell>
          <cell r="E130" t="str">
            <v>Thermal Insulation Covers Ltd</v>
          </cell>
          <cell r="F130" t="str">
            <v>Subcontractor</v>
          </cell>
          <cell r="G130" t="str">
            <v>14/03/2024</v>
          </cell>
          <cell r="H130" t="str">
            <v>Complete</v>
          </cell>
          <cell r="I130" t="str">
            <v/>
          </cell>
          <cell r="J130">
            <v>0</v>
          </cell>
          <cell r="K130">
            <v>0</v>
          </cell>
          <cell r="L130">
            <v>0</v>
          </cell>
          <cell r="M130" t="str">
            <v/>
          </cell>
          <cell r="N130">
            <v>0</v>
          </cell>
        </row>
        <row r="131">
          <cell r="A131">
            <v>25571</v>
          </cell>
          <cell r="B131" t="str">
            <v>12/03/2024</v>
          </cell>
          <cell r="C131" t="str">
            <v>C1884</v>
          </cell>
          <cell r="D131" t="str">
            <v>BMS Package Inclusive of Refrigerant Alarm</v>
          </cell>
          <cell r="E131" t="str">
            <v>JBC Controls Systems Ltd</v>
          </cell>
          <cell r="F131" t="str">
            <v>Subcontractor</v>
          </cell>
          <cell r="G131" t="str">
            <v>26/05/2024</v>
          </cell>
          <cell r="H131" t="str">
            <v>Complete</v>
          </cell>
          <cell r="I131" t="str">
            <v/>
          </cell>
          <cell r="J131">
            <v>0</v>
          </cell>
          <cell r="K131">
            <v>0</v>
          </cell>
          <cell r="L131">
            <v>0</v>
          </cell>
          <cell r="M131" t="str">
            <v/>
          </cell>
          <cell r="N131">
            <v>0</v>
          </cell>
        </row>
        <row r="132">
          <cell r="A132">
            <v>25553</v>
          </cell>
          <cell r="B132" t="str">
            <v>11/03/2024</v>
          </cell>
          <cell r="C132" t="str">
            <v>C1903</v>
          </cell>
          <cell r="D132" t="str">
            <v>BMS SC PO</v>
          </cell>
          <cell r="E132" t="str">
            <v>Impact Control Systems Ltd</v>
          </cell>
          <cell r="F132" t="str">
            <v>Subcontractor</v>
          </cell>
          <cell r="G132" t="str">
            <v/>
          </cell>
          <cell r="H132" t="str">
            <v>Part</v>
          </cell>
          <cell r="I132" t="str">
            <v>Posted</v>
          </cell>
          <cell r="J132">
            <v>52580.59</v>
          </cell>
          <cell r="K132">
            <v>0</v>
          </cell>
          <cell r="L132">
            <v>51634</v>
          </cell>
          <cell r="M132" t="str">
            <v/>
          </cell>
          <cell r="N132">
            <v>946.59</v>
          </cell>
        </row>
        <row r="133">
          <cell r="A133">
            <v>25545</v>
          </cell>
          <cell r="B133" t="str">
            <v>08/03/2024</v>
          </cell>
          <cell r="C133" t="str">
            <v>C1900</v>
          </cell>
          <cell r="D133" t="str">
            <v xml:space="preserve">Labour support </v>
          </cell>
          <cell r="E133" t="str">
            <v>Premier Process Ltd</v>
          </cell>
          <cell r="F133" t="str">
            <v>Subcontractor</v>
          </cell>
          <cell r="G133" t="str">
            <v>11/03/2024</v>
          </cell>
          <cell r="H133" t="str">
            <v>Complete</v>
          </cell>
          <cell r="I133" t="str">
            <v/>
          </cell>
          <cell r="J133">
            <v>0</v>
          </cell>
          <cell r="K133">
            <v>0</v>
          </cell>
          <cell r="L133">
            <v>0</v>
          </cell>
          <cell r="M133" t="str">
            <v/>
          </cell>
          <cell r="N133">
            <v>0</v>
          </cell>
        </row>
        <row r="134">
          <cell r="A134" t="str">
            <v/>
          </cell>
          <cell r="B134" t="str">
            <v>01/03/2024</v>
          </cell>
          <cell r="C134" t="str">
            <v>C1896</v>
          </cell>
          <cell r="D134" t="str">
            <v>Ventilation for coca cola line 6 &amp; RMW</v>
          </cell>
          <cell r="E134" t="str">
            <v>Firth Sheet Metal Limited</v>
          </cell>
          <cell r="F134" t="str">
            <v>Subcontractor</v>
          </cell>
          <cell r="G134" t="str">
            <v>04/03/2024</v>
          </cell>
          <cell r="H134" t="str">
            <v>Part</v>
          </cell>
          <cell r="I134" t="str">
            <v>Posted</v>
          </cell>
          <cell r="J134">
            <v>136900</v>
          </cell>
          <cell r="K134">
            <v>0</v>
          </cell>
          <cell r="L134">
            <v>135853</v>
          </cell>
          <cell r="M134" t="str">
            <v/>
          </cell>
          <cell r="N134">
            <v>1047</v>
          </cell>
        </row>
        <row r="135">
          <cell r="A135">
            <v>25519</v>
          </cell>
          <cell r="B135" t="str">
            <v>01/03/2024</v>
          </cell>
          <cell r="C135" t="str">
            <v>C1884</v>
          </cell>
          <cell r="D135" t="str">
            <v>For the Supply and Installation of the Mechanical Pipework P</v>
          </cell>
          <cell r="E135" t="str">
            <v>Direct Plumb (London) Ltd</v>
          </cell>
          <cell r="F135" t="str">
            <v>Subcontractor</v>
          </cell>
          <cell r="G135" t="str">
            <v>03/03/2024</v>
          </cell>
          <cell r="H135" t="str">
            <v>Part</v>
          </cell>
          <cell r="I135" t="str">
            <v>Posted</v>
          </cell>
          <cell r="J135">
            <v>218866.93</v>
          </cell>
          <cell r="K135">
            <v>0</v>
          </cell>
          <cell r="L135">
            <v>213101.64</v>
          </cell>
          <cell r="M135" t="str">
            <v/>
          </cell>
          <cell r="N135">
            <v>5765.29</v>
          </cell>
        </row>
        <row r="136">
          <cell r="A136">
            <v>25497</v>
          </cell>
          <cell r="B136" t="str">
            <v>28/02/2024</v>
          </cell>
          <cell r="C136" t="str">
            <v>C1900</v>
          </cell>
          <cell r="D136" t="str">
            <v xml:space="preserve">Steam and Condense installation works </v>
          </cell>
          <cell r="E136" t="str">
            <v>Premier Process Ltd</v>
          </cell>
          <cell r="F136" t="str">
            <v>Subcontractor</v>
          </cell>
          <cell r="G136" t="str">
            <v>04/03/2024</v>
          </cell>
          <cell r="H136" t="str">
            <v>Part</v>
          </cell>
          <cell r="I136" t="str">
            <v>Posted</v>
          </cell>
          <cell r="J136">
            <v>50263.3</v>
          </cell>
          <cell r="K136">
            <v>0</v>
          </cell>
          <cell r="L136">
            <v>50263.14</v>
          </cell>
          <cell r="M136" t="str">
            <v/>
          </cell>
          <cell r="N136">
            <v>0.16</v>
          </cell>
        </row>
        <row r="137">
          <cell r="A137">
            <v>25496</v>
          </cell>
          <cell r="B137" t="str">
            <v>28/02/2024</v>
          </cell>
          <cell r="C137" t="str">
            <v>C1900</v>
          </cell>
          <cell r="D137" t="str">
            <v xml:space="preserve">Thermal insulation </v>
          </cell>
          <cell r="E137" t="str">
            <v>Thermal Insulation Covers Ltd</v>
          </cell>
          <cell r="F137" t="str">
            <v>Subcontractor</v>
          </cell>
          <cell r="G137" t="str">
            <v>11/03/2024</v>
          </cell>
          <cell r="H137" t="str">
            <v>Complete</v>
          </cell>
          <cell r="I137" t="str">
            <v>Posted</v>
          </cell>
          <cell r="J137">
            <v>52985.78</v>
          </cell>
          <cell r="K137">
            <v>0</v>
          </cell>
          <cell r="L137">
            <v>54402.04</v>
          </cell>
          <cell r="M137" t="str">
            <v/>
          </cell>
          <cell r="N137">
            <v>-1416.26</v>
          </cell>
        </row>
        <row r="138">
          <cell r="A138">
            <v>25441</v>
          </cell>
          <cell r="B138" t="str">
            <v>19/02/2024</v>
          </cell>
          <cell r="C138" t="str">
            <v>C1891</v>
          </cell>
          <cell r="D138" t="str">
            <v xml:space="preserve">Stainless Steel ductwork drops </v>
          </cell>
          <cell r="E138" t="str">
            <v>Allducts Ventilation Services Limited</v>
          </cell>
          <cell r="F138" t="str">
            <v>Subcontractor</v>
          </cell>
          <cell r="G138" t="str">
            <v>11/03/2024</v>
          </cell>
          <cell r="H138" t="str">
            <v>Complete</v>
          </cell>
          <cell r="I138" t="str">
            <v/>
          </cell>
          <cell r="J138">
            <v>0</v>
          </cell>
          <cell r="K138">
            <v>0</v>
          </cell>
          <cell r="L138">
            <v>0</v>
          </cell>
          <cell r="M138" t="str">
            <v/>
          </cell>
          <cell r="N138">
            <v>0</v>
          </cell>
        </row>
        <row r="139">
          <cell r="A139">
            <v>25424</v>
          </cell>
          <cell r="B139" t="str">
            <v>15/02/2024</v>
          </cell>
          <cell r="C139" t="str">
            <v>C1891</v>
          </cell>
          <cell r="D139" t="str">
            <v xml:space="preserve">Supply ductwork </v>
          </cell>
          <cell r="E139" t="str">
            <v>Allducts Ventilation Services Limited</v>
          </cell>
          <cell r="F139" t="str">
            <v>Subcontractor</v>
          </cell>
          <cell r="G139" t="str">
            <v>01/03/2024</v>
          </cell>
          <cell r="H139" t="str">
            <v>Complete</v>
          </cell>
          <cell r="I139" t="str">
            <v/>
          </cell>
          <cell r="J139">
            <v>0</v>
          </cell>
          <cell r="K139">
            <v>0</v>
          </cell>
          <cell r="L139">
            <v>0</v>
          </cell>
          <cell r="M139" t="str">
            <v/>
          </cell>
          <cell r="N139">
            <v>0</v>
          </cell>
        </row>
        <row r="140">
          <cell r="A140">
            <v>25394</v>
          </cell>
          <cell r="B140" t="str">
            <v>08/02/2024</v>
          </cell>
          <cell r="C140" t="str">
            <v>C1827</v>
          </cell>
          <cell r="D140" t="str">
            <v>Client Inspection Visit</v>
          </cell>
          <cell r="E140" t="str">
            <v>New Era Commissioning Specialists Ltd</v>
          </cell>
          <cell r="F140" t="str">
            <v>Subcontractor</v>
          </cell>
          <cell r="G140" t="str">
            <v/>
          </cell>
          <cell r="H140" t="str">
            <v>Complete</v>
          </cell>
          <cell r="I140" t="str">
            <v/>
          </cell>
          <cell r="J140">
            <v>0</v>
          </cell>
          <cell r="K140">
            <v>0</v>
          </cell>
          <cell r="L140">
            <v>0</v>
          </cell>
          <cell r="M140" t="str">
            <v/>
          </cell>
          <cell r="N140">
            <v>0</v>
          </cell>
        </row>
        <row r="141">
          <cell r="A141">
            <v>25374</v>
          </cell>
          <cell r="B141" t="str">
            <v>05/02/2024</v>
          </cell>
          <cell r="C141" t="str">
            <v>C1827</v>
          </cell>
          <cell r="D141" t="str">
            <v xml:space="preserve">Labour supplied to ENTEC </v>
          </cell>
          <cell r="E141" t="str">
            <v>North East Pipeline Solutions Limited</v>
          </cell>
          <cell r="F141" t="str">
            <v>Subcontractor</v>
          </cell>
          <cell r="G141" t="str">
            <v>05/02/2024</v>
          </cell>
          <cell r="H141" t="str">
            <v>Part</v>
          </cell>
          <cell r="I141" t="str">
            <v>Posted</v>
          </cell>
          <cell r="J141">
            <v>8000</v>
          </cell>
          <cell r="K141">
            <v>0</v>
          </cell>
          <cell r="L141">
            <v>14738.57</v>
          </cell>
          <cell r="M141" t="str">
            <v/>
          </cell>
          <cell r="N141">
            <v>-6738.57</v>
          </cell>
        </row>
        <row r="142">
          <cell r="A142">
            <v>25361</v>
          </cell>
          <cell r="B142" t="str">
            <v>31/01/2024</v>
          </cell>
          <cell r="C142" t="str">
            <v>C1880</v>
          </cell>
          <cell r="D142" t="str">
            <v>Commissioning of Basing 2</v>
          </cell>
          <cell r="E142" t="str">
            <v>Combat Commissioning Services Ltd</v>
          </cell>
          <cell r="F142" t="str">
            <v>Subcontractor</v>
          </cell>
          <cell r="G142" t="str">
            <v>07/02/2024</v>
          </cell>
          <cell r="H142" t="str">
            <v>Complete</v>
          </cell>
          <cell r="I142" t="str">
            <v/>
          </cell>
          <cell r="J142">
            <v>0</v>
          </cell>
          <cell r="K142">
            <v>0</v>
          </cell>
          <cell r="L142">
            <v>0</v>
          </cell>
          <cell r="M142" t="str">
            <v/>
          </cell>
          <cell r="N142">
            <v>0</v>
          </cell>
        </row>
        <row r="143">
          <cell r="A143">
            <v>25331</v>
          </cell>
          <cell r="B143" t="str">
            <v>26/01/2024</v>
          </cell>
          <cell r="C143" t="str">
            <v>C1901</v>
          </cell>
          <cell r="D143" t="str">
            <v>Supply and Installation of AC &amp; HRU to Pulpex as detailed KS</v>
          </cell>
          <cell r="E143" t="str">
            <v xml:space="preserve">Koolsolutions Air Conditioning &amp; Ventilation Ltd </v>
          </cell>
          <cell r="F143" t="str">
            <v>Subcontractor</v>
          </cell>
          <cell r="G143" t="str">
            <v>05/02/2024</v>
          </cell>
          <cell r="H143" t="str">
            <v>Part</v>
          </cell>
          <cell r="I143" t="str">
            <v/>
          </cell>
          <cell r="J143">
            <v>8917</v>
          </cell>
          <cell r="K143">
            <v>0</v>
          </cell>
          <cell r="L143">
            <v>0</v>
          </cell>
          <cell r="M143" t="str">
            <v/>
          </cell>
          <cell r="N143">
            <v>8917</v>
          </cell>
        </row>
        <row r="144">
          <cell r="A144">
            <v>25295</v>
          </cell>
          <cell r="B144" t="str">
            <v>17/01/2024</v>
          </cell>
          <cell r="C144" t="str">
            <v>C1891</v>
          </cell>
          <cell r="D144" t="str">
            <v>Manufacture and supply of 2no Plenum drops.</v>
          </cell>
          <cell r="E144" t="str">
            <v>NP Services (Leicester) Ltd</v>
          </cell>
          <cell r="F144" t="str">
            <v>Subcontractor</v>
          </cell>
          <cell r="G144" t="str">
            <v>12/02/2024</v>
          </cell>
          <cell r="H144" t="str">
            <v>Complete</v>
          </cell>
          <cell r="I144" t="str">
            <v/>
          </cell>
          <cell r="J144">
            <v>0</v>
          </cell>
          <cell r="K144">
            <v>0</v>
          </cell>
          <cell r="L144">
            <v>0</v>
          </cell>
          <cell r="M144" t="str">
            <v/>
          </cell>
          <cell r="N144">
            <v>0</v>
          </cell>
        </row>
        <row r="145">
          <cell r="A145">
            <v>25294</v>
          </cell>
          <cell r="B145" t="str">
            <v>17/01/2024</v>
          </cell>
          <cell r="C145" t="str">
            <v>C1891</v>
          </cell>
          <cell r="D145" t="str">
            <v xml:space="preserve">materials </v>
          </cell>
          <cell r="E145" t="str">
            <v>NP Services (Leicester) Ltd</v>
          </cell>
          <cell r="F145" t="str">
            <v>Subcontractor</v>
          </cell>
          <cell r="G145" t="str">
            <v/>
          </cell>
          <cell r="H145" t="str">
            <v/>
          </cell>
          <cell r="I145" t="str">
            <v/>
          </cell>
          <cell r="J145">
            <v>0</v>
          </cell>
          <cell r="K145">
            <v>0</v>
          </cell>
          <cell r="L145">
            <v>0</v>
          </cell>
          <cell r="M145" t="str">
            <v/>
          </cell>
          <cell r="N145">
            <v>0</v>
          </cell>
        </row>
        <row r="146">
          <cell r="A146" t="str">
            <v/>
          </cell>
          <cell r="B146" t="str">
            <v>05/01/2024</v>
          </cell>
          <cell r="C146" t="str">
            <v>C1884</v>
          </cell>
          <cell r="D146" t="str">
            <v>Supply and installation of ductwork system and final positio</v>
          </cell>
          <cell r="E146" t="str">
            <v>Allducts Ventilation Services Limited</v>
          </cell>
          <cell r="F146" t="str">
            <v>Subcontractor</v>
          </cell>
          <cell r="G146" t="str">
            <v>26/02/2024</v>
          </cell>
          <cell r="H146" t="str">
            <v>Part</v>
          </cell>
          <cell r="I146" t="str">
            <v>Posted</v>
          </cell>
          <cell r="J146">
            <v>116909.79</v>
          </cell>
          <cell r="K146">
            <v>0</v>
          </cell>
          <cell r="L146">
            <v>115555.46</v>
          </cell>
          <cell r="M146" t="str">
            <v/>
          </cell>
          <cell r="N146">
            <v>1354.33</v>
          </cell>
        </row>
        <row r="147">
          <cell r="A147">
            <v>25241</v>
          </cell>
          <cell r="B147" t="str">
            <v>03/01/2024</v>
          </cell>
          <cell r="C147" t="str">
            <v>C1854</v>
          </cell>
          <cell r="D147" t="str">
            <v>gas test and purge</v>
          </cell>
          <cell r="E147" t="str">
            <v>Modern Heating Services Limited</v>
          </cell>
          <cell r="F147" t="str">
            <v>Subcontractor</v>
          </cell>
          <cell r="G147" t="str">
            <v/>
          </cell>
          <cell r="H147" t="str">
            <v>Complete</v>
          </cell>
          <cell r="I147" t="str">
            <v/>
          </cell>
          <cell r="J147">
            <v>0</v>
          </cell>
          <cell r="K147">
            <v>0</v>
          </cell>
          <cell r="L147">
            <v>0</v>
          </cell>
          <cell r="M147" t="str">
            <v/>
          </cell>
          <cell r="N147">
            <v>0</v>
          </cell>
        </row>
        <row r="148">
          <cell r="A148">
            <v>25240</v>
          </cell>
          <cell r="B148" t="str">
            <v>03/01/2024</v>
          </cell>
          <cell r="C148" t="str">
            <v>C1884</v>
          </cell>
          <cell r="D148" t="str">
            <v>Prelims</v>
          </cell>
          <cell r="E148" t="str">
            <v xml:space="preserve">Koolsolutions Air Conditioning &amp; Ventilation Ltd </v>
          </cell>
          <cell r="F148" t="str">
            <v>Subcontractor</v>
          </cell>
          <cell r="G148" t="str">
            <v>01/04/2024</v>
          </cell>
          <cell r="H148" t="str">
            <v>Part</v>
          </cell>
          <cell r="I148" t="str">
            <v>Posted</v>
          </cell>
          <cell r="J148">
            <v>24546.560000000001</v>
          </cell>
          <cell r="K148">
            <v>4909.3100000000004</v>
          </cell>
          <cell r="L148">
            <v>22950</v>
          </cell>
          <cell r="M148" t="str">
            <v/>
          </cell>
          <cell r="N148">
            <v>1596.56</v>
          </cell>
        </row>
        <row r="149">
          <cell r="A149">
            <v>25225</v>
          </cell>
          <cell r="B149" t="str">
            <v>19/12/2023</v>
          </cell>
          <cell r="C149" t="str">
            <v>C1900</v>
          </cell>
          <cell r="D149" t="str">
            <v>30 x 254mm x 50mm thick x 100mm long phenolic blocks with su</v>
          </cell>
          <cell r="E149" t="str">
            <v>Thermal Insulation Covers Ltd</v>
          </cell>
          <cell r="F149" t="str">
            <v>Subcontractor</v>
          </cell>
          <cell r="G149" t="str">
            <v/>
          </cell>
          <cell r="H149" t="str">
            <v>Complete</v>
          </cell>
          <cell r="I149" t="str">
            <v/>
          </cell>
          <cell r="J149">
            <v>0</v>
          </cell>
          <cell r="K149">
            <v>0</v>
          </cell>
          <cell r="L149">
            <v>0</v>
          </cell>
          <cell r="M149" t="str">
            <v/>
          </cell>
          <cell r="N149">
            <v>0</v>
          </cell>
        </row>
        <row r="150">
          <cell r="A150">
            <v>25221</v>
          </cell>
          <cell r="B150" t="str">
            <v>19/12/2023</v>
          </cell>
          <cell r="C150" t="str">
            <v>C1903</v>
          </cell>
          <cell r="D150" t="str">
            <v>Electrical subcontract package.</v>
          </cell>
          <cell r="E150" t="str">
            <v>Key Integrated Services North West Ltd</v>
          </cell>
          <cell r="F150" t="str">
            <v>Subcontractor</v>
          </cell>
          <cell r="G150" t="str">
            <v/>
          </cell>
          <cell r="H150" t="str">
            <v>Part</v>
          </cell>
          <cell r="I150" t="str">
            <v>Posted</v>
          </cell>
          <cell r="J150">
            <v>137101.92000000001</v>
          </cell>
          <cell r="K150">
            <v>0</v>
          </cell>
          <cell r="L150">
            <v>55989.58</v>
          </cell>
          <cell r="M150" t="str">
            <v/>
          </cell>
          <cell r="N150">
            <v>81112.34</v>
          </cell>
        </row>
        <row r="151">
          <cell r="A151">
            <v>25214</v>
          </cell>
          <cell r="B151" t="str">
            <v>15/12/2023</v>
          </cell>
          <cell r="C151" t="str">
            <v>C1903</v>
          </cell>
          <cell r="D151" t="str">
            <v>Copeman Subcontract order</v>
          </cell>
          <cell r="E151" t="str">
            <v>Copeman Construction Services Limited</v>
          </cell>
          <cell r="F151" t="str">
            <v>Subcontractor</v>
          </cell>
          <cell r="G151" t="str">
            <v/>
          </cell>
          <cell r="H151" t="str">
            <v>Part</v>
          </cell>
          <cell r="I151" t="str">
            <v>Posted</v>
          </cell>
          <cell r="J151">
            <v>319611.96000000002</v>
          </cell>
          <cell r="K151">
            <v>0</v>
          </cell>
          <cell r="L151">
            <v>306267.93</v>
          </cell>
          <cell r="M151" t="str">
            <v/>
          </cell>
          <cell r="N151">
            <v>13344.03</v>
          </cell>
        </row>
        <row r="152">
          <cell r="A152">
            <v>25165</v>
          </cell>
          <cell r="B152" t="str">
            <v>06/12/2023</v>
          </cell>
          <cell r="C152" t="str">
            <v>C1901</v>
          </cell>
          <cell r="D152" t="str">
            <v>Vac plant and installation</v>
          </cell>
          <cell r="E152" t="str">
            <v>Red Gray Engineering Limited</v>
          </cell>
          <cell r="F152" t="str">
            <v>Subcontractor</v>
          </cell>
          <cell r="G152" t="str">
            <v/>
          </cell>
          <cell r="H152" t="str">
            <v>Complete</v>
          </cell>
          <cell r="I152" t="str">
            <v/>
          </cell>
          <cell r="J152">
            <v>0</v>
          </cell>
          <cell r="K152">
            <v>0</v>
          </cell>
          <cell r="L152">
            <v>0</v>
          </cell>
          <cell r="M152" t="str">
            <v/>
          </cell>
          <cell r="N152">
            <v>0</v>
          </cell>
        </row>
        <row r="153">
          <cell r="A153">
            <v>25071</v>
          </cell>
          <cell r="B153" t="str">
            <v>20/11/2023</v>
          </cell>
          <cell r="C153" t="str">
            <v>C1890</v>
          </cell>
          <cell r="D153" t="str">
            <v xml:space="preserve">Air sock replacement </v>
          </cell>
          <cell r="E153" t="str">
            <v>Allducts Ventilation Services Limited</v>
          </cell>
          <cell r="F153" t="str">
            <v>Subcontractor</v>
          </cell>
          <cell r="G153" t="str">
            <v>21/11/2023</v>
          </cell>
          <cell r="H153" t="str">
            <v>Complete</v>
          </cell>
          <cell r="I153" t="str">
            <v/>
          </cell>
          <cell r="J153">
            <v>0</v>
          </cell>
          <cell r="K153">
            <v>0</v>
          </cell>
          <cell r="L153">
            <v>0</v>
          </cell>
          <cell r="M153" t="str">
            <v/>
          </cell>
          <cell r="N153">
            <v>0</v>
          </cell>
        </row>
        <row r="154">
          <cell r="A154">
            <v>25061</v>
          </cell>
          <cell r="B154" t="str">
            <v>17/11/2023</v>
          </cell>
          <cell r="C154" t="str">
            <v>C1891</v>
          </cell>
          <cell r="D154" t="str">
            <v xml:space="preserve">Alpro Emerald Ductwork installation </v>
          </cell>
          <cell r="E154" t="str">
            <v>Allducts Ventilation Services Limited</v>
          </cell>
          <cell r="F154" t="str">
            <v>Subcontractor</v>
          </cell>
          <cell r="G154" t="str">
            <v>18/12/2023</v>
          </cell>
          <cell r="H154" t="str">
            <v>Part</v>
          </cell>
          <cell r="I154" t="str">
            <v>Posted</v>
          </cell>
          <cell r="J154">
            <v>27101</v>
          </cell>
          <cell r="K154">
            <v>0</v>
          </cell>
          <cell r="L154">
            <v>42001.22</v>
          </cell>
          <cell r="M154" t="str">
            <v/>
          </cell>
          <cell r="N154">
            <v>-14900.22</v>
          </cell>
        </row>
        <row r="155">
          <cell r="A155">
            <v>25054</v>
          </cell>
          <cell r="B155" t="str">
            <v>16/11/2023</v>
          </cell>
          <cell r="C155" t="str">
            <v>C1891</v>
          </cell>
          <cell r="D155" t="str">
            <v xml:space="preserve">Thermal Insulation </v>
          </cell>
          <cell r="E155" t="str">
            <v>Thermal Insulation Covers Ltd</v>
          </cell>
          <cell r="F155" t="str">
            <v>Subcontractor</v>
          </cell>
          <cell r="G155" t="str">
            <v>15/12/2023</v>
          </cell>
          <cell r="H155" t="str">
            <v>Complete</v>
          </cell>
          <cell r="I155" t="str">
            <v>Posted</v>
          </cell>
          <cell r="J155">
            <v>36000</v>
          </cell>
          <cell r="K155">
            <v>0</v>
          </cell>
          <cell r="L155">
            <v>36592</v>
          </cell>
          <cell r="M155" t="str">
            <v/>
          </cell>
          <cell r="N155">
            <v>-592</v>
          </cell>
        </row>
        <row r="156">
          <cell r="A156">
            <v>25038</v>
          </cell>
          <cell r="B156" t="str">
            <v>14/11/2023</v>
          </cell>
          <cell r="C156" t="str">
            <v>C1841</v>
          </cell>
          <cell r="D156" t="str">
            <v xml:space="preserve">canopy extract insulation </v>
          </cell>
          <cell r="E156" t="str">
            <v>Thermal Insulation Covers Ltd</v>
          </cell>
          <cell r="F156" t="str">
            <v>Subcontractor</v>
          </cell>
          <cell r="G156" t="str">
            <v/>
          </cell>
          <cell r="H156" t="str">
            <v/>
          </cell>
          <cell r="I156" t="str">
            <v/>
          </cell>
          <cell r="J156">
            <v>989.62</v>
          </cell>
          <cell r="K156">
            <v>0</v>
          </cell>
          <cell r="L156">
            <v>0</v>
          </cell>
          <cell r="M156" t="str">
            <v/>
          </cell>
          <cell r="N156">
            <v>989.62</v>
          </cell>
        </row>
        <row r="157">
          <cell r="A157">
            <v>25003</v>
          </cell>
          <cell r="B157" t="str">
            <v>06/11/2023</v>
          </cell>
          <cell r="C157" t="str">
            <v>C1893</v>
          </cell>
          <cell r="D157" t="str">
            <v>power to new elec water heaters</v>
          </cell>
          <cell r="E157" t="str">
            <v>Key Integrated Services (Electrical) Ltd</v>
          </cell>
          <cell r="F157" t="str">
            <v>Subcontractor</v>
          </cell>
          <cell r="G157" t="str">
            <v/>
          </cell>
          <cell r="H157" t="str">
            <v>Part</v>
          </cell>
          <cell r="I157" t="str">
            <v>Posted</v>
          </cell>
          <cell r="J157">
            <v>1200</v>
          </cell>
          <cell r="K157">
            <v>240</v>
          </cell>
          <cell r="L157">
            <v>600</v>
          </cell>
          <cell r="M157" t="str">
            <v/>
          </cell>
          <cell r="N157">
            <v>600</v>
          </cell>
        </row>
        <row r="158">
          <cell r="A158">
            <v>24971</v>
          </cell>
          <cell r="B158" t="str">
            <v>27/10/2023</v>
          </cell>
          <cell r="C158" t="str">
            <v>C1890</v>
          </cell>
          <cell r="D158" t="str">
            <v>LEV &amp; Extract Vent</v>
          </cell>
          <cell r="E158" t="str">
            <v>Firth Sheet Metal Limited</v>
          </cell>
          <cell r="F158" t="str">
            <v>Subcontractor</v>
          </cell>
          <cell r="G158" t="str">
            <v>30/10/2023</v>
          </cell>
          <cell r="H158" t="str">
            <v>Part</v>
          </cell>
          <cell r="I158" t="str">
            <v>Posted</v>
          </cell>
          <cell r="J158">
            <v>73822</v>
          </cell>
          <cell r="K158">
            <v>0</v>
          </cell>
          <cell r="L158">
            <v>75346</v>
          </cell>
          <cell r="M158" t="str">
            <v/>
          </cell>
          <cell r="N158">
            <v>-1524</v>
          </cell>
        </row>
        <row r="159">
          <cell r="A159">
            <v>24939</v>
          </cell>
          <cell r="B159" t="str">
            <v>20/10/2023</v>
          </cell>
          <cell r="C159" t="str">
            <v>C1890</v>
          </cell>
          <cell r="D159" t="str">
            <v xml:space="preserve">Builderswork </v>
          </cell>
          <cell r="E159" t="str">
            <v>Copeman Construction Services Limited</v>
          </cell>
          <cell r="F159" t="str">
            <v>Subcontractor</v>
          </cell>
          <cell r="G159" t="str">
            <v>24/10/2023</v>
          </cell>
          <cell r="H159" t="str">
            <v/>
          </cell>
          <cell r="I159" t="str">
            <v/>
          </cell>
          <cell r="J159">
            <v>2500</v>
          </cell>
          <cell r="K159">
            <v>500</v>
          </cell>
          <cell r="L159">
            <v>0</v>
          </cell>
          <cell r="M159" t="str">
            <v/>
          </cell>
          <cell r="N159">
            <v>2500</v>
          </cell>
        </row>
        <row r="160">
          <cell r="A160">
            <v>24864</v>
          </cell>
          <cell r="B160" t="str">
            <v>02/10/2023</v>
          </cell>
          <cell r="C160" t="str">
            <v>C1841</v>
          </cell>
          <cell r="D160" t="str">
            <v>additional materials</v>
          </cell>
          <cell r="E160" t="str">
            <v>Allducts Ventilation Services Limited</v>
          </cell>
          <cell r="F160" t="str">
            <v>Subcontractor</v>
          </cell>
          <cell r="G160" t="str">
            <v/>
          </cell>
          <cell r="H160" t="str">
            <v>Complete</v>
          </cell>
          <cell r="I160" t="str">
            <v/>
          </cell>
          <cell r="J160">
            <v>0</v>
          </cell>
          <cell r="K160">
            <v>0</v>
          </cell>
          <cell r="L160">
            <v>0</v>
          </cell>
          <cell r="M160" t="str">
            <v/>
          </cell>
          <cell r="N160">
            <v>0</v>
          </cell>
        </row>
        <row r="161">
          <cell r="A161">
            <v>24809</v>
          </cell>
          <cell r="B161" t="str">
            <v>19/09/2023</v>
          </cell>
          <cell r="C161" t="str">
            <v>C1827</v>
          </cell>
          <cell r="D161" t="str">
            <v>Installation,Cabling and terminating 59 smoke damper interfa</v>
          </cell>
          <cell r="E161" t="str">
            <v>Firecorp Secure Solutions Ltd</v>
          </cell>
          <cell r="F161" t="str">
            <v>Subcontractor</v>
          </cell>
          <cell r="G161" t="str">
            <v>25/09/2023</v>
          </cell>
          <cell r="H161" t="str">
            <v>Complete</v>
          </cell>
          <cell r="I161" t="str">
            <v>Posted</v>
          </cell>
          <cell r="J161">
            <v>20241.47</v>
          </cell>
          <cell r="K161">
            <v>4048.29</v>
          </cell>
          <cell r="L161">
            <v>15241.47</v>
          </cell>
          <cell r="M161" t="str">
            <v/>
          </cell>
          <cell r="N161">
            <v>5000</v>
          </cell>
        </row>
        <row r="162">
          <cell r="A162">
            <v>24803</v>
          </cell>
          <cell r="B162" t="str">
            <v>18/09/2023</v>
          </cell>
          <cell r="C162" t="str">
            <v>C1822</v>
          </cell>
          <cell r="D162" t="str">
            <v>Water treatment</v>
          </cell>
          <cell r="E162" t="str">
            <v>MSB Hygiene Ltd</v>
          </cell>
          <cell r="F162" t="str">
            <v>Subcontractor</v>
          </cell>
          <cell r="G162" t="str">
            <v/>
          </cell>
          <cell r="H162" t="str">
            <v>Complete</v>
          </cell>
          <cell r="I162" t="str">
            <v/>
          </cell>
          <cell r="J162">
            <v>0</v>
          </cell>
          <cell r="K162">
            <v>0</v>
          </cell>
          <cell r="L162">
            <v>0</v>
          </cell>
          <cell r="M162" t="str">
            <v/>
          </cell>
          <cell r="N162">
            <v>0</v>
          </cell>
        </row>
        <row r="163">
          <cell r="A163">
            <v>24789</v>
          </cell>
          <cell r="B163" t="str">
            <v>12/09/2023</v>
          </cell>
          <cell r="C163" t="str">
            <v>C1873</v>
          </cell>
          <cell r="D163" t="str">
            <v xml:space="preserve">To undertake the complete electrical design for Around Noon </v>
          </cell>
          <cell r="E163" t="str">
            <v>Key Integrated Services (Electrical) Ltd</v>
          </cell>
          <cell r="F163" t="str">
            <v>Subcontractor</v>
          </cell>
          <cell r="G163" t="str">
            <v/>
          </cell>
          <cell r="H163" t="str">
            <v>Complete</v>
          </cell>
          <cell r="I163" t="str">
            <v/>
          </cell>
          <cell r="J163">
            <v>0</v>
          </cell>
          <cell r="K163">
            <v>0</v>
          </cell>
          <cell r="L163">
            <v>0</v>
          </cell>
          <cell r="M163" t="str">
            <v/>
          </cell>
          <cell r="N163">
            <v>0</v>
          </cell>
        </row>
        <row r="164">
          <cell r="A164">
            <v>24755</v>
          </cell>
          <cell r="B164" t="str">
            <v>31/08/2023</v>
          </cell>
          <cell r="C164" t="str">
            <v>C1854</v>
          </cell>
          <cell r="D164" t="str">
            <v>gas purge</v>
          </cell>
          <cell r="E164" t="str">
            <v>Modern Heating Services Limited</v>
          </cell>
          <cell r="F164" t="str">
            <v>Subcontractor</v>
          </cell>
          <cell r="G164" t="str">
            <v/>
          </cell>
          <cell r="H164" t="str">
            <v>Complete</v>
          </cell>
          <cell r="I164" t="str">
            <v>Posted</v>
          </cell>
          <cell r="J164">
            <v>1001.16</v>
          </cell>
          <cell r="K164">
            <v>0</v>
          </cell>
          <cell r="L164">
            <v>2002.32</v>
          </cell>
          <cell r="M164" t="str">
            <v/>
          </cell>
          <cell r="N164">
            <v>-1001.16</v>
          </cell>
        </row>
        <row r="165">
          <cell r="A165">
            <v>24708</v>
          </cell>
          <cell r="B165" t="str">
            <v>18/08/2023</v>
          </cell>
          <cell r="C165" t="str">
            <v>C1864</v>
          </cell>
          <cell r="D165" t="str">
            <v>Plantroom heating refurbishment works</v>
          </cell>
          <cell r="E165" t="str">
            <v>Buckley Plumbing &amp; Mechanical Services</v>
          </cell>
          <cell r="F165" t="str">
            <v>Subcontractor</v>
          </cell>
          <cell r="G165" t="str">
            <v/>
          </cell>
          <cell r="H165" t="str">
            <v>Part</v>
          </cell>
          <cell r="I165" t="str">
            <v>Posted</v>
          </cell>
          <cell r="J165">
            <v>17557.580000000002</v>
          </cell>
          <cell r="K165">
            <v>0</v>
          </cell>
          <cell r="L165">
            <v>16957.580000000002</v>
          </cell>
          <cell r="M165" t="str">
            <v/>
          </cell>
          <cell r="N165">
            <v>600</v>
          </cell>
        </row>
        <row r="166">
          <cell r="A166">
            <v>24679</v>
          </cell>
          <cell r="B166" t="str">
            <v>14/08/2023</v>
          </cell>
          <cell r="C166" t="str">
            <v>C1864</v>
          </cell>
          <cell r="D166" t="str">
            <v>Lagging of new heating pipework as sub contract document</v>
          </cell>
          <cell r="E166" t="str">
            <v>Thermal Insulation Covers Ltd</v>
          </cell>
          <cell r="F166" t="str">
            <v>Subcontractor</v>
          </cell>
          <cell r="G166" t="str">
            <v/>
          </cell>
          <cell r="H166" t="str">
            <v>Part</v>
          </cell>
          <cell r="I166" t="str">
            <v>Posted</v>
          </cell>
          <cell r="J166">
            <v>49000</v>
          </cell>
          <cell r="K166">
            <v>0</v>
          </cell>
          <cell r="L166">
            <v>47812.46</v>
          </cell>
          <cell r="M166" t="str">
            <v/>
          </cell>
          <cell r="N166">
            <v>1187.54</v>
          </cell>
        </row>
        <row r="167">
          <cell r="A167">
            <v>24637</v>
          </cell>
          <cell r="B167" t="str">
            <v>07/08/2023</v>
          </cell>
          <cell r="C167" t="str">
            <v>C1875</v>
          </cell>
          <cell r="D167" t="str">
            <v xml:space="preserve">Supply and install thermal insulation </v>
          </cell>
          <cell r="E167" t="str">
            <v>Thermal Insulation Covers Ltd</v>
          </cell>
          <cell r="F167" t="str">
            <v>Subcontractor</v>
          </cell>
          <cell r="G167" t="str">
            <v>17/09/2023</v>
          </cell>
          <cell r="H167" t="str">
            <v>Complete</v>
          </cell>
          <cell r="I167" t="str">
            <v/>
          </cell>
          <cell r="J167">
            <v>0</v>
          </cell>
          <cell r="K167">
            <v>0</v>
          </cell>
          <cell r="L167">
            <v>0</v>
          </cell>
          <cell r="M167" t="str">
            <v/>
          </cell>
          <cell r="N167">
            <v>0</v>
          </cell>
        </row>
        <row r="168">
          <cell r="A168">
            <v>24559</v>
          </cell>
          <cell r="B168" t="str">
            <v>20/07/2023</v>
          </cell>
          <cell r="C168" t="str">
            <v>C1822</v>
          </cell>
          <cell r="D168" t="str">
            <v>Insulation and cladding to LPHW installation inc trace heati</v>
          </cell>
          <cell r="E168" t="str">
            <v>Thermal Insulation Covers Ltd</v>
          </cell>
          <cell r="F168" t="str">
            <v>Subcontractor</v>
          </cell>
          <cell r="G168" t="str">
            <v/>
          </cell>
          <cell r="H168" t="str">
            <v>Complete</v>
          </cell>
          <cell r="I168" t="str">
            <v/>
          </cell>
          <cell r="J168">
            <v>0</v>
          </cell>
          <cell r="K168">
            <v>0</v>
          </cell>
          <cell r="L168">
            <v>0</v>
          </cell>
          <cell r="M168" t="str">
            <v/>
          </cell>
          <cell r="N168">
            <v>0</v>
          </cell>
        </row>
        <row r="169">
          <cell r="A169">
            <v>24550</v>
          </cell>
          <cell r="B169" t="str">
            <v>19/07/2023</v>
          </cell>
          <cell r="C169" t="str">
            <v>C1833</v>
          </cell>
          <cell r="D169" t="str">
            <v>carry out test and purge of new gas line</v>
          </cell>
          <cell r="E169" t="str">
            <v>Modern Heating Services Limited</v>
          </cell>
          <cell r="F169" t="str">
            <v>Subcontractor</v>
          </cell>
          <cell r="G169" t="str">
            <v>28/07/2023</v>
          </cell>
          <cell r="H169" t="str">
            <v>Complete</v>
          </cell>
          <cell r="I169" t="str">
            <v/>
          </cell>
          <cell r="J169">
            <v>0</v>
          </cell>
          <cell r="K169">
            <v>0</v>
          </cell>
          <cell r="L169">
            <v>0</v>
          </cell>
          <cell r="M169" t="str">
            <v/>
          </cell>
          <cell r="N169">
            <v>0</v>
          </cell>
        </row>
        <row r="170">
          <cell r="A170">
            <v>24543</v>
          </cell>
          <cell r="B170" t="str">
            <v>18/07/2023</v>
          </cell>
          <cell r="C170" t="str">
            <v>C1865</v>
          </cell>
          <cell r="D170" t="str">
            <v xml:space="preserve">Commissioning Checks Prior to Strip Out on Stores Project </v>
          </cell>
          <cell r="E170" t="str">
            <v>Combat Commissioning Services Ltd</v>
          </cell>
          <cell r="F170" t="str">
            <v>Subcontractor</v>
          </cell>
          <cell r="G170" t="str">
            <v/>
          </cell>
          <cell r="H170" t="str">
            <v>Part</v>
          </cell>
          <cell r="I170" t="str">
            <v>Posted</v>
          </cell>
          <cell r="J170">
            <v>1715</v>
          </cell>
          <cell r="K170">
            <v>0</v>
          </cell>
          <cell r="L170">
            <v>980</v>
          </cell>
          <cell r="M170" t="str">
            <v/>
          </cell>
          <cell r="N170">
            <v>735</v>
          </cell>
        </row>
        <row r="171">
          <cell r="A171">
            <v>24540</v>
          </cell>
          <cell r="B171" t="str">
            <v>18/07/2023</v>
          </cell>
          <cell r="C171" t="str">
            <v>C1822</v>
          </cell>
          <cell r="D171" t="str">
            <v>Electrical Installation for kitchen area</v>
          </cell>
          <cell r="E171" t="str">
            <v>Key Integrated Services North West Ltd</v>
          </cell>
          <cell r="F171" t="str">
            <v>Subcontractor</v>
          </cell>
          <cell r="G171" t="str">
            <v/>
          </cell>
          <cell r="H171" t="str">
            <v>Part</v>
          </cell>
          <cell r="I171" t="str">
            <v>Posted</v>
          </cell>
          <cell r="J171">
            <v>9925</v>
          </cell>
          <cell r="K171">
            <v>0</v>
          </cell>
          <cell r="L171">
            <v>9415</v>
          </cell>
          <cell r="M171" t="str">
            <v/>
          </cell>
          <cell r="N171">
            <v>510</v>
          </cell>
        </row>
        <row r="172">
          <cell r="A172">
            <v>24525</v>
          </cell>
          <cell r="B172" t="str">
            <v>14/07/2023</v>
          </cell>
          <cell r="C172" t="str">
            <v>C1856</v>
          </cell>
          <cell r="D172" t="str">
            <v>As Per Quotation 2257</v>
          </cell>
          <cell r="E172" t="str">
            <v>Allducts Ventilation Services Limited</v>
          </cell>
          <cell r="F172" t="str">
            <v>Subcontractor</v>
          </cell>
          <cell r="G172" t="str">
            <v/>
          </cell>
          <cell r="H172" t="str">
            <v>Complete</v>
          </cell>
          <cell r="I172" t="str">
            <v/>
          </cell>
          <cell r="J172">
            <v>0</v>
          </cell>
          <cell r="K172">
            <v>0</v>
          </cell>
          <cell r="L172">
            <v>0</v>
          </cell>
          <cell r="M172" t="str">
            <v/>
          </cell>
          <cell r="N172">
            <v>0</v>
          </cell>
        </row>
        <row r="173">
          <cell r="A173">
            <v>24460</v>
          </cell>
          <cell r="B173" t="str">
            <v>28/06/2023</v>
          </cell>
          <cell r="C173" t="str">
            <v>C1856</v>
          </cell>
          <cell r="D173" t="str">
            <v>ASHP wiring</v>
          </cell>
          <cell r="E173" t="str">
            <v>Key Integrated Services (Electrical) Ltd</v>
          </cell>
          <cell r="F173" t="str">
            <v>Subcontractor</v>
          </cell>
          <cell r="G173" t="str">
            <v/>
          </cell>
          <cell r="H173" t="str">
            <v>Part</v>
          </cell>
          <cell r="I173" t="str">
            <v>Posted</v>
          </cell>
          <cell r="J173">
            <v>6650</v>
          </cell>
          <cell r="K173">
            <v>1330</v>
          </cell>
          <cell r="L173">
            <v>4000</v>
          </cell>
          <cell r="M173" t="str">
            <v/>
          </cell>
          <cell r="N173">
            <v>2650</v>
          </cell>
        </row>
        <row r="174">
          <cell r="A174">
            <v>24454</v>
          </cell>
          <cell r="B174" t="str">
            <v>27/06/2023</v>
          </cell>
          <cell r="C174" t="str">
            <v>C1864</v>
          </cell>
          <cell r="D174" t="str">
            <v>MBM Subcontract Order</v>
          </cell>
          <cell r="E174" t="str">
            <v>MBM Plumbing &amp; Heating Ltd t/a MBM Services</v>
          </cell>
          <cell r="F174" t="str">
            <v>Subcontractor</v>
          </cell>
          <cell r="G174" t="str">
            <v/>
          </cell>
          <cell r="H174" t="str">
            <v>Complete</v>
          </cell>
          <cell r="I174" t="str">
            <v>Posted</v>
          </cell>
          <cell r="J174">
            <v>236925</v>
          </cell>
          <cell r="K174">
            <v>47385</v>
          </cell>
          <cell r="L174">
            <v>243000</v>
          </cell>
          <cell r="M174" t="str">
            <v/>
          </cell>
          <cell r="N174">
            <v>-6075</v>
          </cell>
        </row>
        <row r="175">
          <cell r="A175">
            <v>24387</v>
          </cell>
          <cell r="B175" t="str">
            <v>14/06/2023</v>
          </cell>
          <cell r="C175" t="str">
            <v>C1846</v>
          </cell>
          <cell r="D175" t="str">
            <v>emergency shower trace heating and insulation works</v>
          </cell>
          <cell r="E175" t="str">
            <v>Thermal Insulation Covers Ltd</v>
          </cell>
          <cell r="F175" t="str">
            <v>Subcontractor</v>
          </cell>
          <cell r="G175" t="str">
            <v/>
          </cell>
          <cell r="H175" t="str">
            <v>Part</v>
          </cell>
          <cell r="I175" t="str">
            <v/>
          </cell>
          <cell r="J175">
            <v>658.4</v>
          </cell>
          <cell r="K175">
            <v>0</v>
          </cell>
          <cell r="L175">
            <v>0</v>
          </cell>
          <cell r="M175" t="str">
            <v/>
          </cell>
          <cell r="N175">
            <v>658.4</v>
          </cell>
        </row>
        <row r="176">
          <cell r="A176">
            <v>24379</v>
          </cell>
          <cell r="B176" t="str">
            <v>14/06/2023</v>
          </cell>
          <cell r="C176" t="str">
            <v>C1860</v>
          </cell>
          <cell r="D176" t="str">
            <v>Attend the Reckitt’s site in Nottingham on Saturday 1st July</v>
          </cell>
          <cell r="E176" t="str">
            <v>New Era Commissioning Specialists Ltd</v>
          </cell>
          <cell r="F176" t="str">
            <v>Subcontractor</v>
          </cell>
          <cell r="G176" t="str">
            <v>01/07/2023</v>
          </cell>
          <cell r="H176" t="str">
            <v>Complete</v>
          </cell>
          <cell r="I176" t="str">
            <v/>
          </cell>
          <cell r="J176">
            <v>0</v>
          </cell>
          <cell r="K176">
            <v>0</v>
          </cell>
          <cell r="L176">
            <v>0</v>
          </cell>
          <cell r="M176" t="str">
            <v/>
          </cell>
          <cell r="N176">
            <v>0</v>
          </cell>
        </row>
        <row r="177">
          <cell r="A177">
            <v>24322</v>
          </cell>
          <cell r="B177" t="str">
            <v>02/06/2023</v>
          </cell>
          <cell r="C177" t="str">
            <v>C1807</v>
          </cell>
          <cell r="D177" t="str">
            <v>Rectification works</v>
          </cell>
          <cell r="E177" t="str">
            <v xml:space="preserve">Ductwork Ventilation Services Limited </v>
          </cell>
          <cell r="F177" t="str">
            <v>Subcontractor</v>
          </cell>
          <cell r="G177" t="str">
            <v>09/06/2023</v>
          </cell>
          <cell r="H177" t="str">
            <v>Complete</v>
          </cell>
          <cell r="I177" t="str">
            <v/>
          </cell>
          <cell r="J177">
            <v>0</v>
          </cell>
          <cell r="K177">
            <v>0</v>
          </cell>
          <cell r="L177">
            <v>0</v>
          </cell>
          <cell r="M177" t="str">
            <v/>
          </cell>
          <cell r="N177">
            <v>0</v>
          </cell>
        </row>
        <row r="178">
          <cell r="A178">
            <v>24309</v>
          </cell>
          <cell r="B178" t="str">
            <v>31/05/2023</v>
          </cell>
          <cell r="C178" t="str">
            <v>C1827</v>
          </cell>
          <cell r="D178" t="str">
            <v>Subcontract order for the supply and installation of LPHW,do</v>
          </cell>
          <cell r="E178" t="str">
            <v>RM Myers &amp; Co Ltd</v>
          </cell>
          <cell r="F178" t="str">
            <v>Subcontractor</v>
          </cell>
          <cell r="G178" t="str">
            <v>12/06/2023</v>
          </cell>
          <cell r="H178" t="str">
            <v>Part</v>
          </cell>
          <cell r="I178" t="str">
            <v>Posted</v>
          </cell>
          <cell r="J178">
            <v>218777.28</v>
          </cell>
          <cell r="K178">
            <v>43755.46</v>
          </cell>
          <cell r="L178">
            <v>215121.24</v>
          </cell>
          <cell r="M178" t="str">
            <v/>
          </cell>
          <cell r="N178">
            <v>3656.04</v>
          </cell>
        </row>
        <row r="179">
          <cell r="A179">
            <v>24298</v>
          </cell>
          <cell r="B179" t="str">
            <v>26/05/2023</v>
          </cell>
          <cell r="C179" t="str">
            <v>C1827</v>
          </cell>
          <cell r="D179" t="str">
            <v>Supply,fabricate,install and test the compressed air distrib</v>
          </cell>
          <cell r="E179" t="str">
            <v>North East Pipeline Solutions Limited</v>
          </cell>
          <cell r="F179" t="str">
            <v>Subcontractor</v>
          </cell>
          <cell r="G179" t="str">
            <v>12/06/2023</v>
          </cell>
          <cell r="H179" t="str">
            <v>Part</v>
          </cell>
          <cell r="I179" t="str">
            <v>Posted</v>
          </cell>
          <cell r="J179">
            <v>161109</v>
          </cell>
          <cell r="K179">
            <v>32221.8</v>
          </cell>
          <cell r="L179">
            <v>149361.4</v>
          </cell>
          <cell r="M179" t="str">
            <v/>
          </cell>
          <cell r="N179">
            <v>11747.6</v>
          </cell>
        </row>
        <row r="180">
          <cell r="A180">
            <v>24289</v>
          </cell>
          <cell r="B180" t="str">
            <v>23/05/2023</v>
          </cell>
          <cell r="C180" t="str">
            <v>C1853</v>
          </cell>
          <cell r="D180" t="str">
            <v xml:space="preserve"> Sink pipework x 23 set ups </v>
          </cell>
          <cell r="E180" t="str">
            <v>Thermal Insulation Covers Ltd</v>
          </cell>
          <cell r="F180" t="str">
            <v>Subcontractor</v>
          </cell>
          <cell r="G180" t="str">
            <v/>
          </cell>
          <cell r="H180" t="str">
            <v/>
          </cell>
          <cell r="I180" t="str">
            <v/>
          </cell>
          <cell r="J180">
            <v>11713.98</v>
          </cell>
          <cell r="K180">
            <v>0</v>
          </cell>
          <cell r="L180">
            <v>0</v>
          </cell>
          <cell r="M180" t="str">
            <v/>
          </cell>
          <cell r="N180">
            <v>11713.98</v>
          </cell>
        </row>
        <row r="181">
          <cell r="A181">
            <v>24242</v>
          </cell>
          <cell r="B181" t="str">
            <v>10/05/2023</v>
          </cell>
          <cell r="C181" t="str">
            <v>C1851</v>
          </cell>
          <cell r="D181" t="str">
            <v>purge of gas lines</v>
          </cell>
          <cell r="E181" t="str">
            <v>Modern Heating Services Limited</v>
          </cell>
          <cell r="F181" t="str">
            <v>Subcontractor</v>
          </cell>
          <cell r="G181" t="str">
            <v/>
          </cell>
          <cell r="H181" t="str">
            <v>Part</v>
          </cell>
          <cell r="I181" t="str">
            <v/>
          </cell>
          <cell r="J181">
            <v>440</v>
          </cell>
          <cell r="K181">
            <v>0</v>
          </cell>
          <cell r="L181">
            <v>0</v>
          </cell>
          <cell r="M181" t="str">
            <v/>
          </cell>
          <cell r="N181">
            <v>440</v>
          </cell>
        </row>
        <row r="182">
          <cell r="A182">
            <v>24236</v>
          </cell>
          <cell r="B182" t="str">
            <v>09/05/2023</v>
          </cell>
          <cell r="C182" t="str">
            <v>C1856</v>
          </cell>
          <cell r="D182" t="str">
            <v>Insulation and cladding works</v>
          </cell>
          <cell r="E182" t="str">
            <v>Thermal Insulation Covers Ltd</v>
          </cell>
          <cell r="F182" t="str">
            <v>Subcontractor</v>
          </cell>
          <cell r="G182" t="str">
            <v>10/05/2023</v>
          </cell>
          <cell r="H182" t="str">
            <v>Part</v>
          </cell>
          <cell r="I182" t="str">
            <v>Posted</v>
          </cell>
          <cell r="J182">
            <v>26195.17</v>
          </cell>
          <cell r="K182">
            <v>0</v>
          </cell>
          <cell r="L182">
            <v>20906.169999999998</v>
          </cell>
          <cell r="M182" t="str">
            <v/>
          </cell>
          <cell r="N182">
            <v>5289</v>
          </cell>
        </row>
        <row r="183">
          <cell r="A183">
            <v>24232</v>
          </cell>
          <cell r="B183" t="str">
            <v>05/05/2023</v>
          </cell>
          <cell r="C183" t="str">
            <v>C1827</v>
          </cell>
          <cell r="D183" t="str">
            <v>pipework</v>
          </cell>
          <cell r="E183" t="str">
            <v>Entech Services UK Ltd</v>
          </cell>
          <cell r="F183" t="str">
            <v>Subcontractor</v>
          </cell>
          <cell r="G183" t="str">
            <v/>
          </cell>
          <cell r="H183" t="str">
            <v>Complete</v>
          </cell>
          <cell r="I183" t="str">
            <v>Posted</v>
          </cell>
          <cell r="J183">
            <v>570678.22</v>
          </cell>
          <cell r="K183">
            <v>0</v>
          </cell>
          <cell r="L183">
            <v>577901.93000000005</v>
          </cell>
          <cell r="M183" t="str">
            <v/>
          </cell>
          <cell r="N183">
            <v>-7223.71</v>
          </cell>
        </row>
        <row r="184">
          <cell r="A184">
            <v>24221</v>
          </cell>
          <cell r="B184" t="str">
            <v>03/05/2023</v>
          </cell>
          <cell r="C184" t="str">
            <v>C1827</v>
          </cell>
          <cell r="D184" t="str">
            <v>design, supply, delivery, installation, testing and commissi</v>
          </cell>
          <cell r="E184" t="str">
            <v>JBC Controls Systems Ltd</v>
          </cell>
          <cell r="F184" t="str">
            <v>Subcontractor</v>
          </cell>
          <cell r="G184" t="str">
            <v>19/06/2023</v>
          </cell>
          <cell r="H184" t="str">
            <v>Complete</v>
          </cell>
          <cell r="I184" t="str">
            <v>Posted</v>
          </cell>
          <cell r="J184">
            <v>283499.58</v>
          </cell>
          <cell r="K184">
            <v>0</v>
          </cell>
          <cell r="L184">
            <v>289849.58</v>
          </cell>
          <cell r="M184" t="str">
            <v/>
          </cell>
          <cell r="N184">
            <v>-6350</v>
          </cell>
        </row>
        <row r="185">
          <cell r="A185">
            <v>24211</v>
          </cell>
          <cell r="B185" t="str">
            <v>28/04/2023</v>
          </cell>
          <cell r="C185" t="str">
            <v>C1827</v>
          </cell>
          <cell r="D185" t="str">
            <v xml:space="preserve">Installation, erection, and testing of the complete VRF and </v>
          </cell>
          <cell r="E185" t="str">
            <v xml:space="preserve">Koolsolutions Air Conditioning &amp; Ventilation Ltd </v>
          </cell>
          <cell r="F185" t="str">
            <v>Subcontractor</v>
          </cell>
          <cell r="G185" t="str">
            <v>23/07/2023</v>
          </cell>
          <cell r="H185" t="str">
            <v>Complete</v>
          </cell>
          <cell r="I185" t="str">
            <v>Posted</v>
          </cell>
          <cell r="J185">
            <v>118780</v>
          </cell>
          <cell r="K185">
            <v>23756</v>
          </cell>
          <cell r="L185">
            <v>120289.78</v>
          </cell>
          <cell r="M185" t="str">
            <v/>
          </cell>
          <cell r="N185">
            <v>-1509.78</v>
          </cell>
        </row>
        <row r="186">
          <cell r="A186">
            <v>24206</v>
          </cell>
          <cell r="B186" t="str">
            <v>27/04/2023</v>
          </cell>
          <cell r="C186" t="str">
            <v>C1786</v>
          </cell>
          <cell r="D186" t="str">
            <v>Labour</v>
          </cell>
          <cell r="E186" t="str">
            <v>Associated Engineering Services Ltd T/A AES Control Systems</v>
          </cell>
          <cell r="F186" t="str">
            <v>Subcontractor</v>
          </cell>
          <cell r="G186" t="str">
            <v>05/05/2023</v>
          </cell>
          <cell r="H186" t="str">
            <v/>
          </cell>
          <cell r="I186" t="str">
            <v/>
          </cell>
          <cell r="J186">
            <v>1339.37</v>
          </cell>
          <cell r="K186">
            <v>0</v>
          </cell>
          <cell r="L186">
            <v>0</v>
          </cell>
          <cell r="M186" t="str">
            <v/>
          </cell>
          <cell r="N186">
            <v>1339.37</v>
          </cell>
        </row>
        <row r="187">
          <cell r="A187">
            <v>24201</v>
          </cell>
          <cell r="B187" t="str">
            <v>25/04/2023</v>
          </cell>
          <cell r="C187" t="str">
            <v>C1854</v>
          </cell>
          <cell r="D187" t="str">
            <v>New 100mm gas connection</v>
          </cell>
          <cell r="E187" t="str">
            <v>Allied Pipefreezing Services Limited</v>
          </cell>
          <cell r="F187" t="str">
            <v>Subcontractor</v>
          </cell>
          <cell r="G187" t="str">
            <v>04/05/2023</v>
          </cell>
          <cell r="H187" t="str">
            <v>Complete</v>
          </cell>
          <cell r="I187" t="str">
            <v>Posted</v>
          </cell>
          <cell r="J187">
            <v>5540</v>
          </cell>
          <cell r="K187">
            <v>0</v>
          </cell>
          <cell r="L187">
            <v>5840</v>
          </cell>
          <cell r="M187" t="str">
            <v/>
          </cell>
          <cell r="N187">
            <v>-300</v>
          </cell>
        </row>
        <row r="188">
          <cell r="A188">
            <v>24197</v>
          </cell>
          <cell r="B188" t="str">
            <v>25/04/2023</v>
          </cell>
          <cell r="C188" t="str">
            <v>C1827</v>
          </cell>
          <cell r="D188" t="str">
            <v>Manufacture deliver and Install thermal insulation and cladd</v>
          </cell>
          <cell r="E188" t="str">
            <v>NIS Group Services Ltd</v>
          </cell>
          <cell r="F188" t="str">
            <v>Subcontractor</v>
          </cell>
          <cell r="G188" t="str">
            <v>15/05/2023</v>
          </cell>
          <cell r="H188" t="str">
            <v>Part</v>
          </cell>
          <cell r="I188" t="str">
            <v>Posted</v>
          </cell>
          <cell r="J188">
            <v>321500.14</v>
          </cell>
          <cell r="K188">
            <v>0</v>
          </cell>
          <cell r="L188">
            <v>322758.63</v>
          </cell>
          <cell r="M188" t="str">
            <v/>
          </cell>
          <cell r="N188">
            <v>-1258.49</v>
          </cell>
        </row>
        <row r="189">
          <cell r="A189">
            <v>24193</v>
          </cell>
          <cell r="B189" t="str">
            <v>25/04/2023</v>
          </cell>
          <cell r="C189" t="str">
            <v>C1841</v>
          </cell>
          <cell r="D189" t="str">
            <v xml:space="preserve">Ventilation balancing at PASTA </v>
          </cell>
          <cell r="E189" t="str">
            <v>New Era Commissioning Specialists Ltd</v>
          </cell>
          <cell r="F189" t="str">
            <v>Subcontractor</v>
          </cell>
          <cell r="G189" t="str">
            <v>03/07/2023</v>
          </cell>
          <cell r="H189" t="str">
            <v>Complete</v>
          </cell>
          <cell r="I189" t="str">
            <v/>
          </cell>
          <cell r="J189">
            <v>0</v>
          </cell>
          <cell r="K189">
            <v>0</v>
          </cell>
          <cell r="L189">
            <v>0</v>
          </cell>
          <cell r="M189" t="str">
            <v/>
          </cell>
          <cell r="N189">
            <v>0</v>
          </cell>
        </row>
        <row r="190">
          <cell r="A190">
            <v>24175</v>
          </cell>
          <cell r="B190" t="str">
            <v>20/04/2023</v>
          </cell>
          <cell r="C190" t="str">
            <v>C1841</v>
          </cell>
          <cell r="D190" t="str">
            <v xml:space="preserve"> Thermal Insulation of Pipework - Domestic</v>
          </cell>
          <cell r="E190" t="str">
            <v>Thermal Insulation Covers Ltd</v>
          </cell>
          <cell r="F190" t="str">
            <v>Subcontractor</v>
          </cell>
          <cell r="G190" t="str">
            <v>02/05/2023</v>
          </cell>
          <cell r="H190" t="str">
            <v>Complete</v>
          </cell>
          <cell r="I190" t="str">
            <v>Posted</v>
          </cell>
          <cell r="J190">
            <v>69981.25</v>
          </cell>
          <cell r="K190">
            <v>0</v>
          </cell>
          <cell r="L190">
            <v>70970.87</v>
          </cell>
          <cell r="M190" t="str">
            <v/>
          </cell>
          <cell r="N190">
            <v>-989.62</v>
          </cell>
        </row>
        <row r="191">
          <cell r="A191">
            <v>24148</v>
          </cell>
          <cell r="B191" t="str">
            <v>14/04/2023</v>
          </cell>
          <cell r="C191" t="str">
            <v>C1841</v>
          </cell>
          <cell r="D191" t="str">
            <v xml:space="preserve">stainless steel Canopy 10500L x 1900D x 500/300H </v>
          </cell>
          <cell r="E191" t="str">
            <v>CK Direct Duct &amp; Maintenance Ltd</v>
          </cell>
          <cell r="F191" t="str">
            <v>Subcontractor</v>
          </cell>
          <cell r="G191" t="str">
            <v>08/05/2023</v>
          </cell>
          <cell r="H191" t="str">
            <v>Complete</v>
          </cell>
          <cell r="I191" t="str">
            <v/>
          </cell>
          <cell r="J191">
            <v>0</v>
          </cell>
          <cell r="K191">
            <v>0</v>
          </cell>
          <cell r="L191">
            <v>0</v>
          </cell>
          <cell r="M191" t="str">
            <v/>
          </cell>
          <cell r="N191">
            <v>0</v>
          </cell>
        </row>
        <row r="192">
          <cell r="A192">
            <v>24114</v>
          </cell>
          <cell r="B192" t="str">
            <v>05/04/2023</v>
          </cell>
          <cell r="C192" t="str">
            <v>C1857</v>
          </cell>
          <cell r="D192" t="str">
            <v xml:space="preserve">EMS Installation </v>
          </cell>
          <cell r="E192" t="str">
            <v>Key Integrated Services (Electrical) Ltd</v>
          </cell>
          <cell r="F192" t="str">
            <v>Subcontractor</v>
          </cell>
          <cell r="G192" t="str">
            <v/>
          </cell>
          <cell r="H192" t="str">
            <v>Part</v>
          </cell>
          <cell r="I192" t="str">
            <v>Posted</v>
          </cell>
          <cell r="J192">
            <v>50472.12</v>
          </cell>
          <cell r="K192">
            <v>10094.43</v>
          </cell>
          <cell r="L192">
            <v>47405</v>
          </cell>
          <cell r="M192" t="str">
            <v/>
          </cell>
          <cell r="N192">
            <v>3067.12</v>
          </cell>
        </row>
        <row r="193">
          <cell r="A193">
            <v>24088</v>
          </cell>
          <cell r="B193" t="str">
            <v>28/03/2023</v>
          </cell>
          <cell r="C193" t="str">
            <v>C1827</v>
          </cell>
          <cell r="D193" t="str">
            <v>•	Supply and install new LED (including emergencies) lightin</v>
          </cell>
          <cell r="E193" t="str">
            <v>Key Integrated Services (Electrical) Ltd</v>
          </cell>
          <cell r="F193" t="str">
            <v>Subcontractor</v>
          </cell>
          <cell r="G193" t="str">
            <v>29/03/2023</v>
          </cell>
          <cell r="H193" t="str">
            <v>Part</v>
          </cell>
          <cell r="I193" t="str">
            <v>Posted</v>
          </cell>
          <cell r="J193">
            <v>4467</v>
          </cell>
          <cell r="K193">
            <v>893.4</v>
          </cell>
          <cell r="L193">
            <v>4192</v>
          </cell>
          <cell r="M193" t="str">
            <v/>
          </cell>
          <cell r="N193">
            <v>275</v>
          </cell>
        </row>
        <row r="194">
          <cell r="A194">
            <v>24063</v>
          </cell>
          <cell r="B194" t="str">
            <v>17/03/2023</v>
          </cell>
          <cell r="C194" t="str">
            <v>C1841</v>
          </cell>
          <cell r="D194" t="str">
            <v>All second fix plumbing works</v>
          </cell>
          <cell r="E194" t="str">
            <v>P More PHC Ltd</v>
          </cell>
          <cell r="F194" t="str">
            <v>Subcontractor</v>
          </cell>
          <cell r="G194" t="str">
            <v>20/03/2023</v>
          </cell>
          <cell r="H194" t="str">
            <v>Complete</v>
          </cell>
          <cell r="I194" t="str">
            <v/>
          </cell>
          <cell r="J194">
            <v>0</v>
          </cell>
          <cell r="K194">
            <v>0</v>
          </cell>
          <cell r="L194">
            <v>0</v>
          </cell>
          <cell r="M194" t="str">
            <v/>
          </cell>
          <cell r="N194">
            <v>0</v>
          </cell>
        </row>
        <row r="195">
          <cell r="A195">
            <v>24018</v>
          </cell>
          <cell r="B195" t="str">
            <v>06/03/2023</v>
          </cell>
          <cell r="C195" t="str">
            <v>C1841</v>
          </cell>
          <cell r="D195" t="str">
            <v>Supply and installation of galvanized, stainless steel and f</v>
          </cell>
          <cell r="E195" t="str">
            <v>Allducts Ventilation Services Limited</v>
          </cell>
          <cell r="F195" t="str">
            <v>Subcontractor</v>
          </cell>
          <cell r="G195" t="str">
            <v>13/03/2023</v>
          </cell>
          <cell r="H195" t="str">
            <v>Part</v>
          </cell>
          <cell r="I195" t="str">
            <v>Posted</v>
          </cell>
          <cell r="J195">
            <v>241488.85</v>
          </cell>
          <cell r="K195">
            <v>0</v>
          </cell>
          <cell r="L195">
            <v>241368.85</v>
          </cell>
          <cell r="M195" t="str">
            <v/>
          </cell>
          <cell r="N195">
            <v>120</v>
          </cell>
        </row>
        <row r="196">
          <cell r="A196">
            <v>23953</v>
          </cell>
          <cell r="B196" t="str">
            <v>10/02/2023</v>
          </cell>
          <cell r="C196" t="str">
            <v>C1827</v>
          </cell>
          <cell r="D196" t="str">
            <v>Sub Contract Order for works include (but not limited to) th</v>
          </cell>
          <cell r="E196" t="str">
            <v xml:space="preserve">Boyd ductwork ltd </v>
          </cell>
          <cell r="F196" t="str">
            <v>Subcontractor</v>
          </cell>
          <cell r="G196" t="str">
            <v>06/03/2023</v>
          </cell>
          <cell r="H196" t="str">
            <v>Complete</v>
          </cell>
          <cell r="I196" t="str">
            <v>Posted</v>
          </cell>
          <cell r="J196">
            <v>758369.04</v>
          </cell>
          <cell r="K196">
            <v>0</v>
          </cell>
          <cell r="L196">
            <v>760128.79</v>
          </cell>
          <cell r="M196" t="str">
            <v/>
          </cell>
          <cell r="N196">
            <v>-1759.75</v>
          </cell>
        </row>
        <row r="197">
          <cell r="A197">
            <v>23945</v>
          </cell>
          <cell r="B197" t="str">
            <v>08/02/2023</v>
          </cell>
          <cell r="C197" t="str">
            <v>C1786</v>
          </cell>
          <cell r="D197" t="str">
            <v>labour costs for MRF Coventry</v>
          </cell>
          <cell r="E197" t="str">
            <v>Firth Sheet Metal Limited</v>
          </cell>
          <cell r="F197" t="str">
            <v>Subcontractor</v>
          </cell>
          <cell r="G197" t="str">
            <v>09/02/2023</v>
          </cell>
          <cell r="H197" t="str">
            <v>Complete</v>
          </cell>
          <cell r="I197" t="str">
            <v/>
          </cell>
          <cell r="J197">
            <v>0</v>
          </cell>
          <cell r="K197">
            <v>0</v>
          </cell>
          <cell r="L197">
            <v>0</v>
          </cell>
          <cell r="M197" t="str">
            <v/>
          </cell>
          <cell r="N197">
            <v>0</v>
          </cell>
        </row>
        <row r="198">
          <cell r="A198">
            <v>23928</v>
          </cell>
          <cell r="B198" t="str">
            <v>03/02/2023</v>
          </cell>
          <cell r="C198" t="str">
            <v>C1789</v>
          </cell>
          <cell r="D198" t="str">
            <v>power to P22b AC</v>
          </cell>
          <cell r="E198" t="str">
            <v>Key Integrated Services (Electrical) Ltd</v>
          </cell>
          <cell r="F198" t="str">
            <v>Subcontractor</v>
          </cell>
          <cell r="G198" t="str">
            <v/>
          </cell>
          <cell r="H198" t="str">
            <v>Complete</v>
          </cell>
          <cell r="I198" t="str">
            <v/>
          </cell>
          <cell r="J198">
            <v>0</v>
          </cell>
          <cell r="K198">
            <v>0</v>
          </cell>
          <cell r="L198">
            <v>0</v>
          </cell>
          <cell r="M198" t="str">
            <v/>
          </cell>
          <cell r="N198">
            <v>0</v>
          </cell>
        </row>
        <row r="199">
          <cell r="A199">
            <v>23860</v>
          </cell>
          <cell r="B199" t="str">
            <v>19/01/2023</v>
          </cell>
          <cell r="C199" t="str">
            <v>C1807</v>
          </cell>
          <cell r="D199" t="str">
            <v>air balancing</v>
          </cell>
          <cell r="E199" t="str">
            <v>New Era Commissioning Specialists Ltd</v>
          </cell>
          <cell r="F199" t="str">
            <v>Subcontractor</v>
          </cell>
          <cell r="G199" t="str">
            <v/>
          </cell>
          <cell r="H199" t="str">
            <v>Complete</v>
          </cell>
          <cell r="I199" t="str">
            <v/>
          </cell>
          <cell r="J199">
            <v>0</v>
          </cell>
          <cell r="K199">
            <v>0</v>
          </cell>
          <cell r="L199">
            <v>0</v>
          </cell>
          <cell r="M199" t="str">
            <v/>
          </cell>
          <cell r="N199">
            <v>0</v>
          </cell>
        </row>
        <row r="200">
          <cell r="A200">
            <v>23812</v>
          </cell>
          <cell r="B200" t="str">
            <v>06/01/2023</v>
          </cell>
          <cell r="C200" t="str">
            <v>C1829</v>
          </cell>
          <cell r="D200" t="str">
            <v>Enabling Works</v>
          </cell>
          <cell r="E200" t="str">
            <v>Key Integrated Services (Electrical) Ltd</v>
          </cell>
          <cell r="F200" t="str">
            <v>Subcontractor</v>
          </cell>
          <cell r="G200" t="str">
            <v>13/01/2023</v>
          </cell>
          <cell r="H200" t="str">
            <v>Part</v>
          </cell>
          <cell r="I200" t="str">
            <v>Posted</v>
          </cell>
          <cell r="J200">
            <v>18401.75</v>
          </cell>
          <cell r="K200">
            <v>3680.35</v>
          </cell>
          <cell r="L200">
            <v>18401</v>
          </cell>
          <cell r="M200" t="str">
            <v/>
          </cell>
          <cell r="N200">
            <v>0.75</v>
          </cell>
        </row>
        <row r="201">
          <cell r="A201" t="str">
            <v/>
          </cell>
          <cell r="B201" t="str">
            <v>06/01/2023</v>
          </cell>
          <cell r="C201" t="str">
            <v>C1815</v>
          </cell>
          <cell r="D201" t="str">
            <v>Electrical Works At SCC Wales</v>
          </cell>
          <cell r="E201" t="str">
            <v>Key Integrated Services (Electrical) Ltd</v>
          </cell>
          <cell r="F201" t="str">
            <v>Subcontractor</v>
          </cell>
          <cell r="G201" t="str">
            <v>06/01/2023</v>
          </cell>
          <cell r="H201" t="str">
            <v>Complete</v>
          </cell>
          <cell r="I201" t="str">
            <v>Posted</v>
          </cell>
          <cell r="J201">
            <v>1171580.81</v>
          </cell>
          <cell r="K201">
            <v>54.36</v>
          </cell>
          <cell r="L201">
            <v>1171852.6100000001</v>
          </cell>
          <cell r="M201" t="str">
            <v/>
          </cell>
          <cell r="N201">
            <v>-271.8</v>
          </cell>
        </row>
        <row r="202">
          <cell r="A202">
            <v>23797</v>
          </cell>
          <cell r="B202" t="str">
            <v>03/01/2023</v>
          </cell>
          <cell r="C202" t="str">
            <v>C1808</v>
          </cell>
          <cell r="D202" t="str">
            <v>change compressor and commission ac unit</v>
          </cell>
          <cell r="E202" t="str">
            <v>Key Integrated Services Maintenance Limited</v>
          </cell>
          <cell r="F202" t="str">
            <v>Subcontractor</v>
          </cell>
          <cell r="G202" t="str">
            <v/>
          </cell>
          <cell r="H202" t="str">
            <v>Part</v>
          </cell>
          <cell r="I202" t="str">
            <v>Posted</v>
          </cell>
          <cell r="J202">
            <v>1159.95</v>
          </cell>
          <cell r="K202">
            <v>231.99</v>
          </cell>
          <cell r="L202">
            <v>498.95</v>
          </cell>
          <cell r="M202" t="str">
            <v/>
          </cell>
          <cell r="N202">
            <v>661</v>
          </cell>
        </row>
        <row r="203">
          <cell r="A203">
            <v>23796</v>
          </cell>
          <cell r="B203" t="str">
            <v>03/01/2023</v>
          </cell>
          <cell r="C203" t="str">
            <v>C1789</v>
          </cell>
          <cell r="D203" t="str">
            <v>gas burner commissioning</v>
          </cell>
          <cell r="E203" t="str">
            <v>Key Integrated Services Maintenance Limited</v>
          </cell>
          <cell r="F203" t="str">
            <v>Subcontractor</v>
          </cell>
          <cell r="G203" t="str">
            <v/>
          </cell>
          <cell r="H203" t="str">
            <v>Complete</v>
          </cell>
          <cell r="I203" t="str">
            <v/>
          </cell>
          <cell r="J203">
            <v>0</v>
          </cell>
          <cell r="K203">
            <v>0</v>
          </cell>
          <cell r="L203">
            <v>0</v>
          </cell>
          <cell r="M203" t="str">
            <v/>
          </cell>
          <cell r="N203">
            <v>0</v>
          </cell>
        </row>
        <row r="204">
          <cell r="A204">
            <v>23764</v>
          </cell>
          <cell r="B204" t="str">
            <v>09/12/2022</v>
          </cell>
          <cell r="C204" t="str">
            <v>C1816</v>
          </cell>
          <cell r="D204" t="str">
            <v>trace heating power supply</v>
          </cell>
          <cell r="E204" t="str">
            <v>Key Integrated Services (Electrical) Ltd</v>
          </cell>
          <cell r="F204" t="str">
            <v>Subcontractor</v>
          </cell>
          <cell r="G204" t="str">
            <v/>
          </cell>
          <cell r="H204" t="str">
            <v>Complete</v>
          </cell>
          <cell r="I204" t="str">
            <v/>
          </cell>
          <cell r="J204">
            <v>0</v>
          </cell>
          <cell r="K204">
            <v>0</v>
          </cell>
          <cell r="L204">
            <v>0</v>
          </cell>
          <cell r="M204" t="str">
            <v/>
          </cell>
          <cell r="N204">
            <v>0</v>
          </cell>
        </row>
        <row r="205">
          <cell r="A205">
            <v>23724</v>
          </cell>
          <cell r="B205" t="str">
            <v>25/11/2022</v>
          </cell>
          <cell r="C205" t="str">
            <v>C1815</v>
          </cell>
          <cell r="D205" t="str">
            <v>Pipework installation</v>
          </cell>
          <cell r="E205" t="str">
            <v>Apex Mechanical Limited</v>
          </cell>
          <cell r="F205" t="str">
            <v>Subcontractor</v>
          </cell>
          <cell r="G205" t="str">
            <v>12/12/2022</v>
          </cell>
          <cell r="H205" t="str">
            <v>Part</v>
          </cell>
          <cell r="I205" t="str">
            <v>Posted</v>
          </cell>
          <cell r="J205">
            <v>66900</v>
          </cell>
          <cell r="K205">
            <v>0</v>
          </cell>
          <cell r="L205">
            <v>65400</v>
          </cell>
          <cell r="M205" t="str">
            <v/>
          </cell>
          <cell r="N205">
            <v>1500</v>
          </cell>
        </row>
        <row r="206">
          <cell r="A206">
            <v>23651</v>
          </cell>
          <cell r="B206" t="str">
            <v>01/11/2022</v>
          </cell>
          <cell r="C206" t="str">
            <v>C1826</v>
          </cell>
          <cell r="D206" t="str">
            <v>Carry out 2 weeks flow monitoring of hot water</v>
          </cell>
          <cell r="E206" t="str">
            <v>New Era Commissioning Specialists Ltd</v>
          </cell>
          <cell r="F206" t="str">
            <v>Subcontractor</v>
          </cell>
          <cell r="G206" t="str">
            <v/>
          </cell>
          <cell r="H206" t="str">
            <v>Complete</v>
          </cell>
          <cell r="I206" t="str">
            <v/>
          </cell>
          <cell r="J206">
            <v>0</v>
          </cell>
          <cell r="K206">
            <v>0</v>
          </cell>
          <cell r="L206">
            <v>0</v>
          </cell>
          <cell r="M206" t="str">
            <v/>
          </cell>
          <cell r="N206">
            <v>0</v>
          </cell>
        </row>
        <row r="207">
          <cell r="A207">
            <v>23606</v>
          </cell>
          <cell r="B207" t="str">
            <v>19/10/2022</v>
          </cell>
          <cell r="C207" t="str">
            <v>C1825</v>
          </cell>
          <cell r="D207" t="str">
            <v>AC works as per sub con order</v>
          </cell>
          <cell r="E207" t="str">
            <v>Building Environmental Solutions Limited</v>
          </cell>
          <cell r="F207" t="str">
            <v>Subcontractor</v>
          </cell>
          <cell r="G207" t="str">
            <v/>
          </cell>
          <cell r="H207" t="str">
            <v>Part</v>
          </cell>
          <cell r="I207" t="str">
            <v/>
          </cell>
          <cell r="J207">
            <v>30797</v>
          </cell>
          <cell r="K207">
            <v>0</v>
          </cell>
          <cell r="L207">
            <v>0</v>
          </cell>
          <cell r="M207" t="str">
            <v/>
          </cell>
          <cell r="N207">
            <v>30797</v>
          </cell>
        </row>
        <row r="208">
          <cell r="A208">
            <v>23504</v>
          </cell>
          <cell r="B208" t="str">
            <v>27/09/2022</v>
          </cell>
          <cell r="C208" t="str">
            <v>C1823</v>
          </cell>
          <cell r="D208" t="str">
            <v>Electrical Design Works</v>
          </cell>
          <cell r="E208" t="str">
            <v>Key Integrated Services (Electrical) Ltd</v>
          </cell>
          <cell r="F208" t="str">
            <v>Subcontractor</v>
          </cell>
          <cell r="G208" t="str">
            <v/>
          </cell>
          <cell r="H208" t="str">
            <v>Complete</v>
          </cell>
          <cell r="I208" t="str">
            <v/>
          </cell>
          <cell r="J208">
            <v>0</v>
          </cell>
          <cell r="K208">
            <v>0</v>
          </cell>
          <cell r="L208">
            <v>0</v>
          </cell>
          <cell r="M208" t="str">
            <v/>
          </cell>
          <cell r="N208">
            <v>0</v>
          </cell>
        </row>
        <row r="209">
          <cell r="A209">
            <v>23481</v>
          </cell>
          <cell r="B209" t="str">
            <v>21/09/2022</v>
          </cell>
          <cell r="C209" t="str">
            <v>C1816</v>
          </cell>
          <cell r="D209" t="str">
            <v xml:space="preserve">De-commission A/C units and reclaim oil </v>
          </cell>
          <cell r="E209" t="str">
            <v>Complete Cooling Services Limited</v>
          </cell>
          <cell r="F209" t="str">
            <v>Subcontractor</v>
          </cell>
          <cell r="G209" t="str">
            <v>28/09/2022</v>
          </cell>
          <cell r="H209" t="str">
            <v>Complete</v>
          </cell>
          <cell r="I209" t="str">
            <v/>
          </cell>
          <cell r="J209">
            <v>0</v>
          </cell>
          <cell r="K209">
            <v>0</v>
          </cell>
          <cell r="L209">
            <v>0</v>
          </cell>
          <cell r="M209" t="str">
            <v/>
          </cell>
          <cell r="N209">
            <v>0</v>
          </cell>
        </row>
        <row r="210">
          <cell r="A210">
            <v>23456</v>
          </cell>
          <cell r="B210" t="str">
            <v>12/09/2022</v>
          </cell>
          <cell r="C210" t="str">
            <v>C1806</v>
          </cell>
          <cell r="D210" t="str">
            <v>Insulation/Trace Heating Package SC Order</v>
          </cell>
          <cell r="E210" t="str">
            <v>Thermal Insulation Covers Ltd</v>
          </cell>
          <cell r="F210" t="str">
            <v>Subcontractor</v>
          </cell>
          <cell r="G210" t="str">
            <v/>
          </cell>
          <cell r="H210" t="str">
            <v>Part</v>
          </cell>
          <cell r="I210" t="str">
            <v>Posted</v>
          </cell>
          <cell r="J210">
            <v>32516.11</v>
          </cell>
          <cell r="K210">
            <v>0</v>
          </cell>
          <cell r="L210">
            <v>32515.200000000001</v>
          </cell>
          <cell r="M210" t="str">
            <v/>
          </cell>
          <cell r="N210">
            <v>0.91</v>
          </cell>
        </row>
        <row r="211">
          <cell r="A211">
            <v>23414</v>
          </cell>
          <cell r="B211" t="str">
            <v>01/09/2022</v>
          </cell>
          <cell r="C211" t="str">
            <v>C1813</v>
          </cell>
          <cell r="D211" t="str">
            <v xml:space="preserve">Prefabricated steam pipework 1 </v>
          </cell>
          <cell r="E211" t="str">
            <v>Apex Mechanical Limited</v>
          </cell>
          <cell r="F211" t="str">
            <v>Subcontractor</v>
          </cell>
          <cell r="G211" t="str">
            <v/>
          </cell>
          <cell r="H211" t="str">
            <v/>
          </cell>
          <cell r="I211" t="str">
            <v/>
          </cell>
          <cell r="J211">
            <v>5500</v>
          </cell>
          <cell r="K211">
            <v>0</v>
          </cell>
          <cell r="L211">
            <v>0</v>
          </cell>
          <cell r="M211" t="str">
            <v/>
          </cell>
          <cell r="N211">
            <v>5500</v>
          </cell>
        </row>
        <row r="212">
          <cell r="A212">
            <v>23388</v>
          </cell>
          <cell r="B212" t="str">
            <v>24/08/2022</v>
          </cell>
          <cell r="C212" t="str">
            <v>C1786</v>
          </cell>
          <cell r="D212" t="str">
            <v xml:space="preserve">to Relocate AHU into final position &amp; bolt together </v>
          </cell>
          <cell r="E212" t="str">
            <v>Grove Engineering Services Limited</v>
          </cell>
          <cell r="F212" t="str">
            <v>Subcontractor</v>
          </cell>
          <cell r="G212" t="str">
            <v>12/09/2022</v>
          </cell>
          <cell r="H212" t="str">
            <v>Complete</v>
          </cell>
          <cell r="I212" t="str">
            <v/>
          </cell>
          <cell r="J212">
            <v>0</v>
          </cell>
          <cell r="K212">
            <v>0</v>
          </cell>
          <cell r="L212">
            <v>0</v>
          </cell>
          <cell r="M212" t="str">
            <v/>
          </cell>
          <cell r="N212">
            <v>0</v>
          </cell>
        </row>
        <row r="213">
          <cell r="A213">
            <v>23324</v>
          </cell>
          <cell r="B213" t="str">
            <v>08/08/2022</v>
          </cell>
          <cell r="C213" t="str">
            <v>C1769</v>
          </cell>
          <cell r="D213" t="str">
            <v>Initial snagging works</v>
          </cell>
          <cell r="E213" t="str">
            <v>WW Mechanical Services Ltd</v>
          </cell>
          <cell r="F213" t="str">
            <v>Subcontractor</v>
          </cell>
          <cell r="G213" t="str">
            <v/>
          </cell>
          <cell r="H213" t="str">
            <v>Complete</v>
          </cell>
          <cell r="I213" t="str">
            <v/>
          </cell>
          <cell r="J213">
            <v>0</v>
          </cell>
          <cell r="K213">
            <v>0</v>
          </cell>
          <cell r="L213">
            <v>0</v>
          </cell>
          <cell r="M213" t="str">
            <v/>
          </cell>
          <cell r="N213">
            <v>0</v>
          </cell>
        </row>
        <row r="214">
          <cell r="A214">
            <v>23255</v>
          </cell>
          <cell r="B214" t="str">
            <v>22/07/2022</v>
          </cell>
          <cell r="C214" t="str">
            <v>C1786</v>
          </cell>
          <cell r="D214" t="str">
            <v>Insulation of mech services</v>
          </cell>
          <cell r="E214" t="str">
            <v>Thermal Insulation Covers Ltd</v>
          </cell>
          <cell r="F214" t="str">
            <v>Subcontractor</v>
          </cell>
          <cell r="G214" t="str">
            <v/>
          </cell>
          <cell r="H214" t="str">
            <v>Complete</v>
          </cell>
          <cell r="I214" t="str">
            <v>Posted</v>
          </cell>
          <cell r="J214">
            <v>22430.94</v>
          </cell>
          <cell r="K214">
            <v>166.8</v>
          </cell>
          <cell r="L214">
            <v>22431.439999999999</v>
          </cell>
          <cell r="M214" t="str">
            <v/>
          </cell>
          <cell r="N214">
            <v>-0.5</v>
          </cell>
        </row>
        <row r="215">
          <cell r="A215">
            <v>23245</v>
          </cell>
          <cell r="B215" t="str">
            <v>21/07/2022</v>
          </cell>
          <cell r="C215" t="str">
            <v>C1754</v>
          </cell>
          <cell r="D215" t="str">
            <v xml:space="preserve">Water management and temp pumps </v>
          </cell>
          <cell r="E215" t="str">
            <v>End Systems Limited</v>
          </cell>
          <cell r="F215" t="str">
            <v>Subcontractor</v>
          </cell>
          <cell r="G215" t="str">
            <v>21/07/2022</v>
          </cell>
          <cell r="H215" t="str">
            <v>Complete</v>
          </cell>
          <cell r="I215" t="str">
            <v/>
          </cell>
          <cell r="J215">
            <v>0</v>
          </cell>
          <cell r="K215">
            <v>0</v>
          </cell>
          <cell r="L215">
            <v>0</v>
          </cell>
          <cell r="M215" t="str">
            <v/>
          </cell>
          <cell r="N215">
            <v>0</v>
          </cell>
        </row>
        <row r="216">
          <cell r="A216">
            <v>23218</v>
          </cell>
          <cell r="B216" t="str">
            <v>14/07/2022</v>
          </cell>
          <cell r="C216" t="str">
            <v>C1806</v>
          </cell>
          <cell r="D216" t="str">
            <v>C1806 Mech Package SC Order</v>
          </cell>
          <cell r="E216" t="str">
            <v>Apex Mechanical Limited</v>
          </cell>
          <cell r="F216" t="str">
            <v>Subcontractor</v>
          </cell>
          <cell r="G216" t="str">
            <v/>
          </cell>
          <cell r="H216" t="str">
            <v>Complete</v>
          </cell>
          <cell r="I216" t="str">
            <v>Posted</v>
          </cell>
          <cell r="J216">
            <v>307862</v>
          </cell>
          <cell r="K216">
            <v>0</v>
          </cell>
          <cell r="L216">
            <v>300165.45</v>
          </cell>
          <cell r="M216" t="str">
            <v/>
          </cell>
          <cell r="N216">
            <v>7696.55</v>
          </cell>
        </row>
        <row r="217">
          <cell r="A217">
            <v>23179</v>
          </cell>
          <cell r="B217" t="str">
            <v>08/07/2022</v>
          </cell>
          <cell r="C217" t="str">
            <v>C1804</v>
          </cell>
          <cell r="D217" t="str">
            <v>Chlorination For Project WARP</v>
          </cell>
          <cell r="E217" t="str">
            <v>MSB Hygiene Ltd</v>
          </cell>
          <cell r="F217" t="str">
            <v>Subcontractor</v>
          </cell>
          <cell r="G217" t="str">
            <v>08/07/2022</v>
          </cell>
          <cell r="H217" t="str">
            <v>Complete</v>
          </cell>
          <cell r="I217" t="str">
            <v/>
          </cell>
          <cell r="J217">
            <v>0</v>
          </cell>
          <cell r="K217">
            <v>0</v>
          </cell>
          <cell r="L217">
            <v>0</v>
          </cell>
          <cell r="M217" t="str">
            <v/>
          </cell>
          <cell r="N217">
            <v>0</v>
          </cell>
        </row>
        <row r="218">
          <cell r="A218">
            <v>23155</v>
          </cell>
          <cell r="B218" t="str">
            <v>04/07/2022</v>
          </cell>
          <cell r="C218" t="str">
            <v>C1803</v>
          </cell>
          <cell r="D218" t="str">
            <v xml:space="preserve">Electric supplies to extract fans. </v>
          </cell>
          <cell r="E218" t="str">
            <v>Key Integrated Services (Electrical) Ltd</v>
          </cell>
          <cell r="F218" t="str">
            <v>Subcontractor</v>
          </cell>
          <cell r="G218" t="str">
            <v>19/06/2022</v>
          </cell>
          <cell r="H218" t="str">
            <v>Complete</v>
          </cell>
          <cell r="I218" t="str">
            <v/>
          </cell>
          <cell r="J218">
            <v>0</v>
          </cell>
          <cell r="K218">
            <v>0</v>
          </cell>
          <cell r="L218">
            <v>0</v>
          </cell>
          <cell r="M218" t="str">
            <v/>
          </cell>
          <cell r="N218">
            <v>0</v>
          </cell>
        </row>
        <row r="219">
          <cell r="A219">
            <v>23149</v>
          </cell>
          <cell r="B219" t="str">
            <v>22/06/2022</v>
          </cell>
          <cell r="C219" t="str">
            <v>C1803</v>
          </cell>
          <cell r="D219" t="str">
            <v>Install 2 number battery canopies and supply and install the</v>
          </cell>
          <cell r="E219" t="str">
            <v>Allducts Ventilation Services Limited</v>
          </cell>
          <cell r="F219" t="str">
            <v>Subcontractor</v>
          </cell>
          <cell r="G219" t="str">
            <v>22/06/2022</v>
          </cell>
          <cell r="H219" t="str">
            <v>Complete</v>
          </cell>
          <cell r="I219" t="str">
            <v/>
          </cell>
          <cell r="J219">
            <v>0</v>
          </cell>
          <cell r="K219">
            <v>0</v>
          </cell>
          <cell r="L219">
            <v>0</v>
          </cell>
          <cell r="M219" t="str">
            <v/>
          </cell>
          <cell r="N219">
            <v>0</v>
          </cell>
        </row>
        <row r="220">
          <cell r="A220">
            <v>23076</v>
          </cell>
          <cell r="B220" t="str">
            <v>09/06/2022</v>
          </cell>
          <cell r="C220" t="str">
            <v>C1786</v>
          </cell>
          <cell r="D220" t="str">
            <v>controls for MRF coventry</v>
          </cell>
          <cell r="E220" t="str">
            <v>Associated Engineering Services Ltd T/A AES Control Systems</v>
          </cell>
          <cell r="F220" t="str">
            <v>Subcontractor</v>
          </cell>
          <cell r="G220" t="str">
            <v>30/06/2022</v>
          </cell>
          <cell r="H220" t="str">
            <v>Part</v>
          </cell>
          <cell r="I220" t="str">
            <v>Posted</v>
          </cell>
          <cell r="J220">
            <v>35983.839999999997</v>
          </cell>
          <cell r="K220">
            <v>1002.37</v>
          </cell>
          <cell r="L220">
            <v>38496.21</v>
          </cell>
          <cell r="M220" t="str">
            <v/>
          </cell>
          <cell r="N220">
            <v>-2512.37</v>
          </cell>
        </row>
        <row r="221">
          <cell r="A221">
            <v>23049</v>
          </cell>
          <cell r="B221" t="str">
            <v>31/05/2022</v>
          </cell>
          <cell r="C221" t="str">
            <v>C1806</v>
          </cell>
          <cell r="D221" t="str">
            <v>Electrical subcontract order all back to back as per the agr</v>
          </cell>
          <cell r="E221" t="str">
            <v>Key Integrated Services (Electrical) Ltd</v>
          </cell>
          <cell r="F221" t="str">
            <v>Subcontractor</v>
          </cell>
          <cell r="G221" t="str">
            <v/>
          </cell>
          <cell r="H221" t="str">
            <v>Complete</v>
          </cell>
          <cell r="I221" t="str">
            <v>Posted</v>
          </cell>
          <cell r="J221">
            <v>1032642.33</v>
          </cell>
          <cell r="K221">
            <v>204584.44</v>
          </cell>
          <cell r="L221">
            <v>1020642.33</v>
          </cell>
          <cell r="M221" t="str">
            <v/>
          </cell>
          <cell r="N221">
            <v>12000</v>
          </cell>
        </row>
        <row r="222">
          <cell r="A222">
            <v>22879</v>
          </cell>
          <cell r="B222" t="str">
            <v>27/04/2022</v>
          </cell>
          <cell r="C222" t="str">
            <v>C1800</v>
          </cell>
          <cell r="D222" t="str">
            <v>move sink</v>
          </cell>
          <cell r="E222" t="str">
            <v>P More PHC Ltd</v>
          </cell>
          <cell r="F222" t="str">
            <v>Subcontractor</v>
          </cell>
          <cell r="G222" t="str">
            <v/>
          </cell>
          <cell r="H222" t="str">
            <v>Part</v>
          </cell>
          <cell r="I222" t="str">
            <v/>
          </cell>
          <cell r="J222">
            <v>540</v>
          </cell>
          <cell r="K222">
            <v>0</v>
          </cell>
          <cell r="L222">
            <v>0</v>
          </cell>
          <cell r="M222" t="str">
            <v/>
          </cell>
          <cell r="N222">
            <v>540</v>
          </cell>
        </row>
        <row r="223">
          <cell r="A223">
            <v>22826</v>
          </cell>
          <cell r="B223" t="str">
            <v>12/04/2022</v>
          </cell>
          <cell r="C223" t="str">
            <v>C1786</v>
          </cell>
          <cell r="D223" t="str">
            <v>Ventilation to Reception &amp; Outfeed hall</v>
          </cell>
          <cell r="E223" t="str">
            <v>Firth Sheet Metal Limited</v>
          </cell>
          <cell r="F223" t="str">
            <v>Subcontractor</v>
          </cell>
          <cell r="G223" t="str">
            <v>18/05/2022</v>
          </cell>
          <cell r="H223" t="str">
            <v>Complete</v>
          </cell>
          <cell r="I223" t="str">
            <v/>
          </cell>
          <cell r="J223">
            <v>0</v>
          </cell>
          <cell r="K223">
            <v>0</v>
          </cell>
          <cell r="L223">
            <v>0</v>
          </cell>
          <cell r="M223" t="str">
            <v/>
          </cell>
          <cell r="N223">
            <v>0</v>
          </cell>
        </row>
        <row r="224">
          <cell r="A224">
            <v>22822</v>
          </cell>
          <cell r="B224" t="str">
            <v>12/04/2022</v>
          </cell>
          <cell r="C224" t="str">
            <v>C1775</v>
          </cell>
          <cell r="D224" t="str">
            <v>Position AHU and Vessel</v>
          </cell>
          <cell r="E224" t="str">
            <v>Armquest Industrial Services Ltd</v>
          </cell>
          <cell r="F224" t="str">
            <v>Subcontractor</v>
          </cell>
          <cell r="G224" t="str">
            <v>13/04/2022</v>
          </cell>
          <cell r="H224" t="str">
            <v/>
          </cell>
          <cell r="I224" t="str">
            <v/>
          </cell>
          <cell r="J224">
            <v>5100</v>
          </cell>
          <cell r="K224">
            <v>0</v>
          </cell>
          <cell r="L224">
            <v>0</v>
          </cell>
          <cell r="M224" t="str">
            <v/>
          </cell>
          <cell r="N224">
            <v>5100</v>
          </cell>
        </row>
        <row r="225">
          <cell r="A225">
            <v>22819</v>
          </cell>
          <cell r="B225" t="str">
            <v>12/04/2022</v>
          </cell>
          <cell r="C225" t="str">
            <v>C1786</v>
          </cell>
          <cell r="D225" t="str">
            <v>Ventilation to Office areas Only</v>
          </cell>
          <cell r="E225" t="str">
            <v>AC Ventilation Ltd</v>
          </cell>
          <cell r="F225" t="str">
            <v>Subcontractor</v>
          </cell>
          <cell r="G225" t="str">
            <v>17/05/2022</v>
          </cell>
          <cell r="H225" t="str">
            <v>Complete</v>
          </cell>
          <cell r="I225" t="str">
            <v>Posted</v>
          </cell>
          <cell r="J225">
            <v>164005</v>
          </cell>
          <cell r="K225">
            <v>32801</v>
          </cell>
          <cell r="L225">
            <v>169895</v>
          </cell>
          <cell r="M225" t="str">
            <v/>
          </cell>
          <cell r="N225">
            <v>-5890</v>
          </cell>
        </row>
        <row r="226">
          <cell r="A226">
            <v>22800</v>
          </cell>
          <cell r="B226" t="str">
            <v>06/04/2022</v>
          </cell>
          <cell r="C226" t="str">
            <v>C1798</v>
          </cell>
          <cell r="D226" t="str">
            <v>Roof penetrations</v>
          </cell>
          <cell r="E226" t="str">
            <v xml:space="preserve">Jones &amp; Woolman (UK) Ltd </v>
          </cell>
          <cell r="F226" t="str">
            <v>Subcontractor</v>
          </cell>
          <cell r="G226" t="str">
            <v/>
          </cell>
          <cell r="H226" t="str">
            <v>Complete</v>
          </cell>
          <cell r="I226" t="str">
            <v/>
          </cell>
          <cell r="J226">
            <v>0</v>
          </cell>
          <cell r="K226">
            <v>0</v>
          </cell>
          <cell r="L226">
            <v>0</v>
          </cell>
          <cell r="M226" t="str">
            <v/>
          </cell>
          <cell r="N226">
            <v>0</v>
          </cell>
        </row>
        <row r="227">
          <cell r="A227">
            <v>22780</v>
          </cell>
          <cell r="B227" t="str">
            <v>04/04/2022</v>
          </cell>
          <cell r="C227" t="str">
            <v>C1798</v>
          </cell>
          <cell r="D227" t="str">
            <v>Steam, Condensate install works</v>
          </cell>
          <cell r="E227" t="str">
            <v>Apex Mechanical Limited</v>
          </cell>
          <cell r="F227" t="str">
            <v>Subcontractor</v>
          </cell>
          <cell r="G227" t="str">
            <v/>
          </cell>
          <cell r="H227" t="str">
            <v>Part</v>
          </cell>
          <cell r="I227" t="str">
            <v>Posted</v>
          </cell>
          <cell r="J227">
            <v>33800</v>
          </cell>
          <cell r="K227">
            <v>0</v>
          </cell>
          <cell r="L227">
            <v>23450.400000000001</v>
          </cell>
          <cell r="M227" t="str">
            <v/>
          </cell>
          <cell r="N227">
            <v>10349.6</v>
          </cell>
        </row>
        <row r="228">
          <cell r="A228">
            <v>22772</v>
          </cell>
          <cell r="B228" t="str">
            <v>31/03/2022</v>
          </cell>
          <cell r="C228" t="str">
            <v>C1798</v>
          </cell>
          <cell r="D228" t="str">
            <v>Steam and condensate pipework</v>
          </cell>
          <cell r="E228" t="str">
            <v>Apex Mechanical Limited</v>
          </cell>
          <cell r="F228" t="str">
            <v>Subcontractor</v>
          </cell>
          <cell r="G228" t="str">
            <v/>
          </cell>
          <cell r="H228" t="str">
            <v>Complete</v>
          </cell>
          <cell r="I228" t="str">
            <v/>
          </cell>
          <cell r="J228">
            <v>0</v>
          </cell>
          <cell r="K228">
            <v>0</v>
          </cell>
          <cell r="L228">
            <v>0</v>
          </cell>
          <cell r="M228" t="str">
            <v/>
          </cell>
          <cell r="N228">
            <v>0</v>
          </cell>
        </row>
        <row r="229">
          <cell r="A229">
            <v>22771</v>
          </cell>
          <cell r="B229" t="str">
            <v>31/03/2022</v>
          </cell>
          <cell r="C229" t="str">
            <v>C1798</v>
          </cell>
          <cell r="D229" t="str">
            <v>Remove ductwork sections from bakery</v>
          </cell>
          <cell r="E229" t="str">
            <v>Allducts Ventilation Services Limited</v>
          </cell>
          <cell r="F229" t="str">
            <v>Subcontractor</v>
          </cell>
          <cell r="G229" t="str">
            <v/>
          </cell>
          <cell r="H229" t="str">
            <v>Complete</v>
          </cell>
          <cell r="I229" t="str">
            <v/>
          </cell>
          <cell r="J229">
            <v>0</v>
          </cell>
          <cell r="K229">
            <v>0</v>
          </cell>
          <cell r="L229">
            <v>0</v>
          </cell>
          <cell r="M229" t="str">
            <v/>
          </cell>
          <cell r="N229">
            <v>0</v>
          </cell>
        </row>
        <row r="230">
          <cell r="A230">
            <v>22743</v>
          </cell>
          <cell r="B230" t="str">
            <v>25/03/2022</v>
          </cell>
          <cell r="C230" t="str">
            <v>C1775</v>
          </cell>
          <cell r="D230" t="str">
            <v>Commissioning</v>
          </cell>
          <cell r="E230" t="str">
            <v>All Counties Commissioning Limited</v>
          </cell>
          <cell r="F230" t="str">
            <v>Subcontractor</v>
          </cell>
          <cell r="G230" t="str">
            <v>25/04/2022</v>
          </cell>
          <cell r="H230" t="str">
            <v>Part</v>
          </cell>
          <cell r="I230" t="str">
            <v>Posted</v>
          </cell>
          <cell r="J230">
            <v>7050</v>
          </cell>
          <cell r="K230">
            <v>1410</v>
          </cell>
          <cell r="L230">
            <v>6550</v>
          </cell>
          <cell r="M230" t="str">
            <v/>
          </cell>
          <cell r="N230">
            <v>500</v>
          </cell>
        </row>
        <row r="231">
          <cell r="A231">
            <v>22734</v>
          </cell>
          <cell r="B231" t="str">
            <v>24/03/2022</v>
          </cell>
          <cell r="C231" t="str">
            <v>C1789</v>
          </cell>
          <cell r="D231" t="str">
            <v>AC installation at Melton Foods project 22</v>
          </cell>
          <cell r="E231" t="str">
            <v>Complete Cooling Services Limited</v>
          </cell>
          <cell r="F231" t="str">
            <v>Subcontractor</v>
          </cell>
          <cell r="G231" t="str">
            <v>04/04/2022</v>
          </cell>
          <cell r="H231" t="str">
            <v>Complete</v>
          </cell>
          <cell r="I231" t="str">
            <v/>
          </cell>
          <cell r="J231">
            <v>0</v>
          </cell>
          <cell r="K231">
            <v>0</v>
          </cell>
          <cell r="L231">
            <v>0</v>
          </cell>
          <cell r="M231" t="str">
            <v/>
          </cell>
          <cell r="N231">
            <v>0</v>
          </cell>
        </row>
        <row r="232">
          <cell r="A232">
            <v>22688</v>
          </cell>
          <cell r="B232" t="str">
            <v>15/03/2022</v>
          </cell>
          <cell r="C232" t="str">
            <v>C1802</v>
          </cell>
          <cell r="D232" t="str">
            <v>Design Works</v>
          </cell>
          <cell r="E232" t="str">
            <v>Key Integrated Services (Electrical) Ltd</v>
          </cell>
          <cell r="F232" t="str">
            <v>Subcontractor</v>
          </cell>
          <cell r="G232" t="str">
            <v/>
          </cell>
          <cell r="H232" t="str">
            <v>Complete</v>
          </cell>
          <cell r="I232" t="str">
            <v/>
          </cell>
          <cell r="J232">
            <v>0</v>
          </cell>
          <cell r="K232">
            <v>0</v>
          </cell>
          <cell r="L232">
            <v>0</v>
          </cell>
          <cell r="M232" t="str">
            <v/>
          </cell>
          <cell r="N232">
            <v>0</v>
          </cell>
        </row>
        <row r="233">
          <cell r="A233">
            <v>22672</v>
          </cell>
          <cell r="B233" t="str">
            <v>14/03/2022</v>
          </cell>
          <cell r="C233" t="str">
            <v>C1770</v>
          </cell>
          <cell r="D233" t="str">
            <v>As per quote proposal QUO-0005-251103/4 / 4</v>
          </cell>
          <cell r="E233" t="str">
            <v>Mitsubishi Electric Europe BV</v>
          </cell>
          <cell r="F233" t="str">
            <v>Subcontractor</v>
          </cell>
          <cell r="G233" t="str">
            <v/>
          </cell>
          <cell r="H233" t="str">
            <v>Complete</v>
          </cell>
          <cell r="I233" t="str">
            <v/>
          </cell>
          <cell r="J233">
            <v>0</v>
          </cell>
          <cell r="K233">
            <v>0</v>
          </cell>
          <cell r="L233">
            <v>0</v>
          </cell>
          <cell r="M233" t="str">
            <v/>
          </cell>
          <cell r="N233">
            <v>0</v>
          </cell>
        </row>
        <row r="234">
          <cell r="A234">
            <v>22625</v>
          </cell>
          <cell r="B234" t="str">
            <v>04/03/2022</v>
          </cell>
          <cell r="C234" t="str">
            <v>C1747</v>
          </cell>
          <cell r="D234" t="str">
            <v>Air balancing as per quote</v>
          </cell>
          <cell r="E234" t="str">
            <v>New Era Commissioning Specialists Ltd</v>
          </cell>
          <cell r="F234" t="str">
            <v>Subcontractor</v>
          </cell>
          <cell r="G234" t="str">
            <v>08/03/2022</v>
          </cell>
          <cell r="H234" t="str">
            <v>Complete</v>
          </cell>
          <cell r="I234" t="str">
            <v/>
          </cell>
          <cell r="J234">
            <v>0</v>
          </cell>
          <cell r="K234">
            <v>0</v>
          </cell>
          <cell r="L234">
            <v>0</v>
          </cell>
          <cell r="M234" t="str">
            <v/>
          </cell>
          <cell r="N234">
            <v>0</v>
          </cell>
        </row>
        <row r="235">
          <cell r="A235">
            <v>22624</v>
          </cell>
          <cell r="B235" t="str">
            <v>04/03/2022</v>
          </cell>
          <cell r="C235" t="str">
            <v>C1747</v>
          </cell>
          <cell r="D235" t="str">
            <v xml:space="preserve">Chlorination </v>
          </cell>
          <cell r="E235" t="str">
            <v>MSB Hygiene Ltd</v>
          </cell>
          <cell r="F235" t="str">
            <v>Subcontractor</v>
          </cell>
          <cell r="G235" t="str">
            <v>08/03/2022</v>
          </cell>
          <cell r="H235" t="str">
            <v>Complete</v>
          </cell>
          <cell r="I235" t="str">
            <v/>
          </cell>
          <cell r="J235">
            <v>0</v>
          </cell>
          <cell r="K235">
            <v>0</v>
          </cell>
          <cell r="L235">
            <v>0</v>
          </cell>
          <cell r="M235" t="str">
            <v/>
          </cell>
          <cell r="N235">
            <v>0</v>
          </cell>
        </row>
        <row r="236">
          <cell r="A236">
            <v>22559</v>
          </cell>
          <cell r="B236" t="str">
            <v>23/02/2022</v>
          </cell>
          <cell r="C236" t="str">
            <v>C1768</v>
          </cell>
          <cell r="D236" t="str">
            <v>BMS works as per subcontract order</v>
          </cell>
          <cell r="E236" t="str">
            <v>Associated Engineering Services Ltd T/A AES Control Systems</v>
          </cell>
          <cell r="F236" t="str">
            <v>Subcontractor</v>
          </cell>
          <cell r="G236" t="str">
            <v/>
          </cell>
          <cell r="H236" t="str">
            <v>Part</v>
          </cell>
          <cell r="I236" t="str">
            <v>Posted</v>
          </cell>
          <cell r="J236">
            <v>523535.73</v>
          </cell>
          <cell r="K236">
            <v>0</v>
          </cell>
          <cell r="L236">
            <v>501539.58</v>
          </cell>
          <cell r="M236" t="str">
            <v/>
          </cell>
          <cell r="N236">
            <v>21996.15</v>
          </cell>
        </row>
        <row r="237">
          <cell r="A237">
            <v>22543</v>
          </cell>
          <cell r="B237" t="str">
            <v>21/02/2022</v>
          </cell>
          <cell r="C237" t="str">
            <v>C1770</v>
          </cell>
          <cell r="D237" t="str">
            <v>As per proposal QUO-0005-251103/0 / 0</v>
          </cell>
          <cell r="E237" t="str">
            <v>Mitsubishi Electric Europe BV</v>
          </cell>
          <cell r="F237" t="str">
            <v>Subcontractor</v>
          </cell>
          <cell r="G237" t="str">
            <v>07/03/2022</v>
          </cell>
          <cell r="H237" t="str">
            <v>Complete</v>
          </cell>
          <cell r="I237" t="str">
            <v/>
          </cell>
          <cell r="J237">
            <v>0</v>
          </cell>
          <cell r="K237">
            <v>0</v>
          </cell>
          <cell r="L237">
            <v>0</v>
          </cell>
          <cell r="M237" t="str">
            <v/>
          </cell>
          <cell r="N237">
            <v>0</v>
          </cell>
        </row>
        <row r="238">
          <cell r="A238">
            <v>22533</v>
          </cell>
          <cell r="B238" t="str">
            <v>18/02/2022</v>
          </cell>
          <cell r="C238" t="str">
            <v>C1798</v>
          </cell>
          <cell r="D238" t="str">
            <v>Insulation</v>
          </cell>
          <cell r="E238" t="str">
            <v>Thermal Insulation Covers Ltd</v>
          </cell>
          <cell r="F238" t="str">
            <v>Subcontractor</v>
          </cell>
          <cell r="G238" t="str">
            <v/>
          </cell>
          <cell r="H238" t="str">
            <v>Part</v>
          </cell>
          <cell r="I238" t="str">
            <v>Posted</v>
          </cell>
          <cell r="J238">
            <v>10930.29</v>
          </cell>
          <cell r="K238">
            <v>0</v>
          </cell>
          <cell r="L238">
            <v>9882.15</v>
          </cell>
          <cell r="M238" t="str">
            <v/>
          </cell>
          <cell r="N238">
            <v>1048.1400000000001</v>
          </cell>
        </row>
        <row r="239">
          <cell r="A239">
            <v>22511</v>
          </cell>
          <cell r="B239" t="str">
            <v>14/02/2022</v>
          </cell>
          <cell r="C239" t="str">
            <v>C1754</v>
          </cell>
          <cell r="D239" t="str">
            <v xml:space="preserve">Primary containment for BMS cable </v>
          </cell>
          <cell r="E239" t="str">
            <v>Oes Ormskirk Electrical Services Ltd</v>
          </cell>
          <cell r="F239" t="str">
            <v>Subcontractor</v>
          </cell>
          <cell r="G239" t="str">
            <v>14/02/2022</v>
          </cell>
          <cell r="H239" t="str">
            <v>Complete</v>
          </cell>
          <cell r="I239" t="str">
            <v/>
          </cell>
          <cell r="J239">
            <v>0</v>
          </cell>
          <cell r="K239">
            <v>0</v>
          </cell>
          <cell r="L239">
            <v>0</v>
          </cell>
          <cell r="M239" t="str">
            <v/>
          </cell>
          <cell r="N239">
            <v>0</v>
          </cell>
        </row>
        <row r="240">
          <cell r="A240">
            <v>22432</v>
          </cell>
          <cell r="B240" t="str">
            <v>02/02/2022</v>
          </cell>
          <cell r="C240" t="str">
            <v>C1676</v>
          </cell>
          <cell r="D240" t="str">
            <v>Burton PH3 remedials</v>
          </cell>
          <cell r="E240" t="str">
            <v>Key Integrated Services North West Ltd</v>
          </cell>
          <cell r="F240" t="str">
            <v>Subcontractor</v>
          </cell>
          <cell r="G240" t="str">
            <v/>
          </cell>
          <cell r="H240" t="str">
            <v/>
          </cell>
          <cell r="I240" t="str">
            <v/>
          </cell>
          <cell r="J240">
            <v>10918.2</v>
          </cell>
          <cell r="K240">
            <v>0</v>
          </cell>
          <cell r="L240">
            <v>10918.2</v>
          </cell>
          <cell r="M240" t="str">
            <v/>
          </cell>
          <cell r="N240">
            <v>0</v>
          </cell>
        </row>
        <row r="241">
          <cell r="A241">
            <v>22394</v>
          </cell>
          <cell r="B241" t="str">
            <v>28/01/2022</v>
          </cell>
          <cell r="C241" t="str">
            <v>C1754</v>
          </cell>
          <cell r="D241" t="str">
            <v>Labour and transport</v>
          </cell>
          <cell r="E241" t="str">
            <v>Apex Mechanical Limited</v>
          </cell>
          <cell r="F241" t="str">
            <v>Subcontractor</v>
          </cell>
          <cell r="G241" t="str">
            <v>28/01/2022</v>
          </cell>
          <cell r="H241" t="str">
            <v>Complete</v>
          </cell>
          <cell r="I241" t="str">
            <v/>
          </cell>
          <cell r="J241">
            <v>0</v>
          </cell>
          <cell r="K241">
            <v>0</v>
          </cell>
          <cell r="L241">
            <v>0</v>
          </cell>
          <cell r="M241" t="str">
            <v/>
          </cell>
          <cell r="N241">
            <v>0</v>
          </cell>
        </row>
        <row r="242">
          <cell r="A242">
            <v>22386</v>
          </cell>
          <cell r="B242" t="str">
            <v>28/01/2022</v>
          </cell>
          <cell r="C242" t="str">
            <v>C1693</v>
          </cell>
          <cell r="D242" t="str">
            <v>chiller hire Jan to end Feb 2022</v>
          </cell>
          <cell r="E242" t="str">
            <v>ICS Cool Energy Ltd</v>
          </cell>
          <cell r="F242" t="str">
            <v>Subcontractor</v>
          </cell>
          <cell r="G242" t="str">
            <v/>
          </cell>
          <cell r="H242" t="str">
            <v>Complete</v>
          </cell>
          <cell r="I242" t="str">
            <v/>
          </cell>
          <cell r="J242">
            <v>0</v>
          </cell>
          <cell r="K242">
            <v>0</v>
          </cell>
          <cell r="L242">
            <v>0</v>
          </cell>
          <cell r="M242" t="str">
            <v/>
          </cell>
          <cell r="N242">
            <v>0</v>
          </cell>
        </row>
        <row r="243">
          <cell r="A243">
            <v>22382</v>
          </cell>
          <cell r="B243" t="str">
            <v>27/01/2022</v>
          </cell>
          <cell r="C243" t="str">
            <v>C1754</v>
          </cell>
          <cell r="D243" t="str">
            <v>Lagging</v>
          </cell>
          <cell r="E243" t="str">
            <v>Thermguard Insulation Limited</v>
          </cell>
          <cell r="F243" t="str">
            <v>Subcontractor</v>
          </cell>
          <cell r="G243" t="str">
            <v>01/12/2021</v>
          </cell>
          <cell r="H243" t="str">
            <v>Complete</v>
          </cell>
          <cell r="I243" t="str">
            <v>Posted</v>
          </cell>
          <cell r="J243">
            <v>36855.93</v>
          </cell>
          <cell r="K243">
            <v>0</v>
          </cell>
          <cell r="L243">
            <v>38108.93</v>
          </cell>
          <cell r="M243" t="str">
            <v/>
          </cell>
          <cell r="N243">
            <v>-1253</v>
          </cell>
        </row>
        <row r="244">
          <cell r="A244">
            <v>22381</v>
          </cell>
          <cell r="B244" t="str">
            <v>27/01/2022</v>
          </cell>
          <cell r="C244" t="str">
            <v>C1693</v>
          </cell>
          <cell r="D244" t="str">
            <v>2022 chiller hire</v>
          </cell>
          <cell r="E244" t="str">
            <v>ICS Cool Energy Ltd</v>
          </cell>
          <cell r="F244" t="str">
            <v>Subcontractor</v>
          </cell>
          <cell r="G244" t="str">
            <v/>
          </cell>
          <cell r="H244" t="str">
            <v>Complete</v>
          </cell>
          <cell r="I244" t="str">
            <v/>
          </cell>
          <cell r="J244">
            <v>0</v>
          </cell>
          <cell r="K244">
            <v>0</v>
          </cell>
          <cell r="L244">
            <v>0</v>
          </cell>
          <cell r="M244" t="str">
            <v/>
          </cell>
          <cell r="N244">
            <v>0</v>
          </cell>
        </row>
        <row r="245">
          <cell r="A245">
            <v>22312</v>
          </cell>
          <cell r="B245" t="str">
            <v>13/01/2022</v>
          </cell>
          <cell r="C245" t="str">
            <v>C1754</v>
          </cell>
          <cell r="D245" t="str">
            <v>Provision of Ductwork Labour - not to exceed 20K value. Tim</v>
          </cell>
          <cell r="E245" t="str">
            <v>Hirst &amp; Sons Limited</v>
          </cell>
          <cell r="F245" t="str">
            <v>Subcontractor</v>
          </cell>
          <cell r="G245" t="str">
            <v/>
          </cell>
          <cell r="H245" t="str">
            <v>Part</v>
          </cell>
          <cell r="I245" t="str">
            <v/>
          </cell>
          <cell r="J245">
            <v>14630</v>
          </cell>
          <cell r="K245">
            <v>2926</v>
          </cell>
          <cell r="L245">
            <v>14630</v>
          </cell>
          <cell r="M245" t="str">
            <v/>
          </cell>
          <cell r="N245">
            <v>0</v>
          </cell>
        </row>
        <row r="246">
          <cell r="A246">
            <v>22307</v>
          </cell>
          <cell r="B246" t="str">
            <v>12/01/2022</v>
          </cell>
          <cell r="C246" t="str">
            <v>C1754</v>
          </cell>
          <cell r="D246" t="str">
            <v>Thermal Insulation SC</v>
          </cell>
          <cell r="E246" t="str">
            <v>Moore Insulation Ltd</v>
          </cell>
          <cell r="F246" t="str">
            <v>Subcontractor</v>
          </cell>
          <cell r="G246" t="str">
            <v/>
          </cell>
          <cell r="H246" t="str">
            <v>Complete</v>
          </cell>
          <cell r="I246" t="str">
            <v>Posted</v>
          </cell>
          <cell r="J246">
            <v>144832.62</v>
          </cell>
          <cell r="K246">
            <v>28966.52</v>
          </cell>
          <cell r="L246">
            <v>145818.62</v>
          </cell>
          <cell r="M246" t="str">
            <v/>
          </cell>
          <cell r="N246">
            <v>-986</v>
          </cell>
        </row>
        <row r="247">
          <cell r="A247">
            <v>22233</v>
          </cell>
          <cell r="B247" t="str">
            <v>17/12/2021</v>
          </cell>
          <cell r="C247" t="str">
            <v>C1792</v>
          </cell>
          <cell r="D247" t="str">
            <v xml:space="preserve">Email from Carl T </v>
          </cell>
          <cell r="E247" t="str">
            <v>Apex Mechanical Limited</v>
          </cell>
          <cell r="F247" t="str">
            <v>Subcontractor</v>
          </cell>
          <cell r="G247" t="str">
            <v>09/12/2021</v>
          </cell>
          <cell r="H247" t="str">
            <v>Complete</v>
          </cell>
          <cell r="I247" t="str">
            <v/>
          </cell>
          <cell r="J247">
            <v>0</v>
          </cell>
          <cell r="K247">
            <v>0</v>
          </cell>
          <cell r="L247">
            <v>0</v>
          </cell>
          <cell r="M247" t="str">
            <v/>
          </cell>
          <cell r="N247">
            <v>0</v>
          </cell>
        </row>
        <row r="248">
          <cell r="A248">
            <v>22283</v>
          </cell>
          <cell r="B248" t="str">
            <v>13/12/2021</v>
          </cell>
          <cell r="C248" t="str">
            <v>C1787</v>
          </cell>
          <cell r="D248" t="str">
            <v>INSTALLATION OF DUCTWORK</v>
          </cell>
          <cell r="E248" t="str">
            <v>JTC Ductwork Solutions Limited</v>
          </cell>
          <cell r="F248" t="str">
            <v>Subcontractor</v>
          </cell>
          <cell r="G248" t="str">
            <v/>
          </cell>
          <cell r="H248" t="str">
            <v/>
          </cell>
          <cell r="I248" t="str">
            <v/>
          </cell>
          <cell r="J248">
            <v>2500</v>
          </cell>
          <cell r="K248">
            <v>0</v>
          </cell>
          <cell r="L248">
            <v>2500</v>
          </cell>
          <cell r="M248" t="str">
            <v/>
          </cell>
          <cell r="N248">
            <v>0</v>
          </cell>
        </row>
        <row r="249">
          <cell r="A249">
            <v>22173</v>
          </cell>
          <cell r="B249" t="str">
            <v>03/12/2021</v>
          </cell>
          <cell r="C249" t="str">
            <v>C1775</v>
          </cell>
          <cell r="D249" t="str">
            <v>Thermal Insulation Package</v>
          </cell>
          <cell r="E249" t="str">
            <v>Thermal Insulation Covers Ltd</v>
          </cell>
          <cell r="F249" t="str">
            <v>Subcontractor</v>
          </cell>
          <cell r="G249" t="str">
            <v>04/01/2022</v>
          </cell>
          <cell r="H249" t="str">
            <v>Part</v>
          </cell>
          <cell r="I249" t="str">
            <v>Posted</v>
          </cell>
          <cell r="J249">
            <v>27875.5</v>
          </cell>
          <cell r="K249">
            <v>0</v>
          </cell>
          <cell r="L249">
            <v>28589.5</v>
          </cell>
          <cell r="M249" t="str">
            <v/>
          </cell>
          <cell r="N249">
            <v>-714</v>
          </cell>
        </row>
        <row r="250">
          <cell r="A250">
            <v>22128</v>
          </cell>
          <cell r="B250" t="str">
            <v>24/11/2021</v>
          </cell>
          <cell r="C250" t="str">
            <v>C1776</v>
          </cell>
          <cell r="D250" t="str">
            <v xml:space="preserve">Asbestos survey </v>
          </cell>
          <cell r="E250" t="str">
            <v>MJW Asbestos Removal &amp; Re-Insulation Services Ltd</v>
          </cell>
          <cell r="F250" t="str">
            <v>Subcontractor</v>
          </cell>
          <cell r="G250" t="str">
            <v>24/11/2021</v>
          </cell>
          <cell r="H250" t="str">
            <v>Part</v>
          </cell>
          <cell r="I250" t="str">
            <v/>
          </cell>
          <cell r="J250">
            <v>176</v>
          </cell>
          <cell r="K250">
            <v>0</v>
          </cell>
          <cell r="L250">
            <v>176</v>
          </cell>
          <cell r="M250" t="str">
            <v/>
          </cell>
          <cell r="N250">
            <v>0</v>
          </cell>
        </row>
        <row r="251">
          <cell r="A251">
            <v>22102</v>
          </cell>
          <cell r="B251" t="str">
            <v>16/11/2021</v>
          </cell>
          <cell r="C251" t="str">
            <v>C1759</v>
          </cell>
          <cell r="D251" t="str">
            <v>Electrical Works at TWS</v>
          </cell>
          <cell r="E251" t="str">
            <v>Key Integrated Services (Electrical) Ltd</v>
          </cell>
          <cell r="F251" t="str">
            <v>Subcontractor</v>
          </cell>
          <cell r="G251" t="str">
            <v>16/11/2021</v>
          </cell>
          <cell r="H251" t="str">
            <v>Part</v>
          </cell>
          <cell r="I251" t="str">
            <v/>
          </cell>
          <cell r="J251">
            <v>8157</v>
          </cell>
          <cell r="K251">
            <v>0</v>
          </cell>
          <cell r="L251">
            <v>8157</v>
          </cell>
          <cell r="M251" t="str">
            <v/>
          </cell>
          <cell r="N251">
            <v>0</v>
          </cell>
        </row>
        <row r="252">
          <cell r="A252">
            <v>22095</v>
          </cell>
          <cell r="B252" t="str">
            <v>12/11/2021</v>
          </cell>
          <cell r="C252" t="str">
            <v>C1733</v>
          </cell>
          <cell r="D252" t="str">
            <v>CHLORINATION</v>
          </cell>
          <cell r="E252" t="str">
            <v>MSB Hygiene Ltd</v>
          </cell>
          <cell r="F252" t="str">
            <v>Subcontractor</v>
          </cell>
          <cell r="G252" t="str">
            <v/>
          </cell>
          <cell r="H252" t="str">
            <v>Part</v>
          </cell>
          <cell r="I252" t="str">
            <v/>
          </cell>
          <cell r="J252">
            <v>400</v>
          </cell>
          <cell r="K252">
            <v>0</v>
          </cell>
          <cell r="L252">
            <v>400</v>
          </cell>
          <cell r="M252" t="str">
            <v/>
          </cell>
          <cell r="N252">
            <v>0</v>
          </cell>
        </row>
        <row r="253">
          <cell r="A253">
            <v>22088</v>
          </cell>
          <cell r="B253" t="str">
            <v>11/11/2021</v>
          </cell>
          <cell r="C253" t="str">
            <v>C1784</v>
          </cell>
          <cell r="D253" t="str">
            <v xml:space="preserve">Temporary mains water and drainage to site cabins </v>
          </cell>
          <cell r="E253" t="str">
            <v>Apex Mechanical Limited</v>
          </cell>
          <cell r="F253" t="str">
            <v>Subcontractor</v>
          </cell>
          <cell r="G253" t="str">
            <v>12/11/2021</v>
          </cell>
          <cell r="H253" t="str">
            <v>Part</v>
          </cell>
          <cell r="I253" t="str">
            <v/>
          </cell>
          <cell r="J253">
            <v>1870</v>
          </cell>
          <cell r="K253">
            <v>0</v>
          </cell>
          <cell r="L253">
            <v>0</v>
          </cell>
          <cell r="M253" t="str">
            <v/>
          </cell>
          <cell r="N253">
            <v>1870</v>
          </cell>
        </row>
        <row r="254">
          <cell r="A254">
            <v>22084</v>
          </cell>
          <cell r="B254" t="str">
            <v>10/11/2021</v>
          </cell>
          <cell r="C254" t="str">
            <v>C1754</v>
          </cell>
          <cell r="D254" t="str">
            <v>BMS Installation</v>
          </cell>
          <cell r="E254" t="str">
            <v>Impact Control Systems Ltd</v>
          </cell>
          <cell r="F254" t="str">
            <v>Subcontractor</v>
          </cell>
          <cell r="G254" t="str">
            <v/>
          </cell>
          <cell r="H254" t="str">
            <v>Complete</v>
          </cell>
          <cell r="I254" t="str">
            <v>Posted</v>
          </cell>
          <cell r="J254">
            <v>257724</v>
          </cell>
          <cell r="K254">
            <v>0</v>
          </cell>
          <cell r="L254">
            <v>272558</v>
          </cell>
          <cell r="M254" t="str">
            <v/>
          </cell>
          <cell r="N254">
            <v>-14834</v>
          </cell>
        </row>
        <row r="255">
          <cell r="A255">
            <v>22061</v>
          </cell>
          <cell r="B255" t="str">
            <v>05/11/2021</v>
          </cell>
          <cell r="C255" t="str">
            <v>C1785</v>
          </cell>
          <cell r="D255" t="str">
            <v>Construction of concrete plinth</v>
          </cell>
          <cell r="E255" t="str">
            <v>Copeman Construction Services Limited</v>
          </cell>
          <cell r="F255" t="str">
            <v>Subcontractor</v>
          </cell>
          <cell r="G255" t="str">
            <v>15/11/2021</v>
          </cell>
          <cell r="H255" t="str">
            <v>Complete</v>
          </cell>
          <cell r="I255" t="str">
            <v/>
          </cell>
          <cell r="J255">
            <v>0</v>
          </cell>
          <cell r="K255">
            <v>0</v>
          </cell>
          <cell r="L255">
            <v>0</v>
          </cell>
          <cell r="M255" t="str">
            <v/>
          </cell>
          <cell r="N255">
            <v>0</v>
          </cell>
        </row>
        <row r="256">
          <cell r="A256">
            <v>22059</v>
          </cell>
          <cell r="B256" t="str">
            <v>05/11/2021</v>
          </cell>
          <cell r="C256" t="str">
            <v>C1782</v>
          </cell>
          <cell r="D256" t="str">
            <v>Electrical / controls package</v>
          </cell>
          <cell r="E256" t="str">
            <v>Key Integrated Services (Electrical) Ltd</v>
          </cell>
          <cell r="F256" t="str">
            <v>Subcontractor</v>
          </cell>
          <cell r="G256" t="str">
            <v>15/11/2021</v>
          </cell>
          <cell r="H256" t="str">
            <v>Part</v>
          </cell>
          <cell r="I256" t="str">
            <v>Posted</v>
          </cell>
          <cell r="J256">
            <v>156574.20000000001</v>
          </cell>
          <cell r="K256">
            <v>31314.84</v>
          </cell>
          <cell r="L256">
            <v>156474.20000000001</v>
          </cell>
          <cell r="M256" t="str">
            <v/>
          </cell>
          <cell r="N256">
            <v>100</v>
          </cell>
        </row>
        <row r="257">
          <cell r="A257">
            <v>22058</v>
          </cell>
          <cell r="B257" t="str">
            <v>05/11/2021</v>
          </cell>
          <cell r="C257" t="str">
            <v>C1713</v>
          </cell>
          <cell r="D257" t="str">
            <v>Quote ref 11187:</v>
          </cell>
          <cell r="E257" t="str">
            <v>NP Services (Leicester) Ltd</v>
          </cell>
          <cell r="F257" t="str">
            <v>Subcontractor</v>
          </cell>
          <cell r="G257" t="str">
            <v>15/11/2021</v>
          </cell>
          <cell r="H257" t="str">
            <v>Part</v>
          </cell>
          <cell r="I257" t="str">
            <v/>
          </cell>
          <cell r="J257">
            <v>11046</v>
          </cell>
          <cell r="K257">
            <v>0</v>
          </cell>
          <cell r="L257">
            <v>11046</v>
          </cell>
          <cell r="M257" t="str">
            <v/>
          </cell>
          <cell r="N257">
            <v>0</v>
          </cell>
        </row>
        <row r="258">
          <cell r="A258">
            <v>22042</v>
          </cell>
          <cell r="B258" t="str">
            <v>03/11/2021</v>
          </cell>
          <cell r="C258" t="str">
            <v>C1754</v>
          </cell>
          <cell r="D258" t="str">
            <v>Provide Ductwork Labour</v>
          </cell>
          <cell r="E258" t="str">
            <v>Pipeline &amp; Ductwork Installations Limited</v>
          </cell>
          <cell r="F258" t="str">
            <v>Subcontractor</v>
          </cell>
          <cell r="G258" t="str">
            <v/>
          </cell>
          <cell r="H258" t="str">
            <v>Complete</v>
          </cell>
          <cell r="I258" t="str">
            <v/>
          </cell>
          <cell r="J258">
            <v>0</v>
          </cell>
          <cell r="K258">
            <v>0</v>
          </cell>
          <cell r="L258">
            <v>0</v>
          </cell>
          <cell r="M258" t="str">
            <v/>
          </cell>
          <cell r="N258">
            <v>0</v>
          </cell>
        </row>
        <row r="259">
          <cell r="A259">
            <v>22030</v>
          </cell>
          <cell r="B259" t="str">
            <v>01/11/2021</v>
          </cell>
          <cell r="C259" t="str">
            <v>C1782</v>
          </cell>
          <cell r="D259" t="str">
            <v>Thermal Insulation Package</v>
          </cell>
          <cell r="E259" t="str">
            <v>Thermguard Insulation Limited</v>
          </cell>
          <cell r="F259" t="str">
            <v>Subcontractor</v>
          </cell>
          <cell r="G259" t="str">
            <v>08/11/2021</v>
          </cell>
          <cell r="H259" t="str">
            <v>Part</v>
          </cell>
          <cell r="I259" t="str">
            <v>Posted</v>
          </cell>
          <cell r="J259">
            <v>72010</v>
          </cell>
          <cell r="K259">
            <v>0</v>
          </cell>
          <cell r="L259">
            <v>67499</v>
          </cell>
          <cell r="M259" t="str">
            <v/>
          </cell>
          <cell r="N259">
            <v>4511</v>
          </cell>
        </row>
        <row r="260">
          <cell r="A260">
            <v>22022</v>
          </cell>
          <cell r="B260" t="str">
            <v>29/10/2021</v>
          </cell>
          <cell r="C260" t="str">
            <v>C1775</v>
          </cell>
          <cell r="D260" t="str">
            <v>Ventilation sub-contract package</v>
          </cell>
          <cell r="E260" t="str">
            <v>Allducts Ventilation Services Limited</v>
          </cell>
          <cell r="F260" t="str">
            <v>Subcontractor</v>
          </cell>
          <cell r="G260" t="str">
            <v>08/11/2021</v>
          </cell>
          <cell r="H260" t="str">
            <v>Part</v>
          </cell>
          <cell r="I260" t="str">
            <v>Posted</v>
          </cell>
          <cell r="J260">
            <v>112828.22</v>
          </cell>
          <cell r="K260">
            <v>0</v>
          </cell>
          <cell r="L260">
            <v>113378.22</v>
          </cell>
          <cell r="M260" t="str">
            <v/>
          </cell>
          <cell r="N260">
            <v>-550</v>
          </cell>
        </row>
        <row r="261">
          <cell r="A261">
            <v>22021</v>
          </cell>
          <cell r="B261" t="str">
            <v>28/10/2021</v>
          </cell>
          <cell r="C261" t="str">
            <v>C1777</v>
          </cell>
          <cell r="D261" t="str">
            <v xml:space="preserve">Additional supplies and variation works </v>
          </cell>
          <cell r="E261" t="str">
            <v>Key Integrated Services North West Ltd</v>
          </cell>
          <cell r="F261" t="str">
            <v>Subcontractor</v>
          </cell>
          <cell r="G261" t="str">
            <v>29/10/2021</v>
          </cell>
          <cell r="H261" t="str">
            <v>Part</v>
          </cell>
          <cell r="I261" t="str">
            <v/>
          </cell>
          <cell r="J261">
            <v>1557.58</v>
          </cell>
          <cell r="K261">
            <v>0</v>
          </cell>
          <cell r="L261">
            <v>0</v>
          </cell>
          <cell r="M261" t="str">
            <v/>
          </cell>
          <cell r="N261">
            <v>1557.58</v>
          </cell>
        </row>
        <row r="262">
          <cell r="A262">
            <v>22014</v>
          </cell>
          <cell r="B262" t="str">
            <v>28/10/2021</v>
          </cell>
          <cell r="C262" t="str">
            <v>C1784</v>
          </cell>
          <cell r="D262" t="str">
            <v xml:space="preserve">Insulation of chemical pipeline services </v>
          </cell>
          <cell r="E262" t="str">
            <v>Thermguard Insulation Limited</v>
          </cell>
          <cell r="F262" t="str">
            <v>Subcontractor</v>
          </cell>
          <cell r="G262" t="str">
            <v>04/11/2021</v>
          </cell>
          <cell r="H262" t="str">
            <v>Part</v>
          </cell>
          <cell r="I262" t="str">
            <v/>
          </cell>
          <cell r="J262">
            <v>4000</v>
          </cell>
          <cell r="K262">
            <v>0</v>
          </cell>
          <cell r="L262">
            <v>4000</v>
          </cell>
          <cell r="M262" t="str">
            <v/>
          </cell>
          <cell r="N262">
            <v>0</v>
          </cell>
        </row>
        <row r="263">
          <cell r="A263">
            <v>22012</v>
          </cell>
          <cell r="B263" t="str">
            <v>28/10/2021</v>
          </cell>
          <cell r="C263" t="str">
            <v>C1784</v>
          </cell>
          <cell r="D263" t="str">
            <v xml:space="preserve">Underground Gas service and modifications </v>
          </cell>
          <cell r="E263" t="str">
            <v>Technical Utilities Services UK Ltd</v>
          </cell>
          <cell r="F263" t="str">
            <v>Subcontractor</v>
          </cell>
          <cell r="G263" t="str">
            <v>28/10/2021</v>
          </cell>
          <cell r="H263" t="str">
            <v/>
          </cell>
          <cell r="I263" t="str">
            <v>Posted</v>
          </cell>
          <cell r="J263">
            <v>20050</v>
          </cell>
          <cell r="K263">
            <v>0</v>
          </cell>
          <cell r="L263">
            <v>17425.25</v>
          </cell>
          <cell r="M263" t="str">
            <v/>
          </cell>
          <cell r="N263">
            <v>2624.75</v>
          </cell>
        </row>
        <row r="264">
          <cell r="A264">
            <v>22008</v>
          </cell>
          <cell r="B264" t="str">
            <v>27/10/2021</v>
          </cell>
          <cell r="C264" t="str">
            <v>C1784</v>
          </cell>
          <cell r="D264" t="str">
            <v xml:space="preserve">Chemical pipework relocation works </v>
          </cell>
          <cell r="E264" t="str">
            <v>Apex Mechanical Limited</v>
          </cell>
          <cell r="F264" t="str">
            <v>Subcontractor</v>
          </cell>
          <cell r="G264" t="str">
            <v>29/10/2021</v>
          </cell>
          <cell r="H264" t="str">
            <v>Part</v>
          </cell>
          <cell r="I264" t="str">
            <v/>
          </cell>
          <cell r="J264">
            <v>5500</v>
          </cell>
          <cell r="K264">
            <v>0</v>
          </cell>
          <cell r="L264">
            <v>0</v>
          </cell>
          <cell r="M264" t="str">
            <v/>
          </cell>
          <cell r="N264">
            <v>5500</v>
          </cell>
        </row>
        <row r="265">
          <cell r="A265">
            <v>22004</v>
          </cell>
          <cell r="B265" t="str">
            <v>27/10/2021</v>
          </cell>
          <cell r="C265" t="str">
            <v>C1712</v>
          </cell>
          <cell r="D265" t="str">
            <v>Various electrical works PM/MC</v>
          </cell>
          <cell r="E265" t="str">
            <v>Key Integrated Services (Electrical) Ltd</v>
          </cell>
          <cell r="F265" t="str">
            <v>Subcontractor</v>
          </cell>
          <cell r="G265" t="str">
            <v>27/10/2021</v>
          </cell>
          <cell r="H265" t="str">
            <v>Part</v>
          </cell>
          <cell r="I265" t="str">
            <v/>
          </cell>
          <cell r="J265">
            <v>5434</v>
          </cell>
          <cell r="K265">
            <v>1086.8</v>
          </cell>
          <cell r="L265">
            <v>5434</v>
          </cell>
          <cell r="M265" t="str">
            <v/>
          </cell>
          <cell r="N265">
            <v>0</v>
          </cell>
        </row>
        <row r="266">
          <cell r="A266">
            <v>22002</v>
          </cell>
          <cell r="B266" t="str">
            <v>26/10/2021</v>
          </cell>
          <cell r="C266" t="str">
            <v>C1784</v>
          </cell>
          <cell r="D266" t="str">
            <v xml:space="preserve">AC relocation &amp; re-commission </v>
          </cell>
          <cell r="E266" t="str">
            <v>Key Integrated Services Maintenance Limited</v>
          </cell>
          <cell r="F266" t="str">
            <v>Subcontractor</v>
          </cell>
          <cell r="G266" t="str">
            <v>02/11/2021</v>
          </cell>
          <cell r="H266" t="str">
            <v>Part</v>
          </cell>
          <cell r="I266" t="str">
            <v/>
          </cell>
          <cell r="J266">
            <v>5779</v>
          </cell>
          <cell r="K266">
            <v>1155.8</v>
          </cell>
          <cell r="L266">
            <v>5779</v>
          </cell>
          <cell r="M266" t="str">
            <v/>
          </cell>
          <cell r="N266">
            <v>0</v>
          </cell>
        </row>
        <row r="267">
          <cell r="A267">
            <v>21982</v>
          </cell>
          <cell r="B267" t="str">
            <v>25/10/2021</v>
          </cell>
          <cell r="C267" t="str">
            <v>C1776</v>
          </cell>
          <cell r="D267" t="str">
            <v xml:space="preserve">2no men x 8hrs labour cost </v>
          </cell>
          <cell r="E267" t="str">
            <v>TAG Painting Contractors Limited</v>
          </cell>
          <cell r="F267" t="str">
            <v>Subcontractor</v>
          </cell>
          <cell r="G267" t="str">
            <v>22/10/2021</v>
          </cell>
          <cell r="H267" t="str">
            <v>Part</v>
          </cell>
          <cell r="I267" t="str">
            <v/>
          </cell>
          <cell r="J267">
            <v>368</v>
          </cell>
          <cell r="K267">
            <v>73.599999999999994</v>
          </cell>
          <cell r="L267">
            <v>368</v>
          </cell>
          <cell r="M267" t="str">
            <v/>
          </cell>
          <cell r="N267">
            <v>0</v>
          </cell>
        </row>
        <row r="268">
          <cell r="A268">
            <v>21946</v>
          </cell>
          <cell r="B268" t="str">
            <v>14/10/2021</v>
          </cell>
          <cell r="C268" t="str">
            <v>C1782</v>
          </cell>
          <cell r="D268" t="str">
            <v>Design, manufacture and installation of stainless steel gant</v>
          </cell>
          <cell r="E268" t="str">
            <v>Grove Engineering Services Limited</v>
          </cell>
          <cell r="F268" t="str">
            <v>Subcontractor</v>
          </cell>
          <cell r="G268" t="str">
            <v>08/11/2021</v>
          </cell>
          <cell r="H268" t="str">
            <v>Part</v>
          </cell>
          <cell r="I268" t="str">
            <v>Posted</v>
          </cell>
          <cell r="J268">
            <v>35144</v>
          </cell>
          <cell r="K268">
            <v>0</v>
          </cell>
          <cell r="L268">
            <v>36594</v>
          </cell>
          <cell r="M268" t="str">
            <v/>
          </cell>
          <cell r="N268">
            <v>-1450</v>
          </cell>
        </row>
        <row r="269">
          <cell r="A269">
            <v>21933</v>
          </cell>
          <cell r="B269" t="str">
            <v>13/10/2021</v>
          </cell>
          <cell r="C269" t="str">
            <v>C1705</v>
          </cell>
          <cell r="D269" t="str">
            <v>Works As Quotation CF/18145/KEYIS</v>
          </cell>
          <cell r="E269" t="str">
            <v>Complete Cooling Services Limited</v>
          </cell>
          <cell r="F269" t="str">
            <v>Subcontractor</v>
          </cell>
          <cell r="G269" t="str">
            <v>27/10/2021</v>
          </cell>
          <cell r="H269" t="str">
            <v>Part</v>
          </cell>
          <cell r="I269" t="str">
            <v/>
          </cell>
          <cell r="J269">
            <v>1779</v>
          </cell>
          <cell r="K269">
            <v>0</v>
          </cell>
          <cell r="L269">
            <v>1779</v>
          </cell>
          <cell r="M269" t="str">
            <v/>
          </cell>
          <cell r="N269">
            <v>0</v>
          </cell>
        </row>
        <row r="270">
          <cell r="A270">
            <v>21919</v>
          </cell>
          <cell r="B270" t="str">
            <v>11/10/2021</v>
          </cell>
          <cell r="C270" t="str">
            <v>C1777</v>
          </cell>
          <cell r="D270" t="str">
            <v xml:space="preserve">Electrical float switch </v>
          </cell>
          <cell r="E270" t="str">
            <v>Harroquip Pump Systems</v>
          </cell>
          <cell r="F270" t="str">
            <v>Subcontractor</v>
          </cell>
          <cell r="G270" t="str">
            <v>12/10/2021</v>
          </cell>
          <cell r="H270" t="str">
            <v>Part</v>
          </cell>
          <cell r="I270" t="str">
            <v/>
          </cell>
          <cell r="J270">
            <v>96</v>
          </cell>
          <cell r="K270">
            <v>0</v>
          </cell>
          <cell r="L270">
            <v>96</v>
          </cell>
          <cell r="M270" t="str">
            <v/>
          </cell>
          <cell r="N270">
            <v>0</v>
          </cell>
        </row>
        <row r="271">
          <cell r="A271">
            <v>22186</v>
          </cell>
          <cell r="B271" t="str">
            <v>10/10/2021</v>
          </cell>
          <cell r="C271" t="str">
            <v>C1778</v>
          </cell>
          <cell r="D271" t="str">
            <v>INSTALLATION OF DUCTWORK</v>
          </cell>
          <cell r="E271" t="str">
            <v>JTC Ductwork Solutions Limited</v>
          </cell>
          <cell r="F271" t="str">
            <v>Subcontractor</v>
          </cell>
          <cell r="G271" t="str">
            <v/>
          </cell>
          <cell r="H271" t="str">
            <v>Part</v>
          </cell>
          <cell r="I271" t="str">
            <v/>
          </cell>
          <cell r="J271">
            <v>3360</v>
          </cell>
          <cell r="K271">
            <v>0</v>
          </cell>
          <cell r="L271">
            <v>5360</v>
          </cell>
          <cell r="M271" t="str">
            <v/>
          </cell>
          <cell r="N271">
            <v>-2000</v>
          </cell>
        </row>
        <row r="272">
          <cell r="A272">
            <v>21885</v>
          </cell>
          <cell r="B272" t="str">
            <v>04/10/2021</v>
          </cell>
          <cell r="C272" t="str">
            <v>C1784</v>
          </cell>
          <cell r="D272" t="str">
            <v xml:space="preserve">Supply &amp; Install Above Ground Pipework quote : A66109/CT </v>
          </cell>
          <cell r="E272" t="str">
            <v>Apex Mechanical Limited</v>
          </cell>
          <cell r="F272" t="str">
            <v>Subcontractor</v>
          </cell>
          <cell r="G272" t="str">
            <v>04/10/2021</v>
          </cell>
          <cell r="H272" t="str">
            <v>Part</v>
          </cell>
          <cell r="I272" t="str">
            <v>Posted</v>
          </cell>
          <cell r="J272">
            <v>50765</v>
          </cell>
          <cell r="K272">
            <v>0</v>
          </cell>
          <cell r="L272">
            <v>58955</v>
          </cell>
          <cell r="M272" t="str">
            <v/>
          </cell>
          <cell r="N272">
            <v>-8190</v>
          </cell>
        </row>
        <row r="273">
          <cell r="A273">
            <v>21884</v>
          </cell>
          <cell r="B273" t="str">
            <v>04/10/2021</v>
          </cell>
          <cell r="C273" t="str">
            <v>C1746</v>
          </cell>
          <cell r="D273" t="str">
            <v>Call out to heaters</v>
          </cell>
          <cell r="E273" t="str">
            <v>Key Integrated Services Maintenance Limited</v>
          </cell>
          <cell r="F273" t="str">
            <v>Subcontractor</v>
          </cell>
          <cell r="G273" t="str">
            <v/>
          </cell>
          <cell r="H273" t="str">
            <v/>
          </cell>
          <cell r="I273" t="str">
            <v/>
          </cell>
          <cell r="J273">
            <v>80</v>
          </cell>
          <cell r="K273">
            <v>16</v>
          </cell>
          <cell r="L273">
            <v>80</v>
          </cell>
          <cell r="M273" t="str">
            <v/>
          </cell>
          <cell r="N273">
            <v>0</v>
          </cell>
        </row>
        <row r="274">
          <cell r="A274">
            <v>21880</v>
          </cell>
          <cell r="B274" t="str">
            <v>04/10/2021</v>
          </cell>
          <cell r="C274" t="str">
            <v>C1771</v>
          </cell>
          <cell r="D274" t="str">
            <v>1.</v>
          </cell>
          <cell r="E274" t="str">
            <v>All Counties Commissioning Limited</v>
          </cell>
          <cell r="F274" t="str">
            <v>Subcontractor</v>
          </cell>
          <cell r="G274" t="str">
            <v>06/10/2021</v>
          </cell>
          <cell r="H274" t="str">
            <v>Complete</v>
          </cell>
          <cell r="I274" t="str">
            <v/>
          </cell>
          <cell r="J274">
            <v>0</v>
          </cell>
          <cell r="K274">
            <v>0</v>
          </cell>
          <cell r="L274">
            <v>0</v>
          </cell>
          <cell r="M274" t="str">
            <v/>
          </cell>
          <cell r="N274">
            <v>0</v>
          </cell>
        </row>
        <row r="275">
          <cell r="A275">
            <v>21868</v>
          </cell>
          <cell r="B275" t="str">
            <v>30/09/2021</v>
          </cell>
          <cell r="C275" t="str">
            <v>C1733</v>
          </cell>
          <cell r="D275" t="str">
            <v>Mech controls wiring</v>
          </cell>
          <cell r="E275" t="str">
            <v>Key Integrated Services (Electrical) Ltd</v>
          </cell>
          <cell r="F275" t="str">
            <v>Subcontractor</v>
          </cell>
          <cell r="G275" t="str">
            <v/>
          </cell>
          <cell r="H275" t="str">
            <v>Complete</v>
          </cell>
          <cell r="I275" t="str">
            <v/>
          </cell>
          <cell r="J275">
            <v>0</v>
          </cell>
          <cell r="K275">
            <v>0</v>
          </cell>
          <cell r="L275">
            <v>0</v>
          </cell>
          <cell r="M275" t="str">
            <v/>
          </cell>
          <cell r="N275">
            <v>0</v>
          </cell>
        </row>
        <row r="276">
          <cell r="A276">
            <v>21851</v>
          </cell>
          <cell r="B276" t="str">
            <v>28/09/2021</v>
          </cell>
          <cell r="C276" t="str">
            <v>C1777</v>
          </cell>
          <cell r="D276" t="str">
            <v xml:space="preserve">Ductwork &amp; insulated sleeves, external louver install </v>
          </cell>
          <cell r="E276" t="str">
            <v>Pipeline &amp; Ductwork Installations Limited</v>
          </cell>
          <cell r="F276" t="str">
            <v>Subcontractor</v>
          </cell>
          <cell r="G276" t="str">
            <v>29/09/2021</v>
          </cell>
          <cell r="H276" t="str">
            <v>Part</v>
          </cell>
          <cell r="I276" t="str">
            <v/>
          </cell>
          <cell r="J276">
            <v>644</v>
          </cell>
          <cell r="K276">
            <v>0</v>
          </cell>
          <cell r="L276">
            <v>0</v>
          </cell>
          <cell r="M276" t="str">
            <v/>
          </cell>
          <cell r="N276">
            <v>644</v>
          </cell>
        </row>
        <row r="277">
          <cell r="A277">
            <v>21846</v>
          </cell>
          <cell r="B277" t="str">
            <v>27/09/2021</v>
          </cell>
          <cell r="C277" t="str">
            <v>C1776</v>
          </cell>
          <cell r="D277" t="str">
            <v>feffve</v>
          </cell>
          <cell r="E277" t="str">
            <v>Marlowe Fire &amp; Security Limited</v>
          </cell>
          <cell r="F277" t="str">
            <v>Subcontractor</v>
          </cell>
          <cell r="G277" t="str">
            <v/>
          </cell>
          <cell r="H277" t="str">
            <v>Complete</v>
          </cell>
          <cell r="I277" t="str">
            <v/>
          </cell>
          <cell r="J277">
            <v>0</v>
          </cell>
          <cell r="K277">
            <v>0</v>
          </cell>
          <cell r="L277">
            <v>0</v>
          </cell>
          <cell r="M277" t="str">
            <v/>
          </cell>
          <cell r="N277">
            <v>0</v>
          </cell>
        </row>
        <row r="278">
          <cell r="A278">
            <v>21844</v>
          </cell>
          <cell r="B278" t="str">
            <v>27/09/2021</v>
          </cell>
          <cell r="C278" t="str">
            <v>C1776</v>
          </cell>
          <cell r="D278" t="str">
            <v>Decoration package as per our enquiry dated 01.09.21.</v>
          </cell>
          <cell r="E278" t="str">
            <v>TAG Painting Contractors Limited</v>
          </cell>
          <cell r="F278" t="str">
            <v>Subcontractor</v>
          </cell>
          <cell r="G278" t="str">
            <v/>
          </cell>
          <cell r="H278" t="str">
            <v/>
          </cell>
          <cell r="I278" t="str">
            <v/>
          </cell>
          <cell r="J278">
            <v>2121</v>
          </cell>
          <cell r="K278">
            <v>424.2</v>
          </cell>
          <cell r="L278">
            <v>2121</v>
          </cell>
          <cell r="M278" t="str">
            <v/>
          </cell>
          <cell r="N278">
            <v>0</v>
          </cell>
        </row>
        <row r="279">
          <cell r="A279">
            <v>21839</v>
          </cell>
          <cell r="B279" t="str">
            <v>24/09/2021</v>
          </cell>
          <cell r="C279" t="str">
            <v>C1776</v>
          </cell>
          <cell r="D279" t="str">
            <v>Joinery subcontract package</v>
          </cell>
          <cell r="E279" t="str">
            <v>Shire Projects Ltd</v>
          </cell>
          <cell r="F279" t="str">
            <v>Subcontractor</v>
          </cell>
          <cell r="G279" t="str">
            <v/>
          </cell>
          <cell r="H279" t="str">
            <v>Part</v>
          </cell>
          <cell r="I279" t="str">
            <v/>
          </cell>
          <cell r="J279">
            <v>11850</v>
          </cell>
          <cell r="K279">
            <v>0</v>
          </cell>
          <cell r="L279">
            <v>11850</v>
          </cell>
          <cell r="M279" t="str">
            <v/>
          </cell>
          <cell r="N279">
            <v>0</v>
          </cell>
        </row>
        <row r="280">
          <cell r="A280">
            <v>21830</v>
          </cell>
          <cell r="B280" t="str">
            <v>23/09/2021</v>
          </cell>
          <cell r="C280" t="str">
            <v>C1771</v>
          </cell>
          <cell r="D280" t="str">
            <v>To carry out the insulation requirements at the LCT Building</v>
          </cell>
          <cell r="E280" t="str">
            <v>Thermal Insulation Covers Ltd</v>
          </cell>
          <cell r="F280" t="str">
            <v>Subcontractor</v>
          </cell>
          <cell r="G280" t="str">
            <v>27/09/2021</v>
          </cell>
          <cell r="H280" t="str">
            <v>Part</v>
          </cell>
          <cell r="I280" t="str">
            <v/>
          </cell>
          <cell r="J280">
            <v>4743.08</v>
          </cell>
          <cell r="K280">
            <v>0</v>
          </cell>
          <cell r="L280">
            <v>4743.08</v>
          </cell>
          <cell r="M280" t="str">
            <v/>
          </cell>
          <cell r="N280">
            <v>0</v>
          </cell>
        </row>
        <row r="281">
          <cell r="A281">
            <v>21795</v>
          </cell>
          <cell r="B281" t="str">
            <v>17/09/2021</v>
          </cell>
          <cell r="C281" t="str">
            <v>C1777</v>
          </cell>
          <cell r="D281" t="str">
            <v xml:space="preserve">Installation of Heat recovery and Extract Fan System </v>
          </cell>
          <cell r="E281" t="str">
            <v>Pipeline &amp; Ductwork Installations Limited</v>
          </cell>
          <cell r="F281" t="str">
            <v>Subcontractor</v>
          </cell>
          <cell r="G281" t="str">
            <v>23/09/2021</v>
          </cell>
          <cell r="H281" t="str">
            <v>Part</v>
          </cell>
          <cell r="I281" t="str">
            <v/>
          </cell>
          <cell r="J281">
            <v>2244</v>
          </cell>
          <cell r="K281">
            <v>128.80000000000001</v>
          </cell>
          <cell r="L281">
            <v>2244</v>
          </cell>
          <cell r="M281" t="str">
            <v/>
          </cell>
          <cell r="N281">
            <v>0</v>
          </cell>
        </row>
        <row r="282">
          <cell r="A282">
            <v>21781</v>
          </cell>
          <cell r="B282" t="str">
            <v>16/09/2021</v>
          </cell>
          <cell r="C282" t="str">
            <v>C1733</v>
          </cell>
          <cell r="D282" t="str">
            <v>Vent commissioning</v>
          </cell>
          <cell r="E282" t="str">
            <v>New Era Commissioning Specialists Ltd</v>
          </cell>
          <cell r="F282" t="str">
            <v>Subcontractor</v>
          </cell>
          <cell r="G282" t="str">
            <v/>
          </cell>
          <cell r="H282" t="str">
            <v>Part</v>
          </cell>
          <cell r="I282" t="str">
            <v/>
          </cell>
          <cell r="J282">
            <v>400</v>
          </cell>
          <cell r="K282">
            <v>0</v>
          </cell>
          <cell r="L282">
            <v>400</v>
          </cell>
          <cell r="M282" t="str">
            <v/>
          </cell>
          <cell r="N282">
            <v>0</v>
          </cell>
        </row>
        <row r="283">
          <cell r="A283">
            <v>21779</v>
          </cell>
          <cell r="B283" t="str">
            <v>16/09/2021</v>
          </cell>
          <cell r="C283" t="str">
            <v>C1776</v>
          </cell>
          <cell r="D283" t="str">
            <v>450 dia flue penetration drilling.</v>
          </cell>
          <cell r="E283" t="str">
            <v>Concrete Drilling Services Limited</v>
          </cell>
          <cell r="F283" t="str">
            <v>Subcontractor</v>
          </cell>
          <cell r="G283" t="str">
            <v>22/09/2021</v>
          </cell>
          <cell r="H283" t="str">
            <v>Part</v>
          </cell>
          <cell r="I283" t="str">
            <v/>
          </cell>
          <cell r="J283">
            <v>400</v>
          </cell>
          <cell r="K283">
            <v>0</v>
          </cell>
          <cell r="L283">
            <v>400</v>
          </cell>
          <cell r="M283" t="str">
            <v/>
          </cell>
          <cell r="N283">
            <v>0</v>
          </cell>
        </row>
        <row r="284">
          <cell r="A284">
            <v>21768</v>
          </cell>
          <cell r="B284" t="str">
            <v>14/09/2021</v>
          </cell>
          <cell r="C284" t="str">
            <v>C1776</v>
          </cell>
          <cell r="D284" t="str">
            <v>Balancing of the New LTHW System.</v>
          </cell>
          <cell r="E284" t="str">
            <v>End Systems Limited</v>
          </cell>
          <cell r="F284" t="str">
            <v>Subcontractor</v>
          </cell>
          <cell r="G284" t="str">
            <v/>
          </cell>
          <cell r="H284" t="str">
            <v>Part</v>
          </cell>
          <cell r="I284" t="str">
            <v/>
          </cell>
          <cell r="J284">
            <v>2450</v>
          </cell>
          <cell r="K284">
            <v>0</v>
          </cell>
          <cell r="L284">
            <v>2450</v>
          </cell>
          <cell r="M284" t="str">
            <v/>
          </cell>
          <cell r="N284">
            <v>0</v>
          </cell>
        </row>
        <row r="285">
          <cell r="A285">
            <v>21759</v>
          </cell>
          <cell r="B285" t="str">
            <v>14/09/2021</v>
          </cell>
          <cell r="C285" t="str">
            <v>C1777</v>
          </cell>
          <cell r="D285" t="str">
            <v>Prelims &amp; Design</v>
          </cell>
          <cell r="E285" t="str">
            <v>Key Integrated Services North West Ltd</v>
          </cell>
          <cell r="F285" t="str">
            <v>Subcontractor</v>
          </cell>
          <cell r="G285" t="str">
            <v>04/10/2021</v>
          </cell>
          <cell r="H285" t="str">
            <v>Part</v>
          </cell>
          <cell r="I285" t="str">
            <v>Posted</v>
          </cell>
          <cell r="J285">
            <v>99892.42</v>
          </cell>
          <cell r="K285">
            <v>0</v>
          </cell>
          <cell r="L285">
            <v>104860.86</v>
          </cell>
          <cell r="M285" t="str">
            <v/>
          </cell>
          <cell r="N285">
            <v>-4968.4399999999996</v>
          </cell>
        </row>
        <row r="286">
          <cell r="A286">
            <v>21758</v>
          </cell>
          <cell r="B286" t="str">
            <v>14/09/2021</v>
          </cell>
          <cell r="C286" t="str">
            <v>C1776</v>
          </cell>
          <cell r="D286" t="str">
            <v>Thermal insulation package all as our enquiry dated 06.08.21</v>
          </cell>
          <cell r="E286" t="str">
            <v>Thermguard Insulation Limited</v>
          </cell>
          <cell r="F286" t="str">
            <v>Subcontractor</v>
          </cell>
          <cell r="G286" t="str">
            <v/>
          </cell>
          <cell r="H286" t="str">
            <v>Part</v>
          </cell>
          <cell r="I286" t="str">
            <v/>
          </cell>
          <cell r="J286">
            <v>4457</v>
          </cell>
          <cell r="K286">
            <v>0</v>
          </cell>
          <cell r="L286">
            <v>4457</v>
          </cell>
          <cell r="M286" t="str">
            <v/>
          </cell>
          <cell r="N286">
            <v>0</v>
          </cell>
        </row>
        <row r="287">
          <cell r="A287">
            <v>21757</v>
          </cell>
          <cell r="B287" t="str">
            <v>14/09/2021</v>
          </cell>
          <cell r="C287" t="str">
            <v>C1776</v>
          </cell>
          <cell r="D287" t="str">
            <v>Remove existing rooflight and upstand. Extend/make good roof</v>
          </cell>
          <cell r="E287" t="str">
            <v>Central Roofing and Building Services Limited</v>
          </cell>
          <cell r="F287" t="str">
            <v>Subcontractor</v>
          </cell>
          <cell r="G287" t="str">
            <v/>
          </cell>
          <cell r="H287" t="str">
            <v>Part</v>
          </cell>
          <cell r="I287" t="str">
            <v/>
          </cell>
          <cell r="J287">
            <v>5271.07</v>
          </cell>
          <cell r="K287">
            <v>0</v>
          </cell>
          <cell r="L287">
            <v>5271.07</v>
          </cell>
          <cell r="M287" t="str">
            <v/>
          </cell>
          <cell r="N287">
            <v>0</v>
          </cell>
        </row>
        <row r="288">
          <cell r="A288">
            <v>21743</v>
          </cell>
          <cell r="B288" t="str">
            <v>10/09/2021</v>
          </cell>
          <cell r="C288" t="str">
            <v>C1777</v>
          </cell>
          <cell r="D288" t="str">
            <v xml:space="preserve">Gas purge and commission </v>
          </cell>
          <cell r="E288" t="str">
            <v>Modern Heating Services Limited</v>
          </cell>
          <cell r="F288" t="str">
            <v>Subcontractor</v>
          </cell>
          <cell r="G288" t="str">
            <v>28/09/2021</v>
          </cell>
          <cell r="H288" t="str">
            <v>Part</v>
          </cell>
          <cell r="I288" t="str">
            <v/>
          </cell>
          <cell r="J288">
            <v>878.1</v>
          </cell>
          <cell r="K288">
            <v>0</v>
          </cell>
          <cell r="L288">
            <v>0</v>
          </cell>
          <cell r="M288" t="str">
            <v/>
          </cell>
          <cell r="N288">
            <v>878.1</v>
          </cell>
        </row>
        <row r="289">
          <cell r="A289">
            <v>21732</v>
          </cell>
          <cell r="B289" t="str">
            <v>09/09/2021</v>
          </cell>
          <cell r="C289" t="str">
            <v>C1777</v>
          </cell>
          <cell r="D289" t="str">
            <v xml:space="preserve">Domestic water chlorination </v>
          </cell>
          <cell r="E289" t="str">
            <v>MSB Hygiene Ltd</v>
          </cell>
          <cell r="F289" t="str">
            <v>Subcontractor</v>
          </cell>
          <cell r="G289" t="str">
            <v>27/09/2021</v>
          </cell>
          <cell r="H289" t="str">
            <v>Part</v>
          </cell>
          <cell r="I289" t="str">
            <v/>
          </cell>
          <cell r="J289">
            <v>500</v>
          </cell>
          <cell r="K289">
            <v>0</v>
          </cell>
          <cell r="L289">
            <v>0</v>
          </cell>
          <cell r="M289" t="str">
            <v/>
          </cell>
          <cell r="N289">
            <v>500</v>
          </cell>
        </row>
        <row r="290">
          <cell r="A290">
            <v>21730</v>
          </cell>
          <cell r="B290" t="str">
            <v>09/09/2021</v>
          </cell>
          <cell r="C290" t="str">
            <v>C1773</v>
          </cell>
          <cell r="D290" t="str">
            <v>Air balancing</v>
          </cell>
          <cell r="E290" t="str">
            <v>New Era Commissioning Specialists Ltd</v>
          </cell>
          <cell r="F290" t="str">
            <v>Subcontractor</v>
          </cell>
          <cell r="G290" t="str">
            <v/>
          </cell>
          <cell r="H290" t="str">
            <v/>
          </cell>
          <cell r="I290" t="str">
            <v/>
          </cell>
          <cell r="J290">
            <v>600</v>
          </cell>
          <cell r="K290">
            <v>0</v>
          </cell>
          <cell r="L290">
            <v>600</v>
          </cell>
          <cell r="M290" t="str">
            <v/>
          </cell>
          <cell r="N290">
            <v>0</v>
          </cell>
        </row>
        <row r="291">
          <cell r="A291">
            <v>21712</v>
          </cell>
          <cell r="B291" t="str">
            <v>07/09/2021</v>
          </cell>
          <cell r="C291" t="str">
            <v>C1759</v>
          </cell>
          <cell r="D291" t="str">
            <v>1 off 107938 press kit</v>
          </cell>
          <cell r="E291" t="str">
            <v>ICS Cool Energy Ltd</v>
          </cell>
          <cell r="F291" t="str">
            <v>Subcontractor</v>
          </cell>
          <cell r="G291" t="str">
            <v>09/09/2021</v>
          </cell>
          <cell r="H291" t="str">
            <v>Part</v>
          </cell>
          <cell r="I291" t="str">
            <v/>
          </cell>
          <cell r="J291">
            <v>399.11</v>
          </cell>
          <cell r="K291">
            <v>0</v>
          </cell>
          <cell r="L291">
            <v>399.11</v>
          </cell>
          <cell r="M291" t="str">
            <v/>
          </cell>
          <cell r="N291">
            <v>0</v>
          </cell>
        </row>
        <row r="292">
          <cell r="A292">
            <v>21701</v>
          </cell>
          <cell r="B292" t="str">
            <v>06/09/2021</v>
          </cell>
          <cell r="C292" t="str">
            <v>C1777</v>
          </cell>
          <cell r="D292" t="str">
            <v>Stainless Steel brackets refer to quote 14710</v>
          </cell>
          <cell r="E292" t="str">
            <v>Defabs Engineering Ltd</v>
          </cell>
          <cell r="F292" t="str">
            <v>Subcontractor</v>
          </cell>
          <cell r="G292" t="str">
            <v/>
          </cell>
          <cell r="H292" t="str">
            <v/>
          </cell>
          <cell r="I292" t="str">
            <v/>
          </cell>
          <cell r="J292">
            <v>410</v>
          </cell>
          <cell r="K292">
            <v>82</v>
          </cell>
          <cell r="L292">
            <v>410</v>
          </cell>
          <cell r="M292" t="str">
            <v/>
          </cell>
          <cell r="N292">
            <v>0</v>
          </cell>
        </row>
        <row r="293">
          <cell r="A293">
            <v>21699</v>
          </cell>
          <cell r="B293" t="str">
            <v>06/09/2021</v>
          </cell>
          <cell r="C293" t="str">
            <v>C1747</v>
          </cell>
          <cell r="D293" t="str">
            <v>S/S Plate brackets refer to quote 14702</v>
          </cell>
          <cell r="E293" t="str">
            <v>Defabs Engineering Ltd</v>
          </cell>
          <cell r="F293" t="str">
            <v>Subcontractor</v>
          </cell>
          <cell r="G293" t="str">
            <v/>
          </cell>
          <cell r="H293" t="str">
            <v/>
          </cell>
          <cell r="I293" t="str">
            <v/>
          </cell>
          <cell r="J293">
            <v>1208</v>
          </cell>
          <cell r="K293">
            <v>241.6</v>
          </cell>
          <cell r="L293">
            <v>1208</v>
          </cell>
          <cell r="M293" t="str">
            <v/>
          </cell>
          <cell r="N293">
            <v>0</v>
          </cell>
        </row>
        <row r="294">
          <cell r="A294">
            <v>21698</v>
          </cell>
          <cell r="B294" t="str">
            <v>06/09/2021</v>
          </cell>
          <cell r="C294" t="str">
            <v>C1777</v>
          </cell>
          <cell r="D294" t="str">
            <v>S/S Brackets refer to quote 14702</v>
          </cell>
          <cell r="E294" t="str">
            <v>Defabs Engineering Ltd</v>
          </cell>
          <cell r="F294" t="str">
            <v>Subcontractor</v>
          </cell>
          <cell r="G294" t="str">
            <v/>
          </cell>
          <cell r="H294" t="str">
            <v>Part</v>
          </cell>
          <cell r="I294" t="str">
            <v/>
          </cell>
          <cell r="J294">
            <v>1712</v>
          </cell>
          <cell r="K294">
            <v>231.6</v>
          </cell>
          <cell r="L294">
            <v>1712</v>
          </cell>
          <cell r="M294" t="str">
            <v/>
          </cell>
          <cell r="N294">
            <v>0</v>
          </cell>
        </row>
        <row r="295">
          <cell r="A295">
            <v>21685</v>
          </cell>
          <cell r="B295" t="str">
            <v>01/09/2021</v>
          </cell>
          <cell r="C295" t="str">
            <v>C1776</v>
          </cell>
          <cell r="D295" t="str">
            <v>gcjgcj</v>
          </cell>
          <cell r="E295" t="str">
            <v>M &amp; R Painting Contractors Limited</v>
          </cell>
          <cell r="F295" t="str">
            <v>Subcontractor</v>
          </cell>
          <cell r="G295" t="str">
            <v/>
          </cell>
          <cell r="H295" t="str">
            <v>Complete</v>
          </cell>
          <cell r="I295" t="str">
            <v/>
          </cell>
          <cell r="J295">
            <v>0</v>
          </cell>
          <cell r="K295">
            <v>0</v>
          </cell>
          <cell r="L295">
            <v>0</v>
          </cell>
          <cell r="M295" t="str">
            <v/>
          </cell>
          <cell r="N295">
            <v>0</v>
          </cell>
        </row>
        <row r="296">
          <cell r="A296">
            <v>21684</v>
          </cell>
          <cell r="B296" t="str">
            <v>01/09/2021</v>
          </cell>
          <cell r="C296" t="str">
            <v>C1776</v>
          </cell>
          <cell r="D296" t="str">
            <v>bgbag</v>
          </cell>
          <cell r="E296" t="str">
            <v>Diamond Decorators</v>
          </cell>
          <cell r="F296" t="str">
            <v>Subcontractor</v>
          </cell>
          <cell r="G296" t="str">
            <v/>
          </cell>
          <cell r="H296" t="str">
            <v/>
          </cell>
          <cell r="I296" t="str">
            <v/>
          </cell>
          <cell r="J296">
            <v>0</v>
          </cell>
          <cell r="K296">
            <v>0</v>
          </cell>
          <cell r="L296">
            <v>0</v>
          </cell>
          <cell r="M296" t="str">
            <v/>
          </cell>
          <cell r="N296">
            <v>0</v>
          </cell>
        </row>
        <row r="297">
          <cell r="A297">
            <v>21669</v>
          </cell>
          <cell r="B297" t="str">
            <v>27/08/2021</v>
          </cell>
          <cell r="C297" t="str">
            <v>C1756</v>
          </cell>
          <cell r="D297" t="str">
            <v>TIC Insulation quotation 27/08/21</v>
          </cell>
          <cell r="E297" t="str">
            <v>Thermal Insulation Covers Ltd</v>
          </cell>
          <cell r="F297" t="str">
            <v>Subcontractor</v>
          </cell>
          <cell r="G297" t="str">
            <v>31/08/2021</v>
          </cell>
          <cell r="H297" t="str">
            <v>Part</v>
          </cell>
          <cell r="I297" t="str">
            <v/>
          </cell>
          <cell r="J297">
            <v>15202</v>
          </cell>
          <cell r="K297">
            <v>0</v>
          </cell>
          <cell r="L297">
            <v>15202</v>
          </cell>
          <cell r="M297" t="str">
            <v/>
          </cell>
          <cell r="N297">
            <v>0</v>
          </cell>
        </row>
        <row r="298">
          <cell r="A298">
            <v>21642</v>
          </cell>
          <cell r="B298" t="str">
            <v>24/08/2021</v>
          </cell>
          <cell r="C298" t="str">
            <v>C1756</v>
          </cell>
          <cell r="D298" t="str">
            <v>BMS SC</v>
          </cell>
          <cell r="E298" t="str">
            <v>Detail Design Engineering Ltd</v>
          </cell>
          <cell r="F298" t="str">
            <v>Subcontractor</v>
          </cell>
          <cell r="G298" t="str">
            <v>31/08/2021</v>
          </cell>
          <cell r="H298" t="str">
            <v>Part</v>
          </cell>
          <cell r="I298" t="str">
            <v>Posted</v>
          </cell>
          <cell r="J298">
            <v>103813.32</v>
          </cell>
          <cell r="K298">
            <v>0</v>
          </cell>
          <cell r="L298">
            <v>103813.47</v>
          </cell>
          <cell r="M298" t="str">
            <v/>
          </cell>
          <cell r="N298">
            <v>-0.15</v>
          </cell>
        </row>
        <row r="299">
          <cell r="A299">
            <v>21636</v>
          </cell>
          <cell r="B299" t="str">
            <v>23/08/2021</v>
          </cell>
          <cell r="C299" t="str">
            <v>C1776</v>
          </cell>
          <cell r="D299" t="str">
            <v>Vinyl flooring repairs and making good in Boys &amp; Girls Chang</v>
          </cell>
          <cell r="E299" t="str">
            <v>Vestis Contract Flooring Ltd</v>
          </cell>
          <cell r="F299" t="str">
            <v>Subcontractor</v>
          </cell>
          <cell r="G299" t="str">
            <v>20/09/2021</v>
          </cell>
          <cell r="H299" t="str">
            <v>Part</v>
          </cell>
          <cell r="I299" t="str">
            <v/>
          </cell>
          <cell r="J299">
            <v>1292.4000000000001</v>
          </cell>
          <cell r="K299">
            <v>258.48</v>
          </cell>
          <cell r="L299">
            <v>1292.4000000000001</v>
          </cell>
          <cell r="M299" t="str">
            <v/>
          </cell>
          <cell r="N299">
            <v>0</v>
          </cell>
        </row>
        <row r="300">
          <cell r="A300">
            <v>21630</v>
          </cell>
          <cell r="B300" t="str">
            <v>23/08/2021</v>
          </cell>
          <cell r="C300" t="str">
            <v>C1776</v>
          </cell>
          <cell r="D300" t="str">
            <v>Fully louvred replacement boiler house door, all as drg 705_</v>
          </cell>
          <cell r="E300" t="str">
            <v>Shire Projects Ltd</v>
          </cell>
          <cell r="F300" t="str">
            <v>Subcontractor</v>
          </cell>
          <cell r="G300" t="str">
            <v/>
          </cell>
          <cell r="H300" t="str">
            <v>Part</v>
          </cell>
          <cell r="I300" t="str">
            <v/>
          </cell>
          <cell r="J300">
            <v>1911</v>
          </cell>
          <cell r="K300">
            <v>0</v>
          </cell>
          <cell r="L300">
            <v>1911</v>
          </cell>
          <cell r="M300" t="str">
            <v/>
          </cell>
          <cell r="N300">
            <v>0</v>
          </cell>
        </row>
        <row r="301">
          <cell r="A301">
            <v>21629</v>
          </cell>
          <cell r="B301" t="str">
            <v>23/08/2021</v>
          </cell>
          <cell r="C301" t="str">
            <v>C1759</v>
          </cell>
          <cell r="D301" t="str">
            <v>Insulation works at TWS</v>
          </cell>
          <cell r="E301" t="str">
            <v>Thermal Insulation Covers Ltd</v>
          </cell>
          <cell r="F301" t="str">
            <v>Subcontractor</v>
          </cell>
          <cell r="G301" t="str">
            <v>31/08/2021</v>
          </cell>
          <cell r="H301" t="str">
            <v/>
          </cell>
          <cell r="I301" t="str">
            <v/>
          </cell>
          <cell r="J301">
            <v>14750</v>
          </cell>
          <cell r="K301">
            <v>0</v>
          </cell>
          <cell r="L301">
            <v>14750</v>
          </cell>
          <cell r="M301" t="str">
            <v/>
          </cell>
          <cell r="N301">
            <v>0</v>
          </cell>
        </row>
        <row r="302">
          <cell r="A302">
            <v>21624</v>
          </cell>
          <cell r="B302" t="str">
            <v>23/08/2021</v>
          </cell>
          <cell r="C302" t="str">
            <v>C1759</v>
          </cell>
          <cell r="D302" t="str">
            <v>Chlorination &amp; Chiller Glycol filling works at TWS Conway</v>
          </cell>
          <cell r="E302" t="str">
            <v>New Era Commissioning Specialists Ltd</v>
          </cell>
          <cell r="F302" t="str">
            <v>Subcontractor</v>
          </cell>
          <cell r="G302" t="str">
            <v>20/09/2021</v>
          </cell>
          <cell r="H302" t="str">
            <v>Part</v>
          </cell>
          <cell r="I302" t="str">
            <v/>
          </cell>
          <cell r="J302">
            <v>2500</v>
          </cell>
          <cell r="K302">
            <v>0</v>
          </cell>
          <cell r="L302">
            <v>2500</v>
          </cell>
          <cell r="M302" t="str">
            <v/>
          </cell>
          <cell r="N302">
            <v>0</v>
          </cell>
        </row>
        <row r="303">
          <cell r="A303">
            <v>21619</v>
          </cell>
          <cell r="B303" t="str">
            <v>20/08/2021</v>
          </cell>
          <cell r="C303" t="str">
            <v>C1776</v>
          </cell>
          <cell r="D303" t="str">
            <v>Supply and install boiler flue system as KIS subcontract enq</v>
          </cell>
          <cell r="E303" t="str">
            <v>Flue-Stax Ltd</v>
          </cell>
          <cell r="F303" t="str">
            <v>Subcontractor</v>
          </cell>
          <cell r="G303" t="str">
            <v/>
          </cell>
          <cell r="H303" t="str">
            <v>Part</v>
          </cell>
          <cell r="I303" t="str">
            <v/>
          </cell>
          <cell r="J303">
            <v>2585</v>
          </cell>
          <cell r="K303">
            <v>0</v>
          </cell>
          <cell r="L303">
            <v>2585</v>
          </cell>
          <cell r="M303" t="str">
            <v/>
          </cell>
          <cell r="N303">
            <v>0</v>
          </cell>
        </row>
        <row r="304">
          <cell r="A304">
            <v>21598</v>
          </cell>
          <cell r="B304" t="str">
            <v>17/08/2021</v>
          </cell>
          <cell r="C304" t="str">
            <v>C1776</v>
          </cell>
          <cell r="D304" t="str">
            <v>Pipework hole drilling services additional visit.</v>
          </cell>
          <cell r="E304" t="str">
            <v>Concrete Drilling Services Limited</v>
          </cell>
          <cell r="F304" t="str">
            <v>Subcontractor</v>
          </cell>
          <cell r="G304" t="str">
            <v>18/08/2021</v>
          </cell>
          <cell r="H304" t="str">
            <v>Part</v>
          </cell>
          <cell r="I304" t="str">
            <v/>
          </cell>
          <cell r="J304">
            <v>900</v>
          </cell>
          <cell r="K304">
            <v>0</v>
          </cell>
          <cell r="L304">
            <v>900</v>
          </cell>
          <cell r="M304" t="str">
            <v/>
          </cell>
          <cell r="N304">
            <v>0</v>
          </cell>
        </row>
        <row r="305">
          <cell r="A305">
            <v>21609</v>
          </cell>
          <cell r="B305" t="str">
            <v>16/08/2021</v>
          </cell>
          <cell r="C305" t="str">
            <v>C1776</v>
          </cell>
          <cell r="D305" t="str">
            <v>Perform sample testing to ceiling fibreboard in Ground Floor</v>
          </cell>
          <cell r="E305" t="str">
            <v>MJW Asbestos Removal &amp; Re-Insulation Services Ltd</v>
          </cell>
          <cell r="F305" t="str">
            <v>Subcontractor</v>
          </cell>
          <cell r="G305" t="str">
            <v>16/08/2021</v>
          </cell>
          <cell r="H305" t="str">
            <v>Part</v>
          </cell>
          <cell r="I305" t="str">
            <v/>
          </cell>
          <cell r="J305">
            <v>146</v>
          </cell>
          <cell r="K305">
            <v>0</v>
          </cell>
          <cell r="L305">
            <v>146</v>
          </cell>
          <cell r="M305" t="str">
            <v/>
          </cell>
          <cell r="N305">
            <v>0</v>
          </cell>
        </row>
        <row r="306">
          <cell r="A306">
            <v>21592</v>
          </cell>
          <cell r="B306" t="str">
            <v>16/08/2021</v>
          </cell>
          <cell r="C306" t="str">
            <v>C1776</v>
          </cell>
          <cell r="D306" t="str">
            <v>a</v>
          </cell>
          <cell r="E306" t="str">
            <v>S &amp; P Scaffolding Limited</v>
          </cell>
          <cell r="F306" t="str">
            <v>Subcontractor</v>
          </cell>
          <cell r="G306" t="str">
            <v/>
          </cell>
          <cell r="H306" t="str">
            <v>Complete</v>
          </cell>
          <cell r="I306" t="str">
            <v/>
          </cell>
          <cell r="J306">
            <v>0</v>
          </cell>
          <cell r="K306">
            <v>0</v>
          </cell>
          <cell r="L306">
            <v>0</v>
          </cell>
          <cell r="M306" t="str">
            <v/>
          </cell>
          <cell r="N306">
            <v>0</v>
          </cell>
        </row>
        <row r="307">
          <cell r="A307">
            <v>21591</v>
          </cell>
          <cell r="B307" t="str">
            <v>16/08/2021</v>
          </cell>
          <cell r="C307" t="str">
            <v>C1777</v>
          </cell>
          <cell r="D307" t="str">
            <v>Insulation of pipework services refer to quote DPEM4592</v>
          </cell>
          <cell r="E307" t="str">
            <v>Thermguard Insulation Limited</v>
          </cell>
          <cell r="F307" t="str">
            <v>Subcontractor</v>
          </cell>
          <cell r="G307" t="str">
            <v>25/08/2021</v>
          </cell>
          <cell r="H307" t="str">
            <v>Part</v>
          </cell>
          <cell r="I307" t="str">
            <v/>
          </cell>
          <cell r="J307">
            <v>5620</v>
          </cell>
          <cell r="K307">
            <v>0</v>
          </cell>
          <cell r="L307">
            <v>5620</v>
          </cell>
          <cell r="M307" t="str">
            <v/>
          </cell>
          <cell r="N307">
            <v>0</v>
          </cell>
        </row>
        <row r="308">
          <cell r="A308">
            <v>21588</v>
          </cell>
          <cell r="B308" t="str">
            <v>15/08/2021</v>
          </cell>
          <cell r="C308" t="str">
            <v>C1773</v>
          </cell>
          <cell r="D308" t="str">
            <v>Lagging of domestic services</v>
          </cell>
          <cell r="E308" t="str">
            <v>Thermal Insulation Covers Ltd</v>
          </cell>
          <cell r="F308" t="str">
            <v>Subcontractor</v>
          </cell>
          <cell r="G308" t="str">
            <v/>
          </cell>
          <cell r="H308" t="str">
            <v>Part</v>
          </cell>
          <cell r="I308" t="str">
            <v/>
          </cell>
          <cell r="J308">
            <v>2321.5</v>
          </cell>
          <cell r="K308">
            <v>0</v>
          </cell>
          <cell r="L308">
            <v>2321.5</v>
          </cell>
          <cell r="M308" t="str">
            <v/>
          </cell>
          <cell r="N308">
            <v>0</v>
          </cell>
        </row>
        <row r="309">
          <cell r="A309">
            <v>21586</v>
          </cell>
          <cell r="B309" t="str">
            <v>15/08/2021</v>
          </cell>
          <cell r="C309" t="str">
            <v>C1756</v>
          </cell>
          <cell r="D309" t="str">
            <v>Car Park Vent System</v>
          </cell>
          <cell r="E309" t="str">
            <v>Kevin Hancox Limited</v>
          </cell>
          <cell r="F309" t="str">
            <v>Subcontractor</v>
          </cell>
          <cell r="G309" t="str">
            <v>23/08/2021</v>
          </cell>
          <cell r="H309" t="str">
            <v>Part</v>
          </cell>
          <cell r="I309" t="str">
            <v/>
          </cell>
          <cell r="J309">
            <v>50000</v>
          </cell>
          <cell r="K309">
            <v>0</v>
          </cell>
          <cell r="L309">
            <v>54000</v>
          </cell>
          <cell r="M309" t="str">
            <v/>
          </cell>
          <cell r="N309">
            <v>-4000</v>
          </cell>
        </row>
        <row r="310">
          <cell r="A310">
            <v>21579</v>
          </cell>
          <cell r="B310" t="str">
            <v>12/08/2021</v>
          </cell>
          <cell r="C310" t="str">
            <v>C1776</v>
          </cell>
          <cell r="D310" t="str">
            <v>Joinery works as directed by Norman Rolland to make good ser</v>
          </cell>
          <cell r="E310" t="str">
            <v>Shire Projects Ltd</v>
          </cell>
          <cell r="F310" t="str">
            <v>Subcontractor</v>
          </cell>
          <cell r="G310" t="str">
            <v>18/08/2021</v>
          </cell>
          <cell r="H310" t="str">
            <v>Part</v>
          </cell>
          <cell r="I310" t="str">
            <v/>
          </cell>
          <cell r="J310">
            <v>2083.84</v>
          </cell>
          <cell r="K310">
            <v>0</v>
          </cell>
          <cell r="L310">
            <v>2083.84</v>
          </cell>
          <cell r="M310" t="str">
            <v/>
          </cell>
          <cell r="N310">
            <v>0</v>
          </cell>
        </row>
        <row r="311">
          <cell r="A311">
            <v>21564</v>
          </cell>
          <cell r="B311" t="str">
            <v>12/08/2021</v>
          </cell>
          <cell r="C311" t="str">
            <v>C1773</v>
          </cell>
          <cell r="D311" t="str">
            <v>Pipework installation</v>
          </cell>
          <cell r="E311" t="str">
            <v>P More PHC Ltd</v>
          </cell>
          <cell r="F311" t="str">
            <v>Subcontractor</v>
          </cell>
          <cell r="G311" t="str">
            <v/>
          </cell>
          <cell r="H311" t="str">
            <v>Complete</v>
          </cell>
          <cell r="I311" t="str">
            <v/>
          </cell>
          <cell r="J311">
            <v>0</v>
          </cell>
          <cell r="K311">
            <v>0</v>
          </cell>
          <cell r="L311">
            <v>0</v>
          </cell>
          <cell r="M311" t="str">
            <v/>
          </cell>
          <cell r="N311">
            <v>0</v>
          </cell>
        </row>
        <row r="312">
          <cell r="A312">
            <v>21558</v>
          </cell>
          <cell r="B312" t="str">
            <v>10/08/2021</v>
          </cell>
          <cell r="C312" t="str">
            <v>C1776</v>
          </cell>
          <cell r="D312" t="str">
            <v>Pipework hole drilling services.</v>
          </cell>
          <cell r="E312" t="str">
            <v>Concrete Drilling Services Limited</v>
          </cell>
          <cell r="F312" t="str">
            <v>Subcontractor</v>
          </cell>
          <cell r="G312" t="str">
            <v>17/08/2021</v>
          </cell>
          <cell r="H312" t="str">
            <v>Complete</v>
          </cell>
          <cell r="I312" t="str">
            <v/>
          </cell>
          <cell r="J312">
            <v>0</v>
          </cell>
          <cell r="K312">
            <v>0</v>
          </cell>
          <cell r="L312">
            <v>0</v>
          </cell>
          <cell r="M312" t="str">
            <v/>
          </cell>
          <cell r="N312">
            <v>0</v>
          </cell>
        </row>
        <row r="313">
          <cell r="A313">
            <v>21540</v>
          </cell>
          <cell r="B313" t="str">
            <v>05/08/2021</v>
          </cell>
          <cell r="C313" t="str">
            <v>C1776</v>
          </cell>
          <cell r="D313" t="str">
            <v>BMS Subcontract Order</v>
          </cell>
          <cell r="E313" t="str">
            <v>Detail Design Engineering Ltd</v>
          </cell>
          <cell r="F313" t="str">
            <v>Subcontractor</v>
          </cell>
          <cell r="G313" t="str">
            <v>09/08/2021</v>
          </cell>
          <cell r="H313" t="str">
            <v>Part</v>
          </cell>
          <cell r="I313" t="str">
            <v>Posted</v>
          </cell>
          <cell r="J313">
            <v>41062.18</v>
          </cell>
          <cell r="K313">
            <v>0</v>
          </cell>
          <cell r="L313">
            <v>41061.379999999997</v>
          </cell>
          <cell r="M313" t="str">
            <v/>
          </cell>
          <cell r="N313">
            <v>0.8</v>
          </cell>
        </row>
        <row r="314">
          <cell r="A314">
            <v>21536</v>
          </cell>
          <cell r="B314" t="str">
            <v>05/08/2021</v>
          </cell>
          <cell r="C314" t="str">
            <v>C1735</v>
          </cell>
          <cell r="D314" t="str">
            <v>Lagging of new services - budget DW to confirm</v>
          </cell>
          <cell r="E314" t="str">
            <v>Thermal Insulation Covers Ltd</v>
          </cell>
          <cell r="F314" t="str">
            <v>Subcontractor</v>
          </cell>
          <cell r="G314" t="str">
            <v/>
          </cell>
          <cell r="H314" t="str">
            <v>Part</v>
          </cell>
          <cell r="I314" t="str">
            <v/>
          </cell>
          <cell r="J314">
            <v>6704</v>
          </cell>
          <cell r="K314">
            <v>0</v>
          </cell>
          <cell r="L314">
            <v>6704</v>
          </cell>
          <cell r="M314" t="str">
            <v/>
          </cell>
          <cell r="N314">
            <v>0</v>
          </cell>
        </row>
        <row r="315">
          <cell r="A315">
            <v>21534</v>
          </cell>
          <cell r="B315" t="str">
            <v>04/08/2021</v>
          </cell>
          <cell r="C315" t="str">
            <v>MC2115</v>
          </cell>
          <cell r="D315" t="str">
            <v>Electricin</v>
          </cell>
          <cell r="E315" t="str">
            <v>Viabl Ltd T/A Able</v>
          </cell>
          <cell r="F315" t="str">
            <v>Subcontractor</v>
          </cell>
          <cell r="G315" t="str">
            <v/>
          </cell>
          <cell r="H315" t="str">
            <v/>
          </cell>
          <cell r="I315" t="str">
            <v/>
          </cell>
          <cell r="J315">
            <v>172</v>
          </cell>
          <cell r="K315">
            <v>0</v>
          </cell>
          <cell r="L315">
            <v>0</v>
          </cell>
          <cell r="M315" t="str">
            <v/>
          </cell>
          <cell r="N315">
            <v>172</v>
          </cell>
        </row>
        <row r="316">
          <cell r="A316" t="str">
            <v/>
          </cell>
          <cell r="B316" t="str">
            <v>02/08/2021</v>
          </cell>
          <cell r="C316" t="str">
            <v>C1776</v>
          </cell>
          <cell r="D316" t="str">
            <v>Mechsnical installation subcontract package</v>
          </cell>
          <cell r="E316" t="str">
            <v>Apex Mechanical Limited</v>
          </cell>
          <cell r="F316" t="str">
            <v>Subcontractor</v>
          </cell>
          <cell r="G316" t="str">
            <v/>
          </cell>
          <cell r="H316" t="str">
            <v>Part</v>
          </cell>
          <cell r="I316" t="str">
            <v>Posted</v>
          </cell>
          <cell r="J316">
            <v>95940</v>
          </cell>
          <cell r="K316">
            <v>0</v>
          </cell>
          <cell r="L316">
            <v>95000</v>
          </cell>
          <cell r="M316" t="str">
            <v/>
          </cell>
          <cell r="N316">
            <v>940</v>
          </cell>
        </row>
        <row r="317">
          <cell r="A317">
            <v>21497</v>
          </cell>
          <cell r="B317" t="str">
            <v>30/07/2021</v>
          </cell>
          <cell r="C317" t="str">
            <v>C1776</v>
          </cell>
          <cell r="D317" t="str">
            <v>Under semi controlled conditions using H type vacuum equipme</v>
          </cell>
          <cell r="E317" t="str">
            <v>MJW Asbestos Removal &amp; Re-Insulation Services Ltd</v>
          </cell>
          <cell r="F317" t="str">
            <v>Subcontractor</v>
          </cell>
          <cell r="G317" t="str">
            <v>02/08/2021</v>
          </cell>
          <cell r="H317" t="str">
            <v>Part</v>
          </cell>
          <cell r="I317" t="str">
            <v/>
          </cell>
          <cell r="J317">
            <v>1448</v>
          </cell>
          <cell r="K317">
            <v>0</v>
          </cell>
          <cell r="L317">
            <v>1448</v>
          </cell>
          <cell r="M317" t="str">
            <v/>
          </cell>
          <cell r="N317">
            <v>0</v>
          </cell>
        </row>
        <row r="318">
          <cell r="A318">
            <v>21493</v>
          </cell>
          <cell r="B318" t="str">
            <v>30/07/2021</v>
          </cell>
          <cell r="C318" t="str">
            <v>C1754</v>
          </cell>
          <cell r="D318" t="str">
            <v>Compressed Air Diversion around Newly Formed Staircase</v>
          </cell>
          <cell r="E318" t="str">
            <v>Red Gray Engineering Limited</v>
          </cell>
          <cell r="F318" t="str">
            <v>Subcontractor</v>
          </cell>
          <cell r="G318" t="str">
            <v>16/08/2021</v>
          </cell>
          <cell r="H318" t="str">
            <v>Complete</v>
          </cell>
          <cell r="I318" t="str">
            <v/>
          </cell>
          <cell r="J318">
            <v>0</v>
          </cell>
          <cell r="K318">
            <v>0</v>
          </cell>
          <cell r="L318">
            <v>0</v>
          </cell>
          <cell r="M318" t="str">
            <v/>
          </cell>
          <cell r="N318">
            <v>0</v>
          </cell>
        </row>
        <row r="319">
          <cell r="A319">
            <v>21466</v>
          </cell>
          <cell r="B319" t="str">
            <v>27/07/2021</v>
          </cell>
          <cell r="C319" t="str">
            <v>C1747</v>
          </cell>
          <cell r="D319" t="str">
            <v>Water treatment of domestic water system, quote no: 21353</v>
          </cell>
          <cell r="E319" t="str">
            <v>MSB Hygiene Ltd</v>
          </cell>
          <cell r="F319" t="str">
            <v>Subcontractor</v>
          </cell>
          <cell r="G319" t="str">
            <v>09/08/2021</v>
          </cell>
          <cell r="H319" t="str">
            <v>Complete</v>
          </cell>
          <cell r="I319" t="str">
            <v/>
          </cell>
          <cell r="J319">
            <v>0</v>
          </cell>
          <cell r="K319">
            <v>0</v>
          </cell>
          <cell r="L319">
            <v>0</v>
          </cell>
          <cell r="M319" t="str">
            <v/>
          </cell>
          <cell r="N319">
            <v>0</v>
          </cell>
        </row>
        <row r="320">
          <cell r="A320">
            <v>21459</v>
          </cell>
          <cell r="B320" t="str">
            <v>27/07/2021</v>
          </cell>
          <cell r="C320" t="str">
            <v>MC2105</v>
          </cell>
          <cell r="D320" t="str">
            <v>Portable unit stopped working</v>
          </cell>
          <cell r="E320" t="str">
            <v>Commercial Temperature Solutions</v>
          </cell>
          <cell r="F320" t="str">
            <v>Subcontractor</v>
          </cell>
          <cell r="G320" t="str">
            <v/>
          </cell>
          <cell r="H320" t="str">
            <v/>
          </cell>
          <cell r="I320" t="str">
            <v/>
          </cell>
          <cell r="J320">
            <v>123</v>
          </cell>
          <cell r="K320">
            <v>0</v>
          </cell>
          <cell r="L320">
            <v>0</v>
          </cell>
          <cell r="M320" t="str">
            <v/>
          </cell>
          <cell r="N320">
            <v>123</v>
          </cell>
        </row>
        <row r="321">
          <cell r="A321">
            <v>21448</v>
          </cell>
          <cell r="B321" t="str">
            <v>23/07/2021</v>
          </cell>
          <cell r="C321" t="str">
            <v>C1756</v>
          </cell>
          <cell r="D321" t="str">
            <v>Apex SC Order</v>
          </cell>
          <cell r="E321" t="str">
            <v>Apex Mechanical Limited</v>
          </cell>
          <cell r="F321" t="str">
            <v>Subcontractor</v>
          </cell>
          <cell r="G321" t="str">
            <v>23/07/2021</v>
          </cell>
          <cell r="H321" t="str">
            <v>Part</v>
          </cell>
          <cell r="I321" t="str">
            <v/>
          </cell>
          <cell r="J321">
            <v>39000</v>
          </cell>
          <cell r="K321">
            <v>0</v>
          </cell>
          <cell r="L321">
            <v>39000</v>
          </cell>
          <cell r="M321" t="str">
            <v/>
          </cell>
          <cell r="N321">
            <v>0</v>
          </cell>
        </row>
        <row r="322">
          <cell r="A322">
            <v>21447</v>
          </cell>
          <cell r="B322" t="str">
            <v>23/07/2021</v>
          </cell>
          <cell r="C322" t="str">
            <v>C1771</v>
          </cell>
          <cell r="D322" t="str">
            <v>Labour</v>
          </cell>
          <cell r="E322" t="str">
            <v>SLJ Mechanical Services Limited</v>
          </cell>
          <cell r="F322" t="str">
            <v>Subcontractor</v>
          </cell>
          <cell r="G322" t="str">
            <v>02/08/2021</v>
          </cell>
          <cell r="H322" t="str">
            <v>Part</v>
          </cell>
          <cell r="I322" t="str">
            <v/>
          </cell>
          <cell r="J322">
            <v>28256</v>
          </cell>
          <cell r="K322">
            <v>0</v>
          </cell>
          <cell r="L322">
            <v>28256</v>
          </cell>
          <cell r="M322" t="str">
            <v/>
          </cell>
          <cell r="N322">
            <v>0</v>
          </cell>
        </row>
        <row r="323">
          <cell r="A323">
            <v>21435</v>
          </cell>
          <cell r="B323" t="str">
            <v>21/07/2021</v>
          </cell>
          <cell r="C323" t="str">
            <v>MC2110</v>
          </cell>
          <cell r="D323" t="str">
            <v xml:space="preserve">Replace wall mounted eml as per quotatiion </v>
          </cell>
          <cell r="E323" t="str">
            <v>Barrie Beard Ltd</v>
          </cell>
          <cell r="F323" t="str">
            <v>Subcontractor</v>
          </cell>
          <cell r="G323" t="str">
            <v/>
          </cell>
          <cell r="H323" t="str">
            <v/>
          </cell>
          <cell r="I323" t="str">
            <v/>
          </cell>
          <cell r="J323">
            <v>165</v>
          </cell>
          <cell r="K323">
            <v>0</v>
          </cell>
          <cell r="L323">
            <v>0</v>
          </cell>
          <cell r="M323" t="str">
            <v/>
          </cell>
          <cell r="N323">
            <v>165</v>
          </cell>
        </row>
        <row r="324">
          <cell r="A324">
            <v>21429</v>
          </cell>
          <cell r="B324" t="str">
            <v>20/07/2021</v>
          </cell>
          <cell r="C324" t="str">
            <v>MC2109</v>
          </cell>
          <cell r="D324" t="str">
            <v>July 2021 - Monthly L8</v>
          </cell>
          <cell r="E324" t="str">
            <v>Commercial Temperature Solutions</v>
          </cell>
          <cell r="F324" t="str">
            <v>Subcontractor</v>
          </cell>
          <cell r="G324" t="str">
            <v/>
          </cell>
          <cell r="H324" t="str">
            <v/>
          </cell>
          <cell r="I324" t="str">
            <v/>
          </cell>
          <cell r="J324">
            <v>80</v>
          </cell>
          <cell r="K324">
            <v>0</v>
          </cell>
          <cell r="L324">
            <v>0</v>
          </cell>
          <cell r="M324" t="str">
            <v/>
          </cell>
          <cell r="N324">
            <v>80</v>
          </cell>
        </row>
        <row r="325">
          <cell r="A325">
            <v>21425</v>
          </cell>
          <cell r="B325" t="str">
            <v>20/07/2021</v>
          </cell>
          <cell r="C325" t="str">
            <v>MC2105</v>
          </cell>
          <cell r="D325" t="str">
            <v>Carry out maintenance to 5 AC Units</v>
          </cell>
          <cell r="E325" t="str">
            <v>Commercial Temperature Solutions</v>
          </cell>
          <cell r="F325" t="str">
            <v>Subcontractor</v>
          </cell>
          <cell r="G325" t="str">
            <v/>
          </cell>
          <cell r="H325" t="str">
            <v>Complete</v>
          </cell>
          <cell r="I325" t="str">
            <v/>
          </cell>
          <cell r="J325">
            <v>0</v>
          </cell>
          <cell r="K325">
            <v>0</v>
          </cell>
          <cell r="L325">
            <v>0</v>
          </cell>
          <cell r="M325" t="str">
            <v/>
          </cell>
          <cell r="N325">
            <v>0</v>
          </cell>
        </row>
        <row r="326">
          <cell r="A326">
            <v>21398</v>
          </cell>
          <cell r="B326" t="str">
            <v>16/07/2021</v>
          </cell>
          <cell r="C326" t="str">
            <v>C1743</v>
          </cell>
          <cell r="D326" t="str">
            <v xml:space="preserve">Insulate sweating battery extract vent </v>
          </cell>
          <cell r="E326" t="str">
            <v>Thermal Insulation Covers Ltd</v>
          </cell>
          <cell r="F326" t="str">
            <v>Subcontractor</v>
          </cell>
          <cell r="G326" t="str">
            <v>22/07/2021</v>
          </cell>
          <cell r="H326" t="str">
            <v/>
          </cell>
          <cell r="I326" t="str">
            <v/>
          </cell>
          <cell r="J326">
            <v>500</v>
          </cell>
          <cell r="K326">
            <v>0</v>
          </cell>
          <cell r="L326">
            <v>500</v>
          </cell>
          <cell r="M326" t="str">
            <v/>
          </cell>
          <cell r="N326">
            <v>0</v>
          </cell>
        </row>
        <row r="327">
          <cell r="A327">
            <v>21381</v>
          </cell>
          <cell r="B327" t="str">
            <v>14/07/2021</v>
          </cell>
          <cell r="C327" t="str">
            <v>MC2119</v>
          </cell>
          <cell r="D327" t="str">
            <v>Lift Maintenance</v>
          </cell>
          <cell r="E327" t="str">
            <v>Ansa Elevators Limited</v>
          </cell>
          <cell r="F327" t="str">
            <v>Subcontractor</v>
          </cell>
          <cell r="G327" t="str">
            <v/>
          </cell>
          <cell r="H327" t="str">
            <v>Complete</v>
          </cell>
          <cell r="I327" t="str">
            <v/>
          </cell>
          <cell r="J327">
            <v>0</v>
          </cell>
          <cell r="K327">
            <v>0</v>
          </cell>
          <cell r="L327">
            <v>0</v>
          </cell>
          <cell r="M327" t="str">
            <v/>
          </cell>
          <cell r="N327">
            <v>0</v>
          </cell>
        </row>
        <row r="328">
          <cell r="A328">
            <v>21375</v>
          </cell>
          <cell r="B328" t="str">
            <v>14/07/2021</v>
          </cell>
          <cell r="C328" t="str">
            <v>MC2115</v>
          </cell>
          <cell r="D328" t="str">
            <v xml:space="preserve">Replace internal shoot bolts in main entrance doors </v>
          </cell>
          <cell r="E328" t="str">
            <v>Viabl Ltd T/A Able</v>
          </cell>
          <cell r="F328" t="str">
            <v>Subcontractor</v>
          </cell>
          <cell r="G328" t="str">
            <v/>
          </cell>
          <cell r="H328" t="str">
            <v/>
          </cell>
          <cell r="I328" t="str">
            <v/>
          </cell>
          <cell r="J328">
            <v>645</v>
          </cell>
          <cell r="K328">
            <v>0</v>
          </cell>
          <cell r="L328">
            <v>0</v>
          </cell>
          <cell r="M328" t="str">
            <v/>
          </cell>
          <cell r="N328">
            <v>645</v>
          </cell>
        </row>
        <row r="329">
          <cell r="A329">
            <v>21372</v>
          </cell>
          <cell r="B329" t="str">
            <v>14/07/2021</v>
          </cell>
          <cell r="C329" t="str">
            <v>MC2105</v>
          </cell>
          <cell r="D329" t="str">
            <v>air con unit in one of our consult rooms appears to be leaki</v>
          </cell>
          <cell r="E329" t="str">
            <v>Commercial Temperature Solutions</v>
          </cell>
          <cell r="F329" t="str">
            <v>Subcontractor</v>
          </cell>
          <cell r="G329" t="str">
            <v/>
          </cell>
          <cell r="H329" t="str">
            <v>Complete</v>
          </cell>
          <cell r="I329" t="str">
            <v/>
          </cell>
          <cell r="J329">
            <v>0</v>
          </cell>
          <cell r="K329">
            <v>0</v>
          </cell>
          <cell r="L329">
            <v>0</v>
          </cell>
          <cell r="M329" t="str">
            <v/>
          </cell>
          <cell r="N329">
            <v>0</v>
          </cell>
        </row>
        <row r="330">
          <cell r="A330">
            <v>21364</v>
          </cell>
          <cell r="B330" t="str">
            <v>13/07/2021</v>
          </cell>
          <cell r="C330" t="str">
            <v>MC2115</v>
          </cell>
          <cell r="D330" t="str">
            <v>Carry out annual EML test</v>
          </cell>
          <cell r="E330" t="str">
            <v>Lantei Ltd</v>
          </cell>
          <cell r="F330" t="str">
            <v>Subcontractor</v>
          </cell>
          <cell r="G330" t="str">
            <v/>
          </cell>
          <cell r="H330" t="str">
            <v>Part</v>
          </cell>
          <cell r="I330" t="str">
            <v/>
          </cell>
          <cell r="J330">
            <v>280</v>
          </cell>
          <cell r="K330">
            <v>56</v>
          </cell>
          <cell r="L330">
            <v>0</v>
          </cell>
          <cell r="M330" t="str">
            <v/>
          </cell>
          <cell r="N330">
            <v>280</v>
          </cell>
        </row>
        <row r="331">
          <cell r="A331">
            <v>21363</v>
          </cell>
          <cell r="B331" t="str">
            <v>13/07/2021</v>
          </cell>
          <cell r="C331" t="str">
            <v>MC2115</v>
          </cell>
          <cell r="D331" t="str">
            <v>Carry out annual EML test</v>
          </cell>
          <cell r="E331" t="str">
            <v>Lantei Ltd</v>
          </cell>
          <cell r="F331" t="str">
            <v>Subcontractor</v>
          </cell>
          <cell r="G331" t="str">
            <v/>
          </cell>
          <cell r="H331" t="str">
            <v>Part</v>
          </cell>
          <cell r="I331" t="str">
            <v/>
          </cell>
          <cell r="J331">
            <v>280</v>
          </cell>
          <cell r="K331">
            <v>56</v>
          </cell>
          <cell r="L331">
            <v>0</v>
          </cell>
          <cell r="M331" t="str">
            <v/>
          </cell>
          <cell r="N331">
            <v>280</v>
          </cell>
        </row>
        <row r="332">
          <cell r="A332">
            <v>21362</v>
          </cell>
          <cell r="B332" t="str">
            <v>13/07/2021</v>
          </cell>
          <cell r="C332" t="str">
            <v>MC2115</v>
          </cell>
          <cell r="D332" t="str">
            <v>Carry out annual EML test</v>
          </cell>
          <cell r="E332" t="str">
            <v>Lantei Ltd</v>
          </cell>
          <cell r="F332" t="str">
            <v>Subcontractor</v>
          </cell>
          <cell r="G332" t="str">
            <v/>
          </cell>
          <cell r="H332" t="str">
            <v/>
          </cell>
          <cell r="I332" t="str">
            <v/>
          </cell>
          <cell r="J332">
            <v>280</v>
          </cell>
          <cell r="K332">
            <v>56</v>
          </cell>
          <cell r="L332">
            <v>0</v>
          </cell>
          <cell r="M332" t="str">
            <v/>
          </cell>
          <cell r="N332">
            <v>280</v>
          </cell>
        </row>
        <row r="333">
          <cell r="A333">
            <v>21361</v>
          </cell>
          <cell r="B333" t="str">
            <v>13/07/2021</v>
          </cell>
          <cell r="C333" t="str">
            <v>MC2115</v>
          </cell>
          <cell r="D333" t="str">
            <v>Carry out annual EML test</v>
          </cell>
          <cell r="E333" t="str">
            <v>Lantei Ltd</v>
          </cell>
          <cell r="F333" t="str">
            <v>Subcontractor</v>
          </cell>
          <cell r="G333" t="str">
            <v/>
          </cell>
          <cell r="H333" t="str">
            <v/>
          </cell>
          <cell r="I333" t="str">
            <v/>
          </cell>
          <cell r="J333">
            <v>280</v>
          </cell>
          <cell r="K333">
            <v>56</v>
          </cell>
          <cell r="L333">
            <v>0</v>
          </cell>
          <cell r="M333" t="str">
            <v/>
          </cell>
          <cell r="N333">
            <v>280</v>
          </cell>
        </row>
        <row r="334">
          <cell r="A334">
            <v>21340</v>
          </cell>
          <cell r="B334" t="str">
            <v>12/07/2021</v>
          </cell>
          <cell r="C334" t="str">
            <v>MC2115</v>
          </cell>
          <cell r="D334" t="str">
            <v>Cover call out</v>
          </cell>
          <cell r="E334" t="str">
            <v>Viabl Ltd T/A Able</v>
          </cell>
          <cell r="F334" t="str">
            <v>Subcontractor</v>
          </cell>
          <cell r="G334" t="str">
            <v/>
          </cell>
          <cell r="H334" t="str">
            <v/>
          </cell>
          <cell r="I334" t="str">
            <v/>
          </cell>
          <cell r="J334">
            <v>79</v>
          </cell>
          <cell r="K334">
            <v>0</v>
          </cell>
          <cell r="L334">
            <v>0</v>
          </cell>
          <cell r="M334" t="str">
            <v/>
          </cell>
          <cell r="N334">
            <v>79</v>
          </cell>
        </row>
        <row r="335">
          <cell r="A335">
            <v>21337</v>
          </cell>
          <cell r="B335" t="str">
            <v>09/07/2021</v>
          </cell>
          <cell r="C335" t="str">
            <v>MC2120</v>
          </cell>
          <cell r="D335" t="str">
            <v xml:space="preserve">Remedial Repairs Fire Alarms </v>
          </cell>
          <cell r="E335" t="str">
            <v>Marlowe Fire &amp; Security Limited</v>
          </cell>
          <cell r="F335" t="str">
            <v>Subcontractor</v>
          </cell>
          <cell r="G335" t="str">
            <v/>
          </cell>
          <cell r="H335" t="str">
            <v>Complete</v>
          </cell>
          <cell r="I335" t="str">
            <v/>
          </cell>
          <cell r="J335">
            <v>0</v>
          </cell>
          <cell r="K335">
            <v>0</v>
          </cell>
          <cell r="L335">
            <v>0</v>
          </cell>
          <cell r="M335" t="str">
            <v/>
          </cell>
          <cell r="N335">
            <v>0</v>
          </cell>
        </row>
        <row r="336">
          <cell r="A336">
            <v>21336</v>
          </cell>
          <cell r="B336" t="str">
            <v>09/07/2021</v>
          </cell>
          <cell r="C336" t="str">
            <v>MC2119</v>
          </cell>
          <cell r="D336" t="str">
            <v xml:space="preserve">Emergency fire Alarm Button - Key broken to disarm alarm </v>
          </cell>
          <cell r="E336" t="str">
            <v>Marlowe Fire &amp; Security Limited</v>
          </cell>
          <cell r="F336" t="str">
            <v>Subcontractor</v>
          </cell>
          <cell r="G336" t="str">
            <v/>
          </cell>
          <cell r="H336" t="str">
            <v>Part</v>
          </cell>
          <cell r="I336" t="str">
            <v/>
          </cell>
          <cell r="J336">
            <v>50</v>
          </cell>
          <cell r="K336">
            <v>0</v>
          </cell>
          <cell r="L336">
            <v>0</v>
          </cell>
          <cell r="M336" t="str">
            <v/>
          </cell>
          <cell r="N336">
            <v>50</v>
          </cell>
        </row>
        <row r="337">
          <cell r="A337">
            <v>21329</v>
          </cell>
          <cell r="B337" t="str">
            <v>08/07/2021</v>
          </cell>
          <cell r="C337" t="str">
            <v>C1747</v>
          </cell>
          <cell r="D337" t="str">
            <v>Decommission existing gas system for strip out</v>
          </cell>
          <cell r="E337" t="str">
            <v>P More PHC Ltd</v>
          </cell>
          <cell r="F337" t="str">
            <v>Subcontractor</v>
          </cell>
          <cell r="G337" t="str">
            <v>13/07/2021</v>
          </cell>
          <cell r="H337" t="str">
            <v>Complete</v>
          </cell>
          <cell r="I337" t="str">
            <v/>
          </cell>
          <cell r="J337">
            <v>0</v>
          </cell>
          <cell r="K337">
            <v>0</v>
          </cell>
          <cell r="L337">
            <v>0</v>
          </cell>
          <cell r="M337" t="str">
            <v/>
          </cell>
          <cell r="N337">
            <v>0</v>
          </cell>
        </row>
        <row r="338">
          <cell r="A338">
            <v>21327</v>
          </cell>
          <cell r="B338" t="str">
            <v>08/07/2021</v>
          </cell>
          <cell r="C338" t="str">
            <v>MC2115</v>
          </cell>
          <cell r="D338" t="str">
            <v xml:space="preserve">unblocked macerator on 6th floor </v>
          </cell>
          <cell r="E338" t="str">
            <v>Viabl Ltd T/A Able</v>
          </cell>
          <cell r="F338" t="str">
            <v>Subcontractor</v>
          </cell>
          <cell r="G338" t="str">
            <v/>
          </cell>
          <cell r="H338" t="str">
            <v>Part</v>
          </cell>
          <cell r="I338" t="str">
            <v/>
          </cell>
          <cell r="J338">
            <v>288</v>
          </cell>
          <cell r="K338">
            <v>0</v>
          </cell>
          <cell r="L338">
            <v>0</v>
          </cell>
          <cell r="M338" t="str">
            <v/>
          </cell>
          <cell r="N338">
            <v>288</v>
          </cell>
        </row>
        <row r="339">
          <cell r="A339">
            <v>21324</v>
          </cell>
          <cell r="B339" t="str">
            <v>08/07/2021</v>
          </cell>
          <cell r="C339" t="str">
            <v>C1756</v>
          </cell>
          <cell r="D339" t="str">
            <v>de-gasing, reclaim &amp; make safe</v>
          </cell>
          <cell r="E339" t="str">
            <v>Aerocool Ltd</v>
          </cell>
          <cell r="F339" t="str">
            <v>Subcontractor</v>
          </cell>
          <cell r="G339" t="str">
            <v>19/07/2021</v>
          </cell>
          <cell r="H339" t="str">
            <v>Part</v>
          </cell>
          <cell r="I339" t="str">
            <v/>
          </cell>
          <cell r="J339">
            <v>1994</v>
          </cell>
          <cell r="K339">
            <v>0</v>
          </cell>
          <cell r="L339">
            <v>1994</v>
          </cell>
          <cell r="M339" t="str">
            <v/>
          </cell>
          <cell r="N339">
            <v>0</v>
          </cell>
        </row>
        <row r="340">
          <cell r="A340">
            <v>21323</v>
          </cell>
          <cell r="B340" t="str">
            <v>08/07/2021</v>
          </cell>
          <cell r="C340" t="str">
            <v>MC2115</v>
          </cell>
          <cell r="D340" t="str">
            <v xml:space="preserve">installation of free issue cctv </v>
          </cell>
          <cell r="E340" t="str">
            <v>Key Integrated Services (Electrical) Ltd</v>
          </cell>
          <cell r="F340" t="str">
            <v>Subcontractor</v>
          </cell>
          <cell r="G340" t="str">
            <v/>
          </cell>
          <cell r="H340" t="str">
            <v/>
          </cell>
          <cell r="I340" t="str">
            <v/>
          </cell>
          <cell r="J340">
            <v>190</v>
          </cell>
          <cell r="K340">
            <v>38</v>
          </cell>
          <cell r="L340">
            <v>0</v>
          </cell>
          <cell r="M340" t="str">
            <v/>
          </cell>
          <cell r="N340">
            <v>190</v>
          </cell>
        </row>
        <row r="341">
          <cell r="A341">
            <v>21320</v>
          </cell>
          <cell r="B341" t="str">
            <v>08/07/2021</v>
          </cell>
          <cell r="C341" t="str">
            <v>MC2120</v>
          </cell>
          <cell r="D341" t="str">
            <v xml:space="preserve">Fire Alarm Sounding off in Lift </v>
          </cell>
          <cell r="E341" t="str">
            <v>Marlowe Fire &amp; Security Limited</v>
          </cell>
          <cell r="F341" t="str">
            <v>Subcontractor</v>
          </cell>
          <cell r="G341" t="str">
            <v/>
          </cell>
          <cell r="H341" t="str">
            <v/>
          </cell>
          <cell r="I341" t="str">
            <v/>
          </cell>
          <cell r="J341">
            <v>85</v>
          </cell>
          <cell r="K341">
            <v>0</v>
          </cell>
          <cell r="L341">
            <v>0</v>
          </cell>
          <cell r="M341" t="str">
            <v/>
          </cell>
          <cell r="N341">
            <v>85</v>
          </cell>
        </row>
        <row r="342">
          <cell r="A342">
            <v>21319</v>
          </cell>
          <cell r="B342" t="str">
            <v>07/07/2021</v>
          </cell>
          <cell r="C342" t="str">
            <v>MC2115</v>
          </cell>
          <cell r="D342" t="str">
            <v>Replace 2no Macerators on the 7th Floor</v>
          </cell>
          <cell r="E342" t="str">
            <v>Viabl Ltd T/A Able</v>
          </cell>
          <cell r="F342" t="str">
            <v>Subcontractor</v>
          </cell>
          <cell r="G342" t="str">
            <v/>
          </cell>
          <cell r="H342" t="str">
            <v>Part</v>
          </cell>
          <cell r="I342" t="str">
            <v/>
          </cell>
          <cell r="J342">
            <v>2725</v>
          </cell>
          <cell r="K342">
            <v>0</v>
          </cell>
          <cell r="L342">
            <v>0</v>
          </cell>
          <cell r="M342" t="str">
            <v/>
          </cell>
          <cell r="N342">
            <v>2725</v>
          </cell>
        </row>
        <row r="343">
          <cell r="A343">
            <v>21317</v>
          </cell>
          <cell r="B343" t="str">
            <v>07/07/2021</v>
          </cell>
          <cell r="C343" t="str">
            <v>MC2119</v>
          </cell>
          <cell r="D343" t="str">
            <v>Attend site faulty fire alarm panel</v>
          </cell>
          <cell r="E343" t="str">
            <v>Marlowe Fire &amp; Security Limited</v>
          </cell>
          <cell r="F343" t="str">
            <v>Subcontractor</v>
          </cell>
          <cell r="G343" t="str">
            <v/>
          </cell>
          <cell r="H343" t="str">
            <v>Part</v>
          </cell>
          <cell r="I343" t="str">
            <v/>
          </cell>
          <cell r="J343">
            <v>85</v>
          </cell>
          <cell r="K343">
            <v>0</v>
          </cell>
          <cell r="L343">
            <v>0</v>
          </cell>
          <cell r="M343" t="str">
            <v/>
          </cell>
          <cell r="N343">
            <v>85</v>
          </cell>
        </row>
        <row r="344">
          <cell r="A344">
            <v>21305</v>
          </cell>
          <cell r="B344" t="str">
            <v>06/07/2021</v>
          </cell>
          <cell r="C344" t="str">
            <v>MC2115</v>
          </cell>
          <cell r="D344" t="str">
            <v>Replace EML lights</v>
          </cell>
          <cell r="E344" t="str">
            <v>Viabl Ltd T/A Able</v>
          </cell>
          <cell r="F344" t="str">
            <v>Subcontractor</v>
          </cell>
          <cell r="G344" t="str">
            <v/>
          </cell>
          <cell r="H344" t="str">
            <v>Part</v>
          </cell>
          <cell r="I344" t="str">
            <v/>
          </cell>
          <cell r="J344">
            <v>496</v>
          </cell>
          <cell r="K344">
            <v>0</v>
          </cell>
          <cell r="L344">
            <v>0</v>
          </cell>
          <cell r="M344" t="str">
            <v/>
          </cell>
          <cell r="N344">
            <v>496</v>
          </cell>
        </row>
        <row r="345">
          <cell r="A345">
            <v>21300</v>
          </cell>
          <cell r="B345" t="str">
            <v>06/07/2021</v>
          </cell>
          <cell r="C345" t="str">
            <v>C1747</v>
          </cell>
          <cell r="D345" t="str">
            <v xml:space="preserve">Insulation of Domestic Water services </v>
          </cell>
          <cell r="E345" t="str">
            <v>Thermal Insulation Covers Ltd</v>
          </cell>
          <cell r="F345" t="str">
            <v>Subcontractor</v>
          </cell>
          <cell r="G345" t="str">
            <v>19/07/2021</v>
          </cell>
          <cell r="H345" t="str">
            <v>Complete</v>
          </cell>
          <cell r="I345" t="str">
            <v/>
          </cell>
          <cell r="J345">
            <v>0</v>
          </cell>
          <cell r="K345">
            <v>0</v>
          </cell>
          <cell r="L345">
            <v>0</v>
          </cell>
          <cell r="M345" t="str">
            <v/>
          </cell>
          <cell r="N345">
            <v>0</v>
          </cell>
        </row>
        <row r="346">
          <cell r="A346">
            <v>21296</v>
          </cell>
          <cell r="B346" t="str">
            <v>06/07/2021</v>
          </cell>
          <cell r="C346" t="str">
            <v>MC2091</v>
          </cell>
          <cell r="D346" t="str">
            <v>carry out works your quote ref IR43423254</v>
          </cell>
          <cell r="E346" t="str">
            <v>Kone PLC</v>
          </cell>
          <cell r="F346" t="str">
            <v>Subcontractor</v>
          </cell>
          <cell r="G346" t="str">
            <v/>
          </cell>
          <cell r="H346" t="str">
            <v>Part</v>
          </cell>
          <cell r="I346" t="str">
            <v/>
          </cell>
          <cell r="J346">
            <v>770.64</v>
          </cell>
          <cell r="K346">
            <v>0</v>
          </cell>
          <cell r="L346">
            <v>0</v>
          </cell>
          <cell r="M346" t="str">
            <v/>
          </cell>
          <cell r="N346">
            <v>770.64</v>
          </cell>
        </row>
        <row r="347">
          <cell r="A347">
            <v>21273</v>
          </cell>
          <cell r="B347" t="str">
            <v>05/07/2021</v>
          </cell>
          <cell r="C347" t="str">
            <v>C1767</v>
          </cell>
          <cell r="D347" t="str">
            <v>Ductwork Insulation to MCC switchroom</v>
          </cell>
          <cell r="E347" t="str">
            <v>Thermal Insulation Covers Ltd</v>
          </cell>
          <cell r="F347" t="str">
            <v>Subcontractor</v>
          </cell>
          <cell r="G347" t="str">
            <v>02/08/2021</v>
          </cell>
          <cell r="H347" t="str">
            <v/>
          </cell>
          <cell r="I347" t="str">
            <v/>
          </cell>
          <cell r="J347">
            <v>2658.14</v>
          </cell>
          <cell r="K347">
            <v>0</v>
          </cell>
          <cell r="L347">
            <v>2658.14</v>
          </cell>
          <cell r="M347" t="str">
            <v/>
          </cell>
          <cell r="N347">
            <v>0</v>
          </cell>
        </row>
        <row r="348">
          <cell r="A348">
            <v>21272</v>
          </cell>
          <cell r="B348" t="str">
            <v>05/07/2021</v>
          </cell>
          <cell r="C348" t="str">
            <v>C1743</v>
          </cell>
          <cell r="D348" t="str">
            <v>Port of Tilbury Mechanical O&amp;M manuals.</v>
          </cell>
          <cell r="E348" t="str">
            <v>End Systems Limited</v>
          </cell>
          <cell r="F348" t="str">
            <v>Subcontractor</v>
          </cell>
          <cell r="G348" t="str">
            <v>16/07/2021</v>
          </cell>
          <cell r="H348" t="str">
            <v>Part</v>
          </cell>
          <cell r="I348" t="str">
            <v/>
          </cell>
          <cell r="J348">
            <v>1425</v>
          </cell>
          <cell r="K348">
            <v>0</v>
          </cell>
          <cell r="L348">
            <v>1425</v>
          </cell>
          <cell r="M348" t="str">
            <v/>
          </cell>
          <cell r="N348">
            <v>0</v>
          </cell>
        </row>
        <row r="349">
          <cell r="A349">
            <v>21269</v>
          </cell>
          <cell r="B349" t="str">
            <v>02/07/2021</v>
          </cell>
          <cell r="C349" t="str">
            <v>SERVICE</v>
          </cell>
          <cell r="D349" t="str">
            <v>Your Ref 0521-015 includes 2no Visits per annum</v>
          </cell>
          <cell r="E349" t="str">
            <v>Dortek Limited</v>
          </cell>
          <cell r="F349" t="str">
            <v>Subcontractor</v>
          </cell>
          <cell r="G349" t="str">
            <v/>
          </cell>
          <cell r="H349" t="str">
            <v>Part</v>
          </cell>
          <cell r="I349" t="str">
            <v/>
          </cell>
          <cell r="J349">
            <v>646</v>
          </cell>
          <cell r="K349">
            <v>0</v>
          </cell>
          <cell r="L349">
            <v>0</v>
          </cell>
          <cell r="M349" t="str">
            <v/>
          </cell>
          <cell r="N349">
            <v>646</v>
          </cell>
        </row>
        <row r="350">
          <cell r="A350">
            <v>21268</v>
          </cell>
          <cell r="B350" t="str">
            <v>02/07/2021</v>
          </cell>
          <cell r="C350" t="str">
            <v>SERVICE</v>
          </cell>
          <cell r="D350" t="str">
            <v>12 Months PPM includes 4no Visits per annum</v>
          </cell>
          <cell r="E350" t="str">
            <v>Riello UPS Ltd</v>
          </cell>
          <cell r="F350" t="str">
            <v>Subcontractor</v>
          </cell>
          <cell r="G350" t="str">
            <v/>
          </cell>
          <cell r="H350" t="str">
            <v>Part</v>
          </cell>
          <cell r="I350" t="str">
            <v/>
          </cell>
          <cell r="J350">
            <v>1935</v>
          </cell>
          <cell r="K350">
            <v>0</v>
          </cell>
          <cell r="L350">
            <v>0</v>
          </cell>
          <cell r="M350" t="str">
            <v/>
          </cell>
          <cell r="N350">
            <v>1935</v>
          </cell>
        </row>
        <row r="351">
          <cell r="A351">
            <v>21267</v>
          </cell>
          <cell r="B351" t="str">
            <v>02/07/2021</v>
          </cell>
          <cell r="C351" t="str">
            <v>SERVICE</v>
          </cell>
          <cell r="D351" t="str">
            <v>12 Months PPM includes 4no Visits per annum</v>
          </cell>
          <cell r="E351" t="str">
            <v>Newsome Ltd</v>
          </cell>
          <cell r="F351" t="str">
            <v>Subcontractor</v>
          </cell>
          <cell r="G351" t="str">
            <v/>
          </cell>
          <cell r="H351" t="str">
            <v>Part</v>
          </cell>
          <cell r="I351" t="str">
            <v/>
          </cell>
          <cell r="J351">
            <v>3025.6</v>
          </cell>
          <cell r="K351">
            <v>0</v>
          </cell>
          <cell r="L351">
            <v>0</v>
          </cell>
          <cell r="M351" t="str">
            <v/>
          </cell>
          <cell r="N351">
            <v>3025.6</v>
          </cell>
        </row>
        <row r="352">
          <cell r="A352">
            <v>21266</v>
          </cell>
          <cell r="B352" t="str">
            <v>02/07/2021</v>
          </cell>
          <cell r="C352" t="str">
            <v>SERVICE</v>
          </cell>
          <cell r="D352" t="str">
            <v>12 Months PPM includes 4no Visits</v>
          </cell>
          <cell r="E352" t="str">
            <v>Impact Control Systems Ltd</v>
          </cell>
          <cell r="F352" t="str">
            <v>Subcontractor</v>
          </cell>
          <cell r="G352" t="str">
            <v/>
          </cell>
          <cell r="H352" t="str">
            <v>Part</v>
          </cell>
          <cell r="I352" t="str">
            <v/>
          </cell>
          <cell r="J352">
            <v>3280</v>
          </cell>
          <cell r="K352">
            <v>0</v>
          </cell>
          <cell r="L352">
            <v>0</v>
          </cell>
          <cell r="M352" t="str">
            <v/>
          </cell>
          <cell r="N352">
            <v>3280</v>
          </cell>
        </row>
        <row r="353">
          <cell r="A353">
            <v>21265</v>
          </cell>
          <cell r="B353" t="str">
            <v>02/07/2021</v>
          </cell>
          <cell r="C353" t="str">
            <v>SERVICE</v>
          </cell>
          <cell r="D353" t="str">
            <v>12 Months PPM includes 4no visits per annum</v>
          </cell>
          <cell r="E353" t="str">
            <v>WB Power Services Ltd</v>
          </cell>
          <cell r="F353" t="str">
            <v>Subcontractor</v>
          </cell>
          <cell r="G353" t="str">
            <v/>
          </cell>
          <cell r="H353" t="str">
            <v>Part</v>
          </cell>
          <cell r="I353" t="str">
            <v/>
          </cell>
          <cell r="J353">
            <v>1270</v>
          </cell>
          <cell r="K353">
            <v>0</v>
          </cell>
          <cell r="L353">
            <v>0</v>
          </cell>
          <cell r="M353" t="str">
            <v/>
          </cell>
          <cell r="N353">
            <v>1270</v>
          </cell>
        </row>
        <row r="354">
          <cell r="A354">
            <v>21255</v>
          </cell>
          <cell r="B354" t="str">
            <v>01/07/2021</v>
          </cell>
          <cell r="C354" t="str">
            <v>MC2115</v>
          </cell>
          <cell r="D354" t="str">
            <v>Replaced condensate pump</v>
          </cell>
          <cell r="E354" t="str">
            <v>Pole to Pole Climate Control Ltd</v>
          </cell>
          <cell r="F354" t="str">
            <v>Subcontractor</v>
          </cell>
          <cell r="G354" t="str">
            <v/>
          </cell>
          <cell r="H354" t="str">
            <v>Part</v>
          </cell>
          <cell r="I354" t="str">
            <v/>
          </cell>
          <cell r="J354">
            <v>112.78</v>
          </cell>
          <cell r="K354">
            <v>0</v>
          </cell>
          <cell r="L354">
            <v>0</v>
          </cell>
          <cell r="M354" t="str">
            <v/>
          </cell>
          <cell r="N354">
            <v>112.78</v>
          </cell>
        </row>
        <row r="355">
          <cell r="A355">
            <v>21254</v>
          </cell>
          <cell r="B355" t="str">
            <v>01/07/2021</v>
          </cell>
          <cell r="C355" t="str">
            <v>MC2115</v>
          </cell>
          <cell r="D355" t="str">
            <v xml:space="preserve">Remove &amp; dispose of Furniture </v>
          </cell>
          <cell r="E355" t="str">
            <v>Commercial Temperature Solutions</v>
          </cell>
          <cell r="F355" t="str">
            <v>Subcontractor</v>
          </cell>
          <cell r="G355" t="str">
            <v/>
          </cell>
          <cell r="H355" t="str">
            <v>Part</v>
          </cell>
          <cell r="I355" t="str">
            <v/>
          </cell>
          <cell r="J355">
            <v>461</v>
          </cell>
          <cell r="K355">
            <v>0</v>
          </cell>
          <cell r="L355">
            <v>0</v>
          </cell>
          <cell r="M355" t="str">
            <v/>
          </cell>
          <cell r="N355">
            <v>461</v>
          </cell>
        </row>
        <row r="356">
          <cell r="A356">
            <v>21251</v>
          </cell>
          <cell r="B356" t="str">
            <v>01/07/2021</v>
          </cell>
          <cell r="C356" t="str">
            <v>MC2115</v>
          </cell>
          <cell r="D356" t="str">
            <v xml:space="preserve">Carried out AC Maintenance </v>
          </cell>
          <cell r="E356" t="str">
            <v>Pole to Pole Climate Control Ltd</v>
          </cell>
          <cell r="F356" t="str">
            <v>Subcontractor</v>
          </cell>
          <cell r="G356" t="str">
            <v/>
          </cell>
          <cell r="H356" t="str">
            <v>Part</v>
          </cell>
          <cell r="I356" t="str">
            <v/>
          </cell>
          <cell r="J356">
            <v>300</v>
          </cell>
          <cell r="K356">
            <v>0</v>
          </cell>
          <cell r="L356">
            <v>0</v>
          </cell>
          <cell r="M356" t="str">
            <v/>
          </cell>
          <cell r="N356">
            <v>300</v>
          </cell>
        </row>
        <row r="357">
          <cell r="A357">
            <v>21333</v>
          </cell>
          <cell r="B357" t="str">
            <v>30/06/2021</v>
          </cell>
          <cell r="C357" t="str">
            <v>C1774</v>
          </cell>
          <cell r="D357" t="str">
            <v>VENTILATION INSTALL</v>
          </cell>
          <cell r="E357" t="str">
            <v>JTC Ductwork Solutions Limited</v>
          </cell>
          <cell r="F357" t="str">
            <v>Subcontractor</v>
          </cell>
          <cell r="G357" t="str">
            <v>19/06/2021</v>
          </cell>
          <cell r="H357" t="str">
            <v>Complete</v>
          </cell>
          <cell r="I357" t="str">
            <v>Posted</v>
          </cell>
          <cell r="J357">
            <v>106912.6</v>
          </cell>
          <cell r="K357">
            <v>0</v>
          </cell>
          <cell r="L357">
            <v>105259.5</v>
          </cell>
          <cell r="M357" t="str">
            <v/>
          </cell>
          <cell r="N357">
            <v>1653.1</v>
          </cell>
        </row>
        <row r="358">
          <cell r="A358">
            <v>21247</v>
          </cell>
          <cell r="B358" t="str">
            <v>30/06/2021</v>
          </cell>
          <cell r="C358" t="str">
            <v>MC2115</v>
          </cell>
          <cell r="D358" t="str">
            <v>Call out</v>
          </cell>
          <cell r="E358" t="str">
            <v>Viabl Ltd T/A Able</v>
          </cell>
          <cell r="F358" t="str">
            <v>Subcontractor</v>
          </cell>
          <cell r="G358" t="str">
            <v/>
          </cell>
          <cell r="H358" t="str">
            <v/>
          </cell>
          <cell r="I358" t="str">
            <v/>
          </cell>
          <cell r="J358">
            <v>144</v>
          </cell>
          <cell r="K358">
            <v>0</v>
          </cell>
          <cell r="L358">
            <v>144</v>
          </cell>
          <cell r="M358" t="str">
            <v/>
          </cell>
          <cell r="N358">
            <v>0</v>
          </cell>
        </row>
        <row r="359">
          <cell r="A359">
            <v>21231</v>
          </cell>
          <cell r="B359" t="str">
            <v>29/06/2021</v>
          </cell>
          <cell r="C359" t="str">
            <v>MC2115</v>
          </cell>
          <cell r="D359" t="str">
            <v>Carry out works as quoted</v>
          </cell>
          <cell r="E359" t="str">
            <v>Viabl Ltd T/A Able</v>
          </cell>
          <cell r="F359" t="str">
            <v>Subcontractor</v>
          </cell>
          <cell r="G359" t="str">
            <v/>
          </cell>
          <cell r="H359" t="str">
            <v>Part</v>
          </cell>
          <cell r="I359" t="str">
            <v/>
          </cell>
          <cell r="J359">
            <v>424.74</v>
          </cell>
          <cell r="K359">
            <v>0</v>
          </cell>
          <cell r="L359">
            <v>0</v>
          </cell>
          <cell r="M359" t="str">
            <v/>
          </cell>
          <cell r="N359">
            <v>424.74</v>
          </cell>
        </row>
        <row r="360">
          <cell r="A360">
            <v>21230</v>
          </cell>
          <cell r="B360" t="str">
            <v>29/06/2021</v>
          </cell>
          <cell r="C360" t="str">
            <v>C1747</v>
          </cell>
          <cell r="D360" t="str">
            <v xml:space="preserve">Gas Pressure Test </v>
          </cell>
          <cell r="E360" t="str">
            <v>P More PHC Ltd</v>
          </cell>
          <cell r="F360" t="str">
            <v>Subcontractor</v>
          </cell>
          <cell r="G360" t="str">
            <v>30/06/2021</v>
          </cell>
          <cell r="H360" t="str">
            <v>Part</v>
          </cell>
          <cell r="I360" t="str">
            <v/>
          </cell>
          <cell r="J360">
            <v>220</v>
          </cell>
          <cell r="K360">
            <v>0</v>
          </cell>
          <cell r="L360">
            <v>220</v>
          </cell>
          <cell r="M360" t="str">
            <v/>
          </cell>
          <cell r="N360">
            <v>0</v>
          </cell>
        </row>
        <row r="361">
          <cell r="A361">
            <v>21221</v>
          </cell>
          <cell r="B361" t="str">
            <v>28/06/2021</v>
          </cell>
          <cell r="C361" t="str">
            <v>MC2115</v>
          </cell>
          <cell r="D361" t="str">
            <v xml:space="preserve">Attend site to unblock 2no toilets </v>
          </cell>
          <cell r="E361" t="str">
            <v>Viabl Ltd T/A Able</v>
          </cell>
          <cell r="F361" t="str">
            <v>Subcontractor</v>
          </cell>
          <cell r="G361" t="str">
            <v/>
          </cell>
          <cell r="H361" t="str">
            <v>Part</v>
          </cell>
          <cell r="I361" t="str">
            <v/>
          </cell>
          <cell r="J361">
            <v>174</v>
          </cell>
          <cell r="K361">
            <v>0</v>
          </cell>
          <cell r="L361">
            <v>174</v>
          </cell>
          <cell r="M361" t="str">
            <v/>
          </cell>
          <cell r="N361">
            <v>0</v>
          </cell>
        </row>
        <row r="362">
          <cell r="A362">
            <v>21220</v>
          </cell>
          <cell r="B362" t="str">
            <v>28/06/2021</v>
          </cell>
          <cell r="C362" t="str">
            <v>MC2119</v>
          </cell>
          <cell r="D362" t="str">
            <v xml:space="preserve">FIRE ALARM MAINTENANCE </v>
          </cell>
          <cell r="E362" t="str">
            <v>Marlowe Fire &amp; Security Limited</v>
          </cell>
          <cell r="F362" t="str">
            <v>Subcontractor</v>
          </cell>
          <cell r="G362" t="str">
            <v/>
          </cell>
          <cell r="H362" t="str">
            <v>Part</v>
          </cell>
          <cell r="I362" t="str">
            <v/>
          </cell>
          <cell r="J362">
            <v>105</v>
          </cell>
          <cell r="K362">
            <v>0</v>
          </cell>
          <cell r="L362">
            <v>0</v>
          </cell>
          <cell r="M362" t="str">
            <v/>
          </cell>
          <cell r="N362">
            <v>105</v>
          </cell>
        </row>
        <row r="363">
          <cell r="A363">
            <v>21211</v>
          </cell>
          <cell r="B363" t="str">
            <v>25/06/2021</v>
          </cell>
          <cell r="C363" t="str">
            <v>MC2091</v>
          </cell>
          <cell r="D363" t="str">
            <v>43423253 2 x Lift Notices ref 0003815122</v>
          </cell>
          <cell r="E363" t="str">
            <v>Kone PLC</v>
          </cell>
          <cell r="F363" t="str">
            <v>Subcontractor</v>
          </cell>
          <cell r="G363" t="str">
            <v/>
          </cell>
          <cell r="H363" t="str">
            <v>Part</v>
          </cell>
          <cell r="I363" t="str">
            <v/>
          </cell>
          <cell r="J363">
            <v>397.41</v>
          </cell>
          <cell r="K363">
            <v>0</v>
          </cell>
          <cell r="L363">
            <v>0</v>
          </cell>
          <cell r="M363" t="str">
            <v/>
          </cell>
          <cell r="N363">
            <v>397.41</v>
          </cell>
        </row>
        <row r="364">
          <cell r="A364">
            <v>21209</v>
          </cell>
          <cell r="B364" t="str">
            <v>25/06/2021</v>
          </cell>
          <cell r="C364" t="str">
            <v>MC2091</v>
          </cell>
          <cell r="D364" t="str">
            <v>42423253 replace lift face plate ref 0004414041</v>
          </cell>
          <cell r="E364" t="str">
            <v>Kone PLC</v>
          </cell>
          <cell r="F364" t="str">
            <v>Subcontractor</v>
          </cell>
          <cell r="G364" t="str">
            <v/>
          </cell>
          <cell r="H364" t="str">
            <v>Part</v>
          </cell>
          <cell r="I364" t="str">
            <v/>
          </cell>
          <cell r="J364">
            <v>558.63</v>
          </cell>
          <cell r="K364">
            <v>0</v>
          </cell>
          <cell r="L364">
            <v>0</v>
          </cell>
          <cell r="M364" t="str">
            <v/>
          </cell>
          <cell r="N364">
            <v>558.63</v>
          </cell>
        </row>
        <row r="365">
          <cell r="A365">
            <v>21199</v>
          </cell>
          <cell r="B365" t="str">
            <v>25/06/2021</v>
          </cell>
          <cell r="C365" t="str">
            <v>MC2091</v>
          </cell>
          <cell r="D365" t="str">
            <v xml:space="preserve">Annual Lightning Protection Checks </v>
          </cell>
          <cell r="E365" t="str">
            <v>Lightning Protection UK Ltd</v>
          </cell>
          <cell r="F365" t="str">
            <v>Subcontractor</v>
          </cell>
          <cell r="G365" t="str">
            <v/>
          </cell>
          <cell r="H365" t="str">
            <v>Part</v>
          </cell>
          <cell r="I365" t="str">
            <v/>
          </cell>
          <cell r="J365">
            <v>182</v>
          </cell>
          <cell r="K365">
            <v>0</v>
          </cell>
          <cell r="L365">
            <v>0</v>
          </cell>
          <cell r="M365" t="str">
            <v/>
          </cell>
          <cell r="N365">
            <v>182</v>
          </cell>
        </row>
        <row r="366">
          <cell r="A366">
            <v>21197</v>
          </cell>
          <cell r="B366" t="str">
            <v>25/06/2021</v>
          </cell>
          <cell r="C366" t="str">
            <v>MC2092</v>
          </cell>
          <cell r="D366" t="str">
            <v>Fire Alarm Maintenance 1st Visit Required June 2021/December</v>
          </cell>
          <cell r="E366" t="str">
            <v>Marlowe Fire &amp; Security Limited</v>
          </cell>
          <cell r="F366" t="str">
            <v>Subcontractor</v>
          </cell>
          <cell r="G366" t="str">
            <v/>
          </cell>
          <cell r="H366" t="str">
            <v>Part</v>
          </cell>
          <cell r="I366" t="str">
            <v/>
          </cell>
          <cell r="J366">
            <v>292.68</v>
          </cell>
          <cell r="K366">
            <v>0</v>
          </cell>
          <cell r="L366">
            <v>111.34</v>
          </cell>
          <cell r="M366" t="str">
            <v/>
          </cell>
          <cell r="N366">
            <v>181.34</v>
          </cell>
        </row>
        <row r="367">
          <cell r="A367">
            <v>21191</v>
          </cell>
          <cell r="B367" t="str">
            <v>25/06/2021</v>
          </cell>
          <cell r="C367" t="str">
            <v>MC2118</v>
          </cell>
          <cell r="D367" t="str">
            <v>Call out to boiler not working</v>
          </cell>
          <cell r="E367" t="str">
            <v>P More PHC Ltd</v>
          </cell>
          <cell r="F367" t="str">
            <v>Subcontractor</v>
          </cell>
          <cell r="G367" t="str">
            <v/>
          </cell>
          <cell r="H367" t="str">
            <v>Part</v>
          </cell>
          <cell r="I367" t="str">
            <v/>
          </cell>
          <cell r="J367">
            <v>150</v>
          </cell>
          <cell r="K367">
            <v>0</v>
          </cell>
          <cell r="L367">
            <v>0</v>
          </cell>
          <cell r="M367" t="str">
            <v/>
          </cell>
          <cell r="N367">
            <v>150</v>
          </cell>
        </row>
        <row r="368">
          <cell r="A368">
            <v>21185</v>
          </cell>
          <cell r="B368" t="str">
            <v>24/06/2021</v>
          </cell>
          <cell r="C368" t="str">
            <v>C1693</v>
          </cell>
          <cell r="D368" t="str">
            <v>For Chlorination, dosing and sampling as described in your q</v>
          </cell>
          <cell r="E368" t="str">
            <v>MSB Hygiene Ltd</v>
          </cell>
          <cell r="F368" t="str">
            <v>Subcontractor</v>
          </cell>
          <cell r="G368" t="str">
            <v>05/07/2021</v>
          </cell>
          <cell r="H368" t="str">
            <v/>
          </cell>
          <cell r="I368" t="str">
            <v/>
          </cell>
          <cell r="J368">
            <v>550</v>
          </cell>
          <cell r="K368">
            <v>0</v>
          </cell>
          <cell r="L368">
            <v>550</v>
          </cell>
          <cell r="M368" t="str">
            <v/>
          </cell>
          <cell r="N368">
            <v>0</v>
          </cell>
        </row>
        <row r="369">
          <cell r="A369">
            <v>21184</v>
          </cell>
          <cell r="B369" t="str">
            <v>24/06/2021</v>
          </cell>
          <cell r="C369" t="str">
            <v>C1693</v>
          </cell>
          <cell r="D369" t="str">
            <v xml:space="preserve">Commissioning &amp; air balance for fan coils, supply &amp; extract </v>
          </cell>
          <cell r="E369" t="str">
            <v>New Era Commissioning Specialists Ltd</v>
          </cell>
          <cell r="F369" t="str">
            <v>Subcontractor</v>
          </cell>
          <cell r="G369" t="str">
            <v>03/07/2021</v>
          </cell>
          <cell r="H369" t="str">
            <v>Part</v>
          </cell>
          <cell r="I369" t="str">
            <v/>
          </cell>
          <cell r="J369">
            <v>1600</v>
          </cell>
          <cell r="K369">
            <v>0</v>
          </cell>
          <cell r="L369">
            <v>1600</v>
          </cell>
          <cell r="M369" t="str">
            <v/>
          </cell>
          <cell r="N369">
            <v>0</v>
          </cell>
        </row>
        <row r="370">
          <cell r="A370">
            <v>21176</v>
          </cell>
          <cell r="B370" t="str">
            <v>24/06/2021</v>
          </cell>
          <cell r="C370" t="str">
            <v>C1693</v>
          </cell>
          <cell r="D370" t="str">
            <v>To supply &amp; install ventilation to GF17 as per email quote</v>
          </cell>
          <cell r="E370" t="str">
            <v>Allducts Ventilation Services Limited</v>
          </cell>
          <cell r="F370" t="str">
            <v>Subcontractor</v>
          </cell>
          <cell r="G370" t="str">
            <v>28/06/2021</v>
          </cell>
          <cell r="H370" t="str">
            <v>Part</v>
          </cell>
          <cell r="I370" t="str">
            <v/>
          </cell>
          <cell r="J370">
            <v>1160</v>
          </cell>
          <cell r="K370">
            <v>120</v>
          </cell>
          <cell r="L370">
            <v>1160</v>
          </cell>
          <cell r="M370" t="str">
            <v/>
          </cell>
          <cell r="N370">
            <v>0</v>
          </cell>
        </row>
        <row r="371">
          <cell r="A371">
            <v>21173</v>
          </cell>
          <cell r="B371" t="str">
            <v>24/06/2021</v>
          </cell>
          <cell r="C371" t="str">
            <v>C1693</v>
          </cell>
          <cell r="D371" t="str">
            <v>1no. Grille make up piece for extract hood</v>
          </cell>
          <cell r="E371" t="str">
            <v>Firth Sheet Metal Limited</v>
          </cell>
          <cell r="F371" t="str">
            <v>Subcontractor</v>
          </cell>
          <cell r="G371" t="str">
            <v>29/06/2021</v>
          </cell>
          <cell r="H371" t="str">
            <v/>
          </cell>
          <cell r="I371" t="str">
            <v/>
          </cell>
          <cell r="J371">
            <v>174</v>
          </cell>
          <cell r="K371">
            <v>0</v>
          </cell>
          <cell r="L371">
            <v>174</v>
          </cell>
          <cell r="M371" t="str">
            <v/>
          </cell>
          <cell r="N371">
            <v>0</v>
          </cell>
        </row>
        <row r="372">
          <cell r="A372">
            <v>21172</v>
          </cell>
          <cell r="B372" t="str">
            <v>23/06/2021</v>
          </cell>
          <cell r="C372" t="str">
            <v>SERVICE</v>
          </cell>
          <cell r="D372" t="str">
            <v xml:space="preserve">Boiler Maintenance </v>
          </cell>
          <cell r="E372" t="str">
            <v>Commercial Temperature Solutions</v>
          </cell>
          <cell r="F372" t="str">
            <v>Subcontractor</v>
          </cell>
          <cell r="G372" t="str">
            <v/>
          </cell>
          <cell r="H372" t="str">
            <v/>
          </cell>
          <cell r="I372" t="str">
            <v/>
          </cell>
          <cell r="J372">
            <v>160</v>
          </cell>
          <cell r="K372">
            <v>0</v>
          </cell>
          <cell r="L372">
            <v>160</v>
          </cell>
          <cell r="M372" t="str">
            <v/>
          </cell>
          <cell r="N372">
            <v>0</v>
          </cell>
        </row>
        <row r="373">
          <cell r="A373">
            <v>21163</v>
          </cell>
          <cell r="B373" t="str">
            <v>23/06/2021</v>
          </cell>
          <cell r="C373" t="str">
            <v>MC2115</v>
          </cell>
          <cell r="D373" t="str">
            <v>investigation into locking mechanism on large double doors</v>
          </cell>
          <cell r="E373" t="str">
            <v>Viabl Ltd T/A Able</v>
          </cell>
          <cell r="F373" t="str">
            <v>Subcontractor</v>
          </cell>
          <cell r="G373" t="str">
            <v/>
          </cell>
          <cell r="H373" t="str">
            <v>Part</v>
          </cell>
          <cell r="I373" t="str">
            <v/>
          </cell>
          <cell r="J373">
            <v>320</v>
          </cell>
          <cell r="K373">
            <v>0</v>
          </cell>
          <cell r="L373">
            <v>320</v>
          </cell>
          <cell r="M373" t="str">
            <v/>
          </cell>
          <cell r="N373">
            <v>0</v>
          </cell>
        </row>
        <row r="374">
          <cell r="A374">
            <v>21154</v>
          </cell>
          <cell r="B374" t="str">
            <v>23/06/2021</v>
          </cell>
          <cell r="C374" t="str">
            <v>MC2115</v>
          </cell>
          <cell r="D374" t="str">
            <v>To Cover Call out</v>
          </cell>
          <cell r="E374" t="str">
            <v>Viabl Ltd T/A Able</v>
          </cell>
          <cell r="F374" t="str">
            <v>Subcontractor</v>
          </cell>
          <cell r="G374" t="str">
            <v/>
          </cell>
          <cell r="H374" t="str">
            <v/>
          </cell>
          <cell r="I374" t="str">
            <v/>
          </cell>
          <cell r="J374">
            <v>156</v>
          </cell>
          <cell r="K374">
            <v>0</v>
          </cell>
          <cell r="L374">
            <v>156</v>
          </cell>
          <cell r="M374" t="str">
            <v/>
          </cell>
          <cell r="N374">
            <v>0</v>
          </cell>
        </row>
        <row r="375">
          <cell r="A375">
            <v>21124</v>
          </cell>
          <cell r="B375" t="str">
            <v>18/06/2021</v>
          </cell>
          <cell r="C375" t="str">
            <v>MC2115</v>
          </cell>
          <cell r="D375" t="str">
            <v>Toilet Not Flushing Correctly</v>
          </cell>
          <cell r="E375" t="str">
            <v>Viabl Ltd T/A Able</v>
          </cell>
          <cell r="F375" t="str">
            <v>Subcontractor</v>
          </cell>
          <cell r="G375" t="str">
            <v/>
          </cell>
          <cell r="H375" t="str">
            <v>Part</v>
          </cell>
          <cell r="I375" t="str">
            <v/>
          </cell>
          <cell r="J375">
            <v>227</v>
          </cell>
          <cell r="K375">
            <v>0</v>
          </cell>
          <cell r="L375">
            <v>227</v>
          </cell>
          <cell r="M375" t="str">
            <v/>
          </cell>
          <cell r="N375">
            <v>0</v>
          </cell>
        </row>
        <row r="376">
          <cell r="A376">
            <v>21122</v>
          </cell>
          <cell r="B376" t="str">
            <v>18/06/2021</v>
          </cell>
          <cell r="C376" t="str">
            <v>C1757</v>
          </cell>
          <cell r="D376" t="str">
            <v>Pipe freeze and valve supply 76mm</v>
          </cell>
          <cell r="E376" t="str">
            <v>Allied Pipefreezing Services Limited</v>
          </cell>
          <cell r="F376" t="str">
            <v>Subcontractor</v>
          </cell>
          <cell r="G376" t="str">
            <v>22/06/2021</v>
          </cell>
          <cell r="H376" t="str">
            <v/>
          </cell>
          <cell r="I376" t="str">
            <v/>
          </cell>
          <cell r="J376">
            <v>1850</v>
          </cell>
          <cell r="K376">
            <v>0</v>
          </cell>
          <cell r="L376">
            <v>1850</v>
          </cell>
          <cell r="M376" t="str">
            <v/>
          </cell>
          <cell r="N376">
            <v>0</v>
          </cell>
        </row>
        <row r="377">
          <cell r="A377">
            <v>21117</v>
          </cell>
          <cell r="B377" t="str">
            <v>18/06/2021</v>
          </cell>
          <cell r="C377" t="str">
            <v>C1743</v>
          </cell>
          <cell r="D377" t="str">
            <v>1.</v>
          </cell>
          <cell r="E377" t="str">
            <v>All Counties Commissioning Limited</v>
          </cell>
          <cell r="F377" t="str">
            <v>Subcontractor</v>
          </cell>
          <cell r="G377" t="str">
            <v>28/06/2021</v>
          </cell>
          <cell r="H377" t="str">
            <v>Part</v>
          </cell>
          <cell r="I377" t="str">
            <v/>
          </cell>
          <cell r="J377">
            <v>3979</v>
          </cell>
          <cell r="K377">
            <v>795.8</v>
          </cell>
          <cell r="L377">
            <v>3979</v>
          </cell>
          <cell r="M377" t="str">
            <v/>
          </cell>
          <cell r="N377">
            <v>0</v>
          </cell>
        </row>
        <row r="378">
          <cell r="A378">
            <v>21105</v>
          </cell>
          <cell r="B378" t="str">
            <v>17/06/2021</v>
          </cell>
          <cell r="C378" t="str">
            <v>C1746</v>
          </cell>
          <cell r="D378" t="str">
            <v>Control modifications as per quote ref: RC/10592/a2</v>
          </cell>
          <cell r="E378" t="str">
            <v>Smart Control Systems Limited</v>
          </cell>
          <cell r="F378" t="str">
            <v>Subcontractor</v>
          </cell>
          <cell r="G378" t="str">
            <v>23/06/2021</v>
          </cell>
          <cell r="H378" t="str">
            <v>Part</v>
          </cell>
          <cell r="I378" t="str">
            <v/>
          </cell>
          <cell r="J378">
            <v>1694</v>
          </cell>
          <cell r="K378">
            <v>338.8</v>
          </cell>
          <cell r="L378">
            <v>1694</v>
          </cell>
          <cell r="M378" t="str">
            <v/>
          </cell>
          <cell r="N378">
            <v>0</v>
          </cell>
        </row>
        <row r="379">
          <cell r="A379">
            <v>21097</v>
          </cell>
          <cell r="B379" t="str">
            <v>16/06/2021</v>
          </cell>
          <cell r="C379" t="str">
            <v>MC2115</v>
          </cell>
          <cell r="D379" t="str">
            <v>Carry out Emergency Lights Remedials</v>
          </cell>
          <cell r="E379" t="str">
            <v>Lantei Ltd</v>
          </cell>
          <cell r="F379" t="str">
            <v>Subcontractor</v>
          </cell>
          <cell r="G379" t="str">
            <v/>
          </cell>
          <cell r="H379" t="str">
            <v/>
          </cell>
          <cell r="I379" t="str">
            <v/>
          </cell>
          <cell r="J379">
            <v>1029.3</v>
          </cell>
          <cell r="K379">
            <v>205.86</v>
          </cell>
          <cell r="L379">
            <v>0</v>
          </cell>
          <cell r="M379" t="str">
            <v/>
          </cell>
          <cell r="N379">
            <v>1029.3</v>
          </cell>
        </row>
        <row r="380">
          <cell r="A380">
            <v>21096</v>
          </cell>
          <cell r="B380" t="str">
            <v>16/06/2021</v>
          </cell>
          <cell r="C380" t="str">
            <v>MC2115</v>
          </cell>
          <cell r="D380" t="str">
            <v>Call out</v>
          </cell>
          <cell r="E380" t="str">
            <v>Viabl Ltd T/A Able</v>
          </cell>
          <cell r="F380" t="str">
            <v>Subcontractor</v>
          </cell>
          <cell r="G380" t="str">
            <v>15/06/2021</v>
          </cell>
          <cell r="H380" t="str">
            <v>Part</v>
          </cell>
          <cell r="I380" t="str">
            <v/>
          </cell>
          <cell r="J380">
            <v>156</v>
          </cell>
          <cell r="K380">
            <v>0</v>
          </cell>
          <cell r="L380">
            <v>156</v>
          </cell>
          <cell r="M380" t="str">
            <v/>
          </cell>
          <cell r="N380">
            <v>0</v>
          </cell>
        </row>
        <row r="381">
          <cell r="A381">
            <v>21093</v>
          </cell>
          <cell r="B381" t="str">
            <v>16/06/2021</v>
          </cell>
          <cell r="C381" t="str">
            <v>MC2115</v>
          </cell>
          <cell r="D381" t="str">
            <v>Call out</v>
          </cell>
          <cell r="E381" t="str">
            <v>Viabl Ltd T/A Able</v>
          </cell>
          <cell r="F381" t="str">
            <v>Subcontractor</v>
          </cell>
          <cell r="G381" t="str">
            <v/>
          </cell>
          <cell r="H381" t="str">
            <v>Part</v>
          </cell>
          <cell r="I381" t="str">
            <v/>
          </cell>
          <cell r="J381">
            <v>234.4</v>
          </cell>
          <cell r="K381">
            <v>0</v>
          </cell>
          <cell r="L381">
            <v>234.4</v>
          </cell>
          <cell r="M381" t="str">
            <v/>
          </cell>
          <cell r="N381">
            <v>0</v>
          </cell>
        </row>
        <row r="382">
          <cell r="A382">
            <v>21091</v>
          </cell>
          <cell r="B382" t="str">
            <v>16/06/2021</v>
          </cell>
          <cell r="C382" t="str">
            <v>MC2109</v>
          </cell>
          <cell r="D382" t="str">
            <v xml:space="preserve">Investigate AHU LEaking pipework </v>
          </cell>
          <cell r="E382" t="str">
            <v>Derek Austin Heating Limited</v>
          </cell>
          <cell r="F382" t="str">
            <v>Subcontractor</v>
          </cell>
          <cell r="G382" t="str">
            <v/>
          </cell>
          <cell r="H382" t="str">
            <v>Part</v>
          </cell>
          <cell r="I382" t="str">
            <v/>
          </cell>
          <cell r="J382">
            <v>60</v>
          </cell>
          <cell r="K382">
            <v>0</v>
          </cell>
          <cell r="L382">
            <v>0</v>
          </cell>
          <cell r="M382" t="str">
            <v/>
          </cell>
          <cell r="N382">
            <v>60</v>
          </cell>
        </row>
        <row r="383">
          <cell r="A383">
            <v>21090</v>
          </cell>
          <cell r="B383" t="str">
            <v>16/06/2021</v>
          </cell>
          <cell r="C383">
            <v>794</v>
          </cell>
          <cell r="D383" t="str">
            <v xml:space="preserve">Carried out Boiler Maintenance </v>
          </cell>
          <cell r="E383" t="str">
            <v>Derek Austin Heating Limited</v>
          </cell>
          <cell r="F383" t="str">
            <v>Subcontractor</v>
          </cell>
          <cell r="G383" t="str">
            <v/>
          </cell>
          <cell r="H383" t="str">
            <v/>
          </cell>
          <cell r="I383" t="str">
            <v/>
          </cell>
          <cell r="J383">
            <v>280</v>
          </cell>
          <cell r="K383">
            <v>0</v>
          </cell>
          <cell r="L383">
            <v>0</v>
          </cell>
          <cell r="M383" t="str">
            <v/>
          </cell>
          <cell r="N383">
            <v>280</v>
          </cell>
        </row>
        <row r="384">
          <cell r="A384">
            <v>21088</v>
          </cell>
          <cell r="B384" t="str">
            <v>16/06/2021</v>
          </cell>
          <cell r="C384" t="str">
            <v>MC2105</v>
          </cell>
          <cell r="D384" t="str">
            <v>3 AC Units not working correctly</v>
          </cell>
          <cell r="E384" t="str">
            <v>Commercial Temperature Solutions</v>
          </cell>
          <cell r="F384" t="str">
            <v>Subcontractor</v>
          </cell>
          <cell r="G384" t="str">
            <v/>
          </cell>
          <cell r="H384" t="str">
            <v/>
          </cell>
          <cell r="I384" t="str">
            <v/>
          </cell>
          <cell r="J384">
            <v>145</v>
          </cell>
          <cell r="K384">
            <v>0</v>
          </cell>
          <cell r="L384">
            <v>145</v>
          </cell>
          <cell r="M384" t="str">
            <v/>
          </cell>
          <cell r="N384">
            <v>0</v>
          </cell>
        </row>
        <row r="385">
          <cell r="A385">
            <v>20976</v>
          </cell>
          <cell r="B385" t="str">
            <v>16/06/2021</v>
          </cell>
          <cell r="C385" t="str">
            <v>C1759</v>
          </cell>
          <cell r="D385" t="str">
            <v>Packaged Chiller As Quotation QUO-200957-M3Q6Z3 including de</v>
          </cell>
          <cell r="E385" t="str">
            <v>ICS Cool Energy Ltd</v>
          </cell>
          <cell r="F385" t="str">
            <v>Subcontractor</v>
          </cell>
          <cell r="G385" t="str">
            <v/>
          </cell>
          <cell r="H385" t="str">
            <v/>
          </cell>
          <cell r="I385" t="str">
            <v/>
          </cell>
          <cell r="J385">
            <v>4882</v>
          </cell>
          <cell r="K385">
            <v>0</v>
          </cell>
          <cell r="L385">
            <v>4882</v>
          </cell>
          <cell r="M385" t="str">
            <v/>
          </cell>
          <cell r="N385">
            <v>0</v>
          </cell>
        </row>
        <row r="386">
          <cell r="A386">
            <v>21080</v>
          </cell>
          <cell r="B386" t="str">
            <v>15/06/2021</v>
          </cell>
          <cell r="C386" t="str">
            <v>MC2115</v>
          </cell>
          <cell r="D386" t="str">
            <v>Attend site to investigate faulty electric sockets</v>
          </cell>
          <cell r="E386" t="str">
            <v>Lantei Ltd</v>
          </cell>
          <cell r="F386" t="str">
            <v>Subcontractor</v>
          </cell>
          <cell r="G386" t="str">
            <v/>
          </cell>
          <cell r="H386" t="str">
            <v>Part</v>
          </cell>
          <cell r="I386" t="str">
            <v/>
          </cell>
          <cell r="J386">
            <v>180</v>
          </cell>
          <cell r="K386">
            <v>36</v>
          </cell>
          <cell r="L386">
            <v>180</v>
          </cell>
          <cell r="M386" t="str">
            <v/>
          </cell>
          <cell r="N386">
            <v>0</v>
          </cell>
        </row>
        <row r="387">
          <cell r="A387">
            <v>21079</v>
          </cell>
          <cell r="B387" t="str">
            <v>15/06/2021</v>
          </cell>
          <cell r="C387" t="str">
            <v>C1693</v>
          </cell>
          <cell r="D387" t="str">
            <v>Attendance by Lee Arlett to install G50 connection module to</v>
          </cell>
          <cell r="E387" t="str">
            <v>Key Integrated Services Ltd</v>
          </cell>
          <cell r="F387" t="str">
            <v>Subcontractor</v>
          </cell>
          <cell r="G387" t="str">
            <v>15/06/2021</v>
          </cell>
          <cell r="H387" t="str">
            <v>Part</v>
          </cell>
          <cell r="I387" t="str">
            <v/>
          </cell>
          <cell r="J387">
            <v>350</v>
          </cell>
          <cell r="K387">
            <v>0</v>
          </cell>
          <cell r="L387">
            <v>350</v>
          </cell>
          <cell r="M387" t="str">
            <v/>
          </cell>
          <cell r="N387">
            <v>0</v>
          </cell>
        </row>
        <row r="388">
          <cell r="A388">
            <v>21073</v>
          </cell>
          <cell r="B388" t="str">
            <v>14/06/2021</v>
          </cell>
          <cell r="C388" t="str">
            <v>MC2115</v>
          </cell>
          <cell r="D388" t="str">
            <v>To cover Aborted Call out</v>
          </cell>
          <cell r="E388" t="str">
            <v>Viabl Ltd T/A Able</v>
          </cell>
          <cell r="F388" t="str">
            <v>Subcontractor</v>
          </cell>
          <cell r="G388" t="str">
            <v/>
          </cell>
          <cell r="H388" t="str">
            <v/>
          </cell>
          <cell r="I388" t="str">
            <v/>
          </cell>
          <cell r="J388">
            <v>50</v>
          </cell>
          <cell r="K388">
            <v>0</v>
          </cell>
          <cell r="L388">
            <v>50</v>
          </cell>
          <cell r="M388" t="str">
            <v/>
          </cell>
          <cell r="N388">
            <v>0</v>
          </cell>
        </row>
        <row r="389">
          <cell r="A389">
            <v>21069</v>
          </cell>
          <cell r="B389" t="str">
            <v>14/06/2021</v>
          </cell>
          <cell r="C389" t="str">
            <v>MC2091</v>
          </cell>
          <cell r="D389" t="str">
            <v xml:space="preserve">Investigate faulty lights 1st &amp; 4th Floors </v>
          </cell>
          <cell r="E389" t="str">
            <v>Key Integrated Services North West Ltd</v>
          </cell>
          <cell r="F389" t="str">
            <v>Subcontractor</v>
          </cell>
          <cell r="G389" t="str">
            <v/>
          </cell>
          <cell r="H389" t="str">
            <v>Part</v>
          </cell>
          <cell r="I389" t="str">
            <v/>
          </cell>
          <cell r="J389">
            <v>100</v>
          </cell>
          <cell r="K389">
            <v>0</v>
          </cell>
          <cell r="L389">
            <v>0</v>
          </cell>
          <cell r="M389" t="str">
            <v/>
          </cell>
          <cell r="N389">
            <v>100</v>
          </cell>
        </row>
        <row r="390">
          <cell r="A390">
            <v>21065</v>
          </cell>
          <cell r="B390" t="str">
            <v>11/06/2021</v>
          </cell>
          <cell r="C390" t="str">
            <v>MC2105</v>
          </cell>
          <cell r="D390" t="str">
            <v xml:space="preserve">Installation of AC system </v>
          </cell>
          <cell r="E390" t="str">
            <v>Commercial Temperature Solutions</v>
          </cell>
          <cell r="F390" t="str">
            <v>Subcontractor</v>
          </cell>
          <cell r="G390" t="str">
            <v/>
          </cell>
          <cell r="H390" t="str">
            <v>Part</v>
          </cell>
          <cell r="I390" t="str">
            <v/>
          </cell>
          <cell r="J390">
            <v>2875</v>
          </cell>
          <cell r="K390">
            <v>0</v>
          </cell>
          <cell r="L390">
            <v>2875</v>
          </cell>
          <cell r="M390" t="str">
            <v/>
          </cell>
          <cell r="N390">
            <v>0</v>
          </cell>
        </row>
        <row r="391">
          <cell r="A391">
            <v>21062</v>
          </cell>
          <cell r="B391" t="str">
            <v>11/06/2021</v>
          </cell>
          <cell r="C391" t="str">
            <v>MC2091</v>
          </cell>
          <cell r="D391" t="str">
            <v>Carry out quoted works your ref 17885-21123</v>
          </cell>
          <cell r="E391" t="str">
            <v>Security and Fire Experts Ltd</v>
          </cell>
          <cell r="F391" t="str">
            <v>Subcontractor</v>
          </cell>
          <cell r="G391" t="str">
            <v/>
          </cell>
          <cell r="H391" t="str">
            <v/>
          </cell>
          <cell r="I391" t="str">
            <v/>
          </cell>
          <cell r="J391">
            <v>815</v>
          </cell>
          <cell r="K391">
            <v>0</v>
          </cell>
          <cell r="L391">
            <v>0</v>
          </cell>
          <cell r="M391" t="str">
            <v/>
          </cell>
          <cell r="N391">
            <v>815</v>
          </cell>
        </row>
        <row r="392">
          <cell r="A392">
            <v>21060</v>
          </cell>
          <cell r="B392" t="str">
            <v>11/06/2021</v>
          </cell>
          <cell r="C392" t="str">
            <v>MC2091</v>
          </cell>
          <cell r="D392" t="str">
            <v>Carry out works your quote ref 19763</v>
          </cell>
          <cell r="E392" t="str">
            <v>Harroquip Pump Systems</v>
          </cell>
          <cell r="F392" t="str">
            <v>Subcontractor</v>
          </cell>
          <cell r="G392" t="str">
            <v/>
          </cell>
          <cell r="H392" t="str">
            <v>Part</v>
          </cell>
          <cell r="I392" t="str">
            <v/>
          </cell>
          <cell r="J392">
            <v>1595</v>
          </cell>
          <cell r="K392">
            <v>0</v>
          </cell>
          <cell r="L392">
            <v>0</v>
          </cell>
          <cell r="M392" t="str">
            <v/>
          </cell>
          <cell r="N392">
            <v>1595</v>
          </cell>
        </row>
        <row r="393">
          <cell r="A393">
            <v>21056</v>
          </cell>
          <cell r="B393" t="str">
            <v>11/06/2021</v>
          </cell>
          <cell r="C393" t="str">
            <v>MC2127</v>
          </cell>
          <cell r="D393" t="str">
            <v>Carry out works as per email</v>
          </cell>
          <cell r="E393" t="str">
            <v>Viabl Ltd T/A Able</v>
          </cell>
          <cell r="F393" t="str">
            <v>Subcontractor</v>
          </cell>
          <cell r="G393" t="str">
            <v/>
          </cell>
          <cell r="H393" t="str">
            <v/>
          </cell>
          <cell r="I393" t="str">
            <v/>
          </cell>
          <cell r="J393">
            <v>160</v>
          </cell>
          <cell r="K393">
            <v>0</v>
          </cell>
          <cell r="L393">
            <v>160</v>
          </cell>
          <cell r="M393" t="str">
            <v/>
          </cell>
          <cell r="N393">
            <v>0</v>
          </cell>
        </row>
        <row r="394">
          <cell r="A394">
            <v>21055</v>
          </cell>
          <cell r="B394" t="str">
            <v>11/06/2021</v>
          </cell>
          <cell r="C394" t="str">
            <v>MC0001</v>
          </cell>
          <cell r="D394" t="str">
            <v>revisit to fit correct hinges to AHU Door</v>
          </cell>
          <cell r="E394" t="str">
            <v>Commercial Temperature Solutions</v>
          </cell>
          <cell r="F394" t="str">
            <v>Subcontractor</v>
          </cell>
          <cell r="G394" t="str">
            <v/>
          </cell>
          <cell r="H394" t="str">
            <v>Part</v>
          </cell>
          <cell r="I394" t="str">
            <v/>
          </cell>
          <cell r="J394">
            <v>195</v>
          </cell>
          <cell r="K394">
            <v>0</v>
          </cell>
          <cell r="L394">
            <v>195</v>
          </cell>
          <cell r="M394" t="str">
            <v/>
          </cell>
          <cell r="N394">
            <v>0</v>
          </cell>
        </row>
        <row r="395">
          <cell r="A395">
            <v>21031</v>
          </cell>
          <cell r="B395" t="str">
            <v>09/06/2021</v>
          </cell>
          <cell r="C395" t="str">
            <v>MC2124</v>
          </cell>
          <cell r="D395" t="str">
            <v>Carry out Emergency light test</v>
          </cell>
          <cell r="E395" t="str">
            <v>Lantei Ltd</v>
          </cell>
          <cell r="F395" t="str">
            <v>Subcontractor</v>
          </cell>
          <cell r="G395" t="str">
            <v/>
          </cell>
          <cell r="H395" t="str">
            <v/>
          </cell>
          <cell r="I395" t="str">
            <v/>
          </cell>
          <cell r="J395">
            <v>280</v>
          </cell>
          <cell r="K395">
            <v>56</v>
          </cell>
          <cell r="L395">
            <v>280</v>
          </cell>
          <cell r="M395" t="str">
            <v/>
          </cell>
          <cell r="N395">
            <v>0</v>
          </cell>
        </row>
        <row r="396">
          <cell r="A396">
            <v>21030</v>
          </cell>
          <cell r="B396" t="str">
            <v>09/06/2021</v>
          </cell>
          <cell r="C396" t="str">
            <v>MC2115</v>
          </cell>
          <cell r="D396" t="str">
            <v>Carry out annual EML test</v>
          </cell>
          <cell r="E396" t="str">
            <v>Lantei Ltd</v>
          </cell>
          <cell r="F396" t="str">
            <v>Subcontractor</v>
          </cell>
          <cell r="G396" t="str">
            <v/>
          </cell>
          <cell r="H396" t="str">
            <v/>
          </cell>
          <cell r="I396" t="str">
            <v/>
          </cell>
          <cell r="J396">
            <v>280</v>
          </cell>
          <cell r="K396">
            <v>56</v>
          </cell>
          <cell r="L396">
            <v>0</v>
          </cell>
          <cell r="M396" t="str">
            <v/>
          </cell>
          <cell r="N396">
            <v>280</v>
          </cell>
        </row>
        <row r="397">
          <cell r="A397">
            <v>21029</v>
          </cell>
          <cell r="B397" t="str">
            <v>09/06/2021</v>
          </cell>
          <cell r="C397" t="str">
            <v>MC2115</v>
          </cell>
          <cell r="D397" t="str">
            <v>Replace Light Fitting in Main Office and various Ballast's</v>
          </cell>
          <cell r="E397" t="str">
            <v>Key Integrated Services (Electrical) Ltd</v>
          </cell>
          <cell r="F397" t="str">
            <v>Subcontractor</v>
          </cell>
          <cell r="G397" t="str">
            <v/>
          </cell>
          <cell r="H397" t="str">
            <v>Part</v>
          </cell>
          <cell r="I397" t="str">
            <v/>
          </cell>
          <cell r="J397">
            <v>202</v>
          </cell>
          <cell r="K397">
            <v>40.4</v>
          </cell>
          <cell r="L397">
            <v>202</v>
          </cell>
          <cell r="M397" t="str">
            <v/>
          </cell>
          <cell r="N397">
            <v>0</v>
          </cell>
        </row>
        <row r="398">
          <cell r="A398">
            <v>21026</v>
          </cell>
          <cell r="B398" t="str">
            <v>09/06/2021</v>
          </cell>
          <cell r="C398" t="str">
            <v>MC2115</v>
          </cell>
          <cell r="D398" t="str">
            <v>Electrician to attend site to regain power access control to</v>
          </cell>
          <cell r="E398" t="str">
            <v>Barrie Beard Ltd</v>
          </cell>
          <cell r="F398" t="str">
            <v>Subcontractor</v>
          </cell>
          <cell r="G398" t="str">
            <v/>
          </cell>
          <cell r="H398" t="str">
            <v/>
          </cell>
          <cell r="I398" t="str">
            <v/>
          </cell>
          <cell r="J398">
            <v>155</v>
          </cell>
          <cell r="K398">
            <v>0</v>
          </cell>
          <cell r="L398">
            <v>155</v>
          </cell>
          <cell r="M398" t="str">
            <v/>
          </cell>
          <cell r="N398">
            <v>0</v>
          </cell>
        </row>
        <row r="399">
          <cell r="A399">
            <v>21024</v>
          </cell>
          <cell r="B399" t="str">
            <v>09/06/2021</v>
          </cell>
          <cell r="C399" t="str">
            <v>MC2127</v>
          </cell>
          <cell r="D399" t="str">
            <v>Attend site to fix faulty lights</v>
          </cell>
          <cell r="E399" t="str">
            <v>Viabl Ltd T/A Able</v>
          </cell>
          <cell r="F399" t="str">
            <v>Subcontractor</v>
          </cell>
          <cell r="G399" t="str">
            <v/>
          </cell>
          <cell r="H399" t="str">
            <v>Part</v>
          </cell>
          <cell r="I399" t="str">
            <v/>
          </cell>
          <cell r="J399">
            <v>144</v>
          </cell>
          <cell r="K399">
            <v>0</v>
          </cell>
          <cell r="L399">
            <v>144</v>
          </cell>
          <cell r="M399" t="str">
            <v/>
          </cell>
          <cell r="N399">
            <v>0</v>
          </cell>
        </row>
        <row r="400">
          <cell r="A400">
            <v>21021</v>
          </cell>
          <cell r="B400" t="str">
            <v>08/06/2021</v>
          </cell>
          <cell r="C400" t="str">
            <v>MC2105</v>
          </cell>
          <cell r="D400" t="str">
            <v>Carried out maintenance to 2 AC Units</v>
          </cell>
          <cell r="E400" t="str">
            <v>Commercial Temperature Solutions</v>
          </cell>
          <cell r="F400" t="str">
            <v>Subcontractor</v>
          </cell>
          <cell r="G400" t="str">
            <v>08/06/2021</v>
          </cell>
          <cell r="H400" t="str">
            <v/>
          </cell>
          <cell r="I400" t="str">
            <v/>
          </cell>
          <cell r="J400">
            <v>50</v>
          </cell>
          <cell r="K400">
            <v>0</v>
          </cell>
          <cell r="L400">
            <v>50</v>
          </cell>
          <cell r="M400" t="str">
            <v/>
          </cell>
          <cell r="N400">
            <v>0</v>
          </cell>
        </row>
        <row r="401">
          <cell r="A401">
            <v>21020</v>
          </cell>
          <cell r="B401" t="str">
            <v>08/06/2021</v>
          </cell>
          <cell r="C401" t="str">
            <v>MC2115</v>
          </cell>
          <cell r="D401" t="str">
            <v>Installation of Water &amp; waste Pipework to disired location D</v>
          </cell>
          <cell r="E401" t="str">
            <v>Viabl Ltd T/A Able</v>
          </cell>
          <cell r="F401" t="str">
            <v>Subcontractor</v>
          </cell>
          <cell r="G401" t="str">
            <v/>
          </cell>
          <cell r="H401" t="str">
            <v/>
          </cell>
          <cell r="I401" t="str">
            <v/>
          </cell>
          <cell r="J401">
            <v>296</v>
          </cell>
          <cell r="K401">
            <v>0</v>
          </cell>
          <cell r="L401">
            <v>0</v>
          </cell>
          <cell r="M401" t="str">
            <v/>
          </cell>
          <cell r="N401">
            <v>296</v>
          </cell>
        </row>
        <row r="402">
          <cell r="A402">
            <v>21004</v>
          </cell>
          <cell r="B402" t="str">
            <v>07/06/2021</v>
          </cell>
          <cell r="C402" t="str">
            <v>C1693</v>
          </cell>
          <cell r="D402" t="str">
            <v xml:space="preserve">Site servicing and set up for Air conditioning systems </v>
          </cell>
          <cell r="E402" t="str">
            <v>Key Integrated Services Ltd</v>
          </cell>
          <cell r="F402" t="str">
            <v>Subcontractor</v>
          </cell>
          <cell r="G402" t="str">
            <v>07/06/2021</v>
          </cell>
          <cell r="H402" t="str">
            <v>Part</v>
          </cell>
          <cell r="I402" t="str">
            <v/>
          </cell>
          <cell r="J402">
            <v>500</v>
          </cell>
          <cell r="K402">
            <v>100</v>
          </cell>
          <cell r="L402">
            <v>500</v>
          </cell>
          <cell r="M402" t="str">
            <v/>
          </cell>
          <cell r="N402">
            <v>0</v>
          </cell>
        </row>
        <row r="403">
          <cell r="A403">
            <v>20995</v>
          </cell>
          <cell r="B403" t="str">
            <v>04/06/2021</v>
          </cell>
          <cell r="C403" t="str">
            <v>MC2115</v>
          </cell>
          <cell r="D403" t="str">
            <v>attended site replaced various tubes and removed various lig</v>
          </cell>
          <cell r="E403" t="str">
            <v>Key Integrated Services (Electrical) Ltd</v>
          </cell>
          <cell r="F403" t="str">
            <v>Subcontractor</v>
          </cell>
          <cell r="G403" t="str">
            <v/>
          </cell>
          <cell r="H403" t="str">
            <v>Part</v>
          </cell>
          <cell r="I403" t="str">
            <v/>
          </cell>
          <cell r="J403">
            <v>306</v>
          </cell>
          <cell r="K403">
            <v>61.2</v>
          </cell>
          <cell r="L403">
            <v>306</v>
          </cell>
          <cell r="M403" t="str">
            <v/>
          </cell>
          <cell r="N403">
            <v>0</v>
          </cell>
        </row>
        <row r="404">
          <cell r="A404">
            <v>20993</v>
          </cell>
          <cell r="B404" t="str">
            <v>04/06/2021</v>
          </cell>
          <cell r="C404" t="str">
            <v>MC2113</v>
          </cell>
          <cell r="D404" t="str">
            <v xml:space="preserve">Carry out service to double sliding doors </v>
          </cell>
          <cell r="E404" t="str">
            <v>Amber Doors &amp; Loading Bay Services Limited</v>
          </cell>
          <cell r="F404" t="str">
            <v>Subcontractor</v>
          </cell>
          <cell r="G404" t="str">
            <v/>
          </cell>
          <cell r="H404" t="str">
            <v/>
          </cell>
          <cell r="I404" t="str">
            <v/>
          </cell>
          <cell r="J404">
            <v>250</v>
          </cell>
          <cell r="K404">
            <v>0</v>
          </cell>
          <cell r="L404">
            <v>0</v>
          </cell>
          <cell r="M404" t="str">
            <v/>
          </cell>
          <cell r="N404">
            <v>250</v>
          </cell>
        </row>
        <row r="405">
          <cell r="A405">
            <v>20991</v>
          </cell>
          <cell r="B405" t="str">
            <v>04/06/2021</v>
          </cell>
          <cell r="C405" t="str">
            <v>MC2115</v>
          </cell>
          <cell r="D405" t="str">
            <v>Surveyed Scope of Works to Plumb in New dishwasher</v>
          </cell>
          <cell r="E405" t="str">
            <v>Viabl Ltd T/A Able</v>
          </cell>
          <cell r="F405" t="str">
            <v>Subcontractor</v>
          </cell>
          <cell r="G405" t="str">
            <v/>
          </cell>
          <cell r="H405" t="str">
            <v/>
          </cell>
          <cell r="I405" t="str">
            <v/>
          </cell>
          <cell r="J405">
            <v>72</v>
          </cell>
          <cell r="K405">
            <v>0</v>
          </cell>
          <cell r="L405">
            <v>72</v>
          </cell>
          <cell r="M405" t="str">
            <v/>
          </cell>
          <cell r="N405">
            <v>0</v>
          </cell>
        </row>
        <row r="406">
          <cell r="A406">
            <v>20990</v>
          </cell>
          <cell r="B406" t="str">
            <v>04/06/2021</v>
          </cell>
          <cell r="C406" t="str">
            <v>MC2115</v>
          </cell>
          <cell r="D406" t="str">
            <v>No Power from access control to car park barrier</v>
          </cell>
          <cell r="E406" t="str">
            <v>Viabl Ltd T/A Able</v>
          </cell>
          <cell r="F406" t="str">
            <v>Subcontractor</v>
          </cell>
          <cell r="G406" t="str">
            <v/>
          </cell>
          <cell r="H406" t="str">
            <v>Part</v>
          </cell>
          <cell r="I406" t="str">
            <v/>
          </cell>
          <cell r="J406">
            <v>130</v>
          </cell>
          <cell r="K406">
            <v>0</v>
          </cell>
          <cell r="L406">
            <v>130</v>
          </cell>
          <cell r="M406" t="str">
            <v/>
          </cell>
          <cell r="N406">
            <v>0</v>
          </cell>
        </row>
        <row r="407">
          <cell r="A407">
            <v>20983</v>
          </cell>
          <cell r="B407" t="str">
            <v>03/06/2021</v>
          </cell>
          <cell r="C407" t="str">
            <v>C1759</v>
          </cell>
          <cell r="D407" t="str">
            <v>AC Works At TWS</v>
          </cell>
          <cell r="E407" t="str">
            <v>Complete Cooling Services Limited</v>
          </cell>
          <cell r="F407" t="str">
            <v>Subcontractor</v>
          </cell>
          <cell r="G407" t="str">
            <v>20/08/2021</v>
          </cell>
          <cell r="H407" t="str">
            <v>Part</v>
          </cell>
          <cell r="I407" t="str">
            <v>Posted</v>
          </cell>
          <cell r="J407">
            <v>129721</v>
          </cell>
          <cell r="K407">
            <v>0</v>
          </cell>
          <cell r="L407">
            <v>129721.35</v>
          </cell>
          <cell r="M407" t="str">
            <v/>
          </cell>
          <cell r="N407">
            <v>-0.35</v>
          </cell>
        </row>
        <row r="408">
          <cell r="A408">
            <v>20969</v>
          </cell>
          <cell r="B408" t="str">
            <v>02/06/2021</v>
          </cell>
          <cell r="C408" t="str">
            <v>C1717</v>
          </cell>
          <cell r="D408" t="str">
            <v>2 x engineers commissioning 09/06</v>
          </cell>
          <cell r="E408" t="str">
            <v>New Era Commissioning Specialists Ltd</v>
          </cell>
          <cell r="F408" t="str">
            <v>Subcontractor</v>
          </cell>
          <cell r="G408" t="str">
            <v/>
          </cell>
          <cell r="H408" t="str">
            <v>Part</v>
          </cell>
          <cell r="I408" t="str">
            <v/>
          </cell>
          <cell r="J408">
            <v>650</v>
          </cell>
          <cell r="K408">
            <v>0</v>
          </cell>
          <cell r="L408">
            <v>650</v>
          </cell>
          <cell r="M408" t="str">
            <v/>
          </cell>
          <cell r="N408">
            <v>0</v>
          </cell>
        </row>
        <row r="409">
          <cell r="A409">
            <v>20965</v>
          </cell>
          <cell r="B409" t="str">
            <v>01/06/2021</v>
          </cell>
          <cell r="C409" t="str">
            <v>C1743</v>
          </cell>
          <cell r="D409" t="str">
            <v>Dave Edwards email 8th April</v>
          </cell>
          <cell r="E409" t="str">
            <v>Thermal Insulation Covers Ltd</v>
          </cell>
          <cell r="F409" t="str">
            <v>Subcontractor</v>
          </cell>
          <cell r="G409" t="str">
            <v>07/06/2021</v>
          </cell>
          <cell r="H409" t="str">
            <v>Part</v>
          </cell>
          <cell r="I409" t="str">
            <v/>
          </cell>
          <cell r="J409">
            <v>29488</v>
          </cell>
          <cell r="K409">
            <v>0</v>
          </cell>
          <cell r="L409">
            <v>29488.21</v>
          </cell>
          <cell r="M409" t="str">
            <v/>
          </cell>
          <cell r="N409">
            <v>-0.21</v>
          </cell>
        </row>
        <row r="410">
          <cell r="A410">
            <v>20954</v>
          </cell>
          <cell r="B410" t="str">
            <v>01/06/2021</v>
          </cell>
          <cell r="C410" t="str">
            <v>MC0001</v>
          </cell>
          <cell r="D410" t="str">
            <v>Refit AHU Door to find more Door Stoppers required further v</v>
          </cell>
          <cell r="E410" t="str">
            <v>Commercial Temperature Solutions</v>
          </cell>
          <cell r="F410" t="str">
            <v>Subcontractor</v>
          </cell>
          <cell r="G410" t="str">
            <v>25/05/2021</v>
          </cell>
          <cell r="H410" t="str">
            <v>Part</v>
          </cell>
          <cell r="I410" t="str">
            <v/>
          </cell>
          <cell r="J410">
            <v>195</v>
          </cell>
          <cell r="K410">
            <v>0</v>
          </cell>
          <cell r="L410">
            <v>0</v>
          </cell>
          <cell r="M410" t="str">
            <v/>
          </cell>
          <cell r="N410">
            <v>195</v>
          </cell>
        </row>
        <row r="411">
          <cell r="A411">
            <v>20947</v>
          </cell>
          <cell r="B411" t="str">
            <v>28/05/2021</v>
          </cell>
          <cell r="C411" t="str">
            <v>MC2113</v>
          </cell>
          <cell r="D411" t="str">
            <v>EML remedial works</v>
          </cell>
          <cell r="E411" t="str">
            <v>Key Integrated Services North West Ltd</v>
          </cell>
          <cell r="F411" t="str">
            <v>Subcontractor</v>
          </cell>
          <cell r="G411" t="str">
            <v/>
          </cell>
          <cell r="H411" t="str">
            <v/>
          </cell>
          <cell r="I411" t="str">
            <v/>
          </cell>
          <cell r="J411">
            <v>343</v>
          </cell>
          <cell r="K411">
            <v>0</v>
          </cell>
          <cell r="L411">
            <v>343</v>
          </cell>
          <cell r="M411" t="str">
            <v/>
          </cell>
          <cell r="N411">
            <v>0</v>
          </cell>
        </row>
        <row r="412">
          <cell r="A412">
            <v>20945</v>
          </cell>
          <cell r="B412" t="str">
            <v>28/05/2021</v>
          </cell>
          <cell r="C412" t="str">
            <v>MC0001</v>
          </cell>
          <cell r="D412" t="str">
            <v>Call out costs</v>
          </cell>
          <cell r="E412" t="str">
            <v>Commercial Temperature Solutions</v>
          </cell>
          <cell r="F412" t="str">
            <v>Subcontractor</v>
          </cell>
          <cell r="G412" t="str">
            <v/>
          </cell>
          <cell r="H412" t="str">
            <v/>
          </cell>
          <cell r="I412" t="str">
            <v/>
          </cell>
          <cell r="J412">
            <v>195</v>
          </cell>
          <cell r="K412">
            <v>0</v>
          </cell>
          <cell r="L412">
            <v>195</v>
          </cell>
          <cell r="M412" t="str">
            <v/>
          </cell>
          <cell r="N412">
            <v>0</v>
          </cell>
        </row>
        <row r="413">
          <cell r="A413">
            <v>20939</v>
          </cell>
          <cell r="B413" t="str">
            <v>28/05/2021</v>
          </cell>
          <cell r="C413" t="str">
            <v>C1712</v>
          </cell>
          <cell r="D413" t="str">
            <v>Balancing Air &amp; Water &amp; setting Blenders</v>
          </cell>
          <cell r="E413" t="str">
            <v>New Era Commissioning Specialists Ltd</v>
          </cell>
          <cell r="F413" t="str">
            <v>Subcontractor</v>
          </cell>
          <cell r="G413" t="str">
            <v>01/06/2021</v>
          </cell>
          <cell r="H413" t="str">
            <v>Part</v>
          </cell>
          <cell r="I413" t="str">
            <v/>
          </cell>
          <cell r="J413">
            <v>4650</v>
          </cell>
          <cell r="K413">
            <v>0</v>
          </cell>
          <cell r="L413">
            <v>5150</v>
          </cell>
          <cell r="M413" t="str">
            <v/>
          </cell>
          <cell r="N413">
            <v>-500</v>
          </cell>
        </row>
        <row r="414">
          <cell r="A414">
            <v>20937</v>
          </cell>
          <cell r="B414" t="str">
            <v>27/05/2021</v>
          </cell>
          <cell r="C414" t="str">
            <v>C1693</v>
          </cell>
          <cell r="D414" t="str">
            <v>boiler repairs</v>
          </cell>
          <cell r="E414" t="str">
            <v>Key Integrated Services Maintenance Limited</v>
          </cell>
          <cell r="F414" t="str">
            <v>Subcontractor</v>
          </cell>
          <cell r="G414" t="str">
            <v/>
          </cell>
          <cell r="H414" t="str">
            <v>Part</v>
          </cell>
          <cell r="I414" t="str">
            <v/>
          </cell>
          <cell r="J414">
            <v>2117.5</v>
          </cell>
          <cell r="K414">
            <v>423.5</v>
          </cell>
          <cell r="L414">
            <v>2117.5</v>
          </cell>
          <cell r="M414" t="str">
            <v/>
          </cell>
          <cell r="N414">
            <v>0</v>
          </cell>
        </row>
        <row r="415">
          <cell r="A415">
            <v>20935</v>
          </cell>
          <cell r="B415" t="str">
            <v>27/05/2021</v>
          </cell>
          <cell r="C415" t="str">
            <v>MC2101</v>
          </cell>
          <cell r="D415" t="str">
            <v>Hard wire test the bungalow</v>
          </cell>
          <cell r="E415" t="str">
            <v>Key Integrated Services North West Ltd</v>
          </cell>
          <cell r="F415" t="str">
            <v>Subcontractor</v>
          </cell>
          <cell r="G415" t="str">
            <v/>
          </cell>
          <cell r="H415" t="str">
            <v/>
          </cell>
          <cell r="I415" t="str">
            <v/>
          </cell>
          <cell r="J415">
            <v>225</v>
          </cell>
          <cell r="K415">
            <v>0</v>
          </cell>
          <cell r="L415">
            <v>0</v>
          </cell>
          <cell r="M415" t="str">
            <v/>
          </cell>
          <cell r="N415">
            <v>225</v>
          </cell>
        </row>
        <row r="416">
          <cell r="A416">
            <v>20930</v>
          </cell>
          <cell r="B416" t="str">
            <v>27/05/2021</v>
          </cell>
          <cell r="C416" t="str">
            <v>MC2115</v>
          </cell>
          <cell r="D416" t="str">
            <v>Faulty door closer call out</v>
          </cell>
          <cell r="E416" t="str">
            <v>Viabl Ltd T/A Able</v>
          </cell>
          <cell r="F416" t="str">
            <v>Subcontractor</v>
          </cell>
          <cell r="G416" t="str">
            <v/>
          </cell>
          <cell r="H416" t="str">
            <v/>
          </cell>
          <cell r="I416" t="str">
            <v/>
          </cell>
          <cell r="J416">
            <v>72</v>
          </cell>
          <cell r="K416">
            <v>0</v>
          </cell>
          <cell r="L416">
            <v>72</v>
          </cell>
          <cell r="M416" t="str">
            <v/>
          </cell>
          <cell r="N416">
            <v>0</v>
          </cell>
        </row>
        <row r="417">
          <cell r="A417">
            <v>20928</v>
          </cell>
          <cell r="B417" t="str">
            <v>27/05/2021</v>
          </cell>
          <cell r="C417" t="str">
            <v>MC2115</v>
          </cell>
          <cell r="D417" t="str">
            <v>P1 Call out - Doors not locking</v>
          </cell>
          <cell r="E417" t="str">
            <v>Viabl Ltd T/A Able</v>
          </cell>
          <cell r="F417" t="str">
            <v>Subcontractor</v>
          </cell>
          <cell r="G417" t="str">
            <v/>
          </cell>
          <cell r="H417" t="str">
            <v/>
          </cell>
          <cell r="I417" t="str">
            <v/>
          </cell>
          <cell r="J417">
            <v>75</v>
          </cell>
          <cell r="K417">
            <v>0</v>
          </cell>
          <cell r="L417">
            <v>75</v>
          </cell>
          <cell r="M417" t="str">
            <v/>
          </cell>
          <cell r="N417">
            <v>0</v>
          </cell>
        </row>
        <row r="418">
          <cell r="A418">
            <v>20922</v>
          </cell>
          <cell r="B418" t="str">
            <v>26/05/2021</v>
          </cell>
          <cell r="C418" t="str">
            <v>C1754</v>
          </cell>
          <cell r="D418" t="str">
            <v xml:space="preserve">Pre Samples </v>
          </cell>
          <cell r="E418" t="str">
            <v>Primary Water Treatments</v>
          </cell>
          <cell r="F418" t="str">
            <v>Subcontractor</v>
          </cell>
          <cell r="G418" t="str">
            <v>28/05/2021</v>
          </cell>
          <cell r="H418" t="str">
            <v/>
          </cell>
          <cell r="I418" t="str">
            <v/>
          </cell>
          <cell r="J418">
            <v>853</v>
          </cell>
          <cell r="K418">
            <v>170.6</v>
          </cell>
          <cell r="L418">
            <v>853</v>
          </cell>
          <cell r="M418" t="str">
            <v/>
          </cell>
          <cell r="N418">
            <v>0</v>
          </cell>
        </row>
        <row r="419">
          <cell r="A419">
            <v>20920</v>
          </cell>
          <cell r="B419" t="str">
            <v>25/05/2021</v>
          </cell>
          <cell r="C419" t="str">
            <v>MC2115</v>
          </cell>
          <cell r="D419" t="str">
            <v>Carry out fixed wire remedials</v>
          </cell>
          <cell r="E419" t="str">
            <v>Lantei Ltd</v>
          </cell>
          <cell r="F419" t="str">
            <v>Subcontractor</v>
          </cell>
          <cell r="G419" t="str">
            <v/>
          </cell>
          <cell r="H419" t="str">
            <v>Part</v>
          </cell>
          <cell r="I419" t="str">
            <v/>
          </cell>
          <cell r="J419">
            <v>164.17</v>
          </cell>
          <cell r="K419">
            <v>32.83</v>
          </cell>
          <cell r="L419">
            <v>0</v>
          </cell>
          <cell r="M419" t="str">
            <v/>
          </cell>
          <cell r="N419">
            <v>164.17</v>
          </cell>
        </row>
        <row r="420">
          <cell r="A420">
            <v>20919</v>
          </cell>
          <cell r="B420" t="str">
            <v>25/05/2021</v>
          </cell>
          <cell r="C420" t="str">
            <v>C1764</v>
          </cell>
          <cell r="D420" t="str">
            <v>To carry out the required isolations at the former John Lewi</v>
          </cell>
          <cell r="E420" t="str">
            <v>Key Integrated Services (Electrical) Ltd</v>
          </cell>
          <cell r="F420" t="str">
            <v>Subcontractor</v>
          </cell>
          <cell r="G420" t="str">
            <v>02/06/2021</v>
          </cell>
          <cell r="H420" t="str">
            <v>Part</v>
          </cell>
          <cell r="I420" t="str">
            <v/>
          </cell>
          <cell r="J420">
            <v>800</v>
          </cell>
          <cell r="K420">
            <v>160</v>
          </cell>
          <cell r="L420">
            <v>800</v>
          </cell>
          <cell r="M420" t="str">
            <v/>
          </cell>
          <cell r="N420">
            <v>0</v>
          </cell>
        </row>
        <row r="421">
          <cell r="A421">
            <v>20918</v>
          </cell>
          <cell r="B421" t="str">
            <v>25/05/2021</v>
          </cell>
          <cell r="C421" t="str">
            <v>C1764</v>
          </cell>
          <cell r="D421" t="str">
            <v>.</v>
          </cell>
          <cell r="E421" t="str">
            <v>Key Integrated Services Ltd</v>
          </cell>
          <cell r="F421" t="str">
            <v>Subcontractor</v>
          </cell>
          <cell r="G421" t="str">
            <v>01/06/2021</v>
          </cell>
          <cell r="H421" t="str">
            <v>Part</v>
          </cell>
          <cell r="I421" t="str">
            <v/>
          </cell>
          <cell r="J421">
            <v>2950</v>
          </cell>
          <cell r="K421">
            <v>0</v>
          </cell>
          <cell r="L421">
            <v>2950</v>
          </cell>
          <cell r="M421" t="str">
            <v/>
          </cell>
          <cell r="N421">
            <v>0</v>
          </cell>
        </row>
        <row r="422">
          <cell r="A422">
            <v>20914</v>
          </cell>
          <cell r="B422" t="str">
            <v>25/05/2021</v>
          </cell>
          <cell r="C422" t="str">
            <v>C1763</v>
          </cell>
          <cell r="D422" t="str">
            <v>Lag and clad steam and condense at Greggs Manchester</v>
          </cell>
          <cell r="E422" t="str">
            <v>Thermal Insulation Covers Ltd</v>
          </cell>
          <cell r="F422" t="str">
            <v>Subcontractor</v>
          </cell>
          <cell r="G422" t="str">
            <v>27/05/2021</v>
          </cell>
          <cell r="H422" t="str">
            <v>Part</v>
          </cell>
          <cell r="I422" t="str">
            <v/>
          </cell>
          <cell r="J422">
            <v>986.4</v>
          </cell>
          <cell r="K422">
            <v>0</v>
          </cell>
          <cell r="L422">
            <v>986.4</v>
          </cell>
          <cell r="M422" t="str">
            <v/>
          </cell>
          <cell r="N422">
            <v>0</v>
          </cell>
        </row>
        <row r="423">
          <cell r="A423">
            <v>20907</v>
          </cell>
          <cell r="B423" t="str">
            <v>24/05/2021</v>
          </cell>
          <cell r="C423" t="str">
            <v>MC2115</v>
          </cell>
          <cell r="D423" t="str">
            <v>Carry out various works your email dated 18.05.2021</v>
          </cell>
          <cell r="E423" t="str">
            <v>Key Integrated Services (Electrical) Ltd</v>
          </cell>
          <cell r="F423" t="str">
            <v>Subcontractor</v>
          </cell>
          <cell r="G423" t="str">
            <v/>
          </cell>
          <cell r="H423" t="str">
            <v>Part</v>
          </cell>
          <cell r="I423" t="str">
            <v/>
          </cell>
          <cell r="J423">
            <v>490</v>
          </cell>
          <cell r="K423">
            <v>98</v>
          </cell>
          <cell r="L423">
            <v>490</v>
          </cell>
          <cell r="M423" t="str">
            <v/>
          </cell>
          <cell r="N423">
            <v>0</v>
          </cell>
        </row>
        <row r="424">
          <cell r="A424">
            <v>20899</v>
          </cell>
          <cell r="B424" t="str">
            <v>24/05/2021</v>
          </cell>
          <cell r="C424" t="str">
            <v>MC2107</v>
          </cell>
          <cell r="D424" t="str">
            <v xml:space="preserve">Supply and Install new 3.5kw AC Unit </v>
          </cell>
          <cell r="E424" t="str">
            <v>Commercial Temperature Solutions</v>
          </cell>
          <cell r="F424" t="str">
            <v>Subcontractor</v>
          </cell>
          <cell r="G424" t="str">
            <v/>
          </cell>
          <cell r="H424" t="str">
            <v/>
          </cell>
          <cell r="I424" t="str">
            <v/>
          </cell>
          <cell r="J424">
            <v>1200</v>
          </cell>
          <cell r="K424">
            <v>0</v>
          </cell>
          <cell r="L424">
            <v>1200</v>
          </cell>
          <cell r="M424" t="str">
            <v/>
          </cell>
          <cell r="N424">
            <v>0</v>
          </cell>
        </row>
        <row r="425">
          <cell r="A425">
            <v>20893</v>
          </cell>
          <cell r="B425" t="str">
            <v>21/05/2021</v>
          </cell>
          <cell r="C425" t="str">
            <v>SM002 SERVICE</v>
          </cell>
          <cell r="D425" t="str">
            <v xml:space="preserve">AC Maintenance </v>
          </cell>
          <cell r="E425" t="str">
            <v>Derek Austin Heating Limited</v>
          </cell>
          <cell r="F425" t="str">
            <v>Subcontractor</v>
          </cell>
          <cell r="G425" t="str">
            <v>21/05/2021</v>
          </cell>
          <cell r="H425" t="str">
            <v>Part</v>
          </cell>
          <cell r="I425" t="str">
            <v/>
          </cell>
          <cell r="J425">
            <v>185</v>
          </cell>
          <cell r="K425">
            <v>0</v>
          </cell>
          <cell r="L425">
            <v>185</v>
          </cell>
          <cell r="M425" t="str">
            <v/>
          </cell>
          <cell r="N425">
            <v>0</v>
          </cell>
        </row>
        <row r="426">
          <cell r="A426">
            <v>20891</v>
          </cell>
          <cell r="B426" t="str">
            <v>21/05/2021</v>
          </cell>
          <cell r="C426" t="str">
            <v>C1763</v>
          </cell>
          <cell r="D426" t="str">
            <v>To carry out flue adjustments to new steam generator</v>
          </cell>
          <cell r="E426" t="str">
            <v>Flue-Stax Ltd</v>
          </cell>
          <cell r="F426" t="str">
            <v>Subcontractor</v>
          </cell>
          <cell r="G426" t="str">
            <v>23/05/2021</v>
          </cell>
          <cell r="H426" t="str">
            <v>Part</v>
          </cell>
          <cell r="I426" t="str">
            <v/>
          </cell>
          <cell r="J426">
            <v>1119</v>
          </cell>
          <cell r="K426">
            <v>0</v>
          </cell>
          <cell r="L426">
            <v>1119</v>
          </cell>
          <cell r="M426" t="str">
            <v/>
          </cell>
          <cell r="N426">
            <v>0</v>
          </cell>
        </row>
        <row r="427">
          <cell r="A427">
            <v>20889</v>
          </cell>
          <cell r="B427" t="str">
            <v>21/05/2021</v>
          </cell>
          <cell r="C427" t="str">
            <v>C1733</v>
          </cell>
          <cell r="D427" t="str">
            <v>To supply and install insulation and cladding as all previou</v>
          </cell>
          <cell r="E427" t="str">
            <v>Thermal Insulation Covers Ltd</v>
          </cell>
          <cell r="F427" t="str">
            <v>Subcontractor</v>
          </cell>
          <cell r="G427" t="str">
            <v>31/05/2021</v>
          </cell>
          <cell r="H427" t="str">
            <v>Part</v>
          </cell>
          <cell r="I427" t="str">
            <v/>
          </cell>
          <cell r="J427">
            <v>4518</v>
          </cell>
          <cell r="K427">
            <v>0</v>
          </cell>
          <cell r="L427">
            <v>4518</v>
          </cell>
          <cell r="M427" t="str">
            <v/>
          </cell>
          <cell r="N427">
            <v>0</v>
          </cell>
        </row>
        <row r="428">
          <cell r="A428">
            <v>20882</v>
          </cell>
          <cell r="B428" t="str">
            <v>21/05/2021</v>
          </cell>
          <cell r="C428" t="str">
            <v>MC2115</v>
          </cell>
          <cell r="D428" t="str">
            <v>Call out - Investigate Power out on bank of desks</v>
          </cell>
          <cell r="E428" t="str">
            <v>Viabl Ltd T/A Able</v>
          </cell>
          <cell r="F428" t="str">
            <v>Subcontractor</v>
          </cell>
          <cell r="G428" t="str">
            <v/>
          </cell>
          <cell r="H428" t="str">
            <v/>
          </cell>
          <cell r="I428" t="str">
            <v/>
          </cell>
          <cell r="J428">
            <v>216</v>
          </cell>
          <cell r="K428">
            <v>0</v>
          </cell>
          <cell r="L428">
            <v>216</v>
          </cell>
          <cell r="M428" t="str">
            <v/>
          </cell>
          <cell r="N428">
            <v>0</v>
          </cell>
        </row>
        <row r="429">
          <cell r="A429">
            <v>20879</v>
          </cell>
          <cell r="B429" t="str">
            <v>20/05/2021</v>
          </cell>
          <cell r="C429" t="str">
            <v>C1733</v>
          </cell>
          <cell r="D429" t="str">
            <v xml:space="preserve">To Supply &amp; install ventilation and free issue items as per </v>
          </cell>
          <cell r="E429" t="str">
            <v>Firth Sheet Metal Limited</v>
          </cell>
          <cell r="F429" t="str">
            <v>Subcontractor</v>
          </cell>
          <cell r="G429" t="str">
            <v>30/05/2021</v>
          </cell>
          <cell r="H429" t="str">
            <v>Part</v>
          </cell>
          <cell r="I429" t="str">
            <v/>
          </cell>
          <cell r="J429">
            <v>10250</v>
          </cell>
          <cell r="K429">
            <v>0</v>
          </cell>
          <cell r="L429">
            <v>10250</v>
          </cell>
          <cell r="M429" t="str">
            <v/>
          </cell>
          <cell r="N429">
            <v>0</v>
          </cell>
        </row>
        <row r="430">
          <cell r="A430">
            <v>20876</v>
          </cell>
          <cell r="B430" t="str">
            <v>20/05/2021</v>
          </cell>
          <cell r="C430" t="str">
            <v>C1764</v>
          </cell>
          <cell r="D430" t="str">
            <v>To complete the de-commissioning works associated at John Le</v>
          </cell>
          <cell r="E430" t="str">
            <v>Compco Fire Systems</v>
          </cell>
          <cell r="F430" t="str">
            <v>Subcontractor</v>
          </cell>
          <cell r="G430" t="str">
            <v>01/06/2021</v>
          </cell>
          <cell r="H430" t="str">
            <v>Part</v>
          </cell>
          <cell r="I430" t="str">
            <v/>
          </cell>
          <cell r="J430">
            <v>1560</v>
          </cell>
          <cell r="K430">
            <v>0</v>
          </cell>
          <cell r="L430">
            <v>1560</v>
          </cell>
          <cell r="M430" t="str">
            <v/>
          </cell>
          <cell r="N430">
            <v>0</v>
          </cell>
        </row>
        <row r="431">
          <cell r="A431">
            <v>20868</v>
          </cell>
          <cell r="B431" t="str">
            <v>19/05/2021</v>
          </cell>
          <cell r="C431" t="str">
            <v>MC2109</v>
          </cell>
          <cell r="D431" t="str">
            <v>Carrry out monthly L8 visit</v>
          </cell>
          <cell r="E431" t="str">
            <v>Commercial Temperature Solutions</v>
          </cell>
          <cell r="F431" t="str">
            <v>Subcontractor</v>
          </cell>
          <cell r="G431" t="str">
            <v/>
          </cell>
          <cell r="H431" t="str">
            <v>Part</v>
          </cell>
          <cell r="I431" t="str">
            <v/>
          </cell>
          <cell r="J431">
            <v>80</v>
          </cell>
          <cell r="K431">
            <v>0</v>
          </cell>
          <cell r="L431">
            <v>80</v>
          </cell>
          <cell r="M431" t="str">
            <v/>
          </cell>
          <cell r="N431">
            <v>0</v>
          </cell>
        </row>
        <row r="432">
          <cell r="A432">
            <v>20867</v>
          </cell>
          <cell r="B432" t="str">
            <v>19/05/2021</v>
          </cell>
          <cell r="C432" t="str">
            <v>C1758</v>
          </cell>
          <cell r="D432" t="str">
            <v>Abortive Half Day</v>
          </cell>
          <cell r="E432" t="str">
            <v>All Counties Commissioning Limited</v>
          </cell>
          <cell r="F432" t="str">
            <v>Subcontractor</v>
          </cell>
          <cell r="G432" t="str">
            <v/>
          </cell>
          <cell r="H432" t="str">
            <v>Part</v>
          </cell>
          <cell r="I432" t="str">
            <v/>
          </cell>
          <cell r="J432">
            <v>1013</v>
          </cell>
          <cell r="K432">
            <v>202.6</v>
          </cell>
          <cell r="L432">
            <v>1013</v>
          </cell>
          <cell r="M432" t="str">
            <v/>
          </cell>
          <cell r="N432">
            <v>0</v>
          </cell>
        </row>
        <row r="433">
          <cell r="A433">
            <v>20865</v>
          </cell>
          <cell r="B433" t="str">
            <v>19/05/2021</v>
          </cell>
          <cell r="C433" t="str">
            <v>MC2115</v>
          </cell>
          <cell r="D433" t="str">
            <v>Revisit site to check reinstate and check electrics followin</v>
          </cell>
          <cell r="E433" t="str">
            <v>Key Integrated Services North West Ltd</v>
          </cell>
          <cell r="F433" t="str">
            <v>Subcontractor</v>
          </cell>
          <cell r="G433" t="str">
            <v>25/05/2021</v>
          </cell>
          <cell r="H433" t="str">
            <v>Part</v>
          </cell>
          <cell r="I433" t="str">
            <v/>
          </cell>
          <cell r="J433">
            <v>266</v>
          </cell>
          <cell r="K433">
            <v>0</v>
          </cell>
          <cell r="L433">
            <v>0</v>
          </cell>
          <cell r="M433" t="str">
            <v/>
          </cell>
          <cell r="N433">
            <v>266</v>
          </cell>
        </row>
        <row r="434">
          <cell r="A434">
            <v>20864</v>
          </cell>
          <cell r="B434" t="str">
            <v>19/05/2021</v>
          </cell>
          <cell r="C434" t="str">
            <v>MC2115</v>
          </cell>
          <cell r="D434" t="str">
            <v>Attended site to check electrics following water leak on sit</v>
          </cell>
          <cell r="E434" t="str">
            <v>Key Integrated Services North West Ltd</v>
          </cell>
          <cell r="F434" t="str">
            <v>Subcontractor</v>
          </cell>
          <cell r="G434" t="str">
            <v/>
          </cell>
          <cell r="H434" t="str">
            <v>Part</v>
          </cell>
          <cell r="I434" t="str">
            <v/>
          </cell>
          <cell r="J434">
            <v>100</v>
          </cell>
          <cell r="K434">
            <v>0</v>
          </cell>
          <cell r="L434">
            <v>0</v>
          </cell>
          <cell r="M434" t="str">
            <v/>
          </cell>
          <cell r="N434">
            <v>100</v>
          </cell>
        </row>
        <row r="435">
          <cell r="A435">
            <v>20863</v>
          </cell>
          <cell r="B435" t="str">
            <v>19/05/2021</v>
          </cell>
          <cell r="C435" t="str">
            <v>C1703</v>
          </cell>
          <cell r="D435" t="str">
            <v xml:space="preserve">Vent balance Erith Edible Oils. </v>
          </cell>
          <cell r="E435" t="str">
            <v>Commissioning &amp; Maintenance Services Ltd</v>
          </cell>
          <cell r="F435" t="str">
            <v>Subcontractor</v>
          </cell>
          <cell r="G435" t="str">
            <v>20/05/2021</v>
          </cell>
          <cell r="H435" t="str">
            <v>Part</v>
          </cell>
          <cell r="I435" t="str">
            <v/>
          </cell>
          <cell r="J435">
            <v>624</v>
          </cell>
          <cell r="K435">
            <v>0</v>
          </cell>
          <cell r="L435">
            <v>0</v>
          </cell>
          <cell r="M435" t="str">
            <v/>
          </cell>
          <cell r="N435">
            <v>624</v>
          </cell>
        </row>
        <row r="436">
          <cell r="A436">
            <v>20861</v>
          </cell>
          <cell r="B436" t="str">
            <v>19/05/2021</v>
          </cell>
          <cell r="C436" t="str">
            <v>MC2115</v>
          </cell>
          <cell r="D436" t="str">
            <v>Replace Taps with High Neck Kitchen Lever Taps</v>
          </cell>
          <cell r="E436" t="str">
            <v>Derek Austin Heating Limited</v>
          </cell>
          <cell r="F436" t="str">
            <v>Subcontractor</v>
          </cell>
          <cell r="G436" t="str">
            <v>19/05/2021</v>
          </cell>
          <cell r="H436" t="str">
            <v>Part</v>
          </cell>
          <cell r="I436" t="str">
            <v/>
          </cell>
          <cell r="J436">
            <v>110.4</v>
          </cell>
          <cell r="K436">
            <v>0</v>
          </cell>
          <cell r="L436">
            <v>110.4</v>
          </cell>
          <cell r="M436" t="str">
            <v/>
          </cell>
          <cell r="N436">
            <v>0</v>
          </cell>
        </row>
        <row r="437">
          <cell r="A437">
            <v>20859</v>
          </cell>
          <cell r="B437" t="str">
            <v>19/05/2021</v>
          </cell>
          <cell r="C437" t="str">
            <v>C1717</v>
          </cell>
          <cell r="D437" t="str">
            <v>To lift and shift the AHU at LRS.</v>
          </cell>
          <cell r="E437" t="str">
            <v>Hird Ltd</v>
          </cell>
          <cell r="F437" t="str">
            <v>Subcontractor</v>
          </cell>
          <cell r="G437" t="str">
            <v>27/04/2021</v>
          </cell>
          <cell r="H437" t="str">
            <v>Part</v>
          </cell>
          <cell r="I437" t="str">
            <v/>
          </cell>
          <cell r="J437">
            <v>2865</v>
          </cell>
          <cell r="K437">
            <v>0</v>
          </cell>
          <cell r="L437">
            <v>2865</v>
          </cell>
          <cell r="M437" t="str">
            <v/>
          </cell>
          <cell r="N437">
            <v>0</v>
          </cell>
        </row>
        <row r="438">
          <cell r="A438">
            <v>20857</v>
          </cell>
          <cell r="B438" t="str">
            <v>18/05/2021</v>
          </cell>
          <cell r="C438" t="str">
            <v>MC2115</v>
          </cell>
          <cell r="D438" t="str">
            <v>P1 Call Out - Key Snapped off and require extracting</v>
          </cell>
          <cell r="E438" t="str">
            <v>Viabl Ltd T/A Able</v>
          </cell>
          <cell r="F438" t="str">
            <v>Subcontractor</v>
          </cell>
          <cell r="G438" t="str">
            <v/>
          </cell>
          <cell r="H438" t="str">
            <v>Part</v>
          </cell>
          <cell r="I438" t="str">
            <v/>
          </cell>
          <cell r="J438">
            <v>72</v>
          </cell>
          <cell r="K438">
            <v>0</v>
          </cell>
          <cell r="L438">
            <v>72</v>
          </cell>
          <cell r="M438" t="str">
            <v/>
          </cell>
          <cell r="N438">
            <v>0</v>
          </cell>
        </row>
        <row r="439">
          <cell r="A439">
            <v>20855</v>
          </cell>
          <cell r="B439" t="str">
            <v>17/05/2021</v>
          </cell>
          <cell r="C439" t="str">
            <v>MC2115</v>
          </cell>
          <cell r="D439" t="str">
            <v xml:space="preserve">Boiler &amp; Gas Heater Maintenance </v>
          </cell>
          <cell r="E439" t="str">
            <v>Derek Austin Heating Limited</v>
          </cell>
          <cell r="F439" t="str">
            <v>Subcontractor</v>
          </cell>
          <cell r="G439" t="str">
            <v>14/05/2021</v>
          </cell>
          <cell r="H439" t="str">
            <v>Part</v>
          </cell>
          <cell r="I439" t="str">
            <v/>
          </cell>
          <cell r="J439">
            <v>280</v>
          </cell>
          <cell r="K439">
            <v>0</v>
          </cell>
          <cell r="L439">
            <v>280</v>
          </cell>
          <cell r="M439" t="str">
            <v/>
          </cell>
          <cell r="N439">
            <v>0</v>
          </cell>
        </row>
        <row r="440">
          <cell r="A440">
            <v>20849</v>
          </cell>
          <cell r="B440" t="str">
            <v>17/05/2021</v>
          </cell>
          <cell r="C440" t="str">
            <v>MC2115</v>
          </cell>
          <cell r="D440" t="str">
            <v>Attend site to replace 20n 4ft Lighting Tubes</v>
          </cell>
          <cell r="E440" t="str">
            <v>Key Integrated Services (Electrical) Ltd</v>
          </cell>
          <cell r="F440" t="str">
            <v>Subcontractor</v>
          </cell>
          <cell r="G440" t="str">
            <v>14/05/2021</v>
          </cell>
          <cell r="H440" t="str">
            <v/>
          </cell>
          <cell r="I440" t="str">
            <v/>
          </cell>
          <cell r="J440">
            <v>399</v>
          </cell>
          <cell r="K440">
            <v>79.8</v>
          </cell>
          <cell r="L440">
            <v>399</v>
          </cell>
          <cell r="M440" t="str">
            <v/>
          </cell>
          <cell r="N440">
            <v>0</v>
          </cell>
        </row>
        <row r="441">
          <cell r="A441">
            <v>20848</v>
          </cell>
          <cell r="B441" t="str">
            <v>17/05/2021</v>
          </cell>
          <cell r="C441" t="str">
            <v>MC2127</v>
          </cell>
          <cell r="D441" t="str">
            <v>Attended site to relocate radiator</v>
          </cell>
          <cell r="E441" t="str">
            <v>Derek Austin Heating Limited</v>
          </cell>
          <cell r="F441" t="str">
            <v>Subcontractor</v>
          </cell>
          <cell r="G441" t="str">
            <v/>
          </cell>
          <cell r="H441" t="str">
            <v>Part</v>
          </cell>
          <cell r="I441" t="str">
            <v/>
          </cell>
          <cell r="J441">
            <v>350.62</v>
          </cell>
          <cell r="K441">
            <v>0</v>
          </cell>
          <cell r="L441">
            <v>350.62</v>
          </cell>
          <cell r="M441" t="str">
            <v/>
          </cell>
          <cell r="N441">
            <v>0</v>
          </cell>
        </row>
        <row r="442">
          <cell r="A442">
            <v>20847</v>
          </cell>
          <cell r="B442" t="str">
            <v>17/05/2021</v>
          </cell>
          <cell r="C442" t="str">
            <v>MC2115</v>
          </cell>
          <cell r="D442" t="str">
            <v>Supply and install various lights identified on call out</v>
          </cell>
          <cell r="E442" t="str">
            <v>Key Integrated Services North West Ltd</v>
          </cell>
          <cell r="F442" t="str">
            <v>Subcontractor</v>
          </cell>
          <cell r="G442" t="str">
            <v/>
          </cell>
          <cell r="H442" t="str">
            <v/>
          </cell>
          <cell r="I442" t="str">
            <v/>
          </cell>
          <cell r="J442">
            <v>952.58</v>
          </cell>
          <cell r="K442">
            <v>0</v>
          </cell>
          <cell r="L442">
            <v>952.58</v>
          </cell>
          <cell r="M442" t="str">
            <v/>
          </cell>
          <cell r="N442">
            <v>0</v>
          </cell>
        </row>
        <row r="443">
          <cell r="A443">
            <v>20845</v>
          </cell>
          <cell r="B443" t="str">
            <v>17/05/2021</v>
          </cell>
          <cell r="C443" t="str">
            <v>C1743</v>
          </cell>
          <cell r="D443" t="str">
            <v>To supply water tank to attached spec.</v>
          </cell>
          <cell r="E443" t="str">
            <v>Nicholson Plastics Ltd</v>
          </cell>
          <cell r="F443" t="str">
            <v>Subcontractor</v>
          </cell>
          <cell r="G443" t="str">
            <v>31/05/2021</v>
          </cell>
          <cell r="H443" t="str">
            <v>Complete</v>
          </cell>
          <cell r="I443" t="str">
            <v/>
          </cell>
          <cell r="J443">
            <v>0</v>
          </cell>
          <cell r="K443">
            <v>0</v>
          </cell>
          <cell r="L443">
            <v>0</v>
          </cell>
          <cell r="M443" t="str">
            <v/>
          </cell>
          <cell r="N443">
            <v>0</v>
          </cell>
        </row>
        <row r="444">
          <cell r="A444">
            <v>20852</v>
          </cell>
          <cell r="B444" t="str">
            <v>14/05/2021</v>
          </cell>
          <cell r="C444" t="str">
            <v>MC2115</v>
          </cell>
          <cell r="D444" t="str">
            <v>Water Leak on Site Friday 14th May 2021</v>
          </cell>
          <cell r="E444" t="str">
            <v>Derek Austin Heating Limited</v>
          </cell>
          <cell r="F444" t="str">
            <v>Subcontractor</v>
          </cell>
          <cell r="G444" t="str">
            <v>14/05/2021</v>
          </cell>
          <cell r="H444" t="str">
            <v/>
          </cell>
          <cell r="I444" t="str">
            <v/>
          </cell>
          <cell r="J444">
            <v>138.12</v>
          </cell>
          <cell r="K444">
            <v>0</v>
          </cell>
          <cell r="L444">
            <v>138.12</v>
          </cell>
          <cell r="M444" t="str">
            <v/>
          </cell>
          <cell r="N444">
            <v>0</v>
          </cell>
        </row>
        <row r="445">
          <cell r="A445">
            <v>20841</v>
          </cell>
          <cell r="B445" t="str">
            <v>14/05/2021</v>
          </cell>
          <cell r="C445" t="str">
            <v>C1693</v>
          </cell>
          <cell r="D445" t="str">
            <v>Service visit to check ac install</v>
          </cell>
          <cell r="E445" t="str">
            <v>Key Integrated Services Ltd</v>
          </cell>
          <cell r="F445" t="str">
            <v>Subcontractor</v>
          </cell>
          <cell r="G445" t="str">
            <v/>
          </cell>
          <cell r="H445" t="str">
            <v>Part</v>
          </cell>
          <cell r="I445" t="str">
            <v/>
          </cell>
          <cell r="J445">
            <v>350</v>
          </cell>
          <cell r="K445">
            <v>70</v>
          </cell>
          <cell r="L445">
            <v>350</v>
          </cell>
          <cell r="M445" t="str">
            <v/>
          </cell>
          <cell r="N445">
            <v>0</v>
          </cell>
        </row>
        <row r="446">
          <cell r="A446">
            <v>20837</v>
          </cell>
          <cell r="B446" t="str">
            <v>14/05/2021</v>
          </cell>
          <cell r="C446" t="str">
            <v>MC2115</v>
          </cell>
          <cell r="D446" t="str">
            <v>Carry out EML remedial works as per quote QU-29190</v>
          </cell>
          <cell r="E446" t="str">
            <v>Lantei Ltd</v>
          </cell>
          <cell r="F446" t="str">
            <v>Subcontractor</v>
          </cell>
          <cell r="G446" t="str">
            <v/>
          </cell>
          <cell r="H446" t="str">
            <v>Part</v>
          </cell>
          <cell r="I446" t="str">
            <v/>
          </cell>
          <cell r="J446">
            <v>274.20999999999998</v>
          </cell>
          <cell r="K446">
            <v>54.84</v>
          </cell>
          <cell r="L446">
            <v>274.20999999999998</v>
          </cell>
          <cell r="M446" t="str">
            <v/>
          </cell>
          <cell r="N446">
            <v>0</v>
          </cell>
        </row>
        <row r="447">
          <cell r="A447">
            <v>20836</v>
          </cell>
          <cell r="B447" t="str">
            <v>14/05/2021</v>
          </cell>
          <cell r="C447" t="str">
            <v>MC2115</v>
          </cell>
          <cell r="D447" t="str">
            <v>Call out to leaking toilet cistern</v>
          </cell>
          <cell r="E447" t="str">
            <v>Viabl Ltd T/A Able</v>
          </cell>
          <cell r="F447" t="str">
            <v>Subcontractor</v>
          </cell>
          <cell r="G447" t="str">
            <v/>
          </cell>
          <cell r="H447" t="str">
            <v/>
          </cell>
          <cell r="I447" t="str">
            <v/>
          </cell>
          <cell r="J447">
            <v>216</v>
          </cell>
          <cell r="K447">
            <v>0</v>
          </cell>
          <cell r="L447">
            <v>216</v>
          </cell>
          <cell r="M447" t="str">
            <v/>
          </cell>
          <cell r="N447">
            <v>0</v>
          </cell>
        </row>
        <row r="448">
          <cell r="A448">
            <v>20828</v>
          </cell>
          <cell r="B448" t="str">
            <v>13/05/2021</v>
          </cell>
          <cell r="C448" t="str">
            <v>C1648</v>
          </cell>
          <cell r="D448" t="str">
            <v xml:space="preserve">To cover works completed on Saturday 8th </v>
          </cell>
          <cell r="E448" t="str">
            <v>Key Integrated Services Ltd</v>
          </cell>
          <cell r="F448" t="str">
            <v>Subcontractor</v>
          </cell>
          <cell r="G448" t="str">
            <v>08/05/2021</v>
          </cell>
          <cell r="H448" t="str">
            <v>Part</v>
          </cell>
          <cell r="I448" t="str">
            <v/>
          </cell>
          <cell r="J448">
            <v>1272</v>
          </cell>
          <cell r="K448">
            <v>254.4</v>
          </cell>
          <cell r="L448">
            <v>1272</v>
          </cell>
          <cell r="M448" t="str">
            <v/>
          </cell>
          <cell r="N448">
            <v>0</v>
          </cell>
        </row>
        <row r="449">
          <cell r="A449">
            <v>20817</v>
          </cell>
          <cell r="B449" t="str">
            <v>11/05/2021</v>
          </cell>
          <cell r="C449" t="str">
            <v>C1760</v>
          </cell>
          <cell r="D449" t="str">
            <v>Elec mods to existing services</v>
          </cell>
          <cell r="E449" t="str">
            <v>Key Integrated Services (Electrical) Ltd</v>
          </cell>
          <cell r="F449" t="str">
            <v>Subcontractor</v>
          </cell>
          <cell r="G449" t="str">
            <v/>
          </cell>
          <cell r="H449" t="str">
            <v/>
          </cell>
          <cell r="I449" t="str">
            <v/>
          </cell>
          <cell r="J449">
            <v>968</v>
          </cell>
          <cell r="K449">
            <v>193.6</v>
          </cell>
          <cell r="L449">
            <v>0</v>
          </cell>
          <cell r="M449" t="str">
            <v/>
          </cell>
          <cell r="N449">
            <v>968</v>
          </cell>
        </row>
        <row r="450">
          <cell r="A450">
            <v>20816</v>
          </cell>
          <cell r="B450" t="str">
            <v>11/05/2021</v>
          </cell>
          <cell r="C450" t="str">
            <v>MC2115</v>
          </cell>
          <cell r="D450" t="str">
            <v>Invoice A216029</v>
          </cell>
          <cell r="E450" t="str">
            <v>Derek Austin Heating Limited</v>
          </cell>
          <cell r="F450" t="str">
            <v>Subcontractor</v>
          </cell>
          <cell r="G450" t="str">
            <v/>
          </cell>
          <cell r="H450" t="str">
            <v>Part</v>
          </cell>
          <cell r="I450" t="str">
            <v/>
          </cell>
          <cell r="J450">
            <v>450</v>
          </cell>
          <cell r="K450">
            <v>0</v>
          </cell>
          <cell r="L450">
            <v>450</v>
          </cell>
          <cell r="M450" t="str">
            <v/>
          </cell>
          <cell r="N450">
            <v>0</v>
          </cell>
        </row>
        <row r="451">
          <cell r="A451">
            <v>20815</v>
          </cell>
          <cell r="B451" t="str">
            <v>11/05/2021</v>
          </cell>
          <cell r="C451" t="str">
            <v>MC2113</v>
          </cell>
          <cell r="D451" t="str">
            <v>Supply Lighting in FLT Service Area</v>
          </cell>
          <cell r="E451" t="str">
            <v>Key Integrated Services North West Ltd</v>
          </cell>
          <cell r="F451" t="str">
            <v>Subcontractor</v>
          </cell>
          <cell r="G451" t="str">
            <v/>
          </cell>
          <cell r="H451" t="str">
            <v>Part</v>
          </cell>
          <cell r="I451" t="str">
            <v/>
          </cell>
          <cell r="J451">
            <v>1711.29</v>
          </cell>
          <cell r="K451">
            <v>0</v>
          </cell>
          <cell r="L451">
            <v>0</v>
          </cell>
          <cell r="M451" t="str">
            <v/>
          </cell>
          <cell r="N451">
            <v>1711.29</v>
          </cell>
        </row>
        <row r="452">
          <cell r="A452">
            <v>20811</v>
          </cell>
          <cell r="B452" t="str">
            <v>11/05/2021</v>
          </cell>
          <cell r="C452" t="str">
            <v>MC2119</v>
          </cell>
          <cell r="D452" t="str">
            <v>Zone 4 Alarm went off and require resetting</v>
          </cell>
          <cell r="E452" t="str">
            <v>Marlowe Fire &amp; Security Limited</v>
          </cell>
          <cell r="F452" t="str">
            <v>Subcontractor</v>
          </cell>
          <cell r="G452" t="str">
            <v/>
          </cell>
          <cell r="H452" t="str">
            <v>Part</v>
          </cell>
          <cell r="I452" t="str">
            <v/>
          </cell>
          <cell r="J452">
            <v>120</v>
          </cell>
          <cell r="K452">
            <v>0</v>
          </cell>
          <cell r="L452">
            <v>120</v>
          </cell>
          <cell r="M452" t="str">
            <v/>
          </cell>
          <cell r="N452">
            <v>0</v>
          </cell>
        </row>
        <row r="453">
          <cell r="A453">
            <v>20806</v>
          </cell>
          <cell r="B453" t="str">
            <v>10/05/2021</v>
          </cell>
          <cell r="C453" t="str">
            <v>MC2118</v>
          </cell>
          <cell r="D453" t="str">
            <v>another leak coming from D block radiator which I believe ha</v>
          </cell>
          <cell r="E453" t="str">
            <v>P More PHC Ltd</v>
          </cell>
          <cell r="F453" t="str">
            <v>Subcontractor</v>
          </cell>
          <cell r="G453" t="str">
            <v/>
          </cell>
          <cell r="H453" t="str">
            <v>Complete</v>
          </cell>
          <cell r="I453" t="str">
            <v/>
          </cell>
          <cell r="J453">
            <v>0</v>
          </cell>
          <cell r="K453">
            <v>0</v>
          </cell>
          <cell r="L453">
            <v>0</v>
          </cell>
          <cell r="M453" t="str">
            <v/>
          </cell>
          <cell r="N453">
            <v>0</v>
          </cell>
        </row>
        <row r="454">
          <cell r="A454">
            <v>20805</v>
          </cell>
          <cell r="B454" t="str">
            <v>10/05/2021</v>
          </cell>
          <cell r="C454" t="str">
            <v>MC2115</v>
          </cell>
          <cell r="D454" t="str">
            <v xml:space="preserve">Supply and install new Water Heater and Valves as per quote </v>
          </cell>
          <cell r="E454" t="str">
            <v>Derek Austin Heating Limited</v>
          </cell>
          <cell r="F454" t="str">
            <v>Subcontractor</v>
          </cell>
          <cell r="G454" t="str">
            <v/>
          </cell>
          <cell r="H454" t="str">
            <v>Part</v>
          </cell>
          <cell r="I454" t="str">
            <v/>
          </cell>
          <cell r="J454">
            <v>764.12</v>
          </cell>
          <cell r="K454">
            <v>0</v>
          </cell>
          <cell r="L454">
            <v>764.12</v>
          </cell>
          <cell r="M454" t="str">
            <v/>
          </cell>
          <cell r="N454">
            <v>0</v>
          </cell>
        </row>
        <row r="455">
          <cell r="A455">
            <v>20843</v>
          </cell>
          <cell r="B455" t="str">
            <v>08/05/2021</v>
          </cell>
          <cell r="C455" t="str">
            <v>C1760</v>
          </cell>
          <cell r="D455" t="str">
            <v>To cover works carried out on 08.05.21</v>
          </cell>
          <cell r="E455" t="str">
            <v>Apex Mechanical Limited</v>
          </cell>
          <cell r="F455" t="str">
            <v>Subcontractor</v>
          </cell>
          <cell r="G455" t="str">
            <v>08/05/2021</v>
          </cell>
          <cell r="H455" t="str">
            <v>Part</v>
          </cell>
          <cell r="I455" t="str">
            <v/>
          </cell>
          <cell r="J455">
            <v>760</v>
          </cell>
          <cell r="K455">
            <v>0</v>
          </cell>
          <cell r="L455">
            <v>760</v>
          </cell>
          <cell r="M455" t="str">
            <v/>
          </cell>
          <cell r="N455">
            <v>0</v>
          </cell>
        </row>
        <row r="456">
          <cell r="A456">
            <v>20799</v>
          </cell>
          <cell r="B456" t="str">
            <v>07/05/2021</v>
          </cell>
          <cell r="C456" t="str">
            <v>MC2115</v>
          </cell>
          <cell r="D456" t="str">
            <v>Carry out remedial works on 1 fan in toilet and 1 light fitt</v>
          </cell>
          <cell r="E456" t="str">
            <v>Viabl Ltd T/A Able</v>
          </cell>
          <cell r="F456" t="str">
            <v>Subcontractor</v>
          </cell>
          <cell r="G456" t="str">
            <v/>
          </cell>
          <cell r="H456" t="str">
            <v>Part</v>
          </cell>
          <cell r="I456" t="str">
            <v/>
          </cell>
          <cell r="J456">
            <v>520</v>
          </cell>
          <cell r="K456">
            <v>0</v>
          </cell>
          <cell r="L456">
            <v>448</v>
          </cell>
          <cell r="M456" t="str">
            <v/>
          </cell>
          <cell r="N456">
            <v>72</v>
          </cell>
        </row>
        <row r="457">
          <cell r="A457">
            <v>20797</v>
          </cell>
          <cell r="B457" t="str">
            <v>07/05/2021</v>
          </cell>
          <cell r="C457" t="str">
            <v>C1754</v>
          </cell>
          <cell r="D457" t="str">
            <v xml:space="preserve">Validation of Existing Vent &amp; Water </v>
          </cell>
          <cell r="E457" t="str">
            <v>New Era Commissioning Specialists Ltd</v>
          </cell>
          <cell r="F457" t="str">
            <v>Subcontractor</v>
          </cell>
          <cell r="G457" t="str">
            <v>19/05/2021</v>
          </cell>
          <cell r="H457" t="str">
            <v>Part</v>
          </cell>
          <cell r="I457" t="str">
            <v/>
          </cell>
          <cell r="J457">
            <v>1100</v>
          </cell>
          <cell r="K457">
            <v>0</v>
          </cell>
          <cell r="L457">
            <v>1100</v>
          </cell>
          <cell r="M457" t="str">
            <v/>
          </cell>
          <cell r="N457">
            <v>0</v>
          </cell>
        </row>
        <row r="458">
          <cell r="A458">
            <v>20796</v>
          </cell>
          <cell r="B458" t="str">
            <v>07/05/2021</v>
          </cell>
          <cell r="C458" t="str">
            <v>C1725</v>
          </cell>
          <cell r="D458" t="str">
            <v>Commissioning Engineer to set DRV's</v>
          </cell>
          <cell r="E458" t="str">
            <v>New Era Commissioning Specialists Ltd</v>
          </cell>
          <cell r="F458" t="str">
            <v>Subcontractor</v>
          </cell>
          <cell r="G458" t="str">
            <v>01/06/2021</v>
          </cell>
          <cell r="H458" t="str">
            <v>Part</v>
          </cell>
          <cell r="I458" t="str">
            <v/>
          </cell>
          <cell r="J458">
            <v>500</v>
          </cell>
          <cell r="K458">
            <v>0</v>
          </cell>
          <cell r="L458">
            <v>500</v>
          </cell>
          <cell r="M458" t="str">
            <v/>
          </cell>
          <cell r="N458">
            <v>0</v>
          </cell>
        </row>
        <row r="459">
          <cell r="A459">
            <v>20794</v>
          </cell>
          <cell r="B459" t="str">
            <v>06/05/2021</v>
          </cell>
          <cell r="C459" t="str">
            <v>MC2107</v>
          </cell>
          <cell r="D459" t="str">
            <v>install undersink water heater</v>
          </cell>
          <cell r="E459" t="str">
            <v>Commercial Temperature Solutions</v>
          </cell>
          <cell r="F459" t="str">
            <v>Subcontractor</v>
          </cell>
          <cell r="G459" t="str">
            <v/>
          </cell>
          <cell r="H459" t="str">
            <v/>
          </cell>
          <cell r="I459" t="str">
            <v/>
          </cell>
          <cell r="J459">
            <v>300</v>
          </cell>
          <cell r="K459">
            <v>0</v>
          </cell>
          <cell r="L459">
            <v>300</v>
          </cell>
          <cell r="M459" t="str">
            <v/>
          </cell>
          <cell r="N459">
            <v>0</v>
          </cell>
        </row>
        <row r="460">
          <cell r="A460">
            <v>20793</v>
          </cell>
          <cell r="B460" t="str">
            <v>06/05/2021</v>
          </cell>
          <cell r="C460" t="str">
            <v>C1760</v>
          </cell>
          <cell r="D460" t="str">
            <v xml:space="preserve">Stainless steel post </v>
          </cell>
          <cell r="E460" t="str">
            <v>Defabs Engineering Ltd</v>
          </cell>
          <cell r="F460" t="str">
            <v>Subcontractor</v>
          </cell>
          <cell r="G460" t="str">
            <v>06/05/2021</v>
          </cell>
          <cell r="H460" t="str">
            <v>Part</v>
          </cell>
          <cell r="I460" t="str">
            <v/>
          </cell>
          <cell r="J460">
            <v>266</v>
          </cell>
          <cell r="K460">
            <v>0</v>
          </cell>
          <cell r="L460">
            <v>266</v>
          </cell>
          <cell r="M460" t="str">
            <v/>
          </cell>
          <cell r="N460">
            <v>0</v>
          </cell>
        </row>
        <row r="461">
          <cell r="A461">
            <v>20792</v>
          </cell>
          <cell r="B461" t="str">
            <v>06/05/2021</v>
          </cell>
          <cell r="C461" t="str">
            <v>MC2115</v>
          </cell>
          <cell r="D461" t="str">
            <v>Replace faulty sunflo unit and other remedial works</v>
          </cell>
          <cell r="E461" t="str">
            <v>Viabl Ltd T/A Able</v>
          </cell>
          <cell r="F461" t="str">
            <v>Subcontractor</v>
          </cell>
          <cell r="G461" t="str">
            <v/>
          </cell>
          <cell r="H461" t="str">
            <v>Part</v>
          </cell>
          <cell r="I461" t="str">
            <v/>
          </cell>
          <cell r="J461">
            <v>890.49</v>
          </cell>
          <cell r="K461">
            <v>0</v>
          </cell>
          <cell r="L461">
            <v>890.49</v>
          </cell>
          <cell r="M461" t="str">
            <v/>
          </cell>
          <cell r="N461">
            <v>0</v>
          </cell>
        </row>
        <row r="462">
          <cell r="A462">
            <v>20791</v>
          </cell>
          <cell r="B462" t="str">
            <v>06/05/2021</v>
          </cell>
          <cell r="C462">
            <v>802</v>
          </cell>
          <cell r="D462" t="str">
            <v>To return to site to set dehumidifers and 1no wet vac</v>
          </cell>
          <cell r="E462" t="str">
            <v>Derek Austin Heating Limited</v>
          </cell>
          <cell r="F462" t="str">
            <v>Subcontractor</v>
          </cell>
          <cell r="G462" t="str">
            <v>06/05/2021</v>
          </cell>
          <cell r="H462" t="str">
            <v>Part</v>
          </cell>
          <cell r="I462" t="str">
            <v/>
          </cell>
          <cell r="J462">
            <v>404.74</v>
          </cell>
          <cell r="K462">
            <v>0</v>
          </cell>
          <cell r="L462">
            <v>404.74</v>
          </cell>
          <cell r="M462" t="str">
            <v/>
          </cell>
          <cell r="N462">
            <v>0</v>
          </cell>
        </row>
        <row r="463">
          <cell r="A463">
            <v>20790</v>
          </cell>
          <cell r="B463" t="str">
            <v>06/05/2021</v>
          </cell>
          <cell r="C463" t="str">
            <v>MC2115</v>
          </cell>
          <cell r="D463" t="str">
            <v xml:space="preserve">Attended site following water leak on site </v>
          </cell>
          <cell r="E463" t="str">
            <v>Derek Austin Heating Limited</v>
          </cell>
          <cell r="F463" t="str">
            <v>Subcontractor</v>
          </cell>
          <cell r="G463" t="str">
            <v>05/05/2021</v>
          </cell>
          <cell r="H463" t="str">
            <v>Part</v>
          </cell>
          <cell r="I463" t="str">
            <v/>
          </cell>
          <cell r="J463">
            <v>168.75</v>
          </cell>
          <cell r="K463">
            <v>0</v>
          </cell>
          <cell r="L463">
            <v>168.75</v>
          </cell>
          <cell r="M463" t="str">
            <v/>
          </cell>
          <cell r="N463">
            <v>0</v>
          </cell>
        </row>
        <row r="464">
          <cell r="A464">
            <v>20786</v>
          </cell>
          <cell r="B464" t="str">
            <v>06/05/2021</v>
          </cell>
          <cell r="C464" t="str">
            <v>MC2115</v>
          </cell>
          <cell r="D464" t="str">
            <v>Call out to socket not working</v>
          </cell>
          <cell r="E464" t="str">
            <v>Viabl Ltd T/A Able</v>
          </cell>
          <cell r="F464" t="str">
            <v>Subcontractor</v>
          </cell>
          <cell r="G464" t="str">
            <v/>
          </cell>
          <cell r="H464" t="str">
            <v>Part</v>
          </cell>
          <cell r="I464" t="str">
            <v/>
          </cell>
          <cell r="J464">
            <v>86</v>
          </cell>
          <cell r="K464">
            <v>0</v>
          </cell>
          <cell r="L464">
            <v>86</v>
          </cell>
          <cell r="M464" t="str">
            <v/>
          </cell>
          <cell r="N464">
            <v>0</v>
          </cell>
        </row>
        <row r="465">
          <cell r="A465">
            <v>20781</v>
          </cell>
          <cell r="B465" t="str">
            <v>05/05/2021</v>
          </cell>
          <cell r="C465" t="str">
            <v>MC2127</v>
          </cell>
          <cell r="D465" t="str">
            <v>Call out charge</v>
          </cell>
          <cell r="E465" t="str">
            <v>Viabl Ltd T/A Able</v>
          </cell>
          <cell r="F465" t="str">
            <v>Subcontractor</v>
          </cell>
          <cell r="G465" t="str">
            <v/>
          </cell>
          <cell r="H465" t="str">
            <v>Part</v>
          </cell>
          <cell r="I465" t="str">
            <v/>
          </cell>
          <cell r="J465">
            <v>91</v>
          </cell>
          <cell r="K465">
            <v>0</v>
          </cell>
          <cell r="L465">
            <v>91</v>
          </cell>
          <cell r="M465" t="str">
            <v/>
          </cell>
          <cell r="N465">
            <v>0</v>
          </cell>
        </row>
        <row r="466">
          <cell r="A466">
            <v>20771</v>
          </cell>
          <cell r="B466" t="str">
            <v>05/05/2021</v>
          </cell>
          <cell r="C466" t="str">
            <v>MC2101</v>
          </cell>
          <cell r="D466" t="str">
            <v xml:space="preserve">Replace Light Fitting in Kitchen </v>
          </cell>
          <cell r="E466" t="str">
            <v>Key Integrated Services North West Ltd</v>
          </cell>
          <cell r="F466" t="str">
            <v>Subcontractor</v>
          </cell>
          <cell r="G466" t="str">
            <v/>
          </cell>
          <cell r="H466" t="str">
            <v/>
          </cell>
          <cell r="I466" t="str">
            <v/>
          </cell>
          <cell r="J466">
            <v>123.49</v>
          </cell>
          <cell r="K466">
            <v>0</v>
          </cell>
          <cell r="L466">
            <v>69.7</v>
          </cell>
          <cell r="M466" t="str">
            <v/>
          </cell>
          <cell r="N466">
            <v>53.79</v>
          </cell>
        </row>
        <row r="467">
          <cell r="A467">
            <v>20761</v>
          </cell>
          <cell r="B467" t="str">
            <v>30/04/2021</v>
          </cell>
          <cell r="C467" t="str">
            <v>C1693</v>
          </cell>
          <cell r="D467" t="str">
            <v>Extract Canopy as per quotation dated 30/04/21</v>
          </cell>
          <cell r="E467" t="str">
            <v>Firth Sheet Metal Limited</v>
          </cell>
          <cell r="F467" t="str">
            <v>Subcontractor</v>
          </cell>
          <cell r="G467" t="str">
            <v>09/05/2021</v>
          </cell>
          <cell r="H467" t="str">
            <v/>
          </cell>
          <cell r="I467" t="str">
            <v/>
          </cell>
          <cell r="J467">
            <v>1114</v>
          </cell>
          <cell r="K467">
            <v>0</v>
          </cell>
          <cell r="L467">
            <v>1114</v>
          </cell>
          <cell r="M467" t="str">
            <v/>
          </cell>
          <cell r="N467">
            <v>0</v>
          </cell>
        </row>
        <row r="468">
          <cell r="A468">
            <v>20758</v>
          </cell>
          <cell r="B468" t="str">
            <v>30/04/2021</v>
          </cell>
          <cell r="C468" t="str">
            <v>SERVICE</v>
          </cell>
          <cell r="D468" t="str">
            <v>AC Maintenance</v>
          </cell>
          <cell r="E468" t="str">
            <v>Commercial Temperature Solutions</v>
          </cell>
          <cell r="F468" t="str">
            <v>Subcontractor</v>
          </cell>
          <cell r="G468" t="str">
            <v/>
          </cell>
          <cell r="H468" t="str">
            <v/>
          </cell>
          <cell r="I468" t="str">
            <v/>
          </cell>
          <cell r="J468">
            <v>330</v>
          </cell>
          <cell r="K468">
            <v>0</v>
          </cell>
          <cell r="L468">
            <v>330</v>
          </cell>
          <cell r="M468" t="str">
            <v/>
          </cell>
          <cell r="N468">
            <v>0</v>
          </cell>
        </row>
        <row r="469">
          <cell r="A469">
            <v>20757</v>
          </cell>
          <cell r="B469" t="str">
            <v>30/04/2021</v>
          </cell>
          <cell r="C469" t="str">
            <v>SERVICE</v>
          </cell>
          <cell r="D469" t="str">
            <v xml:space="preserve">Boiler Maintenance </v>
          </cell>
          <cell r="E469" t="str">
            <v>Commercial Temperature Solutions</v>
          </cell>
          <cell r="F469" t="str">
            <v>Subcontractor</v>
          </cell>
          <cell r="G469" t="str">
            <v/>
          </cell>
          <cell r="H469" t="str">
            <v/>
          </cell>
          <cell r="I469" t="str">
            <v/>
          </cell>
          <cell r="J469">
            <v>160</v>
          </cell>
          <cell r="K469">
            <v>0</v>
          </cell>
          <cell r="L469">
            <v>160</v>
          </cell>
          <cell r="M469" t="str">
            <v/>
          </cell>
          <cell r="N469">
            <v>0</v>
          </cell>
        </row>
        <row r="470">
          <cell r="A470">
            <v>20756</v>
          </cell>
          <cell r="B470" t="str">
            <v>30/04/2021</v>
          </cell>
          <cell r="C470" t="str">
            <v>C1717</v>
          </cell>
          <cell r="D470" t="str">
            <v>304 2b Stainless Steel Canopy 2000x1000x500 delivered to sit</v>
          </cell>
          <cell r="E470" t="str">
            <v>Firth Sheet Metal Limited</v>
          </cell>
          <cell r="F470" t="str">
            <v>Subcontractor</v>
          </cell>
          <cell r="G470" t="str">
            <v>10/05/2021</v>
          </cell>
          <cell r="H470" t="str">
            <v>Part</v>
          </cell>
          <cell r="I470" t="str">
            <v/>
          </cell>
          <cell r="J470">
            <v>1274</v>
          </cell>
          <cell r="K470">
            <v>0</v>
          </cell>
          <cell r="L470">
            <v>1274</v>
          </cell>
          <cell r="M470" t="str">
            <v/>
          </cell>
          <cell r="N470">
            <v>0</v>
          </cell>
        </row>
        <row r="471">
          <cell r="A471">
            <v>20751</v>
          </cell>
          <cell r="B471" t="str">
            <v>29/04/2021</v>
          </cell>
          <cell r="C471" t="str">
            <v>MC2091</v>
          </cell>
          <cell r="D471" t="str">
            <v>PAT Testing 4,000 Appliances (0.63p)</v>
          </cell>
          <cell r="E471" t="str">
            <v>Hawkesworth Appliance Testing Ltd</v>
          </cell>
          <cell r="F471" t="str">
            <v>Subcontractor</v>
          </cell>
          <cell r="G471" t="str">
            <v/>
          </cell>
          <cell r="H471" t="str">
            <v>Part</v>
          </cell>
          <cell r="I471" t="str">
            <v/>
          </cell>
          <cell r="J471">
            <v>6.66</v>
          </cell>
          <cell r="K471">
            <v>1.33</v>
          </cell>
          <cell r="L471">
            <v>0</v>
          </cell>
          <cell r="M471" t="str">
            <v/>
          </cell>
          <cell r="N471">
            <v>6.66</v>
          </cell>
        </row>
        <row r="472">
          <cell r="A472">
            <v>20748</v>
          </cell>
          <cell r="B472" t="str">
            <v>29/04/2021</v>
          </cell>
          <cell r="C472" t="str">
            <v>MC2113</v>
          </cell>
          <cell r="D472" t="str">
            <v>Carry out Lightning protection</v>
          </cell>
          <cell r="E472" t="str">
            <v>Omega Red Group Ltd</v>
          </cell>
          <cell r="F472" t="str">
            <v>Subcontractor</v>
          </cell>
          <cell r="G472" t="str">
            <v/>
          </cell>
          <cell r="H472" t="str">
            <v>Part</v>
          </cell>
          <cell r="I472" t="str">
            <v/>
          </cell>
          <cell r="J472">
            <v>595</v>
          </cell>
          <cell r="K472">
            <v>0</v>
          </cell>
          <cell r="L472">
            <v>0</v>
          </cell>
          <cell r="M472" t="str">
            <v/>
          </cell>
          <cell r="N472">
            <v>595</v>
          </cell>
        </row>
        <row r="473">
          <cell r="A473">
            <v>20746</v>
          </cell>
          <cell r="B473" t="str">
            <v>29/04/2021</v>
          </cell>
          <cell r="C473" t="str">
            <v>C1648</v>
          </cell>
          <cell r="D473" t="str">
            <v>To complete AHU &amp; vent cleaning from site visit on the 28/04</v>
          </cell>
          <cell r="E473" t="str">
            <v>Duct Busters</v>
          </cell>
          <cell r="F473" t="str">
            <v>Subcontractor</v>
          </cell>
          <cell r="G473" t="str">
            <v>03/05/2021</v>
          </cell>
          <cell r="H473" t="str">
            <v>Part</v>
          </cell>
          <cell r="I473" t="str">
            <v/>
          </cell>
          <cell r="J473">
            <v>1084</v>
          </cell>
          <cell r="K473">
            <v>0</v>
          </cell>
          <cell r="L473">
            <v>1084</v>
          </cell>
          <cell r="M473" t="str">
            <v/>
          </cell>
          <cell r="N473">
            <v>0</v>
          </cell>
        </row>
        <row r="474">
          <cell r="A474">
            <v>20743</v>
          </cell>
          <cell r="B474" t="str">
            <v>29/04/2021</v>
          </cell>
          <cell r="C474" t="str">
            <v>C1717</v>
          </cell>
          <cell r="D474" t="str">
            <v>Move AHU into position</v>
          </cell>
          <cell r="E474" t="str">
            <v>Hird Ltd</v>
          </cell>
          <cell r="F474" t="str">
            <v>Subcontractor</v>
          </cell>
          <cell r="G474" t="str">
            <v/>
          </cell>
          <cell r="H474" t="str">
            <v/>
          </cell>
          <cell r="I474" t="str">
            <v/>
          </cell>
          <cell r="J474">
            <v>2865</v>
          </cell>
          <cell r="K474">
            <v>0</v>
          </cell>
          <cell r="L474">
            <v>0</v>
          </cell>
          <cell r="M474" t="str">
            <v/>
          </cell>
          <cell r="N474">
            <v>2865</v>
          </cell>
        </row>
        <row r="475">
          <cell r="A475">
            <v>20737</v>
          </cell>
          <cell r="B475" t="str">
            <v>28/04/2021</v>
          </cell>
          <cell r="C475" t="str">
            <v>MC2115</v>
          </cell>
          <cell r="D475" t="str">
            <v>To Cover call out</v>
          </cell>
          <cell r="E475" t="str">
            <v>Viabl Ltd T/A Able</v>
          </cell>
          <cell r="F475" t="str">
            <v>Subcontractor</v>
          </cell>
          <cell r="G475" t="str">
            <v/>
          </cell>
          <cell r="H475" t="str">
            <v/>
          </cell>
          <cell r="I475" t="str">
            <v/>
          </cell>
          <cell r="J475">
            <v>0</v>
          </cell>
          <cell r="K475">
            <v>0</v>
          </cell>
          <cell r="L475">
            <v>0</v>
          </cell>
          <cell r="M475" t="str">
            <v/>
          </cell>
          <cell r="N475">
            <v>0</v>
          </cell>
        </row>
        <row r="476">
          <cell r="A476">
            <v>20765</v>
          </cell>
          <cell r="B476" t="str">
            <v>27/04/2021</v>
          </cell>
          <cell r="C476" t="str">
            <v>MC2115</v>
          </cell>
          <cell r="D476" t="str">
            <v xml:space="preserve">Investigate undersink pump faulty </v>
          </cell>
          <cell r="E476" t="str">
            <v>Viabl Ltd T/A Able</v>
          </cell>
          <cell r="F476" t="str">
            <v>Subcontractor</v>
          </cell>
          <cell r="G476" t="str">
            <v/>
          </cell>
          <cell r="H476" t="str">
            <v>Part</v>
          </cell>
          <cell r="I476" t="str">
            <v/>
          </cell>
          <cell r="J476">
            <v>130</v>
          </cell>
          <cell r="K476">
            <v>0</v>
          </cell>
          <cell r="L476">
            <v>130</v>
          </cell>
          <cell r="M476" t="str">
            <v/>
          </cell>
          <cell r="N476">
            <v>0</v>
          </cell>
        </row>
        <row r="477">
          <cell r="A477">
            <v>20722</v>
          </cell>
          <cell r="B477" t="str">
            <v>27/04/2021</v>
          </cell>
          <cell r="C477" t="str">
            <v>C1693</v>
          </cell>
          <cell r="D477" t="str">
            <v xml:space="preserve">Controls Commissioning </v>
          </cell>
          <cell r="E477" t="str">
            <v>Mitsubishi Electric Europe BV</v>
          </cell>
          <cell r="F477" t="str">
            <v>Subcontractor</v>
          </cell>
          <cell r="G477" t="str">
            <v>29/04/2021</v>
          </cell>
          <cell r="H477" t="str">
            <v>Part</v>
          </cell>
          <cell r="I477" t="str">
            <v/>
          </cell>
          <cell r="J477">
            <v>585</v>
          </cell>
          <cell r="K477">
            <v>0</v>
          </cell>
          <cell r="L477">
            <v>585</v>
          </cell>
          <cell r="M477" t="str">
            <v/>
          </cell>
          <cell r="N477">
            <v>0</v>
          </cell>
        </row>
        <row r="478">
          <cell r="A478">
            <v>20720</v>
          </cell>
          <cell r="B478" t="str">
            <v>27/04/2021</v>
          </cell>
          <cell r="C478" t="str">
            <v>C1743</v>
          </cell>
          <cell r="D478" t="str">
            <v>POT Order</v>
          </cell>
          <cell r="E478" t="str">
            <v>SLJ Mechanical Services Limited</v>
          </cell>
          <cell r="F478" t="str">
            <v>Subcontractor</v>
          </cell>
          <cell r="G478" t="str">
            <v>19/04/2021</v>
          </cell>
          <cell r="H478" t="str">
            <v>Part</v>
          </cell>
          <cell r="I478" t="str">
            <v/>
          </cell>
          <cell r="J478">
            <v>65500</v>
          </cell>
          <cell r="K478">
            <v>0</v>
          </cell>
          <cell r="L478">
            <v>65500</v>
          </cell>
          <cell r="M478" t="str">
            <v/>
          </cell>
          <cell r="N478">
            <v>0</v>
          </cell>
        </row>
        <row r="479">
          <cell r="A479">
            <v>20707</v>
          </cell>
          <cell r="B479" t="str">
            <v>23/04/2021</v>
          </cell>
          <cell r="C479" t="str">
            <v>C1725</v>
          </cell>
          <cell r="D479" t="str">
            <v>Buildersworks as agreed</v>
          </cell>
          <cell r="E479" t="str">
            <v>D R Reaney &amp; Sons Limited</v>
          </cell>
          <cell r="F479" t="str">
            <v>Subcontractor</v>
          </cell>
          <cell r="G479" t="str">
            <v>26/04/2021</v>
          </cell>
          <cell r="H479" t="str">
            <v>Complete</v>
          </cell>
          <cell r="I479" t="str">
            <v/>
          </cell>
          <cell r="J479">
            <v>16726.98</v>
          </cell>
          <cell r="K479">
            <v>0</v>
          </cell>
          <cell r="L479">
            <v>16130.38</v>
          </cell>
          <cell r="M479" t="str">
            <v/>
          </cell>
          <cell r="N479">
            <v>596.6</v>
          </cell>
        </row>
        <row r="480">
          <cell r="A480">
            <v>20706</v>
          </cell>
          <cell r="B480" t="str">
            <v>23/04/2021</v>
          </cell>
          <cell r="C480" t="str">
            <v>C1746</v>
          </cell>
          <cell r="D480" t="str">
            <v>Core Holes as Marked on Site</v>
          </cell>
          <cell r="E480" t="str">
            <v>Concrete Drilling Services Limited</v>
          </cell>
          <cell r="F480" t="str">
            <v>Subcontractor</v>
          </cell>
          <cell r="G480" t="str">
            <v>30/04/2021</v>
          </cell>
          <cell r="H480" t="str">
            <v/>
          </cell>
          <cell r="I480" t="str">
            <v/>
          </cell>
          <cell r="J480">
            <v>480</v>
          </cell>
          <cell r="K480">
            <v>0</v>
          </cell>
          <cell r="L480">
            <v>480</v>
          </cell>
          <cell r="M480" t="str">
            <v/>
          </cell>
          <cell r="N480">
            <v>0</v>
          </cell>
        </row>
        <row r="481">
          <cell r="A481">
            <v>20698</v>
          </cell>
          <cell r="B481" t="str">
            <v>23/04/2021</v>
          </cell>
          <cell r="C481" t="str">
            <v>C1693</v>
          </cell>
          <cell r="D481" t="str">
            <v>Side stream filters</v>
          </cell>
          <cell r="E481" t="str">
            <v>Primary Water Treatments</v>
          </cell>
          <cell r="F481" t="str">
            <v>Subcontractor</v>
          </cell>
          <cell r="G481" t="str">
            <v>11/05/2021</v>
          </cell>
          <cell r="H481" t="str">
            <v>Part</v>
          </cell>
          <cell r="I481" t="str">
            <v/>
          </cell>
          <cell r="J481">
            <v>4285</v>
          </cell>
          <cell r="K481">
            <v>857</v>
          </cell>
          <cell r="L481">
            <v>4285</v>
          </cell>
          <cell r="M481" t="str">
            <v/>
          </cell>
          <cell r="N481">
            <v>0</v>
          </cell>
        </row>
        <row r="482">
          <cell r="A482">
            <v>20697</v>
          </cell>
          <cell r="B482" t="str">
            <v>23/04/2021</v>
          </cell>
          <cell r="C482" t="str">
            <v>C1746</v>
          </cell>
          <cell r="D482" t="str">
            <v>Electrical Supplies</v>
          </cell>
          <cell r="E482" t="str">
            <v>Key Integrated Services North West Ltd</v>
          </cell>
          <cell r="F482" t="str">
            <v>Subcontractor</v>
          </cell>
          <cell r="G482" t="str">
            <v>26/04/2021</v>
          </cell>
          <cell r="H482" t="str">
            <v>Part</v>
          </cell>
          <cell r="I482" t="str">
            <v/>
          </cell>
          <cell r="J482">
            <v>27600.7</v>
          </cell>
          <cell r="K482">
            <v>0</v>
          </cell>
          <cell r="L482">
            <v>27600.7</v>
          </cell>
          <cell r="M482" t="str">
            <v/>
          </cell>
          <cell r="N482">
            <v>0</v>
          </cell>
        </row>
        <row r="483">
          <cell r="A483">
            <v>20694</v>
          </cell>
          <cell r="B483" t="str">
            <v>23/04/2021</v>
          </cell>
          <cell r="C483" t="str">
            <v>MC2115</v>
          </cell>
          <cell r="D483" t="str">
            <v>Carry out Remedial works as per quote QU-28724</v>
          </cell>
          <cell r="E483" t="str">
            <v>Lantei Ltd</v>
          </cell>
          <cell r="F483" t="str">
            <v>Subcontractor</v>
          </cell>
          <cell r="G483" t="str">
            <v/>
          </cell>
          <cell r="H483" t="str">
            <v>Part</v>
          </cell>
          <cell r="I483" t="str">
            <v/>
          </cell>
          <cell r="J483">
            <v>211.76</v>
          </cell>
          <cell r="K483">
            <v>42.35</v>
          </cell>
          <cell r="L483">
            <v>211.76</v>
          </cell>
          <cell r="M483" t="str">
            <v/>
          </cell>
          <cell r="N483">
            <v>0</v>
          </cell>
        </row>
        <row r="484">
          <cell r="A484">
            <v>20689</v>
          </cell>
          <cell r="B484" t="str">
            <v>22/04/2021</v>
          </cell>
          <cell r="C484" t="str">
            <v>MC2107</v>
          </cell>
          <cell r="D484" t="str">
            <v xml:space="preserve">Investigate leaking toilet cistern </v>
          </cell>
          <cell r="E484" t="str">
            <v>Viabl Ltd T/A Able</v>
          </cell>
          <cell r="F484" t="str">
            <v>Subcontractor</v>
          </cell>
          <cell r="G484" t="str">
            <v/>
          </cell>
          <cell r="H484" t="str">
            <v/>
          </cell>
          <cell r="I484" t="str">
            <v/>
          </cell>
          <cell r="J484">
            <v>218.77</v>
          </cell>
          <cell r="K484">
            <v>0</v>
          </cell>
          <cell r="L484">
            <v>218.77</v>
          </cell>
          <cell r="M484" t="str">
            <v/>
          </cell>
          <cell r="N484">
            <v>0</v>
          </cell>
        </row>
        <row r="485">
          <cell r="A485">
            <v>20688</v>
          </cell>
          <cell r="B485" t="str">
            <v>22/04/2021</v>
          </cell>
          <cell r="C485" t="str">
            <v>C1712</v>
          </cell>
          <cell r="D485" t="str">
            <v xml:space="preserve">Lift 1no. redundant AHU and offload, lift and position 1no. </v>
          </cell>
          <cell r="E485" t="str">
            <v>Jack Waghorn International Ltd</v>
          </cell>
          <cell r="F485" t="str">
            <v>Subcontractor</v>
          </cell>
          <cell r="G485" t="str">
            <v>07/05/2021</v>
          </cell>
          <cell r="H485" t="str">
            <v/>
          </cell>
          <cell r="I485" t="str">
            <v/>
          </cell>
          <cell r="J485">
            <v>7640</v>
          </cell>
          <cell r="K485">
            <v>0</v>
          </cell>
          <cell r="L485">
            <v>7640</v>
          </cell>
          <cell r="M485" t="str">
            <v/>
          </cell>
          <cell r="N485">
            <v>0</v>
          </cell>
        </row>
        <row r="486">
          <cell r="A486">
            <v>20684</v>
          </cell>
          <cell r="B486" t="str">
            <v>22/04/2021</v>
          </cell>
          <cell r="C486" t="str">
            <v>MC2101</v>
          </cell>
          <cell r="D486" t="str">
            <v>Kids stuck in Lift at 12.20pm on 22nd April 2021</v>
          </cell>
          <cell r="E486" t="str">
            <v>Ansa Elevators Limited</v>
          </cell>
          <cell r="F486" t="str">
            <v>Subcontractor</v>
          </cell>
          <cell r="G486" t="str">
            <v/>
          </cell>
          <cell r="H486" t="str">
            <v>Part</v>
          </cell>
          <cell r="I486" t="str">
            <v/>
          </cell>
          <cell r="J486">
            <v>140</v>
          </cell>
          <cell r="K486">
            <v>0</v>
          </cell>
          <cell r="L486">
            <v>140</v>
          </cell>
          <cell r="M486" t="str">
            <v/>
          </cell>
          <cell r="N486">
            <v>0</v>
          </cell>
        </row>
        <row r="487">
          <cell r="A487">
            <v>20678</v>
          </cell>
          <cell r="B487" t="str">
            <v>22/04/2021</v>
          </cell>
          <cell r="C487" t="str">
            <v>C1743</v>
          </cell>
          <cell r="D487" t="str">
            <v>Mechanical Ventilation Services</v>
          </cell>
          <cell r="E487" t="str">
            <v>Allducts Ventilation Services Limited</v>
          </cell>
          <cell r="F487" t="str">
            <v>Subcontractor</v>
          </cell>
          <cell r="G487" t="str">
            <v>26/04/2021</v>
          </cell>
          <cell r="H487" t="str">
            <v>Part</v>
          </cell>
          <cell r="I487" t="str">
            <v/>
          </cell>
          <cell r="J487">
            <v>34150</v>
          </cell>
          <cell r="K487">
            <v>0</v>
          </cell>
          <cell r="L487">
            <v>34150</v>
          </cell>
          <cell r="M487" t="str">
            <v/>
          </cell>
          <cell r="N487">
            <v>0</v>
          </cell>
        </row>
        <row r="488">
          <cell r="A488">
            <v>20673</v>
          </cell>
          <cell r="B488" t="str">
            <v>22/04/2021</v>
          </cell>
          <cell r="C488" t="str">
            <v>MC2115</v>
          </cell>
          <cell r="D488" t="str">
            <v>Carry out Remedials as per quote QU-28612</v>
          </cell>
          <cell r="E488" t="str">
            <v>Lantei Ltd</v>
          </cell>
          <cell r="F488" t="str">
            <v>Subcontractor</v>
          </cell>
          <cell r="G488" t="str">
            <v/>
          </cell>
          <cell r="H488" t="str">
            <v>Part</v>
          </cell>
          <cell r="I488" t="str">
            <v/>
          </cell>
          <cell r="J488">
            <v>298.5</v>
          </cell>
          <cell r="K488">
            <v>59.7</v>
          </cell>
          <cell r="L488">
            <v>298.5</v>
          </cell>
          <cell r="M488" t="str">
            <v/>
          </cell>
          <cell r="N488">
            <v>0</v>
          </cell>
        </row>
        <row r="489">
          <cell r="A489">
            <v>20671</v>
          </cell>
          <cell r="B489" t="str">
            <v>21/04/2021</v>
          </cell>
          <cell r="C489" t="str">
            <v>MC2113</v>
          </cell>
          <cell r="D489" t="str">
            <v>Carry out remedial works following FW test</v>
          </cell>
          <cell r="E489" t="str">
            <v>Key Integrated Services North West Ltd</v>
          </cell>
          <cell r="F489" t="str">
            <v>Subcontractor</v>
          </cell>
          <cell r="G489" t="str">
            <v/>
          </cell>
          <cell r="H489" t="str">
            <v>Part</v>
          </cell>
          <cell r="I489" t="str">
            <v/>
          </cell>
          <cell r="J489">
            <v>151.5</v>
          </cell>
          <cell r="K489">
            <v>0</v>
          </cell>
          <cell r="L489">
            <v>196.68</v>
          </cell>
          <cell r="M489" t="str">
            <v/>
          </cell>
          <cell r="N489">
            <v>-45.18</v>
          </cell>
        </row>
        <row r="490">
          <cell r="A490">
            <v>20663</v>
          </cell>
          <cell r="B490" t="str">
            <v>21/04/2021</v>
          </cell>
          <cell r="C490" t="str">
            <v>C1632</v>
          </cell>
          <cell r="D490" t="str">
            <v>Change Boiler Shunt Pump</v>
          </cell>
          <cell r="E490" t="str">
            <v>Key Integrated Services Ltd</v>
          </cell>
          <cell r="F490" t="str">
            <v>Subcontractor</v>
          </cell>
          <cell r="G490" t="str">
            <v/>
          </cell>
          <cell r="H490" t="str">
            <v>Part</v>
          </cell>
          <cell r="I490" t="str">
            <v/>
          </cell>
          <cell r="J490">
            <v>250</v>
          </cell>
          <cell r="K490">
            <v>50</v>
          </cell>
          <cell r="L490">
            <v>250</v>
          </cell>
          <cell r="M490" t="str">
            <v/>
          </cell>
          <cell r="N490">
            <v>0</v>
          </cell>
        </row>
        <row r="491">
          <cell r="A491">
            <v>20662</v>
          </cell>
          <cell r="B491" t="str">
            <v>20/04/2021</v>
          </cell>
          <cell r="C491" t="str">
            <v>MC2115</v>
          </cell>
          <cell r="D491" t="str">
            <v xml:space="preserve">No power to bank of desks </v>
          </cell>
          <cell r="E491" t="str">
            <v>Viabl Ltd T/A Able</v>
          </cell>
          <cell r="F491" t="str">
            <v>Subcontractor</v>
          </cell>
          <cell r="G491" t="str">
            <v/>
          </cell>
          <cell r="H491" t="str">
            <v/>
          </cell>
          <cell r="I491" t="str">
            <v/>
          </cell>
          <cell r="J491">
            <v>240.76</v>
          </cell>
          <cell r="K491">
            <v>0</v>
          </cell>
          <cell r="L491">
            <v>240.76</v>
          </cell>
          <cell r="M491" t="str">
            <v/>
          </cell>
          <cell r="N491">
            <v>0</v>
          </cell>
        </row>
        <row r="492">
          <cell r="A492">
            <v>20656</v>
          </cell>
          <cell r="B492" t="str">
            <v>20/04/2021</v>
          </cell>
          <cell r="C492" t="str">
            <v>MC2118</v>
          </cell>
          <cell r="D492" t="str">
            <v>water leal remedials</v>
          </cell>
          <cell r="E492" t="str">
            <v>P More PHC Ltd</v>
          </cell>
          <cell r="F492" t="str">
            <v>Subcontractor</v>
          </cell>
          <cell r="G492" t="str">
            <v/>
          </cell>
          <cell r="H492" t="str">
            <v>Part</v>
          </cell>
          <cell r="I492" t="str">
            <v/>
          </cell>
          <cell r="J492">
            <v>940</v>
          </cell>
          <cell r="K492">
            <v>0</v>
          </cell>
          <cell r="L492">
            <v>0</v>
          </cell>
          <cell r="M492" t="str">
            <v/>
          </cell>
          <cell r="N492">
            <v>940</v>
          </cell>
        </row>
        <row r="493">
          <cell r="A493">
            <v>20655</v>
          </cell>
          <cell r="B493" t="str">
            <v>20/04/2021</v>
          </cell>
          <cell r="C493" t="str">
            <v>MC2111</v>
          </cell>
          <cell r="D493" t="str">
            <v>Aborted Visit</v>
          </cell>
          <cell r="E493" t="str">
            <v>Viabl Ltd T/A Able</v>
          </cell>
          <cell r="F493" t="str">
            <v>Subcontractor</v>
          </cell>
          <cell r="G493" t="str">
            <v/>
          </cell>
          <cell r="H493" t="str">
            <v>Part</v>
          </cell>
          <cell r="I493" t="str">
            <v/>
          </cell>
          <cell r="J493">
            <v>208.22</v>
          </cell>
          <cell r="K493">
            <v>0</v>
          </cell>
          <cell r="L493">
            <v>208.22</v>
          </cell>
          <cell r="M493" t="str">
            <v/>
          </cell>
          <cell r="N493">
            <v>0</v>
          </cell>
        </row>
        <row r="494">
          <cell r="A494">
            <v>20654</v>
          </cell>
          <cell r="B494" t="str">
            <v>19/04/2021</v>
          </cell>
          <cell r="C494" t="str">
            <v>MC2091</v>
          </cell>
          <cell r="D494" t="str">
            <v xml:space="preserve">Call out on 7th April faulty fire detection system </v>
          </cell>
          <cell r="E494" t="str">
            <v>Security and Fire Experts Ltd</v>
          </cell>
          <cell r="F494" t="str">
            <v>Subcontractor</v>
          </cell>
          <cell r="G494" t="str">
            <v/>
          </cell>
          <cell r="H494" t="str">
            <v/>
          </cell>
          <cell r="I494" t="str">
            <v/>
          </cell>
          <cell r="J494">
            <v>95</v>
          </cell>
          <cell r="K494">
            <v>0</v>
          </cell>
          <cell r="L494">
            <v>95</v>
          </cell>
          <cell r="M494" t="str">
            <v/>
          </cell>
          <cell r="N494">
            <v>0</v>
          </cell>
        </row>
        <row r="495">
          <cell r="A495">
            <v>20650</v>
          </cell>
          <cell r="B495" t="str">
            <v>19/04/2021</v>
          </cell>
          <cell r="C495" t="str">
            <v>C1712</v>
          </cell>
          <cell r="D495" t="str">
            <v>Thermal Insulation Package</v>
          </cell>
          <cell r="E495" t="str">
            <v>Thermguard Insulation Limited</v>
          </cell>
          <cell r="F495" t="str">
            <v>Subcontractor</v>
          </cell>
          <cell r="G495" t="str">
            <v>12/04/2021</v>
          </cell>
          <cell r="H495" t="str">
            <v>Part</v>
          </cell>
          <cell r="I495" t="str">
            <v>Posted</v>
          </cell>
          <cell r="J495">
            <v>99600</v>
          </cell>
          <cell r="K495">
            <v>0</v>
          </cell>
          <cell r="L495">
            <v>158755</v>
          </cell>
          <cell r="M495" t="str">
            <v/>
          </cell>
          <cell r="N495">
            <v>-59155</v>
          </cell>
        </row>
        <row r="496">
          <cell r="A496">
            <v>20649</v>
          </cell>
          <cell r="B496" t="str">
            <v>19/04/2021</v>
          </cell>
          <cell r="C496" t="str">
            <v>C1728</v>
          </cell>
          <cell r="D496" t="str">
            <v>Thermal Insulation Package</v>
          </cell>
          <cell r="E496" t="str">
            <v>Thermguard Insulation Limited</v>
          </cell>
          <cell r="F496" t="str">
            <v>Subcontractor</v>
          </cell>
          <cell r="G496" t="str">
            <v>12/04/2021</v>
          </cell>
          <cell r="H496" t="str">
            <v>Part</v>
          </cell>
          <cell r="I496" t="str">
            <v>Posted</v>
          </cell>
          <cell r="J496">
            <v>32000</v>
          </cell>
          <cell r="K496">
            <v>0</v>
          </cell>
          <cell r="L496">
            <v>37700</v>
          </cell>
          <cell r="M496" t="str">
            <v/>
          </cell>
          <cell r="N496">
            <v>-5700</v>
          </cell>
        </row>
        <row r="497">
          <cell r="A497">
            <v>20644</v>
          </cell>
          <cell r="B497" t="str">
            <v>19/04/2021</v>
          </cell>
          <cell r="C497" t="str">
            <v>MC2118</v>
          </cell>
          <cell r="D497" t="str">
            <v xml:space="preserve">Boiler Remedials as per your quote </v>
          </cell>
          <cell r="E497" t="str">
            <v>P More PHC Ltd</v>
          </cell>
          <cell r="F497" t="str">
            <v>Subcontractor</v>
          </cell>
          <cell r="G497" t="str">
            <v/>
          </cell>
          <cell r="H497" t="str">
            <v>Complete</v>
          </cell>
          <cell r="I497" t="str">
            <v/>
          </cell>
          <cell r="J497">
            <v>0</v>
          </cell>
          <cell r="K497">
            <v>0</v>
          </cell>
          <cell r="L497">
            <v>0</v>
          </cell>
          <cell r="M497" t="str">
            <v/>
          </cell>
          <cell r="N497">
            <v>0</v>
          </cell>
        </row>
        <row r="498">
          <cell r="A498">
            <v>20641</v>
          </cell>
          <cell r="B498" t="str">
            <v>16/04/2021</v>
          </cell>
          <cell r="C498" t="str">
            <v>MC2118</v>
          </cell>
          <cell r="D498" t="str">
            <v xml:space="preserve">pump remedials </v>
          </cell>
          <cell r="E498" t="str">
            <v>City Pumps Ltd</v>
          </cell>
          <cell r="F498" t="str">
            <v>Subcontractor</v>
          </cell>
          <cell r="G498" t="str">
            <v/>
          </cell>
          <cell r="H498" t="str">
            <v>Part</v>
          </cell>
          <cell r="I498" t="str">
            <v/>
          </cell>
          <cell r="J498">
            <v>2982</v>
          </cell>
          <cell r="K498">
            <v>0</v>
          </cell>
          <cell r="L498">
            <v>2982</v>
          </cell>
          <cell r="M498" t="str">
            <v/>
          </cell>
          <cell r="N498">
            <v>0</v>
          </cell>
        </row>
        <row r="499">
          <cell r="A499">
            <v>20632</v>
          </cell>
          <cell r="B499" t="str">
            <v>16/04/2021</v>
          </cell>
          <cell r="C499" t="str">
            <v>MC2087</v>
          </cell>
          <cell r="D499" t="str">
            <v xml:space="preserve">Assist Our engineer on site </v>
          </cell>
          <cell r="E499" t="str">
            <v>Derek Austin Heating Limited</v>
          </cell>
          <cell r="F499" t="str">
            <v>Subcontractor</v>
          </cell>
          <cell r="G499" t="str">
            <v>20/04/2021</v>
          </cell>
          <cell r="H499" t="str">
            <v/>
          </cell>
          <cell r="I499" t="str">
            <v/>
          </cell>
          <cell r="J499">
            <v>450</v>
          </cell>
          <cell r="K499">
            <v>0</v>
          </cell>
          <cell r="L499">
            <v>450</v>
          </cell>
          <cell r="M499" t="str">
            <v/>
          </cell>
          <cell r="N499">
            <v>0</v>
          </cell>
        </row>
        <row r="500">
          <cell r="A500">
            <v>20631</v>
          </cell>
          <cell r="B500" t="str">
            <v>16/04/2021</v>
          </cell>
          <cell r="C500" t="str">
            <v>MC2115</v>
          </cell>
          <cell r="D500" t="str">
            <v xml:space="preserve">Boiler Maintenance </v>
          </cell>
          <cell r="E500" t="str">
            <v>Commercial Temperature Solutions</v>
          </cell>
          <cell r="F500" t="str">
            <v>Subcontractor</v>
          </cell>
          <cell r="G500" t="str">
            <v/>
          </cell>
          <cell r="H500" t="str">
            <v/>
          </cell>
          <cell r="I500" t="str">
            <v/>
          </cell>
          <cell r="J500">
            <v>120</v>
          </cell>
          <cell r="K500">
            <v>0</v>
          </cell>
          <cell r="L500">
            <v>120</v>
          </cell>
          <cell r="M500" t="str">
            <v/>
          </cell>
          <cell r="N500">
            <v>0</v>
          </cell>
        </row>
        <row r="501">
          <cell r="A501">
            <v>20630</v>
          </cell>
          <cell r="B501" t="str">
            <v>16/04/2021</v>
          </cell>
          <cell r="C501" t="str">
            <v>MC2109</v>
          </cell>
          <cell r="D501" t="str">
            <v xml:space="preserve">L8 Monthly </v>
          </cell>
          <cell r="E501" t="str">
            <v>Commercial Temperature Solutions</v>
          </cell>
          <cell r="F501" t="str">
            <v>Subcontractor</v>
          </cell>
          <cell r="G501" t="str">
            <v/>
          </cell>
          <cell r="H501" t="str">
            <v/>
          </cell>
          <cell r="I501" t="str">
            <v/>
          </cell>
          <cell r="J501">
            <v>80</v>
          </cell>
          <cell r="K501">
            <v>0</v>
          </cell>
          <cell r="L501">
            <v>80</v>
          </cell>
          <cell r="M501" t="str">
            <v/>
          </cell>
          <cell r="N501">
            <v>0</v>
          </cell>
        </row>
        <row r="502">
          <cell r="A502">
            <v>20627</v>
          </cell>
          <cell r="B502" t="str">
            <v>16/04/2021</v>
          </cell>
          <cell r="C502" t="str">
            <v>MC2105</v>
          </cell>
          <cell r="D502" t="str">
            <v>AC Maintenance 1 Unit</v>
          </cell>
          <cell r="E502" t="str">
            <v>Commercial Temperature Solutions</v>
          </cell>
          <cell r="F502" t="str">
            <v>Subcontractor</v>
          </cell>
          <cell r="G502" t="str">
            <v/>
          </cell>
          <cell r="H502" t="str">
            <v/>
          </cell>
          <cell r="I502" t="str">
            <v/>
          </cell>
          <cell r="J502">
            <v>25</v>
          </cell>
          <cell r="K502">
            <v>0</v>
          </cell>
          <cell r="L502">
            <v>0</v>
          </cell>
          <cell r="M502" t="str">
            <v/>
          </cell>
          <cell r="N502">
            <v>25</v>
          </cell>
        </row>
        <row r="503">
          <cell r="A503">
            <v>20626</v>
          </cell>
          <cell r="B503" t="str">
            <v>16/04/2021</v>
          </cell>
          <cell r="C503" t="str">
            <v>MC2105</v>
          </cell>
          <cell r="D503" t="str">
            <v>AC 5 Units</v>
          </cell>
          <cell r="E503" t="str">
            <v>Commercial Temperature Solutions</v>
          </cell>
          <cell r="F503" t="str">
            <v>Subcontractor</v>
          </cell>
          <cell r="G503" t="str">
            <v/>
          </cell>
          <cell r="H503" t="str">
            <v>Part</v>
          </cell>
          <cell r="I503" t="str">
            <v/>
          </cell>
          <cell r="J503">
            <v>125</v>
          </cell>
          <cell r="K503">
            <v>0</v>
          </cell>
          <cell r="L503">
            <v>125</v>
          </cell>
          <cell r="M503" t="str">
            <v/>
          </cell>
          <cell r="N503">
            <v>0</v>
          </cell>
        </row>
        <row r="504">
          <cell r="A504">
            <v>20622</v>
          </cell>
          <cell r="B504" t="str">
            <v>16/04/2021</v>
          </cell>
          <cell r="C504" t="str">
            <v>MC2115</v>
          </cell>
          <cell r="D504" t="str">
            <v>Carry out Water Treatment Works</v>
          </cell>
          <cell r="E504" t="str">
            <v>Rock Compliance</v>
          </cell>
          <cell r="F504" t="str">
            <v>Subcontractor</v>
          </cell>
          <cell r="G504" t="str">
            <v/>
          </cell>
          <cell r="H504" t="str">
            <v>Part</v>
          </cell>
          <cell r="I504" t="str">
            <v/>
          </cell>
          <cell r="J504">
            <v>270</v>
          </cell>
          <cell r="K504">
            <v>0</v>
          </cell>
          <cell r="L504">
            <v>270</v>
          </cell>
          <cell r="M504" t="str">
            <v/>
          </cell>
          <cell r="N504">
            <v>0</v>
          </cell>
        </row>
        <row r="505">
          <cell r="A505">
            <v>20614</v>
          </cell>
          <cell r="B505" t="str">
            <v>15/04/2021</v>
          </cell>
          <cell r="C505" t="str">
            <v>MC0001</v>
          </cell>
          <cell r="D505" t="str">
            <v xml:space="preserve">site to unblock 2no toilets, </v>
          </cell>
          <cell r="E505" t="str">
            <v>Viabl Ltd T/A Able</v>
          </cell>
          <cell r="F505" t="str">
            <v>Subcontractor</v>
          </cell>
          <cell r="G505" t="str">
            <v/>
          </cell>
          <cell r="H505" t="str">
            <v>Part</v>
          </cell>
          <cell r="I505" t="str">
            <v/>
          </cell>
          <cell r="J505">
            <v>144</v>
          </cell>
          <cell r="K505">
            <v>0</v>
          </cell>
          <cell r="L505">
            <v>144</v>
          </cell>
          <cell r="M505" t="str">
            <v/>
          </cell>
          <cell r="N505">
            <v>0</v>
          </cell>
        </row>
        <row r="506">
          <cell r="A506">
            <v>20610</v>
          </cell>
          <cell r="B506" t="str">
            <v>14/04/2021</v>
          </cell>
          <cell r="C506" t="str">
            <v>C1730</v>
          </cell>
          <cell r="D506" t="str">
            <v>Process Oven Extract Ventilation</v>
          </cell>
          <cell r="E506" t="str">
            <v>Quality Plastics Ltd</v>
          </cell>
          <cell r="F506" t="str">
            <v>Subcontractor</v>
          </cell>
          <cell r="G506" t="str">
            <v>22/04/2021</v>
          </cell>
          <cell r="H506" t="str">
            <v>Part</v>
          </cell>
          <cell r="I506" t="str">
            <v/>
          </cell>
          <cell r="J506">
            <v>6848.74</v>
          </cell>
          <cell r="K506">
            <v>0</v>
          </cell>
          <cell r="L506">
            <v>6848.74</v>
          </cell>
          <cell r="M506" t="str">
            <v/>
          </cell>
          <cell r="N506">
            <v>0</v>
          </cell>
        </row>
        <row r="507">
          <cell r="A507">
            <v>20609</v>
          </cell>
          <cell r="B507" t="str">
            <v>14/04/2021</v>
          </cell>
          <cell r="C507" t="str">
            <v>MC2088</v>
          </cell>
          <cell r="D507" t="str">
            <v xml:space="preserve">Attended site 13.04.2021 to unblock toilet </v>
          </cell>
          <cell r="E507" t="str">
            <v>Viabl Ltd T/A Able</v>
          </cell>
          <cell r="F507" t="str">
            <v>Subcontractor</v>
          </cell>
          <cell r="G507" t="str">
            <v>13/04/2021</v>
          </cell>
          <cell r="H507" t="str">
            <v>Part</v>
          </cell>
          <cell r="I507" t="str">
            <v/>
          </cell>
          <cell r="J507">
            <v>138</v>
          </cell>
          <cell r="K507">
            <v>0</v>
          </cell>
          <cell r="L507">
            <v>138</v>
          </cell>
          <cell r="M507" t="str">
            <v/>
          </cell>
          <cell r="N507">
            <v>0</v>
          </cell>
        </row>
        <row r="508">
          <cell r="A508">
            <v>20604</v>
          </cell>
          <cell r="B508" t="str">
            <v>13/04/2021</v>
          </cell>
          <cell r="C508" t="str">
            <v>MC2124</v>
          </cell>
          <cell r="D508" t="str">
            <v>UPS Maintenance Contract 09.05.2021 to 08.05.2022</v>
          </cell>
          <cell r="E508" t="str">
            <v>Riello UPS Ltd</v>
          </cell>
          <cell r="F508" t="str">
            <v>Subcontractor</v>
          </cell>
          <cell r="G508" t="str">
            <v>09/05/2021</v>
          </cell>
          <cell r="H508" t="str">
            <v>Part</v>
          </cell>
          <cell r="I508" t="str">
            <v/>
          </cell>
          <cell r="J508">
            <v>1856.25</v>
          </cell>
          <cell r="K508">
            <v>0</v>
          </cell>
          <cell r="L508">
            <v>928.13</v>
          </cell>
          <cell r="M508" t="str">
            <v/>
          </cell>
          <cell r="N508">
            <v>928.12</v>
          </cell>
        </row>
        <row r="509">
          <cell r="A509">
            <v>20590</v>
          </cell>
          <cell r="B509" t="str">
            <v>12/04/2021</v>
          </cell>
          <cell r="C509" t="str">
            <v>MC2115</v>
          </cell>
          <cell r="D509" t="str">
            <v>Carry out annual EML Test</v>
          </cell>
          <cell r="E509" t="str">
            <v>Lantei Ltd</v>
          </cell>
          <cell r="F509" t="str">
            <v>Subcontractor</v>
          </cell>
          <cell r="G509" t="str">
            <v/>
          </cell>
          <cell r="H509" t="str">
            <v>Part</v>
          </cell>
          <cell r="I509" t="str">
            <v/>
          </cell>
          <cell r="J509">
            <v>280</v>
          </cell>
          <cell r="K509">
            <v>56</v>
          </cell>
          <cell r="L509">
            <v>0</v>
          </cell>
          <cell r="M509" t="str">
            <v/>
          </cell>
          <cell r="N509">
            <v>280</v>
          </cell>
        </row>
        <row r="510">
          <cell r="A510">
            <v>20589</v>
          </cell>
          <cell r="B510" t="str">
            <v>12/04/2021</v>
          </cell>
          <cell r="C510" t="str">
            <v>MC2119</v>
          </cell>
          <cell r="D510" t="str">
            <v>Call out for fire alarm panel fault on first floor</v>
          </cell>
          <cell r="E510" t="str">
            <v>Marlowe Fire &amp; Security Limited</v>
          </cell>
          <cell r="F510" t="str">
            <v>Subcontractor</v>
          </cell>
          <cell r="G510" t="str">
            <v/>
          </cell>
          <cell r="H510" t="str">
            <v>Part</v>
          </cell>
          <cell r="I510" t="str">
            <v/>
          </cell>
          <cell r="J510">
            <v>294.8</v>
          </cell>
          <cell r="K510">
            <v>0</v>
          </cell>
          <cell r="L510">
            <v>294.8</v>
          </cell>
          <cell r="M510" t="str">
            <v/>
          </cell>
          <cell r="N510">
            <v>0</v>
          </cell>
        </row>
        <row r="511">
          <cell r="A511">
            <v>20580</v>
          </cell>
          <cell r="B511" t="str">
            <v>08/04/2021</v>
          </cell>
          <cell r="C511" t="str">
            <v>C1648</v>
          </cell>
          <cell r="D511" t="str">
            <v>To Cover 3rd and 4th visit at Greggs Treforest.</v>
          </cell>
          <cell r="E511" t="str">
            <v>Modern Heating Services Limited</v>
          </cell>
          <cell r="F511" t="str">
            <v>Subcontractor</v>
          </cell>
          <cell r="G511" t="str">
            <v>15/03/2021</v>
          </cell>
          <cell r="H511" t="str">
            <v>Part</v>
          </cell>
          <cell r="I511" t="str">
            <v/>
          </cell>
          <cell r="J511">
            <v>875</v>
          </cell>
          <cell r="K511">
            <v>0</v>
          </cell>
          <cell r="L511">
            <v>875</v>
          </cell>
          <cell r="M511" t="str">
            <v/>
          </cell>
          <cell r="N511">
            <v>0</v>
          </cell>
        </row>
        <row r="512">
          <cell r="A512">
            <v>20579</v>
          </cell>
          <cell r="B512" t="str">
            <v>08/04/2021</v>
          </cell>
          <cell r="C512" t="str">
            <v>C1741</v>
          </cell>
          <cell r="D512" t="str">
            <v>Decommission Unit 5 Ventura Park Tamworth</v>
          </cell>
          <cell r="E512" t="str">
            <v>Key Integrated Services Ltd</v>
          </cell>
          <cell r="F512" t="str">
            <v>Subcontractor</v>
          </cell>
          <cell r="G512" t="str">
            <v>22/02/2021</v>
          </cell>
          <cell r="H512" t="str">
            <v>Part</v>
          </cell>
          <cell r="I512" t="str">
            <v/>
          </cell>
          <cell r="J512">
            <v>655</v>
          </cell>
          <cell r="K512">
            <v>0</v>
          </cell>
          <cell r="L512">
            <v>655</v>
          </cell>
          <cell r="M512" t="str">
            <v/>
          </cell>
          <cell r="N512">
            <v>0</v>
          </cell>
        </row>
        <row r="513">
          <cell r="A513">
            <v>20576</v>
          </cell>
          <cell r="B513" t="str">
            <v>08/04/2021</v>
          </cell>
          <cell r="C513" t="str">
            <v>C1648</v>
          </cell>
          <cell r="D513" t="str">
            <v>To Complete the vent balancing at Greggs Treforest.</v>
          </cell>
          <cell r="E513" t="str">
            <v>New Era Commissioning Specialists Ltd</v>
          </cell>
          <cell r="F513" t="str">
            <v>Subcontractor</v>
          </cell>
          <cell r="G513" t="str">
            <v>19/04/2021</v>
          </cell>
          <cell r="H513" t="str">
            <v>Part</v>
          </cell>
          <cell r="I513" t="str">
            <v/>
          </cell>
          <cell r="J513">
            <v>3350</v>
          </cell>
          <cell r="K513">
            <v>0</v>
          </cell>
          <cell r="L513">
            <v>3350</v>
          </cell>
          <cell r="M513" t="str">
            <v/>
          </cell>
          <cell r="N513">
            <v>0</v>
          </cell>
        </row>
        <row r="514">
          <cell r="A514">
            <v>20575</v>
          </cell>
          <cell r="B514" t="str">
            <v>08/04/2021</v>
          </cell>
          <cell r="C514" t="str">
            <v>MC2091</v>
          </cell>
          <cell r="D514" t="str">
            <v>2nd Visit to investigate fire alarm beeping and flashing</v>
          </cell>
          <cell r="E514" t="str">
            <v>Security and Fire Experts Ltd</v>
          </cell>
          <cell r="F514" t="str">
            <v>Subcontractor</v>
          </cell>
          <cell r="G514" t="str">
            <v/>
          </cell>
          <cell r="H514" t="str">
            <v>Part</v>
          </cell>
          <cell r="I514" t="str">
            <v/>
          </cell>
          <cell r="J514">
            <v>95</v>
          </cell>
          <cell r="K514">
            <v>19</v>
          </cell>
          <cell r="L514">
            <v>95</v>
          </cell>
          <cell r="M514" t="str">
            <v/>
          </cell>
          <cell r="N514">
            <v>0</v>
          </cell>
        </row>
        <row r="515">
          <cell r="A515">
            <v>20574</v>
          </cell>
          <cell r="B515" t="str">
            <v>08/04/2021</v>
          </cell>
          <cell r="C515" t="str">
            <v>MC2088</v>
          </cell>
          <cell r="D515" t="str">
            <v xml:space="preserve">Investigate Toilet Continuously Filling </v>
          </cell>
          <cell r="E515" t="str">
            <v>Viabl Ltd T/A Able</v>
          </cell>
          <cell r="F515" t="str">
            <v>Subcontractor</v>
          </cell>
          <cell r="G515" t="str">
            <v/>
          </cell>
          <cell r="H515" t="str">
            <v/>
          </cell>
          <cell r="I515" t="str">
            <v/>
          </cell>
          <cell r="J515">
            <v>121.12</v>
          </cell>
          <cell r="K515">
            <v>0</v>
          </cell>
          <cell r="L515">
            <v>121.12</v>
          </cell>
          <cell r="M515" t="str">
            <v/>
          </cell>
          <cell r="N515">
            <v>0</v>
          </cell>
        </row>
        <row r="516">
          <cell r="A516">
            <v>20567</v>
          </cell>
          <cell r="B516" t="str">
            <v>07/04/2021</v>
          </cell>
          <cell r="C516" t="str">
            <v>SERVICE</v>
          </cell>
          <cell r="D516" t="str">
            <v xml:space="preserve">12 Months Fire Alarm Maintenance &amp; Monitoring </v>
          </cell>
          <cell r="E516" t="str">
            <v>Marlowe Fire &amp; Security Limited</v>
          </cell>
          <cell r="F516" t="str">
            <v>Subcontractor</v>
          </cell>
          <cell r="G516" t="str">
            <v>01/04/2021</v>
          </cell>
          <cell r="H516" t="str">
            <v>Part</v>
          </cell>
          <cell r="I516" t="str">
            <v/>
          </cell>
          <cell r="J516">
            <v>1301.73</v>
          </cell>
          <cell r="K516">
            <v>0</v>
          </cell>
          <cell r="L516">
            <v>285</v>
          </cell>
          <cell r="M516" t="str">
            <v/>
          </cell>
          <cell r="N516">
            <v>1016.73</v>
          </cell>
        </row>
        <row r="517">
          <cell r="A517">
            <v>20559</v>
          </cell>
          <cell r="B517" t="str">
            <v>07/04/2021</v>
          </cell>
          <cell r="C517" t="str">
            <v>MC2115</v>
          </cell>
          <cell r="D517" t="str">
            <v>Carry out remedial works as per quote 67089</v>
          </cell>
          <cell r="E517" t="str">
            <v>Rock Compliance</v>
          </cell>
          <cell r="F517" t="str">
            <v>Subcontractor</v>
          </cell>
          <cell r="G517" t="str">
            <v/>
          </cell>
          <cell r="H517" t="str">
            <v>Part</v>
          </cell>
          <cell r="I517" t="str">
            <v/>
          </cell>
          <cell r="J517">
            <v>350</v>
          </cell>
          <cell r="K517">
            <v>0</v>
          </cell>
          <cell r="L517">
            <v>350</v>
          </cell>
          <cell r="M517" t="str">
            <v/>
          </cell>
          <cell r="N517">
            <v>0</v>
          </cell>
        </row>
        <row r="518">
          <cell r="A518">
            <v>20563</v>
          </cell>
          <cell r="B518" t="str">
            <v>06/04/2021</v>
          </cell>
          <cell r="C518" t="str">
            <v>MC2088</v>
          </cell>
          <cell r="D518" t="str">
            <v xml:space="preserve">Unblock Toilet on Ground Floor unit 1 </v>
          </cell>
          <cell r="E518" t="str">
            <v>Viabl Ltd T/A Able</v>
          </cell>
          <cell r="F518" t="str">
            <v>Subcontractor</v>
          </cell>
          <cell r="G518" t="str">
            <v>06/04/2021</v>
          </cell>
          <cell r="H518" t="str">
            <v>Part</v>
          </cell>
          <cell r="I518" t="str">
            <v/>
          </cell>
          <cell r="J518">
            <v>138</v>
          </cell>
          <cell r="K518">
            <v>0</v>
          </cell>
          <cell r="L518">
            <v>138</v>
          </cell>
          <cell r="M518" t="str">
            <v/>
          </cell>
          <cell r="N518">
            <v>0</v>
          </cell>
        </row>
        <row r="519">
          <cell r="A519">
            <v>20820</v>
          </cell>
          <cell r="B519" t="str">
            <v>01/04/2021</v>
          </cell>
          <cell r="C519" t="str">
            <v>C1739</v>
          </cell>
          <cell r="D519" t="str">
            <v>INSTALLATION OF DUCTWORK</v>
          </cell>
          <cell r="E519" t="str">
            <v>JTC Ductwork Solutions Limited</v>
          </cell>
          <cell r="F519" t="str">
            <v>Subcontractor</v>
          </cell>
          <cell r="G519" t="str">
            <v/>
          </cell>
          <cell r="H519" t="str">
            <v/>
          </cell>
          <cell r="I519" t="str">
            <v/>
          </cell>
          <cell r="J519">
            <v>7000</v>
          </cell>
          <cell r="K519">
            <v>0</v>
          </cell>
          <cell r="L519">
            <v>8269</v>
          </cell>
          <cell r="M519" t="str">
            <v/>
          </cell>
          <cell r="N519">
            <v>-1269</v>
          </cell>
        </row>
        <row r="520">
          <cell r="A520">
            <v>20568</v>
          </cell>
          <cell r="B520" t="str">
            <v>01/04/2021</v>
          </cell>
          <cell r="C520" t="str">
            <v>SERVICE</v>
          </cell>
          <cell r="D520" t="str">
            <v xml:space="preserve">12 Months Fire Alarm Maintenance and Monitoring </v>
          </cell>
          <cell r="E520" t="str">
            <v>Marlowe Fire &amp; Security Limited</v>
          </cell>
          <cell r="F520" t="str">
            <v>Subcontractor</v>
          </cell>
          <cell r="G520" t="str">
            <v/>
          </cell>
          <cell r="H520" t="str">
            <v>Part</v>
          </cell>
          <cell r="I520" t="str">
            <v/>
          </cell>
          <cell r="J520">
            <v>1301.73</v>
          </cell>
          <cell r="K520">
            <v>0</v>
          </cell>
          <cell r="L520">
            <v>160</v>
          </cell>
          <cell r="M520" t="str">
            <v/>
          </cell>
          <cell r="N520">
            <v>1141.73</v>
          </cell>
        </row>
        <row r="521">
          <cell r="A521">
            <v>20548</v>
          </cell>
          <cell r="B521" t="str">
            <v>01/04/2021</v>
          </cell>
          <cell r="C521" t="str">
            <v>MC2116</v>
          </cell>
          <cell r="D521" t="str">
            <v xml:space="preserve">gas detection maintenance and remedial repairs </v>
          </cell>
          <cell r="E521" t="str">
            <v>Duomo (UK) Ltd</v>
          </cell>
          <cell r="F521" t="str">
            <v>Subcontractor</v>
          </cell>
          <cell r="G521" t="str">
            <v>01/04/2021</v>
          </cell>
          <cell r="H521" t="str">
            <v>Part</v>
          </cell>
          <cell r="I521" t="str">
            <v/>
          </cell>
          <cell r="J521">
            <v>1657.13</v>
          </cell>
          <cell r="K521">
            <v>331.43</v>
          </cell>
          <cell r="L521">
            <v>1657.13</v>
          </cell>
          <cell r="M521" t="str">
            <v/>
          </cell>
          <cell r="N521">
            <v>0</v>
          </cell>
        </row>
        <row r="522">
          <cell r="A522">
            <v>20547</v>
          </cell>
          <cell r="B522" t="str">
            <v>01/04/2021</v>
          </cell>
          <cell r="C522" t="str">
            <v>MC2115</v>
          </cell>
          <cell r="D522" t="str">
            <v>Carry Out Annual EML test</v>
          </cell>
          <cell r="E522" t="str">
            <v>Lantei Ltd</v>
          </cell>
          <cell r="F522" t="str">
            <v>Subcontractor</v>
          </cell>
          <cell r="G522" t="str">
            <v/>
          </cell>
          <cell r="H522" t="str">
            <v>Part</v>
          </cell>
          <cell r="I522" t="str">
            <v/>
          </cell>
          <cell r="J522">
            <v>280</v>
          </cell>
          <cell r="K522">
            <v>56</v>
          </cell>
          <cell r="L522">
            <v>280</v>
          </cell>
          <cell r="M522" t="str">
            <v/>
          </cell>
          <cell r="N522">
            <v>0</v>
          </cell>
        </row>
        <row r="523">
          <cell r="A523">
            <v>20546</v>
          </cell>
          <cell r="B523" t="str">
            <v>01/04/2021</v>
          </cell>
          <cell r="C523" t="str">
            <v>MC2115</v>
          </cell>
          <cell r="D523" t="str">
            <v>Carry Out Annual Emergency Light Test</v>
          </cell>
          <cell r="E523" t="str">
            <v>Lantei Ltd</v>
          </cell>
          <cell r="F523" t="str">
            <v>Subcontractor</v>
          </cell>
          <cell r="G523" t="str">
            <v/>
          </cell>
          <cell r="H523" t="str">
            <v/>
          </cell>
          <cell r="I523" t="str">
            <v/>
          </cell>
          <cell r="J523">
            <v>280</v>
          </cell>
          <cell r="K523">
            <v>56</v>
          </cell>
          <cell r="L523">
            <v>280</v>
          </cell>
          <cell r="M523" t="str">
            <v/>
          </cell>
          <cell r="N523">
            <v>0</v>
          </cell>
        </row>
        <row r="524">
          <cell r="A524">
            <v>20545</v>
          </cell>
          <cell r="B524" t="str">
            <v>01/04/2021</v>
          </cell>
          <cell r="C524" t="str">
            <v>MC2115</v>
          </cell>
          <cell r="D524" t="str">
            <v>Carry Out Annual EML Test</v>
          </cell>
          <cell r="E524" t="str">
            <v>Lantei Ltd</v>
          </cell>
          <cell r="F524" t="str">
            <v>Subcontractor</v>
          </cell>
          <cell r="G524" t="str">
            <v/>
          </cell>
          <cell r="H524" t="str">
            <v/>
          </cell>
          <cell r="I524" t="str">
            <v/>
          </cell>
          <cell r="J524">
            <v>280</v>
          </cell>
          <cell r="K524">
            <v>56</v>
          </cell>
          <cell r="L524">
            <v>0</v>
          </cell>
          <cell r="M524" t="str">
            <v/>
          </cell>
          <cell r="N524">
            <v>280</v>
          </cell>
        </row>
        <row r="525">
          <cell r="A525">
            <v>20544</v>
          </cell>
          <cell r="B525" t="str">
            <v>01/04/2021</v>
          </cell>
          <cell r="C525" t="str">
            <v>MC2115</v>
          </cell>
          <cell r="D525" t="str">
            <v xml:space="preserve">Pressure Test and Recommission AC Unit </v>
          </cell>
          <cell r="E525" t="str">
            <v>Derek Austin Heating Limited</v>
          </cell>
          <cell r="F525" t="str">
            <v>Subcontractor</v>
          </cell>
          <cell r="G525" t="str">
            <v>08/04/2021</v>
          </cell>
          <cell r="H525" t="str">
            <v/>
          </cell>
          <cell r="I525" t="str">
            <v/>
          </cell>
          <cell r="J525">
            <v>860</v>
          </cell>
          <cell r="K525">
            <v>0</v>
          </cell>
          <cell r="L525">
            <v>860</v>
          </cell>
          <cell r="M525" t="str">
            <v/>
          </cell>
          <cell r="N525">
            <v>0</v>
          </cell>
        </row>
        <row r="526">
          <cell r="A526">
            <v>20533</v>
          </cell>
          <cell r="B526" t="str">
            <v>31/03/2021</v>
          </cell>
          <cell r="C526" t="str">
            <v>MC2115</v>
          </cell>
          <cell r="D526" t="str">
            <v>Carry out Painting Works at High Level - 15 Days</v>
          </cell>
          <cell r="E526" t="str">
            <v>Commercial Temperature Solutions</v>
          </cell>
          <cell r="F526" t="str">
            <v>Subcontractor</v>
          </cell>
          <cell r="G526" t="str">
            <v>06/04/2021</v>
          </cell>
          <cell r="H526" t="str">
            <v>Part</v>
          </cell>
          <cell r="I526" t="str">
            <v/>
          </cell>
          <cell r="J526">
            <v>3550</v>
          </cell>
          <cell r="K526">
            <v>0</v>
          </cell>
          <cell r="L526">
            <v>3300</v>
          </cell>
          <cell r="M526" t="str">
            <v/>
          </cell>
          <cell r="N526">
            <v>250</v>
          </cell>
        </row>
        <row r="527">
          <cell r="A527">
            <v>20532</v>
          </cell>
          <cell r="B527" t="str">
            <v>31/03/2021</v>
          </cell>
          <cell r="C527" t="str">
            <v>MC2115</v>
          </cell>
          <cell r="D527" t="str">
            <v>Remove &amp; Dispose of Furniture as agreed</v>
          </cell>
          <cell r="E527" t="str">
            <v>Commercial Temperature Solutions</v>
          </cell>
          <cell r="F527" t="str">
            <v>Subcontractor</v>
          </cell>
          <cell r="G527" t="str">
            <v>06/04/2021</v>
          </cell>
          <cell r="H527" t="str">
            <v>Part</v>
          </cell>
          <cell r="I527" t="str">
            <v/>
          </cell>
          <cell r="J527">
            <v>230</v>
          </cell>
          <cell r="K527">
            <v>0</v>
          </cell>
          <cell r="L527">
            <v>230</v>
          </cell>
          <cell r="M527" t="str">
            <v/>
          </cell>
          <cell r="N527">
            <v>0</v>
          </cell>
        </row>
        <row r="528">
          <cell r="A528">
            <v>20525</v>
          </cell>
          <cell r="B528" t="str">
            <v>31/03/2021</v>
          </cell>
          <cell r="C528" t="str">
            <v>C1746</v>
          </cell>
          <cell r="D528" t="str">
            <v xml:space="preserve">A/C Installation </v>
          </cell>
          <cell r="E528" t="str">
            <v>Mission Air Ltd</v>
          </cell>
          <cell r="F528" t="str">
            <v>Subcontractor</v>
          </cell>
          <cell r="G528" t="str">
            <v>06/04/2021</v>
          </cell>
          <cell r="H528" t="str">
            <v>Part</v>
          </cell>
          <cell r="I528" t="str">
            <v/>
          </cell>
          <cell r="J528">
            <v>60000</v>
          </cell>
          <cell r="K528">
            <v>0</v>
          </cell>
          <cell r="L528">
            <v>60000</v>
          </cell>
          <cell r="M528" t="str">
            <v/>
          </cell>
          <cell r="N528">
            <v>0</v>
          </cell>
        </row>
        <row r="529">
          <cell r="A529">
            <v>20515</v>
          </cell>
          <cell r="B529" t="str">
            <v>30/03/2021</v>
          </cell>
          <cell r="C529" t="str">
            <v>C1752</v>
          </cell>
          <cell r="D529" t="str">
            <v>New Phone</v>
          </cell>
          <cell r="E529" t="str">
            <v>Key Integrated Services (Electrical) Ltd</v>
          </cell>
          <cell r="F529" t="str">
            <v>Subcontractor</v>
          </cell>
          <cell r="G529" t="str">
            <v/>
          </cell>
          <cell r="H529" t="str">
            <v/>
          </cell>
          <cell r="I529" t="str">
            <v/>
          </cell>
          <cell r="J529">
            <v>324</v>
          </cell>
          <cell r="K529">
            <v>0</v>
          </cell>
          <cell r="L529">
            <v>324</v>
          </cell>
          <cell r="M529" t="str">
            <v/>
          </cell>
          <cell r="N529">
            <v>0</v>
          </cell>
        </row>
        <row r="530">
          <cell r="A530">
            <v>20513</v>
          </cell>
          <cell r="B530" t="str">
            <v>30/03/2021</v>
          </cell>
          <cell r="C530" t="str">
            <v>MC2115</v>
          </cell>
          <cell r="D530" t="str">
            <v xml:space="preserve">Supply &amp; Install 2 Heaters with Thermostat and 7 day timer </v>
          </cell>
          <cell r="E530" t="str">
            <v>Key Integrated Services North West Ltd</v>
          </cell>
          <cell r="F530" t="str">
            <v>Subcontractor</v>
          </cell>
          <cell r="G530" t="str">
            <v>31/03/2021</v>
          </cell>
          <cell r="H530" t="str">
            <v>Part</v>
          </cell>
          <cell r="I530" t="str">
            <v/>
          </cell>
          <cell r="J530">
            <v>881.23</v>
          </cell>
          <cell r="K530">
            <v>0</v>
          </cell>
          <cell r="L530">
            <v>881.23</v>
          </cell>
          <cell r="M530" t="str">
            <v/>
          </cell>
          <cell r="N530">
            <v>0</v>
          </cell>
        </row>
        <row r="531">
          <cell r="A531">
            <v>20512</v>
          </cell>
          <cell r="B531" t="str">
            <v>30/03/2021</v>
          </cell>
          <cell r="C531" t="str">
            <v>C1751</v>
          </cell>
          <cell r="D531" t="str">
            <v>BMS Cabling</v>
          </cell>
          <cell r="E531" t="str">
            <v>Key Integrated Services (Electrical) Ltd</v>
          </cell>
          <cell r="F531" t="str">
            <v>Subcontractor</v>
          </cell>
          <cell r="G531" t="str">
            <v/>
          </cell>
          <cell r="H531" t="str">
            <v>Part</v>
          </cell>
          <cell r="I531" t="str">
            <v/>
          </cell>
          <cell r="J531">
            <v>3552</v>
          </cell>
          <cell r="K531">
            <v>0</v>
          </cell>
          <cell r="L531">
            <v>3552</v>
          </cell>
          <cell r="M531" t="str">
            <v/>
          </cell>
          <cell r="N531">
            <v>0</v>
          </cell>
        </row>
        <row r="532">
          <cell r="A532">
            <v>20511</v>
          </cell>
          <cell r="B532" t="str">
            <v>30/03/2021</v>
          </cell>
          <cell r="C532" t="str">
            <v>C1705</v>
          </cell>
          <cell r="D532" t="str">
            <v>Filter Integrity testing at BCM Fareva</v>
          </cell>
          <cell r="E532" t="str">
            <v>Validair Diamond Scientific</v>
          </cell>
          <cell r="F532" t="str">
            <v>Subcontractor</v>
          </cell>
          <cell r="G532" t="str">
            <v>21/04/2021</v>
          </cell>
          <cell r="H532" t="str">
            <v>Part</v>
          </cell>
          <cell r="I532" t="str">
            <v/>
          </cell>
          <cell r="J532">
            <v>1450</v>
          </cell>
          <cell r="K532">
            <v>0</v>
          </cell>
          <cell r="L532">
            <v>1450</v>
          </cell>
          <cell r="M532" t="str">
            <v/>
          </cell>
          <cell r="N532">
            <v>0</v>
          </cell>
        </row>
        <row r="533">
          <cell r="A533">
            <v>20510</v>
          </cell>
          <cell r="B533" t="str">
            <v>30/03/2021</v>
          </cell>
          <cell r="C533" t="str">
            <v>MC2115</v>
          </cell>
          <cell r="D533" t="str">
            <v>Replace faulty lights in gents and ladies</v>
          </cell>
          <cell r="E533" t="str">
            <v>Key Integrated Services North West Ltd</v>
          </cell>
          <cell r="F533" t="str">
            <v>Subcontractor</v>
          </cell>
          <cell r="G533" t="str">
            <v/>
          </cell>
          <cell r="H533" t="str">
            <v>Part</v>
          </cell>
          <cell r="I533" t="str">
            <v/>
          </cell>
          <cell r="J533">
            <v>102.5</v>
          </cell>
          <cell r="K533">
            <v>0</v>
          </cell>
          <cell r="L533">
            <v>102.5</v>
          </cell>
          <cell r="M533" t="str">
            <v/>
          </cell>
          <cell r="N533">
            <v>0</v>
          </cell>
        </row>
        <row r="534">
          <cell r="A534">
            <v>20508</v>
          </cell>
          <cell r="B534" t="str">
            <v>30/03/2021</v>
          </cell>
          <cell r="C534" t="str">
            <v>MC2088</v>
          </cell>
          <cell r="D534" t="str">
            <v>Relocate various floor boxes</v>
          </cell>
          <cell r="E534" t="str">
            <v>Key Integrated Services North West Ltd</v>
          </cell>
          <cell r="F534" t="str">
            <v>Subcontractor</v>
          </cell>
          <cell r="G534" t="str">
            <v/>
          </cell>
          <cell r="H534" t="str">
            <v>Part</v>
          </cell>
          <cell r="I534" t="str">
            <v/>
          </cell>
          <cell r="J534">
            <v>175</v>
          </cell>
          <cell r="K534">
            <v>0</v>
          </cell>
          <cell r="L534">
            <v>175</v>
          </cell>
          <cell r="M534" t="str">
            <v/>
          </cell>
          <cell r="N534">
            <v>0</v>
          </cell>
        </row>
        <row r="535">
          <cell r="A535">
            <v>20497</v>
          </cell>
          <cell r="B535" t="str">
            <v>26/03/2021</v>
          </cell>
          <cell r="C535" t="str">
            <v>MC2115</v>
          </cell>
          <cell r="D535" t="str">
            <v>Carry Out EML Test</v>
          </cell>
          <cell r="E535" t="str">
            <v>Lantei Ltd</v>
          </cell>
          <cell r="F535" t="str">
            <v>Subcontractor</v>
          </cell>
          <cell r="G535" t="str">
            <v/>
          </cell>
          <cell r="H535" t="str">
            <v>Part</v>
          </cell>
          <cell r="I535" t="str">
            <v/>
          </cell>
          <cell r="J535">
            <v>280</v>
          </cell>
          <cell r="K535">
            <v>56</v>
          </cell>
          <cell r="L535">
            <v>280</v>
          </cell>
          <cell r="M535" t="str">
            <v/>
          </cell>
          <cell r="N535">
            <v>0</v>
          </cell>
        </row>
        <row r="536">
          <cell r="A536">
            <v>20496</v>
          </cell>
          <cell r="B536" t="str">
            <v>26/03/2021</v>
          </cell>
          <cell r="C536" t="str">
            <v>MC2115</v>
          </cell>
          <cell r="D536" t="str">
            <v>Carry out Annual EML test</v>
          </cell>
          <cell r="E536" t="str">
            <v>Lantei Ltd</v>
          </cell>
          <cell r="F536" t="str">
            <v>Subcontractor</v>
          </cell>
          <cell r="G536" t="str">
            <v/>
          </cell>
          <cell r="H536" t="str">
            <v/>
          </cell>
          <cell r="I536" t="str">
            <v/>
          </cell>
          <cell r="J536">
            <v>280</v>
          </cell>
          <cell r="K536">
            <v>56</v>
          </cell>
          <cell r="L536">
            <v>280</v>
          </cell>
          <cell r="M536" t="str">
            <v/>
          </cell>
          <cell r="N536">
            <v>0</v>
          </cell>
        </row>
        <row r="537">
          <cell r="A537">
            <v>20493</v>
          </cell>
          <cell r="B537" t="str">
            <v>26/03/2021</v>
          </cell>
          <cell r="C537" t="str">
            <v>C1660</v>
          </cell>
          <cell r="D537" t="str">
            <v>BMS cabling for Brooktherm interfaces</v>
          </cell>
          <cell r="E537" t="str">
            <v>Key Integrated Services (Electrical) Ltd</v>
          </cell>
          <cell r="F537" t="str">
            <v>Subcontractor</v>
          </cell>
          <cell r="G537" t="str">
            <v/>
          </cell>
          <cell r="H537" t="str">
            <v>Complete</v>
          </cell>
          <cell r="I537" t="str">
            <v/>
          </cell>
          <cell r="J537">
            <v>0</v>
          </cell>
          <cell r="K537">
            <v>0</v>
          </cell>
          <cell r="L537">
            <v>0</v>
          </cell>
          <cell r="M537" t="str">
            <v/>
          </cell>
          <cell r="N537">
            <v>0</v>
          </cell>
        </row>
        <row r="538">
          <cell r="A538">
            <v>20489</v>
          </cell>
          <cell r="B538" t="str">
            <v>25/03/2021</v>
          </cell>
          <cell r="C538" t="str">
            <v>MC2101</v>
          </cell>
          <cell r="D538" t="str">
            <v>Option 2 on quote EQ0013</v>
          </cell>
          <cell r="E538" t="str">
            <v>Key Integrated Services North West Ltd</v>
          </cell>
          <cell r="F538" t="str">
            <v>Subcontractor</v>
          </cell>
          <cell r="G538" t="str">
            <v/>
          </cell>
          <cell r="H538" t="str">
            <v>Part</v>
          </cell>
          <cell r="I538" t="str">
            <v/>
          </cell>
          <cell r="J538">
            <v>4650.0600000000004</v>
          </cell>
          <cell r="K538">
            <v>0</v>
          </cell>
          <cell r="L538">
            <v>4650.0600000000004</v>
          </cell>
          <cell r="M538" t="str">
            <v/>
          </cell>
          <cell r="N538">
            <v>0</v>
          </cell>
        </row>
        <row r="539">
          <cell r="A539">
            <v>20486</v>
          </cell>
          <cell r="B539" t="str">
            <v>25/03/2021</v>
          </cell>
          <cell r="C539" t="str">
            <v>C1705</v>
          </cell>
          <cell r="D539" t="str">
            <v>Cleaning of the ductwork system serving the change rom</v>
          </cell>
          <cell r="E539" t="str">
            <v>Duct Busters</v>
          </cell>
          <cell r="F539" t="str">
            <v>Subcontractor</v>
          </cell>
          <cell r="G539" t="str">
            <v>15/04/2021</v>
          </cell>
          <cell r="H539" t="str">
            <v>Part</v>
          </cell>
          <cell r="I539" t="str">
            <v/>
          </cell>
          <cell r="J539">
            <v>926</v>
          </cell>
          <cell r="K539">
            <v>0</v>
          </cell>
          <cell r="L539">
            <v>926</v>
          </cell>
          <cell r="M539" t="str">
            <v/>
          </cell>
          <cell r="N539">
            <v>0</v>
          </cell>
        </row>
        <row r="540">
          <cell r="A540">
            <v>20479</v>
          </cell>
          <cell r="B540" t="str">
            <v>25/03/2021</v>
          </cell>
          <cell r="C540" t="str">
            <v>MC2101</v>
          </cell>
          <cell r="D540" t="str">
            <v>Supply and install 1no EML in Stairwell</v>
          </cell>
          <cell r="E540" t="str">
            <v>Key Integrated Services North West Ltd</v>
          </cell>
          <cell r="F540" t="str">
            <v>Subcontractor</v>
          </cell>
          <cell r="G540" t="str">
            <v/>
          </cell>
          <cell r="H540" t="str">
            <v>Part</v>
          </cell>
          <cell r="I540" t="str">
            <v/>
          </cell>
          <cell r="J540">
            <v>150</v>
          </cell>
          <cell r="K540">
            <v>0</v>
          </cell>
          <cell r="L540">
            <v>150</v>
          </cell>
          <cell r="M540" t="str">
            <v/>
          </cell>
          <cell r="N540">
            <v>0</v>
          </cell>
        </row>
        <row r="541">
          <cell r="A541">
            <v>20478</v>
          </cell>
          <cell r="B541" t="str">
            <v>25/03/2021</v>
          </cell>
          <cell r="C541" t="str">
            <v>MC2101</v>
          </cell>
          <cell r="D541" t="str">
            <v>Supply and install 1no EML LED Light Fittings</v>
          </cell>
          <cell r="E541" t="str">
            <v>Key Integrated Services North West Ltd</v>
          </cell>
          <cell r="F541" t="str">
            <v>Subcontractor</v>
          </cell>
          <cell r="G541" t="str">
            <v/>
          </cell>
          <cell r="H541" t="str">
            <v>Part</v>
          </cell>
          <cell r="I541" t="str">
            <v/>
          </cell>
          <cell r="J541">
            <v>263.66000000000003</v>
          </cell>
          <cell r="K541">
            <v>0</v>
          </cell>
          <cell r="L541">
            <v>263.66000000000003</v>
          </cell>
          <cell r="M541" t="str">
            <v/>
          </cell>
          <cell r="N541">
            <v>0</v>
          </cell>
        </row>
        <row r="542">
          <cell r="A542">
            <v>20520</v>
          </cell>
          <cell r="B542" t="str">
            <v>24/03/2021</v>
          </cell>
          <cell r="C542" t="str">
            <v>MC2101</v>
          </cell>
          <cell r="D542" t="str">
            <v xml:space="preserve">wire up lights from stock </v>
          </cell>
          <cell r="E542" t="str">
            <v>Key Integrated Services North West Ltd</v>
          </cell>
          <cell r="F542" t="str">
            <v>Subcontractor</v>
          </cell>
          <cell r="G542" t="str">
            <v/>
          </cell>
          <cell r="H542" t="str">
            <v>Part</v>
          </cell>
          <cell r="I542" t="str">
            <v/>
          </cell>
          <cell r="J542">
            <v>150</v>
          </cell>
          <cell r="K542">
            <v>0</v>
          </cell>
          <cell r="L542">
            <v>150</v>
          </cell>
          <cell r="M542" t="str">
            <v/>
          </cell>
          <cell r="N542">
            <v>0</v>
          </cell>
        </row>
        <row r="543">
          <cell r="A543">
            <v>20475</v>
          </cell>
          <cell r="B543" t="str">
            <v>24/03/2021</v>
          </cell>
          <cell r="C543" t="str">
            <v>MC2115</v>
          </cell>
          <cell r="D543" t="str">
            <v xml:space="preserve">Attended site over 2no visits to rectify Power Tripping </v>
          </cell>
          <cell r="E543" t="str">
            <v>Key Integrated Services North West Ltd</v>
          </cell>
          <cell r="F543" t="str">
            <v>Subcontractor</v>
          </cell>
          <cell r="G543" t="str">
            <v>15/03/2021</v>
          </cell>
          <cell r="H543" t="str">
            <v>Part</v>
          </cell>
          <cell r="I543" t="str">
            <v/>
          </cell>
          <cell r="J543">
            <v>416.65</v>
          </cell>
          <cell r="K543">
            <v>0</v>
          </cell>
          <cell r="L543">
            <v>416.65</v>
          </cell>
          <cell r="M543" t="str">
            <v/>
          </cell>
          <cell r="N543">
            <v>0</v>
          </cell>
        </row>
        <row r="544">
          <cell r="A544">
            <v>20472</v>
          </cell>
          <cell r="B544" t="str">
            <v>24/03/2021</v>
          </cell>
          <cell r="C544" t="str">
            <v>MC2115</v>
          </cell>
          <cell r="D544" t="str">
            <v>Carry out Annual EML Test</v>
          </cell>
          <cell r="E544" t="str">
            <v>Lantei Ltd</v>
          </cell>
          <cell r="F544" t="str">
            <v>Subcontractor</v>
          </cell>
          <cell r="G544" t="str">
            <v/>
          </cell>
          <cell r="H544" t="str">
            <v>Part</v>
          </cell>
          <cell r="I544" t="str">
            <v/>
          </cell>
          <cell r="J544">
            <v>280</v>
          </cell>
          <cell r="K544">
            <v>0</v>
          </cell>
          <cell r="L544">
            <v>280</v>
          </cell>
          <cell r="M544" t="str">
            <v/>
          </cell>
          <cell r="N544">
            <v>0</v>
          </cell>
        </row>
        <row r="545">
          <cell r="A545">
            <v>20470</v>
          </cell>
          <cell r="B545" t="str">
            <v>24/03/2021</v>
          </cell>
          <cell r="C545" t="str">
            <v>MC2115</v>
          </cell>
          <cell r="D545" t="str">
            <v>Carry out Annual EML Test</v>
          </cell>
          <cell r="E545" t="str">
            <v>Lantei Ltd</v>
          </cell>
          <cell r="F545" t="str">
            <v>Subcontractor</v>
          </cell>
          <cell r="G545" t="str">
            <v/>
          </cell>
          <cell r="H545" t="str">
            <v>Part</v>
          </cell>
          <cell r="I545" t="str">
            <v/>
          </cell>
          <cell r="J545">
            <v>280</v>
          </cell>
          <cell r="K545">
            <v>56</v>
          </cell>
          <cell r="L545">
            <v>280</v>
          </cell>
          <cell r="M545" t="str">
            <v/>
          </cell>
          <cell r="N545">
            <v>0</v>
          </cell>
        </row>
        <row r="546">
          <cell r="A546">
            <v>20463</v>
          </cell>
          <cell r="B546" t="str">
            <v>24/03/2021</v>
          </cell>
          <cell r="C546" t="str">
            <v>C1693</v>
          </cell>
          <cell r="D546" t="str">
            <v>Please could you attend site to carry out the following work</v>
          </cell>
          <cell r="E546" t="str">
            <v>Air Balancing Commissioning Services</v>
          </cell>
          <cell r="F546" t="str">
            <v>Subcontractor</v>
          </cell>
          <cell r="G546" t="str">
            <v/>
          </cell>
          <cell r="H546" t="str">
            <v>Part</v>
          </cell>
          <cell r="I546" t="str">
            <v/>
          </cell>
          <cell r="J546">
            <v>2495</v>
          </cell>
          <cell r="K546">
            <v>499</v>
          </cell>
          <cell r="L546">
            <v>2495</v>
          </cell>
          <cell r="M546" t="str">
            <v/>
          </cell>
          <cell r="N546">
            <v>0</v>
          </cell>
        </row>
        <row r="547">
          <cell r="A547">
            <v>20458</v>
          </cell>
          <cell r="B547" t="str">
            <v>23/03/2021</v>
          </cell>
          <cell r="C547" t="str">
            <v>MC2091</v>
          </cell>
          <cell r="D547" t="str">
            <v>Fire Suppression Maintenance ref 507701</v>
          </cell>
          <cell r="E547" t="str">
            <v>Fire Suppression Limited</v>
          </cell>
          <cell r="F547" t="str">
            <v>Subcontractor</v>
          </cell>
          <cell r="G547" t="str">
            <v>22/07/2021</v>
          </cell>
          <cell r="H547" t="str">
            <v>Part</v>
          </cell>
          <cell r="I547" t="str">
            <v/>
          </cell>
          <cell r="J547">
            <v>716</v>
          </cell>
          <cell r="K547">
            <v>143.19999999999999</v>
          </cell>
          <cell r="L547">
            <v>0</v>
          </cell>
          <cell r="M547" t="str">
            <v/>
          </cell>
          <cell r="N547">
            <v>716</v>
          </cell>
        </row>
        <row r="548">
          <cell r="A548">
            <v>20454</v>
          </cell>
          <cell r="B548" t="str">
            <v>23/03/2021</v>
          </cell>
          <cell r="C548" t="str">
            <v>C1730</v>
          </cell>
          <cell r="D548" t="str">
            <v>Water softener assembly</v>
          </cell>
          <cell r="E548" t="str">
            <v>Infinity Water Treatment Limited</v>
          </cell>
          <cell r="F548" t="str">
            <v>Subcontractor</v>
          </cell>
          <cell r="G548" t="str">
            <v>23/03/2021</v>
          </cell>
          <cell r="H548" t="str">
            <v>Part</v>
          </cell>
          <cell r="I548" t="str">
            <v/>
          </cell>
          <cell r="J548">
            <v>3650</v>
          </cell>
          <cell r="K548">
            <v>0</v>
          </cell>
          <cell r="L548">
            <v>3650</v>
          </cell>
          <cell r="M548" t="str">
            <v/>
          </cell>
          <cell r="N548">
            <v>0</v>
          </cell>
        </row>
        <row r="549">
          <cell r="A549">
            <v>20447</v>
          </cell>
          <cell r="B549" t="str">
            <v>22/03/2021</v>
          </cell>
          <cell r="C549" t="str">
            <v>MC2115</v>
          </cell>
          <cell r="D549" t="str">
            <v>Carry out Remedial works as per quote QU-28092</v>
          </cell>
          <cell r="E549" t="str">
            <v>Lantei Ltd</v>
          </cell>
          <cell r="F549" t="str">
            <v>Subcontractor</v>
          </cell>
          <cell r="G549" t="str">
            <v/>
          </cell>
          <cell r="H549" t="str">
            <v>Part</v>
          </cell>
          <cell r="I549" t="str">
            <v/>
          </cell>
          <cell r="J549">
            <v>283.52</v>
          </cell>
          <cell r="K549">
            <v>56.7</v>
          </cell>
          <cell r="L549">
            <v>283.52</v>
          </cell>
          <cell r="M549" t="str">
            <v/>
          </cell>
          <cell r="N549">
            <v>0</v>
          </cell>
        </row>
        <row r="550">
          <cell r="A550">
            <v>20439</v>
          </cell>
          <cell r="B550" t="str">
            <v>19/03/2021</v>
          </cell>
          <cell r="C550" t="str">
            <v>C1648</v>
          </cell>
          <cell r="D550" t="str">
            <v xml:space="preserve">To cover 2 x visits at Greggs Treforest, gas works </v>
          </cell>
          <cell r="E550" t="str">
            <v>Modern Heating Services Limited</v>
          </cell>
          <cell r="F550" t="str">
            <v>Subcontractor</v>
          </cell>
          <cell r="G550" t="str">
            <v>09/03/2021</v>
          </cell>
          <cell r="H550" t="str">
            <v>Part</v>
          </cell>
          <cell r="I550" t="str">
            <v/>
          </cell>
          <cell r="J550">
            <v>875</v>
          </cell>
          <cell r="K550">
            <v>175</v>
          </cell>
          <cell r="L550">
            <v>875</v>
          </cell>
          <cell r="M550" t="str">
            <v/>
          </cell>
          <cell r="N550">
            <v>0</v>
          </cell>
        </row>
        <row r="551">
          <cell r="A551">
            <v>20412</v>
          </cell>
          <cell r="B551" t="str">
            <v>17/03/2021</v>
          </cell>
          <cell r="C551" t="str">
            <v>MC2113</v>
          </cell>
          <cell r="D551" t="str">
            <v xml:space="preserve">Distribution Board Checks </v>
          </cell>
          <cell r="E551" t="str">
            <v>Key Integrated Services North West Ltd</v>
          </cell>
          <cell r="F551" t="str">
            <v>Subcontractor</v>
          </cell>
          <cell r="G551" t="str">
            <v>12/03/2021</v>
          </cell>
          <cell r="H551" t="str">
            <v>Part</v>
          </cell>
          <cell r="I551" t="str">
            <v/>
          </cell>
          <cell r="J551">
            <v>175</v>
          </cell>
          <cell r="K551">
            <v>35</v>
          </cell>
          <cell r="L551">
            <v>175</v>
          </cell>
          <cell r="M551" t="str">
            <v/>
          </cell>
          <cell r="N551">
            <v>0</v>
          </cell>
        </row>
        <row r="552">
          <cell r="A552">
            <v>20411</v>
          </cell>
          <cell r="B552" t="str">
            <v>16/03/2021</v>
          </cell>
          <cell r="C552" t="str">
            <v>C1712</v>
          </cell>
          <cell r="D552" t="str">
            <v xml:space="preserve">80mm wool insulation to new steam header c/w aluminium clad </v>
          </cell>
          <cell r="E552" t="str">
            <v>Gill Insulation Notts Limited</v>
          </cell>
          <cell r="F552" t="str">
            <v>Subcontractor</v>
          </cell>
          <cell r="G552" t="str">
            <v>18/03/2021</v>
          </cell>
          <cell r="H552" t="str">
            <v>Part</v>
          </cell>
          <cell r="I552" t="str">
            <v/>
          </cell>
          <cell r="J552">
            <v>8717.7800000000007</v>
          </cell>
          <cell r="K552">
            <v>0</v>
          </cell>
          <cell r="L552">
            <v>6769.4</v>
          </cell>
          <cell r="M552" t="str">
            <v/>
          </cell>
          <cell r="N552">
            <v>1948.38</v>
          </cell>
        </row>
        <row r="553">
          <cell r="A553">
            <v>20398</v>
          </cell>
          <cell r="B553" t="str">
            <v>15/03/2021</v>
          </cell>
          <cell r="C553" t="str">
            <v>C1730</v>
          </cell>
          <cell r="D553" t="str">
            <v>DWS Chlorination</v>
          </cell>
          <cell r="E553" t="str">
            <v>MSB Hygiene Ltd</v>
          </cell>
          <cell r="F553" t="str">
            <v>Subcontractor</v>
          </cell>
          <cell r="G553" t="str">
            <v>30/03/2021</v>
          </cell>
          <cell r="H553" t="str">
            <v/>
          </cell>
          <cell r="I553" t="str">
            <v/>
          </cell>
          <cell r="J553">
            <v>550</v>
          </cell>
          <cell r="K553">
            <v>110</v>
          </cell>
          <cell r="L553">
            <v>550</v>
          </cell>
          <cell r="M553" t="str">
            <v/>
          </cell>
          <cell r="N553">
            <v>0</v>
          </cell>
        </row>
        <row r="554">
          <cell r="A554">
            <v>20395</v>
          </cell>
          <cell r="B554" t="str">
            <v>15/03/2021</v>
          </cell>
          <cell r="C554" t="str">
            <v>C1730</v>
          </cell>
          <cell r="D554" t="str">
            <v>Air balancing &amp; TMV checks</v>
          </cell>
          <cell r="E554" t="str">
            <v>New Era Commissioning Specialists Ltd</v>
          </cell>
          <cell r="F554" t="str">
            <v>Subcontractor</v>
          </cell>
          <cell r="G554" t="str">
            <v>30/03/2021</v>
          </cell>
          <cell r="H554" t="str">
            <v>Part</v>
          </cell>
          <cell r="I554" t="str">
            <v/>
          </cell>
          <cell r="J554">
            <v>550</v>
          </cell>
          <cell r="K554">
            <v>110</v>
          </cell>
          <cell r="L554">
            <v>550</v>
          </cell>
          <cell r="M554" t="str">
            <v/>
          </cell>
          <cell r="N554">
            <v>0</v>
          </cell>
        </row>
        <row r="555">
          <cell r="A555">
            <v>20390</v>
          </cell>
          <cell r="B555" t="str">
            <v>12/03/2021</v>
          </cell>
          <cell r="C555" t="str">
            <v>MC2122</v>
          </cell>
          <cell r="D555" t="str">
            <v>12 Months Fire Alarm Maintenance (inc 2no Visits)</v>
          </cell>
          <cell r="E555" t="str">
            <v>Marlowe Fire &amp; Security Limited</v>
          </cell>
          <cell r="F555" t="str">
            <v>Subcontractor</v>
          </cell>
          <cell r="G555" t="str">
            <v>19/03/2021</v>
          </cell>
          <cell r="H555" t="str">
            <v>Part</v>
          </cell>
          <cell r="I555" t="str">
            <v/>
          </cell>
          <cell r="J555">
            <v>216</v>
          </cell>
          <cell r="K555">
            <v>43.2</v>
          </cell>
          <cell r="L555">
            <v>108</v>
          </cell>
          <cell r="M555" t="str">
            <v/>
          </cell>
          <cell r="N555">
            <v>108</v>
          </cell>
        </row>
        <row r="556">
          <cell r="A556">
            <v>20389</v>
          </cell>
          <cell r="B556" t="str">
            <v>12/03/2021</v>
          </cell>
          <cell r="C556" t="str">
            <v>MC2122</v>
          </cell>
          <cell r="D556" t="str">
            <v>Annual EML Test</v>
          </cell>
          <cell r="E556" t="str">
            <v>Key Integrated Services North West Ltd</v>
          </cell>
          <cell r="F556" t="str">
            <v>Subcontractor</v>
          </cell>
          <cell r="G556" t="str">
            <v>19/03/2021</v>
          </cell>
          <cell r="H556" t="str">
            <v>Part</v>
          </cell>
          <cell r="I556" t="str">
            <v/>
          </cell>
          <cell r="J556">
            <v>225</v>
          </cell>
          <cell r="K556">
            <v>45</v>
          </cell>
          <cell r="L556">
            <v>225</v>
          </cell>
          <cell r="M556" t="str">
            <v/>
          </cell>
          <cell r="N556">
            <v>0</v>
          </cell>
        </row>
        <row r="557">
          <cell r="A557">
            <v>20387</v>
          </cell>
          <cell r="B557" t="str">
            <v>12/03/2021</v>
          </cell>
          <cell r="C557" t="str">
            <v>MC2120</v>
          </cell>
          <cell r="D557" t="str">
            <v>Engineer to assist site with relocating signalling device</v>
          </cell>
          <cell r="E557" t="str">
            <v>Marlowe Fire &amp; Security Limited</v>
          </cell>
          <cell r="F557" t="str">
            <v>Subcontractor</v>
          </cell>
          <cell r="G557" t="str">
            <v>17/03/2021</v>
          </cell>
          <cell r="H557" t="str">
            <v>Part</v>
          </cell>
          <cell r="I557" t="str">
            <v/>
          </cell>
          <cell r="J557">
            <v>364.81</v>
          </cell>
          <cell r="K557">
            <v>72.959999999999994</v>
          </cell>
          <cell r="L557">
            <v>364.81</v>
          </cell>
          <cell r="M557" t="str">
            <v/>
          </cell>
          <cell r="N557">
            <v>0</v>
          </cell>
        </row>
        <row r="558">
          <cell r="A558">
            <v>20378</v>
          </cell>
          <cell r="B558" t="str">
            <v>11/03/2021</v>
          </cell>
          <cell r="C558" t="str">
            <v>C1712</v>
          </cell>
          <cell r="D558" t="str">
            <v>Alpro Phase 4 Factory Extension</v>
          </cell>
          <cell r="E558" t="str">
            <v>Defabs Engineering Ltd</v>
          </cell>
          <cell r="F558" t="str">
            <v>Subcontractor</v>
          </cell>
          <cell r="G558" t="str">
            <v/>
          </cell>
          <cell r="H558" t="str">
            <v>Part</v>
          </cell>
          <cell r="I558" t="str">
            <v>Posted</v>
          </cell>
          <cell r="J558">
            <v>250000</v>
          </cell>
          <cell r="K558">
            <v>100000</v>
          </cell>
          <cell r="L558">
            <v>360000</v>
          </cell>
          <cell r="M558" t="str">
            <v/>
          </cell>
          <cell r="N558">
            <v>-110000</v>
          </cell>
        </row>
        <row r="559">
          <cell r="A559">
            <v>20377</v>
          </cell>
          <cell r="B559" t="str">
            <v>11/03/2021</v>
          </cell>
          <cell r="C559" t="str">
            <v>C1712</v>
          </cell>
          <cell r="D559" t="str">
            <v>Steam Header Drop &amp; Lift - provision of fork truck and drive</v>
          </cell>
          <cell r="E559" t="str">
            <v>Jack Waghorn International Ltd</v>
          </cell>
          <cell r="F559" t="str">
            <v>Subcontractor</v>
          </cell>
          <cell r="G559" t="str">
            <v>25/03/2021</v>
          </cell>
          <cell r="H559" t="str">
            <v>Part</v>
          </cell>
          <cell r="I559" t="str">
            <v/>
          </cell>
          <cell r="J559">
            <v>2508</v>
          </cell>
          <cell r="K559">
            <v>501.6</v>
          </cell>
          <cell r="L559">
            <v>2508</v>
          </cell>
          <cell r="M559" t="str">
            <v/>
          </cell>
          <cell r="N559">
            <v>0</v>
          </cell>
        </row>
        <row r="560">
          <cell r="A560">
            <v>20375</v>
          </cell>
          <cell r="B560" t="str">
            <v>10/03/2021</v>
          </cell>
          <cell r="C560" t="str">
            <v>C1743</v>
          </cell>
          <cell r="D560" t="str">
            <v>Electrical Installation Works</v>
          </cell>
          <cell r="E560" t="str">
            <v>Key Integrated Services (Electrical) Ltd</v>
          </cell>
          <cell r="F560" t="str">
            <v>Subcontractor</v>
          </cell>
          <cell r="G560" t="str">
            <v/>
          </cell>
          <cell r="H560" t="str">
            <v>Complete</v>
          </cell>
          <cell r="I560" t="str">
            <v>Posted</v>
          </cell>
          <cell r="J560">
            <v>599435.23</v>
          </cell>
          <cell r="K560">
            <v>119887.05</v>
          </cell>
          <cell r="L560">
            <v>594435.23</v>
          </cell>
          <cell r="M560" t="str">
            <v/>
          </cell>
          <cell r="N560">
            <v>5000</v>
          </cell>
        </row>
        <row r="561">
          <cell r="A561">
            <v>20374</v>
          </cell>
          <cell r="B561" t="str">
            <v>10/03/2021</v>
          </cell>
          <cell r="C561" t="str">
            <v>MC2115</v>
          </cell>
          <cell r="D561" t="str">
            <v>Supply and Install 5no Panel Heaters with built in Timer</v>
          </cell>
          <cell r="E561" t="str">
            <v>Key Integrated Services North West Ltd</v>
          </cell>
          <cell r="F561" t="str">
            <v>Subcontractor</v>
          </cell>
          <cell r="G561" t="str">
            <v>15/03/2021</v>
          </cell>
          <cell r="H561" t="str">
            <v>Part</v>
          </cell>
          <cell r="I561" t="str">
            <v/>
          </cell>
          <cell r="J561">
            <v>1601.68</v>
          </cell>
          <cell r="K561">
            <v>320.33999999999997</v>
          </cell>
          <cell r="L561">
            <v>1601.68</v>
          </cell>
          <cell r="M561" t="str">
            <v/>
          </cell>
          <cell r="N561">
            <v>0</v>
          </cell>
        </row>
        <row r="562">
          <cell r="A562">
            <v>20502</v>
          </cell>
          <cell r="B562" t="str">
            <v>08/03/2021</v>
          </cell>
          <cell r="C562" t="str">
            <v>C1741</v>
          </cell>
          <cell r="D562" t="str">
            <v>To carry out all electrical disconnections to unit 5.</v>
          </cell>
          <cell r="E562" t="str">
            <v>Key Integrated Services (Electrical) Ltd</v>
          </cell>
          <cell r="F562" t="str">
            <v>Subcontractor</v>
          </cell>
          <cell r="G562" t="str">
            <v>08/03/2021</v>
          </cell>
          <cell r="H562" t="str">
            <v>Part</v>
          </cell>
          <cell r="I562" t="str">
            <v/>
          </cell>
          <cell r="J562">
            <v>800</v>
          </cell>
          <cell r="K562">
            <v>0</v>
          </cell>
          <cell r="L562">
            <v>800</v>
          </cell>
          <cell r="M562" t="str">
            <v/>
          </cell>
          <cell r="N562">
            <v>0</v>
          </cell>
        </row>
        <row r="563">
          <cell r="A563">
            <v>20352</v>
          </cell>
          <cell r="B563" t="str">
            <v>05/03/2021</v>
          </cell>
          <cell r="C563" t="str">
            <v>MC2115</v>
          </cell>
          <cell r="D563" t="str">
            <v>Carry out Annual EML Test</v>
          </cell>
          <cell r="E563" t="str">
            <v>Lantei Ltd</v>
          </cell>
          <cell r="F563" t="str">
            <v>Subcontractor</v>
          </cell>
          <cell r="G563" t="str">
            <v/>
          </cell>
          <cell r="H563" t="str">
            <v/>
          </cell>
          <cell r="I563" t="str">
            <v/>
          </cell>
          <cell r="J563">
            <v>280</v>
          </cell>
          <cell r="K563">
            <v>56</v>
          </cell>
          <cell r="L563">
            <v>280</v>
          </cell>
          <cell r="M563" t="str">
            <v/>
          </cell>
          <cell r="N563">
            <v>0</v>
          </cell>
        </row>
        <row r="564">
          <cell r="A564">
            <v>20350</v>
          </cell>
          <cell r="B564" t="str">
            <v>05/03/2021</v>
          </cell>
          <cell r="C564" t="str">
            <v>MC2115</v>
          </cell>
          <cell r="D564" t="str">
            <v>Carry out L8 Annual Visit as per quote 65438</v>
          </cell>
          <cell r="E564" t="str">
            <v>Rock Compliance</v>
          </cell>
          <cell r="F564" t="str">
            <v>Subcontractor</v>
          </cell>
          <cell r="G564" t="str">
            <v/>
          </cell>
          <cell r="H564" t="str">
            <v/>
          </cell>
          <cell r="I564" t="str">
            <v/>
          </cell>
          <cell r="J564">
            <v>270</v>
          </cell>
          <cell r="K564">
            <v>54</v>
          </cell>
          <cell r="L564">
            <v>270</v>
          </cell>
          <cell r="M564" t="str">
            <v/>
          </cell>
          <cell r="N564">
            <v>0</v>
          </cell>
        </row>
        <row r="565">
          <cell r="A565">
            <v>20348</v>
          </cell>
          <cell r="B565" t="str">
            <v>05/03/2021</v>
          </cell>
          <cell r="C565" t="str">
            <v>MC0001</v>
          </cell>
          <cell r="D565" t="str">
            <v>Fire alarm sensor going off in kitchen</v>
          </cell>
          <cell r="E565" t="str">
            <v>Marlowe Fire &amp; Security Limited</v>
          </cell>
          <cell r="F565" t="str">
            <v>Subcontractor</v>
          </cell>
          <cell r="G565" t="str">
            <v/>
          </cell>
          <cell r="H565" t="str">
            <v>Part</v>
          </cell>
          <cell r="I565" t="str">
            <v/>
          </cell>
          <cell r="J565">
            <v>137.21</v>
          </cell>
          <cell r="K565">
            <v>27.44</v>
          </cell>
          <cell r="L565">
            <v>137.21</v>
          </cell>
          <cell r="M565" t="str">
            <v/>
          </cell>
          <cell r="N565">
            <v>0</v>
          </cell>
        </row>
        <row r="566">
          <cell r="A566">
            <v>20347</v>
          </cell>
          <cell r="B566" t="str">
            <v>05/03/2021</v>
          </cell>
          <cell r="C566" t="str">
            <v>MC2105</v>
          </cell>
          <cell r="D566">
            <v>124</v>
          </cell>
          <cell r="E566" t="str">
            <v>Commercial Temperature Solutions</v>
          </cell>
          <cell r="F566" t="str">
            <v>Subcontractor</v>
          </cell>
          <cell r="G566" t="str">
            <v/>
          </cell>
          <cell r="H566" t="str">
            <v/>
          </cell>
          <cell r="I566" t="str">
            <v/>
          </cell>
          <cell r="J566">
            <v>175</v>
          </cell>
          <cell r="K566">
            <v>35</v>
          </cell>
          <cell r="L566">
            <v>175</v>
          </cell>
          <cell r="M566" t="str">
            <v/>
          </cell>
          <cell r="N566">
            <v>0</v>
          </cell>
        </row>
        <row r="567">
          <cell r="A567">
            <v>20346</v>
          </cell>
          <cell r="B567" t="str">
            <v>05/03/2021</v>
          </cell>
          <cell r="C567" t="str">
            <v>MC2115</v>
          </cell>
          <cell r="D567" t="str">
            <v>Travel and Labour Hyde Park House</v>
          </cell>
          <cell r="E567" t="str">
            <v>Derek Austin Heating Limited</v>
          </cell>
          <cell r="F567" t="str">
            <v>Subcontractor</v>
          </cell>
          <cell r="G567" t="str">
            <v/>
          </cell>
          <cell r="H567" t="str">
            <v/>
          </cell>
          <cell r="I567" t="str">
            <v/>
          </cell>
          <cell r="J567">
            <v>157.5</v>
          </cell>
          <cell r="K567">
            <v>31.5</v>
          </cell>
          <cell r="L567">
            <v>157.5</v>
          </cell>
          <cell r="M567" t="str">
            <v/>
          </cell>
          <cell r="N567">
            <v>0</v>
          </cell>
        </row>
        <row r="568">
          <cell r="A568">
            <v>20345</v>
          </cell>
          <cell r="B568" t="str">
            <v>05/03/2021</v>
          </cell>
          <cell r="C568" t="str">
            <v>MC2110</v>
          </cell>
          <cell r="D568" t="str">
            <v>Supply and fit 6no new LED panels with EM packs</v>
          </cell>
          <cell r="E568" t="str">
            <v>Barrie Beard Ltd</v>
          </cell>
          <cell r="F568" t="str">
            <v>Subcontractor</v>
          </cell>
          <cell r="G568" t="str">
            <v/>
          </cell>
          <cell r="H568" t="str">
            <v>Part</v>
          </cell>
          <cell r="I568" t="str">
            <v/>
          </cell>
          <cell r="J568">
            <v>739.48</v>
          </cell>
          <cell r="K568">
            <v>147.9</v>
          </cell>
          <cell r="L568">
            <v>739.48</v>
          </cell>
          <cell r="M568" t="str">
            <v/>
          </cell>
          <cell r="N568">
            <v>0</v>
          </cell>
        </row>
        <row r="569">
          <cell r="A569">
            <v>20344</v>
          </cell>
          <cell r="B569" t="str">
            <v>05/03/2021</v>
          </cell>
          <cell r="C569" t="str">
            <v>MC2110</v>
          </cell>
          <cell r="D569" t="str">
            <v>Repair Faulty Luminaries after Annual EML Test</v>
          </cell>
          <cell r="E569" t="str">
            <v>Key Integrated Services North West Ltd</v>
          </cell>
          <cell r="F569" t="str">
            <v>Subcontractor</v>
          </cell>
          <cell r="G569" t="str">
            <v/>
          </cell>
          <cell r="H569" t="str">
            <v>Part</v>
          </cell>
          <cell r="I569" t="str">
            <v/>
          </cell>
          <cell r="J569">
            <v>395.22</v>
          </cell>
          <cell r="K569">
            <v>79.040000000000006</v>
          </cell>
          <cell r="L569">
            <v>395.22</v>
          </cell>
          <cell r="M569" t="str">
            <v/>
          </cell>
          <cell r="N569">
            <v>0</v>
          </cell>
        </row>
        <row r="570">
          <cell r="A570">
            <v>20342</v>
          </cell>
          <cell r="B570" t="str">
            <v>05/03/2021</v>
          </cell>
          <cell r="C570" t="str">
            <v>MC2091</v>
          </cell>
          <cell r="D570" t="str">
            <v xml:space="preserve">Tenants Lift not working </v>
          </cell>
          <cell r="E570" t="str">
            <v>Kone PLC</v>
          </cell>
          <cell r="F570" t="str">
            <v>Subcontractor</v>
          </cell>
          <cell r="G570" t="str">
            <v>05/03/2021</v>
          </cell>
          <cell r="H570" t="str">
            <v/>
          </cell>
          <cell r="I570" t="str">
            <v/>
          </cell>
          <cell r="J570">
            <v>85</v>
          </cell>
          <cell r="K570">
            <v>17</v>
          </cell>
          <cell r="L570">
            <v>0</v>
          </cell>
          <cell r="M570" t="str">
            <v/>
          </cell>
          <cell r="N570">
            <v>85</v>
          </cell>
        </row>
        <row r="571">
          <cell r="A571">
            <v>20332</v>
          </cell>
          <cell r="B571" t="str">
            <v>04/03/2021</v>
          </cell>
          <cell r="C571" t="str">
            <v>C1712</v>
          </cell>
          <cell r="D571" t="str">
            <v xml:space="preserve">Design, manufacture and supply of 8no plenum drops with 2no </v>
          </cell>
          <cell r="E571" t="str">
            <v>NP Services (Leicester) Ltd</v>
          </cell>
          <cell r="F571" t="str">
            <v>Subcontractor</v>
          </cell>
          <cell r="G571" t="str">
            <v>12/04/2021</v>
          </cell>
          <cell r="H571" t="str">
            <v>Part</v>
          </cell>
          <cell r="I571" t="str">
            <v/>
          </cell>
          <cell r="J571">
            <v>28906</v>
          </cell>
          <cell r="K571">
            <v>5781.2</v>
          </cell>
          <cell r="L571">
            <v>28906</v>
          </cell>
          <cell r="M571" t="str">
            <v/>
          </cell>
          <cell r="N571">
            <v>0</v>
          </cell>
        </row>
        <row r="572">
          <cell r="A572">
            <v>20331</v>
          </cell>
          <cell r="B572" t="str">
            <v>04/03/2021</v>
          </cell>
          <cell r="C572" t="str">
            <v>MC2110</v>
          </cell>
          <cell r="D572" t="str">
            <v>Carry out EML Annual Service</v>
          </cell>
          <cell r="E572" t="str">
            <v>Lantei Ltd</v>
          </cell>
          <cell r="F572" t="str">
            <v>Subcontractor</v>
          </cell>
          <cell r="G572" t="str">
            <v>11/03/2021</v>
          </cell>
          <cell r="H572" t="str">
            <v>Part</v>
          </cell>
          <cell r="I572" t="str">
            <v/>
          </cell>
          <cell r="J572">
            <v>280</v>
          </cell>
          <cell r="K572">
            <v>56</v>
          </cell>
          <cell r="L572">
            <v>0</v>
          </cell>
          <cell r="M572" t="str">
            <v/>
          </cell>
          <cell r="N572">
            <v>280</v>
          </cell>
        </row>
        <row r="573">
          <cell r="A573">
            <v>20330</v>
          </cell>
          <cell r="B573" t="str">
            <v>04/03/2021</v>
          </cell>
          <cell r="C573" t="str">
            <v>MC2120</v>
          </cell>
          <cell r="D573" t="str">
            <v xml:space="preserve">Engineer to attend site to test signal on panel </v>
          </cell>
          <cell r="E573" t="str">
            <v>Marlowe Fire &amp; Security Limited</v>
          </cell>
          <cell r="F573" t="str">
            <v>Subcontractor</v>
          </cell>
          <cell r="G573" t="str">
            <v>04/03/2021</v>
          </cell>
          <cell r="H573" t="str">
            <v>Part</v>
          </cell>
          <cell r="I573" t="str">
            <v/>
          </cell>
          <cell r="J573">
            <v>170</v>
          </cell>
          <cell r="K573">
            <v>34</v>
          </cell>
          <cell r="L573">
            <v>170</v>
          </cell>
          <cell r="M573" t="str">
            <v/>
          </cell>
          <cell r="N573">
            <v>0</v>
          </cell>
        </row>
        <row r="574">
          <cell r="A574">
            <v>20324</v>
          </cell>
          <cell r="B574" t="str">
            <v>03/03/2021</v>
          </cell>
          <cell r="C574" t="str">
            <v>MC2115</v>
          </cell>
          <cell r="D574" t="str">
            <v>Replace Boiler Gasket Set &amp; Electrodes</v>
          </cell>
          <cell r="E574" t="str">
            <v>Commercial Temperature Solutions</v>
          </cell>
          <cell r="F574" t="str">
            <v>Subcontractor</v>
          </cell>
          <cell r="G574" t="str">
            <v/>
          </cell>
          <cell r="H574" t="str">
            <v>Part</v>
          </cell>
          <cell r="I574" t="str">
            <v/>
          </cell>
          <cell r="J574">
            <v>230</v>
          </cell>
          <cell r="K574">
            <v>46</v>
          </cell>
          <cell r="L574">
            <v>230</v>
          </cell>
          <cell r="M574" t="str">
            <v/>
          </cell>
          <cell r="N574">
            <v>0</v>
          </cell>
        </row>
        <row r="575">
          <cell r="A575">
            <v>20323</v>
          </cell>
          <cell r="B575" t="str">
            <v>03/03/2021</v>
          </cell>
          <cell r="C575" t="str">
            <v>MC2111</v>
          </cell>
          <cell r="D575" t="str">
            <v>Replaced various lamps and starters</v>
          </cell>
          <cell r="E575" t="str">
            <v>Derek Austin Heating Limited</v>
          </cell>
          <cell r="F575" t="str">
            <v>Subcontractor</v>
          </cell>
          <cell r="G575" t="str">
            <v>22/02/2021</v>
          </cell>
          <cell r="H575" t="str">
            <v/>
          </cell>
          <cell r="I575" t="str">
            <v/>
          </cell>
          <cell r="J575">
            <v>166.11</v>
          </cell>
          <cell r="K575">
            <v>33.22</v>
          </cell>
          <cell r="L575">
            <v>166.11</v>
          </cell>
          <cell r="M575" t="str">
            <v/>
          </cell>
          <cell r="N575">
            <v>0</v>
          </cell>
        </row>
        <row r="576">
          <cell r="A576">
            <v>20321</v>
          </cell>
          <cell r="B576" t="str">
            <v>03/03/2021</v>
          </cell>
          <cell r="C576" t="str">
            <v>C1712</v>
          </cell>
          <cell r="D576" t="str">
            <v>BMS Controls</v>
          </cell>
          <cell r="E576" t="str">
            <v>Eco-I Limited</v>
          </cell>
          <cell r="F576" t="str">
            <v>Subcontractor</v>
          </cell>
          <cell r="G576" t="str">
            <v>03/03/2021</v>
          </cell>
          <cell r="H576" t="str">
            <v>Part</v>
          </cell>
          <cell r="I576" t="str">
            <v>Posted</v>
          </cell>
          <cell r="J576">
            <v>81978</v>
          </cell>
          <cell r="K576">
            <v>31395.599999999999</v>
          </cell>
          <cell r="L576">
            <v>83230.92</v>
          </cell>
          <cell r="M576" t="str">
            <v/>
          </cell>
          <cell r="N576">
            <v>-1252.92</v>
          </cell>
        </row>
        <row r="577">
          <cell r="A577">
            <v>20314</v>
          </cell>
          <cell r="B577" t="str">
            <v>02/03/2021</v>
          </cell>
          <cell r="C577" t="str">
            <v>MC2126</v>
          </cell>
          <cell r="D577" t="str">
            <v>Carry out Works as per quote 210215</v>
          </cell>
          <cell r="E577" t="str">
            <v>Barrie Beard Ltd</v>
          </cell>
          <cell r="F577" t="str">
            <v>Subcontractor</v>
          </cell>
          <cell r="G577" t="str">
            <v/>
          </cell>
          <cell r="H577" t="str">
            <v>Part</v>
          </cell>
          <cell r="I577" t="str">
            <v/>
          </cell>
          <cell r="J577">
            <v>950</v>
          </cell>
          <cell r="K577">
            <v>190</v>
          </cell>
          <cell r="L577">
            <v>950</v>
          </cell>
          <cell r="M577" t="str">
            <v/>
          </cell>
          <cell r="N577">
            <v>0</v>
          </cell>
        </row>
        <row r="578">
          <cell r="A578">
            <v>20305</v>
          </cell>
          <cell r="B578" t="str">
            <v>01/03/2021</v>
          </cell>
          <cell r="C578" t="str">
            <v>MC2088</v>
          </cell>
          <cell r="D578" t="str">
            <v>Carry out Boiler Maintenance</v>
          </cell>
          <cell r="E578" t="str">
            <v>Commercial Temperature Solutions</v>
          </cell>
          <cell r="F578" t="str">
            <v>Subcontractor</v>
          </cell>
          <cell r="G578" t="str">
            <v/>
          </cell>
          <cell r="H578" t="str">
            <v>Part</v>
          </cell>
          <cell r="I578" t="str">
            <v/>
          </cell>
          <cell r="J578">
            <v>165</v>
          </cell>
          <cell r="K578">
            <v>33</v>
          </cell>
          <cell r="L578">
            <v>0</v>
          </cell>
          <cell r="M578" t="str">
            <v/>
          </cell>
          <cell r="N578">
            <v>165</v>
          </cell>
        </row>
        <row r="579">
          <cell r="A579">
            <v>20288</v>
          </cell>
          <cell r="B579" t="str">
            <v>26/02/2021</v>
          </cell>
          <cell r="C579" t="str">
            <v>MC2109</v>
          </cell>
          <cell r="D579" t="str">
            <v>Call out to site to investigate faulty Water boiler</v>
          </cell>
          <cell r="E579" t="str">
            <v>Zip Heaters (UK) Ltd</v>
          </cell>
          <cell r="F579" t="str">
            <v>Subcontractor</v>
          </cell>
          <cell r="G579" t="str">
            <v/>
          </cell>
          <cell r="H579" t="str">
            <v/>
          </cell>
          <cell r="I579" t="str">
            <v/>
          </cell>
          <cell r="J579">
            <v>111</v>
          </cell>
          <cell r="K579">
            <v>22.2</v>
          </cell>
          <cell r="L579">
            <v>0</v>
          </cell>
          <cell r="M579" t="str">
            <v/>
          </cell>
          <cell r="N579">
            <v>111</v>
          </cell>
        </row>
        <row r="580">
          <cell r="A580">
            <v>20286</v>
          </cell>
          <cell r="B580" t="str">
            <v>25/02/2021</v>
          </cell>
          <cell r="C580" t="str">
            <v>MC2098</v>
          </cell>
          <cell r="D580" t="str">
            <v>Carryout Quoted works RS06285</v>
          </cell>
          <cell r="E580" t="str">
            <v>City Pumps Ltd</v>
          </cell>
          <cell r="F580" t="str">
            <v>Subcontractor</v>
          </cell>
          <cell r="G580" t="str">
            <v/>
          </cell>
          <cell r="H580" t="str">
            <v>Part</v>
          </cell>
          <cell r="I580" t="str">
            <v/>
          </cell>
          <cell r="J580">
            <v>1529.2</v>
          </cell>
          <cell r="K580">
            <v>305.83999999999997</v>
          </cell>
          <cell r="L580">
            <v>1529.2</v>
          </cell>
          <cell r="M580" t="str">
            <v/>
          </cell>
          <cell r="N580">
            <v>0</v>
          </cell>
        </row>
        <row r="581">
          <cell r="A581">
            <v>20285</v>
          </cell>
          <cell r="B581" t="str">
            <v>25/02/2021</v>
          </cell>
          <cell r="C581" t="str">
            <v>MC2098</v>
          </cell>
          <cell r="D581" t="str">
            <v>Supply items your quote ref RS06266</v>
          </cell>
          <cell r="E581" t="str">
            <v>City Pumps Ltd</v>
          </cell>
          <cell r="F581" t="str">
            <v>Subcontractor</v>
          </cell>
          <cell r="G581" t="str">
            <v/>
          </cell>
          <cell r="H581" t="str">
            <v>Part</v>
          </cell>
          <cell r="I581" t="str">
            <v/>
          </cell>
          <cell r="J581">
            <v>1042</v>
          </cell>
          <cell r="K581">
            <v>208.4</v>
          </cell>
          <cell r="L581">
            <v>1042</v>
          </cell>
          <cell r="M581" t="str">
            <v/>
          </cell>
          <cell r="N581">
            <v>0</v>
          </cell>
        </row>
        <row r="582">
          <cell r="A582">
            <v>20267</v>
          </cell>
          <cell r="B582" t="str">
            <v>24/02/2021</v>
          </cell>
          <cell r="C582" t="str">
            <v>MC2124</v>
          </cell>
          <cell r="D582" t="str">
            <v>Carry out Annual EML service</v>
          </cell>
          <cell r="E582" t="str">
            <v>Lantei Ltd</v>
          </cell>
          <cell r="F582" t="str">
            <v>Subcontractor</v>
          </cell>
          <cell r="G582" t="str">
            <v>15/03/2021</v>
          </cell>
          <cell r="H582" t="str">
            <v/>
          </cell>
          <cell r="I582" t="str">
            <v/>
          </cell>
          <cell r="J582">
            <v>280</v>
          </cell>
          <cell r="K582">
            <v>56</v>
          </cell>
          <cell r="L582">
            <v>280</v>
          </cell>
          <cell r="M582" t="str">
            <v/>
          </cell>
          <cell r="N582">
            <v>0</v>
          </cell>
        </row>
        <row r="583">
          <cell r="A583">
            <v>20257</v>
          </cell>
          <cell r="B583" t="str">
            <v>23/02/2021</v>
          </cell>
          <cell r="C583" t="str">
            <v>MC2113</v>
          </cell>
          <cell r="D583" t="str">
            <v>Carry out Interim Service - March 2021</v>
          </cell>
          <cell r="E583" t="str">
            <v>Woodlands Generators</v>
          </cell>
          <cell r="F583" t="str">
            <v>Subcontractor</v>
          </cell>
          <cell r="G583" t="str">
            <v/>
          </cell>
          <cell r="H583" t="str">
            <v>Part</v>
          </cell>
          <cell r="I583" t="str">
            <v/>
          </cell>
          <cell r="J583">
            <v>600</v>
          </cell>
          <cell r="K583">
            <v>120</v>
          </cell>
          <cell r="L583">
            <v>101.02</v>
          </cell>
          <cell r="M583" t="str">
            <v/>
          </cell>
          <cell r="N583">
            <v>498.98</v>
          </cell>
        </row>
        <row r="584">
          <cell r="A584">
            <v>20254</v>
          </cell>
          <cell r="B584" t="str">
            <v>23/02/2021</v>
          </cell>
          <cell r="C584" t="str">
            <v>C1738</v>
          </cell>
          <cell r="D584" t="str">
            <v>Installation of Ductwork</v>
          </cell>
          <cell r="E584" t="str">
            <v>JTC Ductwork Solutions Limited</v>
          </cell>
          <cell r="F584" t="str">
            <v>Subcontractor</v>
          </cell>
          <cell r="G584" t="str">
            <v>08/03/2021</v>
          </cell>
          <cell r="H584" t="str">
            <v>Part</v>
          </cell>
          <cell r="I584" t="str">
            <v/>
          </cell>
          <cell r="J584">
            <v>8000</v>
          </cell>
          <cell r="K584">
            <v>1600</v>
          </cell>
          <cell r="L584">
            <v>12760.75</v>
          </cell>
          <cell r="M584" t="str">
            <v/>
          </cell>
          <cell r="N584">
            <v>-4760.75</v>
          </cell>
        </row>
        <row r="585">
          <cell r="A585">
            <v>20252</v>
          </cell>
          <cell r="B585" t="str">
            <v>23/02/2021</v>
          </cell>
          <cell r="C585" t="str">
            <v>MC2109</v>
          </cell>
          <cell r="D585" t="str">
            <v>Investigate Lighting issues and replace maps on site</v>
          </cell>
          <cell r="E585" t="str">
            <v>Key Integrated Services North West Ltd</v>
          </cell>
          <cell r="F585" t="str">
            <v>Subcontractor</v>
          </cell>
          <cell r="G585" t="str">
            <v/>
          </cell>
          <cell r="H585" t="str">
            <v>Part</v>
          </cell>
          <cell r="I585" t="str">
            <v/>
          </cell>
          <cell r="J585">
            <v>108.5</v>
          </cell>
          <cell r="K585">
            <v>21.7</v>
          </cell>
          <cell r="L585">
            <v>108.5</v>
          </cell>
          <cell r="M585" t="str">
            <v/>
          </cell>
          <cell r="N585">
            <v>0</v>
          </cell>
        </row>
        <row r="586">
          <cell r="A586">
            <v>20251</v>
          </cell>
          <cell r="B586" t="str">
            <v>23/02/2021</v>
          </cell>
          <cell r="C586" t="str">
            <v>MC2098</v>
          </cell>
          <cell r="D586" t="str">
            <v>Water Treatment Works as per quote Q64100/1</v>
          </cell>
          <cell r="E586" t="str">
            <v>Rock Compliance</v>
          </cell>
          <cell r="F586" t="str">
            <v>Subcontractor</v>
          </cell>
          <cell r="G586" t="str">
            <v/>
          </cell>
          <cell r="H586" t="str">
            <v/>
          </cell>
          <cell r="I586" t="str">
            <v/>
          </cell>
          <cell r="J586">
            <v>550</v>
          </cell>
          <cell r="K586">
            <v>110</v>
          </cell>
          <cell r="L586">
            <v>550</v>
          </cell>
          <cell r="M586" t="str">
            <v/>
          </cell>
          <cell r="N586">
            <v>0</v>
          </cell>
        </row>
        <row r="587">
          <cell r="A587">
            <v>20250</v>
          </cell>
          <cell r="B587" t="str">
            <v>23/02/2021</v>
          </cell>
          <cell r="C587" t="str">
            <v>MC2098</v>
          </cell>
          <cell r="D587" t="str">
            <v>Carry out works as per quote 309</v>
          </cell>
          <cell r="E587" t="str">
            <v>P More PHC Ltd</v>
          </cell>
          <cell r="F587" t="str">
            <v>Subcontractor</v>
          </cell>
          <cell r="G587" t="str">
            <v/>
          </cell>
          <cell r="H587" t="str">
            <v>Part</v>
          </cell>
          <cell r="I587" t="str">
            <v/>
          </cell>
          <cell r="J587">
            <v>1108</v>
          </cell>
          <cell r="K587">
            <v>0</v>
          </cell>
          <cell r="L587">
            <v>1108</v>
          </cell>
          <cell r="M587" t="str">
            <v/>
          </cell>
          <cell r="N587">
            <v>0</v>
          </cell>
        </row>
        <row r="588">
          <cell r="A588">
            <v>20245</v>
          </cell>
          <cell r="B588" t="str">
            <v>23/02/2021</v>
          </cell>
          <cell r="C588" t="str">
            <v>SERVICE</v>
          </cell>
          <cell r="D588" t="str">
            <v>Carry out PPM on Tuesday 23rd of Feb</v>
          </cell>
          <cell r="E588" t="str">
            <v>Commercial Temperature Solutions</v>
          </cell>
          <cell r="F588" t="str">
            <v>Subcontractor</v>
          </cell>
          <cell r="G588" t="str">
            <v/>
          </cell>
          <cell r="H588" t="str">
            <v>Part</v>
          </cell>
          <cell r="I588" t="str">
            <v/>
          </cell>
          <cell r="J588">
            <v>500</v>
          </cell>
          <cell r="K588">
            <v>100</v>
          </cell>
          <cell r="L588">
            <v>500</v>
          </cell>
          <cell r="M588" t="str">
            <v/>
          </cell>
          <cell r="N588">
            <v>0</v>
          </cell>
        </row>
        <row r="589">
          <cell r="A589">
            <v>20169</v>
          </cell>
          <cell r="B589" t="str">
            <v>23/02/2021</v>
          </cell>
          <cell r="C589" t="str">
            <v>MC2118</v>
          </cell>
          <cell r="D589" t="str">
            <v xml:space="preserve">1 x day price to service the Trend system </v>
          </cell>
          <cell r="E589" t="str">
            <v>Westminster Controls Ltd</v>
          </cell>
          <cell r="F589" t="str">
            <v>Subcontractor</v>
          </cell>
          <cell r="G589" t="str">
            <v/>
          </cell>
          <cell r="H589" t="str">
            <v>Part</v>
          </cell>
          <cell r="I589" t="str">
            <v/>
          </cell>
          <cell r="J589">
            <v>600</v>
          </cell>
          <cell r="K589">
            <v>120</v>
          </cell>
          <cell r="L589">
            <v>600</v>
          </cell>
          <cell r="M589" t="str">
            <v/>
          </cell>
          <cell r="N589">
            <v>0</v>
          </cell>
        </row>
        <row r="590">
          <cell r="A590">
            <v>20238</v>
          </cell>
          <cell r="B590" t="str">
            <v>19/02/2021</v>
          </cell>
          <cell r="C590" t="str">
            <v>MC2105</v>
          </cell>
          <cell r="D590" t="str">
            <v>AC Maintenace 7 Units</v>
          </cell>
          <cell r="E590" t="str">
            <v>Commercial Temperature Solutions</v>
          </cell>
          <cell r="F590" t="str">
            <v>Subcontractor</v>
          </cell>
          <cell r="G590" t="str">
            <v>25/02/2021</v>
          </cell>
          <cell r="H590" t="str">
            <v/>
          </cell>
          <cell r="I590" t="str">
            <v/>
          </cell>
          <cell r="J590">
            <v>175</v>
          </cell>
          <cell r="K590">
            <v>35</v>
          </cell>
          <cell r="L590">
            <v>0</v>
          </cell>
          <cell r="M590" t="str">
            <v/>
          </cell>
          <cell r="N590">
            <v>175</v>
          </cell>
        </row>
        <row r="591">
          <cell r="A591">
            <v>20236</v>
          </cell>
          <cell r="B591" t="str">
            <v>19/02/2021</v>
          </cell>
          <cell r="C591" t="str">
            <v>MC2105</v>
          </cell>
          <cell r="D591" t="str">
            <v>6 AC Units maintenance</v>
          </cell>
          <cell r="E591" t="str">
            <v>Commercial Temperature Solutions</v>
          </cell>
          <cell r="F591" t="str">
            <v>Subcontractor</v>
          </cell>
          <cell r="G591" t="str">
            <v>25/02/2021</v>
          </cell>
          <cell r="H591" t="str">
            <v/>
          </cell>
          <cell r="I591" t="str">
            <v/>
          </cell>
          <cell r="J591">
            <v>150</v>
          </cell>
          <cell r="K591">
            <v>30</v>
          </cell>
          <cell r="L591">
            <v>150</v>
          </cell>
          <cell r="M591" t="str">
            <v/>
          </cell>
          <cell r="N591">
            <v>0</v>
          </cell>
        </row>
        <row r="592">
          <cell r="A592">
            <v>20235</v>
          </cell>
          <cell r="B592" t="str">
            <v>19/02/2021</v>
          </cell>
          <cell r="C592" t="str">
            <v>C1725</v>
          </cell>
          <cell r="D592" t="str">
            <v>Builderswork Holes Assistance</v>
          </cell>
          <cell r="E592" t="str">
            <v>MJW Asbestos Removal &amp; Re-Insulation Services Ltd</v>
          </cell>
          <cell r="F592" t="str">
            <v>Subcontractor</v>
          </cell>
          <cell r="G592" t="str">
            <v>16/02/2021</v>
          </cell>
          <cell r="H592" t="str">
            <v>Part</v>
          </cell>
          <cell r="I592" t="str">
            <v/>
          </cell>
          <cell r="J592">
            <v>1014</v>
          </cell>
          <cell r="K592">
            <v>202.8</v>
          </cell>
          <cell r="L592">
            <v>1014</v>
          </cell>
          <cell r="M592" t="str">
            <v/>
          </cell>
          <cell r="N592">
            <v>0</v>
          </cell>
        </row>
        <row r="593">
          <cell r="A593">
            <v>20231</v>
          </cell>
          <cell r="B593" t="str">
            <v>19/02/2021</v>
          </cell>
          <cell r="C593" t="str">
            <v>C1703</v>
          </cell>
          <cell r="D593" t="str">
            <v xml:space="preserve">As per quotation QJC19436-2 AHU lift </v>
          </cell>
          <cell r="E593" t="str">
            <v>Hird Ltd</v>
          </cell>
          <cell r="F593" t="str">
            <v>Subcontractor</v>
          </cell>
          <cell r="G593" t="str">
            <v>27/02/2021</v>
          </cell>
          <cell r="H593" t="str">
            <v>Part</v>
          </cell>
          <cell r="I593" t="str">
            <v/>
          </cell>
          <cell r="J593">
            <v>3760</v>
          </cell>
          <cell r="K593">
            <v>752</v>
          </cell>
          <cell r="L593">
            <v>3760</v>
          </cell>
          <cell r="M593" t="str">
            <v/>
          </cell>
          <cell r="N593">
            <v>0</v>
          </cell>
        </row>
        <row r="594">
          <cell r="A594">
            <v>20229</v>
          </cell>
          <cell r="B594" t="str">
            <v>19/02/2021</v>
          </cell>
          <cell r="C594" t="str">
            <v>C1703</v>
          </cell>
          <cell r="D594" t="str">
            <v>As per quotation QJC19436-2 ahu lift</v>
          </cell>
          <cell r="E594" t="str">
            <v>Hird Ltd</v>
          </cell>
          <cell r="F594" t="str">
            <v>Subcontractor</v>
          </cell>
          <cell r="G594" t="str">
            <v>27/02/2021</v>
          </cell>
          <cell r="H594" t="str">
            <v>Part</v>
          </cell>
          <cell r="I594" t="str">
            <v/>
          </cell>
          <cell r="J594">
            <v>3735</v>
          </cell>
          <cell r="K594">
            <v>747</v>
          </cell>
          <cell r="L594">
            <v>0</v>
          </cell>
          <cell r="M594" t="str">
            <v/>
          </cell>
          <cell r="N594">
            <v>3735</v>
          </cell>
        </row>
        <row r="595">
          <cell r="A595">
            <v>20224</v>
          </cell>
          <cell r="B595" t="str">
            <v>18/02/2021</v>
          </cell>
          <cell r="C595" t="str">
            <v>MC2119</v>
          </cell>
          <cell r="D595" t="str">
            <v>REplace various fire extinguishers</v>
          </cell>
          <cell r="E595" t="str">
            <v>Marlowe Fire &amp; Security Limited</v>
          </cell>
          <cell r="F595" t="str">
            <v>Subcontractor</v>
          </cell>
          <cell r="G595" t="str">
            <v/>
          </cell>
          <cell r="H595" t="str">
            <v>Part</v>
          </cell>
          <cell r="I595" t="str">
            <v/>
          </cell>
          <cell r="J595">
            <v>424.99</v>
          </cell>
          <cell r="K595">
            <v>85</v>
          </cell>
          <cell r="L595">
            <v>424.99</v>
          </cell>
          <cell r="M595" t="str">
            <v/>
          </cell>
          <cell r="N595">
            <v>0</v>
          </cell>
        </row>
        <row r="596">
          <cell r="A596">
            <v>20223</v>
          </cell>
          <cell r="B596" t="str">
            <v>18/02/2021</v>
          </cell>
          <cell r="C596" t="str">
            <v>MC2119</v>
          </cell>
          <cell r="D596" t="str">
            <v xml:space="preserve">REplace Fire Extingusihers following PPM </v>
          </cell>
          <cell r="E596" t="str">
            <v>Marlowe Fire &amp; Security Limited</v>
          </cell>
          <cell r="F596" t="str">
            <v>Subcontractor</v>
          </cell>
          <cell r="G596" t="str">
            <v/>
          </cell>
          <cell r="H596" t="str">
            <v>Part</v>
          </cell>
          <cell r="I596" t="str">
            <v/>
          </cell>
          <cell r="J596">
            <v>250.29</v>
          </cell>
          <cell r="K596">
            <v>50.06</v>
          </cell>
          <cell r="L596">
            <v>250.29</v>
          </cell>
          <cell r="M596" t="str">
            <v/>
          </cell>
          <cell r="N596">
            <v>0</v>
          </cell>
        </row>
        <row r="597">
          <cell r="A597">
            <v>20222</v>
          </cell>
          <cell r="B597" t="str">
            <v>18/02/2021</v>
          </cell>
          <cell r="C597" t="str">
            <v>MC2119</v>
          </cell>
          <cell r="D597" t="str">
            <v xml:space="preserve">Replace Fire Extinguishers following ppm </v>
          </cell>
          <cell r="E597" t="str">
            <v>Marlowe Fire &amp; Security Limited</v>
          </cell>
          <cell r="F597" t="str">
            <v>Subcontractor</v>
          </cell>
          <cell r="G597" t="str">
            <v/>
          </cell>
          <cell r="H597" t="str">
            <v>Part</v>
          </cell>
          <cell r="I597" t="str">
            <v/>
          </cell>
          <cell r="J597">
            <v>673.63</v>
          </cell>
          <cell r="K597">
            <v>134.72999999999999</v>
          </cell>
          <cell r="L597">
            <v>673.63</v>
          </cell>
          <cell r="M597" t="str">
            <v/>
          </cell>
          <cell r="N597">
            <v>0</v>
          </cell>
        </row>
        <row r="598">
          <cell r="A598">
            <v>20206</v>
          </cell>
          <cell r="B598" t="str">
            <v>17/02/2021</v>
          </cell>
          <cell r="C598" t="str">
            <v>MC2103</v>
          </cell>
          <cell r="D598" t="str">
            <v>Carry out quoted works email dated 15.02.2021</v>
          </cell>
          <cell r="E598" t="str">
            <v>Key Integrated Services North West Ltd</v>
          </cell>
          <cell r="F598" t="str">
            <v>Subcontractor</v>
          </cell>
          <cell r="G598" t="str">
            <v>19/02/2021</v>
          </cell>
          <cell r="H598" t="str">
            <v/>
          </cell>
          <cell r="I598" t="str">
            <v/>
          </cell>
          <cell r="J598">
            <v>793.57</v>
          </cell>
          <cell r="K598">
            <v>158.71</v>
          </cell>
          <cell r="L598">
            <v>843.57</v>
          </cell>
          <cell r="M598" t="str">
            <v/>
          </cell>
          <cell r="N598">
            <v>-50</v>
          </cell>
        </row>
        <row r="599">
          <cell r="A599">
            <v>20204</v>
          </cell>
          <cell r="B599" t="str">
            <v>17/02/2021</v>
          </cell>
          <cell r="C599" t="str">
            <v>MC0001</v>
          </cell>
          <cell r="D599" t="str">
            <v xml:space="preserve">Repair &amp; Replace Various Lighting in Office Area </v>
          </cell>
          <cell r="E599" t="str">
            <v>Key Integrated Services North West Ltd</v>
          </cell>
          <cell r="F599" t="str">
            <v>Subcontractor</v>
          </cell>
          <cell r="G599" t="str">
            <v/>
          </cell>
          <cell r="H599" t="str">
            <v/>
          </cell>
          <cell r="I599" t="str">
            <v/>
          </cell>
          <cell r="J599">
            <v>569.69000000000005</v>
          </cell>
          <cell r="K599">
            <v>113.94</v>
          </cell>
          <cell r="L599">
            <v>569.69000000000005</v>
          </cell>
          <cell r="M599" t="str">
            <v/>
          </cell>
          <cell r="N599">
            <v>0</v>
          </cell>
        </row>
        <row r="600">
          <cell r="A600">
            <v>20201</v>
          </cell>
          <cell r="B600" t="str">
            <v>17/02/2021</v>
          </cell>
          <cell r="C600" t="str">
            <v>C1725</v>
          </cell>
          <cell r="D600" t="str">
            <v>LTHW Flushing</v>
          </cell>
          <cell r="E600" t="str">
            <v>Primary Water Treatments</v>
          </cell>
          <cell r="F600" t="str">
            <v>Subcontractor</v>
          </cell>
          <cell r="G600" t="str">
            <v>18/02/2021</v>
          </cell>
          <cell r="H600" t="str">
            <v>Complete</v>
          </cell>
          <cell r="I600" t="str">
            <v/>
          </cell>
          <cell r="J600">
            <v>5865</v>
          </cell>
          <cell r="K600">
            <v>1173</v>
          </cell>
          <cell r="L600">
            <v>5865</v>
          </cell>
          <cell r="M600" t="str">
            <v/>
          </cell>
          <cell r="N600">
            <v>0</v>
          </cell>
        </row>
        <row r="601">
          <cell r="A601">
            <v>20198</v>
          </cell>
          <cell r="B601" t="str">
            <v>16/02/2021</v>
          </cell>
          <cell r="C601" t="str">
            <v>MC2101</v>
          </cell>
          <cell r="D601" t="str">
            <v xml:space="preserve">Carry out works ref your quotation </v>
          </cell>
          <cell r="E601" t="str">
            <v>Hoyles Fire + Safety Ltd</v>
          </cell>
          <cell r="F601" t="str">
            <v>Subcontractor</v>
          </cell>
          <cell r="G601" t="str">
            <v/>
          </cell>
          <cell r="H601" t="str">
            <v>Complete</v>
          </cell>
          <cell r="I601" t="str">
            <v/>
          </cell>
          <cell r="J601">
            <v>0</v>
          </cell>
          <cell r="K601">
            <v>0</v>
          </cell>
          <cell r="L601">
            <v>0</v>
          </cell>
          <cell r="M601" t="str">
            <v/>
          </cell>
          <cell r="N601">
            <v>0</v>
          </cell>
        </row>
        <row r="602">
          <cell r="A602">
            <v>20197</v>
          </cell>
          <cell r="B602" t="str">
            <v>16/02/2021</v>
          </cell>
          <cell r="C602" t="str">
            <v>MC2115</v>
          </cell>
          <cell r="D602" t="str">
            <v xml:space="preserve">Call Out investigate water leak </v>
          </cell>
          <cell r="E602" t="str">
            <v>Pole to Pole Climate Control Ltd</v>
          </cell>
          <cell r="F602" t="str">
            <v>Subcontractor</v>
          </cell>
          <cell r="G602" t="str">
            <v/>
          </cell>
          <cell r="H602" t="str">
            <v/>
          </cell>
          <cell r="I602" t="str">
            <v/>
          </cell>
          <cell r="J602">
            <v>130</v>
          </cell>
          <cell r="K602">
            <v>26</v>
          </cell>
          <cell r="L602">
            <v>130</v>
          </cell>
          <cell r="M602" t="str">
            <v/>
          </cell>
          <cell r="N602">
            <v>0</v>
          </cell>
        </row>
        <row r="603">
          <cell r="A603">
            <v>20193</v>
          </cell>
          <cell r="B603" t="str">
            <v>16/02/2021</v>
          </cell>
          <cell r="C603" t="str">
            <v>MC2115</v>
          </cell>
          <cell r="D603" t="str">
            <v xml:space="preserve">replace car park lights Timer Clock </v>
          </cell>
          <cell r="E603" t="str">
            <v>Viabl Ltd T/A Able</v>
          </cell>
          <cell r="F603" t="str">
            <v>Subcontractor</v>
          </cell>
          <cell r="G603" t="str">
            <v/>
          </cell>
          <cell r="H603" t="str">
            <v/>
          </cell>
          <cell r="I603" t="str">
            <v/>
          </cell>
          <cell r="J603">
            <v>257.99</v>
          </cell>
          <cell r="K603">
            <v>51.6</v>
          </cell>
          <cell r="L603">
            <v>257.99</v>
          </cell>
          <cell r="M603" t="str">
            <v/>
          </cell>
          <cell r="N603">
            <v>0</v>
          </cell>
        </row>
        <row r="604">
          <cell r="A604">
            <v>20192</v>
          </cell>
          <cell r="B604" t="str">
            <v>16/02/2021</v>
          </cell>
          <cell r="C604" t="str">
            <v>C1712</v>
          </cell>
          <cell r="D604" t="str">
            <v>Offloading &amp; positioning of Desiccant Dryer - offload &amp; posi</v>
          </cell>
          <cell r="E604" t="str">
            <v>Jack Waghorn International Ltd</v>
          </cell>
          <cell r="F604" t="str">
            <v>Subcontractor</v>
          </cell>
          <cell r="G604" t="str">
            <v>23/02/2021</v>
          </cell>
          <cell r="H604" t="str">
            <v>Part</v>
          </cell>
          <cell r="I604" t="str">
            <v/>
          </cell>
          <cell r="J604">
            <v>8260</v>
          </cell>
          <cell r="K604">
            <v>1652</v>
          </cell>
          <cell r="L604">
            <v>8260</v>
          </cell>
          <cell r="M604" t="str">
            <v/>
          </cell>
          <cell r="N604">
            <v>0</v>
          </cell>
        </row>
        <row r="605">
          <cell r="A605">
            <v>20191</v>
          </cell>
          <cell r="B605" t="str">
            <v>16/02/2021</v>
          </cell>
          <cell r="C605" t="str">
            <v>MC2110</v>
          </cell>
          <cell r="D605" t="str">
            <v xml:space="preserve">Annual EML Test </v>
          </cell>
          <cell r="E605" t="str">
            <v>Lantei Ltd</v>
          </cell>
          <cell r="F605" t="str">
            <v>Subcontractor</v>
          </cell>
          <cell r="G605" t="str">
            <v/>
          </cell>
          <cell r="H605" t="str">
            <v>Part</v>
          </cell>
          <cell r="I605" t="str">
            <v/>
          </cell>
          <cell r="J605">
            <v>280</v>
          </cell>
          <cell r="K605">
            <v>56</v>
          </cell>
          <cell r="L605">
            <v>280</v>
          </cell>
          <cell r="M605" t="str">
            <v/>
          </cell>
          <cell r="N605">
            <v>0</v>
          </cell>
        </row>
        <row r="606">
          <cell r="A606">
            <v>20186</v>
          </cell>
          <cell r="B606" t="str">
            <v>16/02/2021</v>
          </cell>
          <cell r="C606" t="str">
            <v>MC2115</v>
          </cell>
          <cell r="D606" t="str">
            <v>Annual EML Service</v>
          </cell>
          <cell r="E606" t="str">
            <v>Lantei Ltd</v>
          </cell>
          <cell r="F606" t="str">
            <v>Subcontractor</v>
          </cell>
          <cell r="G606" t="str">
            <v>15/03/2021</v>
          </cell>
          <cell r="H606" t="str">
            <v>Part</v>
          </cell>
          <cell r="I606" t="str">
            <v/>
          </cell>
          <cell r="J606">
            <v>280</v>
          </cell>
          <cell r="K606">
            <v>56</v>
          </cell>
          <cell r="L606">
            <v>280</v>
          </cell>
          <cell r="M606" t="str">
            <v/>
          </cell>
          <cell r="N606">
            <v>0</v>
          </cell>
        </row>
        <row r="607">
          <cell r="A607">
            <v>20184</v>
          </cell>
          <cell r="B607" t="str">
            <v>16/02/2021</v>
          </cell>
          <cell r="C607" t="str">
            <v>MC2118</v>
          </cell>
          <cell r="D607" t="str">
            <v>to carry out 1off water samples on two cold water tanks</v>
          </cell>
          <cell r="E607" t="str">
            <v>Rock Compliance</v>
          </cell>
          <cell r="F607" t="str">
            <v>Subcontractor</v>
          </cell>
          <cell r="G607" t="str">
            <v/>
          </cell>
          <cell r="H607" t="str">
            <v>Part</v>
          </cell>
          <cell r="I607" t="str">
            <v/>
          </cell>
          <cell r="J607">
            <v>270</v>
          </cell>
          <cell r="K607">
            <v>54</v>
          </cell>
          <cell r="L607">
            <v>270</v>
          </cell>
          <cell r="M607" t="str">
            <v/>
          </cell>
          <cell r="N607">
            <v>0</v>
          </cell>
        </row>
        <row r="608">
          <cell r="A608">
            <v>20183</v>
          </cell>
          <cell r="B608" t="str">
            <v>16/02/2021</v>
          </cell>
          <cell r="C608" t="str">
            <v>MC2115</v>
          </cell>
          <cell r="D608" t="str">
            <v xml:space="preserve">Boiler Maintenance </v>
          </cell>
          <cell r="E608" t="str">
            <v>Commercial Temperature Solutions</v>
          </cell>
          <cell r="F608" t="str">
            <v>Subcontractor</v>
          </cell>
          <cell r="G608" t="str">
            <v/>
          </cell>
          <cell r="H608" t="str">
            <v/>
          </cell>
          <cell r="I608" t="str">
            <v/>
          </cell>
          <cell r="J608">
            <v>280</v>
          </cell>
          <cell r="K608">
            <v>56</v>
          </cell>
          <cell r="L608">
            <v>280</v>
          </cell>
          <cell r="M608" t="str">
            <v/>
          </cell>
          <cell r="N608">
            <v>0</v>
          </cell>
        </row>
        <row r="609">
          <cell r="A609">
            <v>20182</v>
          </cell>
          <cell r="B609" t="str">
            <v>15/02/2021</v>
          </cell>
          <cell r="C609" t="str">
            <v>MC2115</v>
          </cell>
          <cell r="D609" t="str">
            <v>Annual EML Test</v>
          </cell>
          <cell r="E609" t="str">
            <v>Lantei Ltd</v>
          </cell>
          <cell r="F609" t="str">
            <v>Subcontractor</v>
          </cell>
          <cell r="G609" t="str">
            <v/>
          </cell>
          <cell r="H609" t="str">
            <v>Part</v>
          </cell>
          <cell r="I609" t="str">
            <v/>
          </cell>
          <cell r="J609">
            <v>280</v>
          </cell>
          <cell r="K609">
            <v>56</v>
          </cell>
          <cell r="L609">
            <v>0</v>
          </cell>
          <cell r="M609" t="str">
            <v/>
          </cell>
          <cell r="N609">
            <v>280</v>
          </cell>
        </row>
        <row r="610">
          <cell r="A610">
            <v>20181</v>
          </cell>
          <cell r="B610" t="str">
            <v>15/02/2021</v>
          </cell>
          <cell r="C610" t="str">
            <v>MC2119</v>
          </cell>
          <cell r="D610" t="str">
            <v>carry out works your ref 346442</v>
          </cell>
          <cell r="E610" t="str">
            <v>Marlowe Fire &amp; Security Limited</v>
          </cell>
          <cell r="F610" t="str">
            <v>Subcontractor</v>
          </cell>
          <cell r="G610" t="str">
            <v/>
          </cell>
          <cell r="H610" t="str">
            <v/>
          </cell>
          <cell r="I610" t="str">
            <v/>
          </cell>
          <cell r="J610">
            <v>513.73</v>
          </cell>
          <cell r="K610">
            <v>102.75</v>
          </cell>
          <cell r="L610">
            <v>513.73</v>
          </cell>
          <cell r="M610" t="str">
            <v/>
          </cell>
          <cell r="N610">
            <v>0</v>
          </cell>
        </row>
        <row r="611">
          <cell r="A611">
            <v>20180</v>
          </cell>
          <cell r="B611" t="str">
            <v>15/02/2021</v>
          </cell>
          <cell r="C611" t="str">
            <v>MC2119</v>
          </cell>
          <cell r="D611" t="str">
            <v>carry out quoted works your ref Ref 34662</v>
          </cell>
          <cell r="E611" t="str">
            <v>Marlowe Fire &amp; Security Limited</v>
          </cell>
          <cell r="F611" t="str">
            <v>Subcontractor</v>
          </cell>
          <cell r="G611" t="str">
            <v/>
          </cell>
          <cell r="H611" t="str">
            <v/>
          </cell>
          <cell r="I611" t="str">
            <v/>
          </cell>
          <cell r="J611">
            <v>78.78</v>
          </cell>
          <cell r="K611">
            <v>15.76</v>
          </cell>
          <cell r="L611">
            <v>78.78</v>
          </cell>
          <cell r="M611" t="str">
            <v/>
          </cell>
          <cell r="N611">
            <v>0</v>
          </cell>
        </row>
        <row r="612">
          <cell r="A612">
            <v>20179</v>
          </cell>
          <cell r="B612" t="str">
            <v>15/02/2021</v>
          </cell>
          <cell r="C612" t="str">
            <v>MC2119</v>
          </cell>
          <cell r="D612" t="str">
            <v>Carry out works as per quote ref 346606</v>
          </cell>
          <cell r="E612" t="str">
            <v>Marlowe Fire &amp; Security Limited</v>
          </cell>
          <cell r="F612" t="str">
            <v>Subcontractor</v>
          </cell>
          <cell r="G612" t="str">
            <v/>
          </cell>
          <cell r="H612" t="str">
            <v>Part</v>
          </cell>
          <cell r="I612" t="str">
            <v/>
          </cell>
          <cell r="J612">
            <v>85.3</v>
          </cell>
          <cell r="K612">
            <v>17.059999999999999</v>
          </cell>
          <cell r="L612">
            <v>85.3</v>
          </cell>
          <cell r="M612" t="str">
            <v/>
          </cell>
          <cell r="N612">
            <v>0</v>
          </cell>
        </row>
        <row r="613">
          <cell r="A613">
            <v>20175</v>
          </cell>
          <cell r="B613" t="str">
            <v>15/02/2021</v>
          </cell>
          <cell r="C613" t="str">
            <v>MC2087</v>
          </cell>
          <cell r="D613" t="str">
            <v>As per quote QM0192 Remedials after ambirads maintenance</v>
          </cell>
          <cell r="E613" t="str">
            <v>P More PHC Ltd</v>
          </cell>
          <cell r="F613" t="str">
            <v>Subcontractor</v>
          </cell>
          <cell r="G613" t="str">
            <v/>
          </cell>
          <cell r="H613" t="str">
            <v>Part</v>
          </cell>
          <cell r="I613" t="str">
            <v/>
          </cell>
          <cell r="J613">
            <v>2532</v>
          </cell>
          <cell r="K613">
            <v>0</v>
          </cell>
          <cell r="L613">
            <v>2532</v>
          </cell>
          <cell r="M613" t="str">
            <v/>
          </cell>
          <cell r="N613">
            <v>0</v>
          </cell>
        </row>
        <row r="614">
          <cell r="A614">
            <v>20174</v>
          </cell>
          <cell r="B614" t="str">
            <v>13/02/2021</v>
          </cell>
          <cell r="C614" t="str">
            <v>C1648</v>
          </cell>
          <cell r="D614" t="str">
            <v>As per quotation QT01469 gas pressure readings at Greggs Tre</v>
          </cell>
          <cell r="E614" t="str">
            <v>Modern Heating Services Limited</v>
          </cell>
          <cell r="F614" t="str">
            <v>Subcontractor</v>
          </cell>
          <cell r="G614" t="str">
            <v>08/02/2021</v>
          </cell>
          <cell r="H614" t="str">
            <v>Part</v>
          </cell>
          <cell r="I614" t="str">
            <v/>
          </cell>
          <cell r="J614">
            <v>280</v>
          </cell>
          <cell r="K614">
            <v>56</v>
          </cell>
          <cell r="L614">
            <v>280</v>
          </cell>
          <cell r="M614" t="str">
            <v/>
          </cell>
          <cell r="N614">
            <v>0</v>
          </cell>
        </row>
        <row r="615">
          <cell r="A615">
            <v>20170</v>
          </cell>
          <cell r="B615" t="str">
            <v>12/02/2021</v>
          </cell>
          <cell r="C615" t="str">
            <v>C1693</v>
          </cell>
          <cell r="D615" t="str">
            <v>Costs to carry out servicing and maintenance as per site vis</v>
          </cell>
          <cell r="E615" t="str">
            <v>Key Integrated Services Ltd</v>
          </cell>
          <cell r="F615" t="str">
            <v>Subcontractor</v>
          </cell>
          <cell r="G615" t="str">
            <v/>
          </cell>
          <cell r="H615" t="str">
            <v>Part</v>
          </cell>
          <cell r="I615" t="str">
            <v/>
          </cell>
          <cell r="J615">
            <v>72964.960000000006</v>
          </cell>
          <cell r="K615">
            <v>0</v>
          </cell>
          <cell r="L615">
            <v>12749.96</v>
          </cell>
          <cell r="M615" t="str">
            <v/>
          </cell>
          <cell r="N615">
            <v>60215</v>
          </cell>
        </row>
        <row r="616">
          <cell r="A616">
            <v>20158</v>
          </cell>
          <cell r="B616" t="str">
            <v>11/02/2021</v>
          </cell>
          <cell r="C616" t="str">
            <v>MC2118</v>
          </cell>
          <cell r="D616" t="str">
            <v xml:space="preserve">Service 18 Boilers </v>
          </cell>
          <cell r="E616" t="str">
            <v>P More PHC Ltd</v>
          </cell>
          <cell r="F616" t="str">
            <v>Subcontractor</v>
          </cell>
          <cell r="G616" t="str">
            <v/>
          </cell>
          <cell r="H616" t="str">
            <v>Part</v>
          </cell>
          <cell r="I616" t="str">
            <v/>
          </cell>
          <cell r="J616">
            <v>1080</v>
          </cell>
          <cell r="K616">
            <v>216</v>
          </cell>
          <cell r="L616">
            <v>0</v>
          </cell>
          <cell r="M616" t="str">
            <v/>
          </cell>
          <cell r="N616">
            <v>1080</v>
          </cell>
        </row>
        <row r="617">
          <cell r="A617">
            <v>20154</v>
          </cell>
          <cell r="B617" t="str">
            <v>10/02/2021</v>
          </cell>
          <cell r="C617" t="str">
            <v>MC2115</v>
          </cell>
          <cell r="D617" t="str">
            <v xml:space="preserve">Annual EML Test </v>
          </cell>
          <cell r="E617" t="str">
            <v>Lantei Ltd</v>
          </cell>
          <cell r="F617" t="str">
            <v>Subcontractor</v>
          </cell>
          <cell r="G617" t="str">
            <v/>
          </cell>
          <cell r="H617" t="str">
            <v>Part</v>
          </cell>
          <cell r="I617" t="str">
            <v/>
          </cell>
          <cell r="J617">
            <v>280</v>
          </cell>
          <cell r="K617">
            <v>56</v>
          </cell>
          <cell r="L617">
            <v>280</v>
          </cell>
          <cell r="M617" t="str">
            <v/>
          </cell>
          <cell r="N617">
            <v>0</v>
          </cell>
        </row>
        <row r="618">
          <cell r="A618">
            <v>20153</v>
          </cell>
          <cell r="B618" t="str">
            <v>10/02/2021</v>
          </cell>
          <cell r="C618" t="str">
            <v>MC2091</v>
          </cell>
          <cell r="D618" t="str">
            <v>Call Out 10.02.2021 Fire Constantly Beeping</v>
          </cell>
          <cell r="E618" t="str">
            <v>Security and Fire Experts Ltd</v>
          </cell>
          <cell r="F618" t="str">
            <v>Subcontractor</v>
          </cell>
          <cell r="G618" t="str">
            <v/>
          </cell>
          <cell r="H618" t="str">
            <v>Part</v>
          </cell>
          <cell r="I618" t="str">
            <v/>
          </cell>
          <cell r="J618">
            <v>95</v>
          </cell>
          <cell r="K618">
            <v>19</v>
          </cell>
          <cell r="L618">
            <v>95</v>
          </cell>
          <cell r="M618" t="str">
            <v/>
          </cell>
          <cell r="N618">
            <v>0</v>
          </cell>
        </row>
        <row r="619">
          <cell r="A619">
            <v>20151</v>
          </cell>
          <cell r="B619" t="str">
            <v>10/02/2021</v>
          </cell>
          <cell r="C619" t="str">
            <v>MC2115</v>
          </cell>
          <cell r="D619" t="str">
            <v xml:space="preserve">Annual EML Test </v>
          </cell>
          <cell r="E619" t="str">
            <v>Lantei Ltd</v>
          </cell>
          <cell r="F619" t="str">
            <v>Subcontractor</v>
          </cell>
          <cell r="G619" t="str">
            <v/>
          </cell>
          <cell r="H619" t="str">
            <v>Part</v>
          </cell>
          <cell r="I619" t="str">
            <v/>
          </cell>
          <cell r="J619">
            <v>430</v>
          </cell>
          <cell r="K619">
            <v>86</v>
          </cell>
          <cell r="L619">
            <v>430</v>
          </cell>
          <cell r="M619" t="str">
            <v/>
          </cell>
          <cell r="N619">
            <v>0</v>
          </cell>
        </row>
        <row r="620">
          <cell r="A620">
            <v>20147</v>
          </cell>
          <cell r="B620" t="str">
            <v>10/02/2021</v>
          </cell>
          <cell r="C620" t="str">
            <v>MC2105</v>
          </cell>
          <cell r="D620" t="str">
            <v>carry out maintenance of 1 Ac unit</v>
          </cell>
          <cell r="E620" t="str">
            <v>Commercial Temperature Solutions</v>
          </cell>
          <cell r="F620" t="str">
            <v>Subcontractor</v>
          </cell>
          <cell r="G620" t="str">
            <v/>
          </cell>
          <cell r="H620" t="str">
            <v/>
          </cell>
          <cell r="I620" t="str">
            <v/>
          </cell>
          <cell r="J620">
            <v>25</v>
          </cell>
          <cell r="K620">
            <v>5</v>
          </cell>
          <cell r="L620">
            <v>0</v>
          </cell>
          <cell r="M620" t="str">
            <v/>
          </cell>
          <cell r="N620">
            <v>25</v>
          </cell>
        </row>
        <row r="621">
          <cell r="A621">
            <v>20146</v>
          </cell>
          <cell r="B621" t="str">
            <v>10/02/2021</v>
          </cell>
          <cell r="C621" t="str">
            <v>MC2112</v>
          </cell>
          <cell r="D621" t="str">
            <v xml:space="preserve">maintain 3no Lincat Boilers </v>
          </cell>
          <cell r="E621" t="str">
            <v>Commercial Temperature Solutions</v>
          </cell>
          <cell r="F621" t="str">
            <v>Subcontractor</v>
          </cell>
          <cell r="G621" t="str">
            <v>11/02/2021</v>
          </cell>
          <cell r="H621" t="str">
            <v/>
          </cell>
          <cell r="I621" t="str">
            <v/>
          </cell>
          <cell r="J621">
            <v>165</v>
          </cell>
          <cell r="K621">
            <v>33</v>
          </cell>
          <cell r="L621">
            <v>165</v>
          </cell>
          <cell r="M621" t="str">
            <v/>
          </cell>
          <cell r="N621">
            <v>0</v>
          </cell>
        </row>
        <row r="622">
          <cell r="A622">
            <v>20143</v>
          </cell>
          <cell r="B622" t="str">
            <v>09/02/2021</v>
          </cell>
          <cell r="C622" t="str">
            <v>MC2115</v>
          </cell>
          <cell r="D622" t="str">
            <v xml:space="preserve">Boiler Maintenance </v>
          </cell>
          <cell r="E622" t="str">
            <v>P More PHC Ltd</v>
          </cell>
          <cell r="F622" t="str">
            <v>Subcontractor</v>
          </cell>
          <cell r="G622" t="str">
            <v/>
          </cell>
          <cell r="H622" t="str">
            <v>Part</v>
          </cell>
          <cell r="I622" t="str">
            <v/>
          </cell>
          <cell r="J622">
            <v>248</v>
          </cell>
          <cell r="K622">
            <v>0</v>
          </cell>
          <cell r="L622">
            <v>248</v>
          </cell>
          <cell r="M622" t="str">
            <v/>
          </cell>
          <cell r="N622">
            <v>0</v>
          </cell>
        </row>
        <row r="623">
          <cell r="A623">
            <v>20142</v>
          </cell>
          <cell r="B623" t="str">
            <v>09/02/2021</v>
          </cell>
          <cell r="C623" t="str">
            <v>C1717</v>
          </cell>
          <cell r="D623" t="str">
            <v>As per quotation 3800</v>
          </cell>
          <cell r="E623" t="str">
            <v>Thermal Insulation Covers Ltd</v>
          </cell>
          <cell r="F623" t="str">
            <v>Subcontractor</v>
          </cell>
          <cell r="G623" t="str">
            <v>14/03/2021</v>
          </cell>
          <cell r="H623" t="str">
            <v>Part</v>
          </cell>
          <cell r="I623" t="str">
            <v>Posted</v>
          </cell>
          <cell r="J623">
            <v>16783.62</v>
          </cell>
          <cell r="K623">
            <v>6713.45</v>
          </cell>
          <cell r="L623">
            <v>19375.62</v>
          </cell>
          <cell r="M623" t="str">
            <v/>
          </cell>
          <cell r="N623">
            <v>-2592</v>
          </cell>
        </row>
        <row r="624">
          <cell r="A624">
            <v>20141</v>
          </cell>
          <cell r="B624" t="str">
            <v>09/02/2021</v>
          </cell>
          <cell r="C624" t="str">
            <v>C1703</v>
          </cell>
          <cell r="D624" t="str">
            <v>As per quote ref: 3797</v>
          </cell>
          <cell r="E624" t="str">
            <v>Thermal Insulation Covers Ltd</v>
          </cell>
          <cell r="F624" t="str">
            <v>Subcontractor</v>
          </cell>
          <cell r="G624" t="str">
            <v>21/03/2021</v>
          </cell>
          <cell r="H624" t="str">
            <v>Part</v>
          </cell>
          <cell r="I624" t="str">
            <v>Posted</v>
          </cell>
          <cell r="J624">
            <v>6236.62</v>
          </cell>
          <cell r="K624">
            <v>1247.32</v>
          </cell>
          <cell r="L624">
            <v>7222.62</v>
          </cell>
          <cell r="M624" t="str">
            <v/>
          </cell>
          <cell r="N624">
            <v>-986</v>
          </cell>
        </row>
        <row r="625">
          <cell r="A625">
            <v>20136</v>
          </cell>
          <cell r="B625" t="str">
            <v>09/02/2021</v>
          </cell>
          <cell r="C625" t="str">
            <v>MC2116</v>
          </cell>
          <cell r="D625" t="str">
            <v>Carry out works quote ref PL/219333</v>
          </cell>
          <cell r="E625" t="str">
            <v>WB Power Services Ltd</v>
          </cell>
          <cell r="F625" t="str">
            <v>Subcontractor</v>
          </cell>
          <cell r="G625" t="str">
            <v/>
          </cell>
          <cell r="H625" t="str">
            <v/>
          </cell>
          <cell r="I625" t="str">
            <v/>
          </cell>
          <cell r="J625">
            <v>964.69</v>
          </cell>
          <cell r="K625">
            <v>192.94</v>
          </cell>
          <cell r="L625">
            <v>964.69</v>
          </cell>
          <cell r="M625" t="str">
            <v/>
          </cell>
          <cell r="N625">
            <v>0</v>
          </cell>
        </row>
        <row r="626">
          <cell r="A626">
            <v>20253</v>
          </cell>
          <cell r="B626" t="str">
            <v>08/02/2021</v>
          </cell>
          <cell r="C626" t="str">
            <v>C1737</v>
          </cell>
          <cell r="D626" t="str">
            <v>Installation of Ductwork</v>
          </cell>
          <cell r="E626" t="str">
            <v>JTC Ductwork Solutions Limited</v>
          </cell>
          <cell r="F626" t="str">
            <v>Subcontractor</v>
          </cell>
          <cell r="G626" t="str">
            <v/>
          </cell>
          <cell r="H626" t="str">
            <v>Part</v>
          </cell>
          <cell r="I626" t="str">
            <v/>
          </cell>
          <cell r="J626">
            <v>15000</v>
          </cell>
          <cell r="K626">
            <v>6000</v>
          </cell>
          <cell r="L626">
            <v>53896.97</v>
          </cell>
          <cell r="M626" t="str">
            <v/>
          </cell>
          <cell r="N626">
            <v>-38896.97</v>
          </cell>
        </row>
        <row r="627">
          <cell r="A627">
            <v>20135</v>
          </cell>
          <cell r="B627" t="str">
            <v>08/02/2021</v>
          </cell>
          <cell r="C627" t="str">
            <v>MC2115</v>
          </cell>
          <cell r="D627" t="str">
            <v xml:space="preserve">Annual EML Test </v>
          </cell>
          <cell r="E627" t="str">
            <v>Barrie Beard Ltd</v>
          </cell>
          <cell r="F627" t="str">
            <v>Subcontractor</v>
          </cell>
          <cell r="G627" t="str">
            <v>15/02/2021</v>
          </cell>
          <cell r="H627" t="str">
            <v/>
          </cell>
          <cell r="I627" t="str">
            <v/>
          </cell>
          <cell r="J627">
            <v>220</v>
          </cell>
          <cell r="K627">
            <v>44</v>
          </cell>
          <cell r="L627">
            <v>0</v>
          </cell>
          <cell r="M627" t="str">
            <v/>
          </cell>
          <cell r="N627">
            <v>220</v>
          </cell>
        </row>
        <row r="628">
          <cell r="A628">
            <v>20134</v>
          </cell>
          <cell r="B628" t="str">
            <v>08/02/2021</v>
          </cell>
          <cell r="C628" t="str">
            <v>MC2098</v>
          </cell>
          <cell r="D628" t="str">
            <v>Service at strawberry hill Mechanical maintenance</v>
          </cell>
          <cell r="E628" t="str">
            <v>P More PHC Ltd</v>
          </cell>
          <cell r="F628" t="str">
            <v>Subcontractor</v>
          </cell>
          <cell r="G628" t="str">
            <v/>
          </cell>
          <cell r="H628" t="str">
            <v>Part</v>
          </cell>
          <cell r="I628" t="str">
            <v/>
          </cell>
          <cell r="J628">
            <v>240</v>
          </cell>
          <cell r="K628">
            <v>0</v>
          </cell>
          <cell r="L628">
            <v>240</v>
          </cell>
          <cell r="M628" t="str">
            <v/>
          </cell>
          <cell r="N628">
            <v>0</v>
          </cell>
        </row>
        <row r="629">
          <cell r="A629">
            <v>20131</v>
          </cell>
          <cell r="B629" t="str">
            <v>08/02/2021</v>
          </cell>
          <cell r="C629" t="str">
            <v>MC2111</v>
          </cell>
          <cell r="D629" t="str">
            <v xml:space="preserve">Replace Leaking Tap </v>
          </cell>
          <cell r="E629" t="str">
            <v>Derek Austin Heating Limited</v>
          </cell>
          <cell r="F629" t="str">
            <v>Subcontractor</v>
          </cell>
          <cell r="G629" t="str">
            <v/>
          </cell>
          <cell r="H629" t="str">
            <v/>
          </cell>
          <cell r="I629" t="str">
            <v/>
          </cell>
          <cell r="J629">
            <v>114.99</v>
          </cell>
          <cell r="K629">
            <v>23</v>
          </cell>
          <cell r="L629">
            <v>114.99</v>
          </cell>
          <cell r="M629" t="str">
            <v/>
          </cell>
          <cell r="N629">
            <v>0</v>
          </cell>
        </row>
        <row r="630">
          <cell r="A630">
            <v>20124</v>
          </cell>
          <cell r="B630" t="str">
            <v>08/02/2021</v>
          </cell>
          <cell r="C630" t="str">
            <v>MC2115</v>
          </cell>
          <cell r="D630" t="str">
            <v>Fixed Wire Testing (50no Circuits)</v>
          </cell>
          <cell r="E630" t="str">
            <v>Lantei Ltd</v>
          </cell>
          <cell r="F630" t="str">
            <v>Subcontractor</v>
          </cell>
          <cell r="G630" t="str">
            <v>22/02/2021</v>
          </cell>
          <cell r="H630" t="str">
            <v>Part</v>
          </cell>
          <cell r="I630" t="str">
            <v/>
          </cell>
          <cell r="J630">
            <v>1488</v>
          </cell>
          <cell r="K630">
            <v>297.60000000000002</v>
          </cell>
          <cell r="L630">
            <v>1488</v>
          </cell>
          <cell r="M630" t="str">
            <v/>
          </cell>
          <cell r="N630">
            <v>0</v>
          </cell>
        </row>
        <row r="631">
          <cell r="A631">
            <v>20119</v>
          </cell>
          <cell r="B631" t="str">
            <v>05/02/2021</v>
          </cell>
          <cell r="C631" t="str">
            <v>MC2111</v>
          </cell>
          <cell r="D631" t="str">
            <v xml:space="preserve">investigate faulty light in gents toilet </v>
          </cell>
          <cell r="E631" t="str">
            <v>Derek Austin Heating Limited</v>
          </cell>
          <cell r="F631" t="str">
            <v>Subcontractor</v>
          </cell>
          <cell r="G631" t="str">
            <v/>
          </cell>
          <cell r="H631" t="str">
            <v/>
          </cell>
          <cell r="I631" t="str">
            <v/>
          </cell>
          <cell r="J631">
            <v>98.66</v>
          </cell>
          <cell r="K631">
            <v>19.73</v>
          </cell>
          <cell r="L631">
            <v>98.66</v>
          </cell>
          <cell r="M631" t="str">
            <v/>
          </cell>
          <cell r="N631">
            <v>0</v>
          </cell>
        </row>
        <row r="632">
          <cell r="A632">
            <v>20118</v>
          </cell>
          <cell r="B632" t="str">
            <v>05/02/2021</v>
          </cell>
          <cell r="C632" t="str">
            <v>MC2115</v>
          </cell>
          <cell r="D632" t="str">
            <v xml:space="preserve">carry out annual eml repairs </v>
          </cell>
          <cell r="E632" t="str">
            <v>Lantei Ltd</v>
          </cell>
          <cell r="F632" t="str">
            <v>Subcontractor</v>
          </cell>
          <cell r="G632" t="str">
            <v/>
          </cell>
          <cell r="H632" t="str">
            <v/>
          </cell>
          <cell r="I632" t="str">
            <v/>
          </cell>
          <cell r="J632">
            <v>498.38</v>
          </cell>
          <cell r="K632">
            <v>99.68</v>
          </cell>
          <cell r="L632">
            <v>498.38</v>
          </cell>
          <cell r="M632" t="str">
            <v/>
          </cell>
          <cell r="N632">
            <v>0</v>
          </cell>
        </row>
        <row r="633">
          <cell r="A633">
            <v>20111</v>
          </cell>
          <cell r="B633" t="str">
            <v>05/02/2021</v>
          </cell>
          <cell r="C633" t="str">
            <v>C1725</v>
          </cell>
          <cell r="D633" t="str">
            <v>Ambi Rad Heating System Service</v>
          </cell>
          <cell r="E633" t="str">
            <v>Key Integrated Services Ltd</v>
          </cell>
          <cell r="F633" t="str">
            <v>Subcontractor</v>
          </cell>
          <cell r="G633" t="str">
            <v>15/02/2021</v>
          </cell>
          <cell r="H633" t="str">
            <v>Part</v>
          </cell>
          <cell r="I633" t="str">
            <v/>
          </cell>
          <cell r="J633">
            <v>2658</v>
          </cell>
          <cell r="K633">
            <v>0</v>
          </cell>
          <cell r="L633">
            <v>2658</v>
          </cell>
          <cell r="M633" t="str">
            <v/>
          </cell>
          <cell r="N633">
            <v>0</v>
          </cell>
        </row>
        <row r="634">
          <cell r="A634">
            <v>20110</v>
          </cell>
          <cell r="B634" t="str">
            <v>04/02/2021</v>
          </cell>
          <cell r="C634" t="str">
            <v>MC2114</v>
          </cell>
          <cell r="D634" t="str">
            <v>Carry out quoted works as per your quote dated 29.01.2021</v>
          </cell>
          <cell r="E634" t="str">
            <v>Barrie Beard Ltd</v>
          </cell>
          <cell r="F634" t="str">
            <v>Subcontractor</v>
          </cell>
          <cell r="G634" t="str">
            <v/>
          </cell>
          <cell r="H634" t="str">
            <v>Part</v>
          </cell>
          <cell r="I634" t="str">
            <v/>
          </cell>
          <cell r="J634">
            <v>255</v>
          </cell>
          <cell r="K634">
            <v>51</v>
          </cell>
          <cell r="L634">
            <v>255</v>
          </cell>
          <cell r="M634" t="str">
            <v/>
          </cell>
          <cell r="N634">
            <v>0</v>
          </cell>
        </row>
        <row r="635">
          <cell r="A635">
            <v>20108</v>
          </cell>
          <cell r="B635" t="str">
            <v>04/02/2021</v>
          </cell>
          <cell r="C635" t="str">
            <v>MC2091</v>
          </cell>
          <cell r="D635" t="str">
            <v xml:space="preserve">Rset password on Front End Panel </v>
          </cell>
          <cell r="E635" t="str">
            <v>Impact Control Systems Ltd</v>
          </cell>
          <cell r="F635" t="str">
            <v>Subcontractor</v>
          </cell>
          <cell r="G635" t="str">
            <v/>
          </cell>
          <cell r="H635" t="str">
            <v>Part</v>
          </cell>
          <cell r="I635" t="str">
            <v/>
          </cell>
          <cell r="J635">
            <v>260</v>
          </cell>
          <cell r="K635">
            <v>52</v>
          </cell>
          <cell r="L635">
            <v>260</v>
          </cell>
          <cell r="M635" t="str">
            <v/>
          </cell>
          <cell r="N635">
            <v>0</v>
          </cell>
        </row>
        <row r="636">
          <cell r="A636">
            <v>20107</v>
          </cell>
          <cell r="B636" t="str">
            <v>04/02/2021</v>
          </cell>
          <cell r="C636" t="str">
            <v>MC2087</v>
          </cell>
          <cell r="D636" t="str">
            <v>Service Ambirads &amp; Certificate</v>
          </cell>
          <cell r="E636" t="str">
            <v>P More PHC Ltd</v>
          </cell>
          <cell r="F636" t="str">
            <v>Subcontractor</v>
          </cell>
          <cell r="G636" t="str">
            <v/>
          </cell>
          <cell r="H636" t="str">
            <v>Complete</v>
          </cell>
          <cell r="I636" t="str">
            <v/>
          </cell>
          <cell r="J636">
            <v>0</v>
          </cell>
          <cell r="K636">
            <v>0</v>
          </cell>
          <cell r="L636">
            <v>0</v>
          </cell>
          <cell r="M636" t="str">
            <v/>
          </cell>
          <cell r="N636">
            <v>0</v>
          </cell>
        </row>
        <row r="637">
          <cell r="A637">
            <v>20106</v>
          </cell>
          <cell r="B637" t="str">
            <v>04/02/2021</v>
          </cell>
          <cell r="C637" t="str">
            <v>MC2087</v>
          </cell>
          <cell r="D637" t="str">
            <v xml:space="preserve">Service Ambirads &amp; Certificate </v>
          </cell>
          <cell r="E637" t="str">
            <v>P More PHC Ltd</v>
          </cell>
          <cell r="F637" t="str">
            <v>Subcontractor</v>
          </cell>
          <cell r="G637" t="str">
            <v/>
          </cell>
          <cell r="H637" t="str">
            <v>Part</v>
          </cell>
          <cell r="I637" t="str">
            <v/>
          </cell>
          <cell r="J637">
            <v>800</v>
          </cell>
          <cell r="K637">
            <v>0</v>
          </cell>
          <cell r="L637">
            <v>800</v>
          </cell>
          <cell r="M637" t="str">
            <v/>
          </cell>
          <cell r="N637">
            <v>0</v>
          </cell>
        </row>
        <row r="638">
          <cell r="A638">
            <v>20105</v>
          </cell>
          <cell r="B638" t="str">
            <v>04/02/2021</v>
          </cell>
          <cell r="C638" t="str">
            <v>MC2087</v>
          </cell>
          <cell r="D638" t="str">
            <v>Ambirads Service &amp; certificate &amp; 2x controllers</v>
          </cell>
          <cell r="E638" t="str">
            <v>P More PHC Ltd</v>
          </cell>
          <cell r="F638" t="str">
            <v>Subcontractor</v>
          </cell>
          <cell r="G638" t="str">
            <v>06/02/2021</v>
          </cell>
          <cell r="H638" t="str">
            <v>Part</v>
          </cell>
          <cell r="I638" t="str">
            <v/>
          </cell>
          <cell r="J638">
            <v>560</v>
          </cell>
          <cell r="K638">
            <v>0</v>
          </cell>
          <cell r="L638">
            <v>560</v>
          </cell>
          <cell r="M638" t="str">
            <v/>
          </cell>
          <cell r="N638">
            <v>0</v>
          </cell>
        </row>
        <row r="639">
          <cell r="A639">
            <v>20087</v>
          </cell>
          <cell r="B639" t="str">
            <v>02/02/2021</v>
          </cell>
          <cell r="C639" t="str">
            <v>MC2105</v>
          </cell>
          <cell r="D639" t="str">
            <v>carry ac maintenance 1 ac unit</v>
          </cell>
          <cell r="E639" t="str">
            <v>Commercial Temperature Solutions</v>
          </cell>
          <cell r="F639" t="str">
            <v>Subcontractor</v>
          </cell>
          <cell r="G639" t="str">
            <v/>
          </cell>
          <cell r="H639" t="str">
            <v/>
          </cell>
          <cell r="I639" t="str">
            <v/>
          </cell>
          <cell r="J639">
            <v>25</v>
          </cell>
          <cell r="K639">
            <v>5</v>
          </cell>
          <cell r="L639">
            <v>25</v>
          </cell>
          <cell r="M639" t="str">
            <v/>
          </cell>
          <cell r="N639">
            <v>0</v>
          </cell>
        </row>
        <row r="640">
          <cell r="A640">
            <v>20086</v>
          </cell>
          <cell r="B640" t="str">
            <v>02/02/2021</v>
          </cell>
          <cell r="C640" t="str">
            <v>C1700</v>
          </cell>
          <cell r="D640" t="str">
            <v>Control Box</v>
          </cell>
          <cell r="E640" t="str">
            <v>Key Integrated Services Ltd</v>
          </cell>
          <cell r="F640" t="str">
            <v>Subcontractor</v>
          </cell>
          <cell r="G640" t="str">
            <v/>
          </cell>
          <cell r="H640" t="str">
            <v>Part</v>
          </cell>
          <cell r="I640" t="str">
            <v/>
          </cell>
          <cell r="J640">
            <v>1745</v>
          </cell>
          <cell r="K640">
            <v>0</v>
          </cell>
          <cell r="L640">
            <v>890</v>
          </cell>
          <cell r="M640" t="str">
            <v/>
          </cell>
          <cell r="N640">
            <v>855</v>
          </cell>
        </row>
        <row r="641">
          <cell r="A641">
            <v>20077</v>
          </cell>
          <cell r="B641" t="str">
            <v>01/02/2021</v>
          </cell>
          <cell r="C641" t="str">
            <v>C1648</v>
          </cell>
          <cell r="D641" t="str">
            <v>As per quotation QT01469</v>
          </cell>
          <cell r="E641" t="str">
            <v>Modern Heating Services Limited</v>
          </cell>
          <cell r="F641" t="str">
            <v>Subcontractor</v>
          </cell>
          <cell r="G641" t="str">
            <v>08/02/2021</v>
          </cell>
          <cell r="H641" t="str">
            <v>Complete</v>
          </cell>
          <cell r="I641" t="str">
            <v/>
          </cell>
          <cell r="J641">
            <v>0</v>
          </cell>
          <cell r="K641">
            <v>0</v>
          </cell>
          <cell r="L641">
            <v>0</v>
          </cell>
          <cell r="M641" t="str">
            <v/>
          </cell>
          <cell r="N641">
            <v>0</v>
          </cell>
        </row>
        <row r="642">
          <cell r="A642">
            <v>20067</v>
          </cell>
          <cell r="B642" t="str">
            <v>29/01/2021</v>
          </cell>
          <cell r="C642" t="str">
            <v>MC2120</v>
          </cell>
          <cell r="D642" t="str">
            <v xml:space="preserve">Check Monitoring System in Commercial Section </v>
          </cell>
          <cell r="E642" t="str">
            <v>Marlowe Fire &amp; Security Limited</v>
          </cell>
          <cell r="F642" t="str">
            <v>Subcontractor</v>
          </cell>
          <cell r="G642" t="str">
            <v/>
          </cell>
          <cell r="H642" t="str">
            <v/>
          </cell>
          <cell r="I642" t="str">
            <v/>
          </cell>
          <cell r="J642">
            <v>85</v>
          </cell>
          <cell r="K642">
            <v>17</v>
          </cell>
          <cell r="L642">
            <v>0</v>
          </cell>
          <cell r="M642" t="str">
            <v/>
          </cell>
          <cell r="N642">
            <v>85</v>
          </cell>
        </row>
        <row r="643">
          <cell r="A643">
            <v>20057</v>
          </cell>
          <cell r="B643" t="str">
            <v>29/01/2021</v>
          </cell>
          <cell r="C643" t="str">
            <v>MC2088</v>
          </cell>
          <cell r="D643" t="str">
            <v xml:space="preserve">call out </v>
          </cell>
          <cell r="E643" t="str">
            <v>Barrie Beard Ltd</v>
          </cell>
          <cell r="F643" t="str">
            <v>Subcontractor</v>
          </cell>
          <cell r="G643" t="str">
            <v/>
          </cell>
          <cell r="H643" t="str">
            <v/>
          </cell>
          <cell r="I643" t="str">
            <v/>
          </cell>
          <cell r="J643">
            <v>525.6</v>
          </cell>
          <cell r="K643">
            <v>105.12</v>
          </cell>
          <cell r="L643">
            <v>0</v>
          </cell>
          <cell r="M643" t="str">
            <v/>
          </cell>
          <cell r="N643">
            <v>525.6</v>
          </cell>
        </row>
        <row r="644">
          <cell r="A644">
            <v>20055</v>
          </cell>
          <cell r="B644" t="str">
            <v>28/01/2021</v>
          </cell>
          <cell r="C644" t="str">
            <v>C1660</v>
          </cell>
          <cell r="D644" t="str">
            <v>stainless steel plates x 3 number</v>
          </cell>
          <cell r="E644" t="str">
            <v>Defabs Engineering Ltd</v>
          </cell>
          <cell r="F644" t="str">
            <v>Subcontractor</v>
          </cell>
          <cell r="G644" t="str">
            <v>01/02/2021</v>
          </cell>
          <cell r="H644" t="str">
            <v>Complete</v>
          </cell>
          <cell r="I644" t="str">
            <v/>
          </cell>
          <cell r="J644">
            <v>0</v>
          </cell>
          <cell r="K644">
            <v>0</v>
          </cell>
          <cell r="L644">
            <v>0</v>
          </cell>
          <cell r="M644" t="str">
            <v/>
          </cell>
          <cell r="N644">
            <v>0</v>
          </cell>
        </row>
        <row r="645">
          <cell r="A645">
            <v>20052</v>
          </cell>
          <cell r="B645" t="str">
            <v>28/01/2021</v>
          </cell>
          <cell r="C645" t="str">
            <v>MC2116</v>
          </cell>
          <cell r="D645" t="str">
            <v>Carry out works your quote ref: AS700182q</v>
          </cell>
          <cell r="E645" t="str">
            <v>Impact Control Systems Ltd</v>
          </cell>
          <cell r="F645" t="str">
            <v>Subcontractor</v>
          </cell>
          <cell r="G645" t="str">
            <v/>
          </cell>
          <cell r="H645" t="str">
            <v>Part</v>
          </cell>
          <cell r="I645" t="str">
            <v/>
          </cell>
          <cell r="J645">
            <v>5849</v>
          </cell>
          <cell r="K645">
            <v>1169.8</v>
          </cell>
          <cell r="L645">
            <v>5142.68</v>
          </cell>
          <cell r="M645" t="str">
            <v/>
          </cell>
          <cell r="N645">
            <v>706.32</v>
          </cell>
        </row>
        <row r="646">
          <cell r="A646">
            <v>20048</v>
          </cell>
          <cell r="B646" t="str">
            <v>27/01/2021</v>
          </cell>
          <cell r="C646" t="str">
            <v>MC2115</v>
          </cell>
          <cell r="D646" t="str">
            <v xml:space="preserve">Investigate left hand carpark gate not closing properly </v>
          </cell>
          <cell r="E646" t="str">
            <v>Security and Fire Experts Ltd</v>
          </cell>
          <cell r="F646" t="str">
            <v>Subcontractor</v>
          </cell>
          <cell r="G646" t="str">
            <v>11/02/2021</v>
          </cell>
          <cell r="H646" t="str">
            <v/>
          </cell>
          <cell r="I646" t="str">
            <v/>
          </cell>
          <cell r="J646">
            <v>95</v>
          </cell>
          <cell r="K646">
            <v>19</v>
          </cell>
          <cell r="L646">
            <v>95</v>
          </cell>
          <cell r="M646" t="str">
            <v/>
          </cell>
          <cell r="N646">
            <v>0</v>
          </cell>
        </row>
        <row r="647">
          <cell r="A647">
            <v>20041</v>
          </cell>
          <cell r="B647" t="str">
            <v>27/01/2021</v>
          </cell>
          <cell r="C647" t="str">
            <v>MC2115</v>
          </cell>
          <cell r="D647" t="str">
            <v>3 Year Trend Control Maintenance Quote Ref 14896</v>
          </cell>
          <cell r="E647" t="str">
            <v>Automated Building &amp; Energy Controls Ltd</v>
          </cell>
          <cell r="F647" t="str">
            <v>Subcontractor</v>
          </cell>
          <cell r="G647" t="str">
            <v/>
          </cell>
          <cell r="H647" t="str">
            <v/>
          </cell>
          <cell r="I647" t="str">
            <v/>
          </cell>
          <cell r="J647">
            <v>1260</v>
          </cell>
          <cell r="K647">
            <v>252</v>
          </cell>
          <cell r="L647">
            <v>420</v>
          </cell>
          <cell r="M647" t="str">
            <v/>
          </cell>
          <cell r="N647">
            <v>840</v>
          </cell>
        </row>
        <row r="648">
          <cell r="A648">
            <v>20040</v>
          </cell>
          <cell r="B648" t="str">
            <v>27/01/2021</v>
          </cell>
          <cell r="C648" t="str">
            <v>MC2119</v>
          </cell>
          <cell r="D648" t="str">
            <v xml:space="preserve">Upgrade Fire Alarm Panel </v>
          </cell>
          <cell r="E648" t="str">
            <v>Marlowe Fire &amp; Security Limited</v>
          </cell>
          <cell r="F648" t="str">
            <v>Subcontractor</v>
          </cell>
          <cell r="G648" t="str">
            <v/>
          </cell>
          <cell r="H648" t="str">
            <v>Part</v>
          </cell>
          <cell r="I648" t="str">
            <v/>
          </cell>
          <cell r="J648">
            <v>568.16999999999996</v>
          </cell>
          <cell r="K648">
            <v>113.63</v>
          </cell>
          <cell r="L648">
            <v>568.16999999999996</v>
          </cell>
          <cell r="M648" t="str">
            <v/>
          </cell>
          <cell r="N648">
            <v>0</v>
          </cell>
        </row>
        <row r="649">
          <cell r="A649">
            <v>20039</v>
          </cell>
          <cell r="B649" t="str">
            <v>27/01/2021</v>
          </cell>
          <cell r="C649" t="str">
            <v>MC2119</v>
          </cell>
          <cell r="D649" t="str">
            <v>Upgrade Fire Alarm Panel your ref 344623</v>
          </cell>
          <cell r="E649" t="str">
            <v>Marlowe Fire &amp; Security Limited</v>
          </cell>
          <cell r="F649" t="str">
            <v>Subcontractor</v>
          </cell>
          <cell r="G649" t="str">
            <v/>
          </cell>
          <cell r="H649" t="str">
            <v/>
          </cell>
          <cell r="I649" t="str">
            <v/>
          </cell>
          <cell r="J649">
            <v>596.71</v>
          </cell>
          <cell r="K649">
            <v>119.34</v>
          </cell>
          <cell r="L649">
            <v>596.71</v>
          </cell>
          <cell r="M649" t="str">
            <v/>
          </cell>
          <cell r="N649">
            <v>0</v>
          </cell>
        </row>
        <row r="650">
          <cell r="A650">
            <v>20038</v>
          </cell>
          <cell r="B650" t="str">
            <v>27/01/2021</v>
          </cell>
          <cell r="C650" t="str">
            <v>MC2119</v>
          </cell>
          <cell r="D650" t="str">
            <v>Upgrade Fire Alarm Panel as per quote 344259</v>
          </cell>
          <cell r="E650" t="str">
            <v>Marlowe Fire &amp; Security Limited</v>
          </cell>
          <cell r="F650" t="str">
            <v>Subcontractor</v>
          </cell>
          <cell r="G650" t="str">
            <v/>
          </cell>
          <cell r="H650" t="str">
            <v>Part</v>
          </cell>
          <cell r="I650" t="str">
            <v/>
          </cell>
          <cell r="J650">
            <v>446.82</v>
          </cell>
          <cell r="K650">
            <v>89.36</v>
          </cell>
          <cell r="L650">
            <v>446.82</v>
          </cell>
          <cell r="M650" t="str">
            <v/>
          </cell>
          <cell r="N650">
            <v>0</v>
          </cell>
        </row>
        <row r="651">
          <cell r="A651">
            <v>20027</v>
          </cell>
          <cell r="B651" t="str">
            <v>26/01/2021</v>
          </cell>
          <cell r="C651" t="str">
            <v>MC2098</v>
          </cell>
          <cell r="D651" t="str">
            <v>Ref RS06260 pumps</v>
          </cell>
          <cell r="E651" t="str">
            <v>City Pumps Ltd</v>
          </cell>
          <cell r="F651" t="str">
            <v>Subcontractor</v>
          </cell>
          <cell r="G651" t="str">
            <v/>
          </cell>
          <cell r="H651" t="str">
            <v/>
          </cell>
          <cell r="I651" t="str">
            <v/>
          </cell>
          <cell r="J651">
            <v>2102</v>
          </cell>
          <cell r="K651">
            <v>420.4</v>
          </cell>
          <cell r="L651">
            <v>2102</v>
          </cell>
          <cell r="M651" t="str">
            <v/>
          </cell>
          <cell r="N651">
            <v>0</v>
          </cell>
        </row>
        <row r="652">
          <cell r="A652">
            <v>20022</v>
          </cell>
          <cell r="B652" t="str">
            <v>25/01/2021</v>
          </cell>
          <cell r="C652" t="str">
            <v>MC2120</v>
          </cell>
          <cell r="D652" t="str">
            <v xml:space="preserve">faulty fire alarm panel </v>
          </cell>
          <cell r="E652" t="str">
            <v>Marlowe Fire &amp; Security Limited</v>
          </cell>
          <cell r="F652" t="str">
            <v>Subcontractor</v>
          </cell>
          <cell r="G652" t="str">
            <v>25/01/2021</v>
          </cell>
          <cell r="H652" t="str">
            <v>Part</v>
          </cell>
          <cell r="I652" t="str">
            <v/>
          </cell>
          <cell r="J652">
            <v>85</v>
          </cell>
          <cell r="K652">
            <v>17</v>
          </cell>
          <cell r="L652">
            <v>85</v>
          </cell>
          <cell r="M652" t="str">
            <v/>
          </cell>
          <cell r="N652">
            <v>0</v>
          </cell>
        </row>
        <row r="653">
          <cell r="A653">
            <v>20011</v>
          </cell>
          <cell r="B653" t="str">
            <v>22/01/2021</v>
          </cell>
          <cell r="C653" t="str">
            <v>MC2116</v>
          </cell>
          <cell r="D653" t="str">
            <v>Air Lock Door not Closing</v>
          </cell>
          <cell r="E653" t="str">
            <v>Dortek Limited</v>
          </cell>
          <cell r="F653" t="str">
            <v>Subcontractor</v>
          </cell>
          <cell r="G653" t="str">
            <v/>
          </cell>
          <cell r="H653" t="str">
            <v>Part</v>
          </cell>
          <cell r="I653" t="str">
            <v/>
          </cell>
          <cell r="J653">
            <v>425</v>
          </cell>
          <cell r="K653">
            <v>85</v>
          </cell>
          <cell r="L653">
            <v>425</v>
          </cell>
          <cell r="M653" t="str">
            <v/>
          </cell>
          <cell r="N653">
            <v>0</v>
          </cell>
        </row>
        <row r="654">
          <cell r="A654">
            <v>20006</v>
          </cell>
          <cell r="B654" t="str">
            <v>22/01/2021</v>
          </cell>
          <cell r="C654" t="str">
            <v>C1730</v>
          </cell>
          <cell r="D654" t="str">
            <v>Site survey &amp; report</v>
          </cell>
          <cell r="E654" t="str">
            <v>PAGeoContracting Limited</v>
          </cell>
          <cell r="F654" t="str">
            <v>Subcontractor</v>
          </cell>
          <cell r="G654" t="str">
            <v>27/01/2021</v>
          </cell>
          <cell r="H654" t="str">
            <v>Part</v>
          </cell>
          <cell r="I654" t="str">
            <v/>
          </cell>
          <cell r="J654">
            <v>3116</v>
          </cell>
          <cell r="K654">
            <v>623.20000000000005</v>
          </cell>
          <cell r="L654">
            <v>3046</v>
          </cell>
          <cell r="M654" t="str">
            <v/>
          </cell>
          <cell r="N654">
            <v>70</v>
          </cell>
        </row>
        <row r="655">
          <cell r="A655">
            <v>20002</v>
          </cell>
          <cell r="B655" t="str">
            <v>21/01/2021</v>
          </cell>
          <cell r="C655" t="str">
            <v>MC2115</v>
          </cell>
          <cell r="D655" t="str">
            <v>faulty light x2 dishwasher tripping</v>
          </cell>
          <cell r="E655" t="str">
            <v>Viabl Ltd T/A Able</v>
          </cell>
          <cell r="F655" t="str">
            <v>Subcontractor</v>
          </cell>
          <cell r="G655" t="str">
            <v/>
          </cell>
          <cell r="H655" t="str">
            <v>Part</v>
          </cell>
          <cell r="I655" t="str">
            <v/>
          </cell>
          <cell r="J655">
            <v>156</v>
          </cell>
          <cell r="K655">
            <v>31.2</v>
          </cell>
          <cell r="L655">
            <v>156</v>
          </cell>
          <cell r="M655" t="str">
            <v/>
          </cell>
          <cell r="N655">
            <v>0</v>
          </cell>
        </row>
        <row r="656">
          <cell r="A656">
            <v>19997</v>
          </cell>
          <cell r="B656" t="str">
            <v>21/01/2021</v>
          </cell>
          <cell r="C656" t="str">
            <v>MC2115</v>
          </cell>
          <cell r="D656" t="str">
            <v xml:space="preserve">Carry out Annual EML Test </v>
          </cell>
          <cell r="E656" t="str">
            <v>Lantei Ltd</v>
          </cell>
          <cell r="F656" t="str">
            <v>Subcontractor</v>
          </cell>
          <cell r="G656" t="str">
            <v>29/01/2021</v>
          </cell>
          <cell r="H656" t="str">
            <v/>
          </cell>
          <cell r="I656" t="str">
            <v/>
          </cell>
          <cell r="J656">
            <v>280</v>
          </cell>
          <cell r="K656">
            <v>56</v>
          </cell>
          <cell r="L656">
            <v>280</v>
          </cell>
          <cell r="M656" t="str">
            <v/>
          </cell>
          <cell r="N656">
            <v>0</v>
          </cell>
        </row>
        <row r="657">
          <cell r="A657">
            <v>19996</v>
          </cell>
          <cell r="B657" t="str">
            <v>20/01/2021</v>
          </cell>
          <cell r="C657" t="str">
            <v>C1725</v>
          </cell>
          <cell r="D657" t="str">
            <v>Power Supplies to Fan convectors. Costs to be Agreed</v>
          </cell>
          <cell r="E657" t="str">
            <v>Key Integrated Services North West Ltd</v>
          </cell>
          <cell r="F657" t="str">
            <v>Subcontractor</v>
          </cell>
          <cell r="G657" t="str">
            <v/>
          </cell>
          <cell r="H657" t="str">
            <v>Complete</v>
          </cell>
          <cell r="I657" t="str">
            <v/>
          </cell>
          <cell r="J657">
            <v>15417.12</v>
          </cell>
          <cell r="K657">
            <v>3083.42</v>
          </cell>
          <cell r="L657">
            <v>15417.12</v>
          </cell>
          <cell r="M657" t="str">
            <v/>
          </cell>
          <cell r="N657">
            <v>0</v>
          </cell>
        </row>
        <row r="658">
          <cell r="A658">
            <v>19991</v>
          </cell>
          <cell r="B658" t="str">
            <v>20/01/2021</v>
          </cell>
          <cell r="C658" t="str">
            <v>MC2120</v>
          </cell>
          <cell r="D658" t="str">
            <v xml:space="preserve">Fire Alarm constantly Buzzing </v>
          </cell>
          <cell r="E658" t="str">
            <v>Marlowe Fire &amp; Security Limited</v>
          </cell>
          <cell r="F658" t="str">
            <v>Subcontractor</v>
          </cell>
          <cell r="G658" t="str">
            <v/>
          </cell>
          <cell r="H658" t="str">
            <v>Part</v>
          </cell>
          <cell r="I658" t="str">
            <v/>
          </cell>
          <cell r="J658">
            <v>85</v>
          </cell>
          <cell r="K658">
            <v>17</v>
          </cell>
          <cell r="L658">
            <v>85</v>
          </cell>
          <cell r="M658" t="str">
            <v/>
          </cell>
          <cell r="N658">
            <v>0</v>
          </cell>
        </row>
        <row r="659">
          <cell r="A659">
            <v>19988</v>
          </cell>
          <cell r="B659" t="str">
            <v>20/01/2021</v>
          </cell>
          <cell r="C659" t="str">
            <v>MC2118</v>
          </cell>
          <cell r="D659" t="str">
            <v>Call out 2x leaks at the apartment</v>
          </cell>
          <cell r="E659" t="str">
            <v>P More PHC Ltd</v>
          </cell>
          <cell r="F659" t="str">
            <v>Subcontractor</v>
          </cell>
          <cell r="G659" t="str">
            <v/>
          </cell>
          <cell r="H659" t="str">
            <v>Part</v>
          </cell>
          <cell r="I659" t="str">
            <v/>
          </cell>
          <cell r="J659">
            <v>150</v>
          </cell>
          <cell r="K659">
            <v>0</v>
          </cell>
          <cell r="L659">
            <v>150</v>
          </cell>
          <cell r="M659" t="str">
            <v/>
          </cell>
          <cell r="N659">
            <v>0</v>
          </cell>
        </row>
        <row r="660">
          <cell r="A660">
            <v>19975</v>
          </cell>
          <cell r="B660" t="str">
            <v>18/01/2021</v>
          </cell>
          <cell r="C660" t="str">
            <v>MC0001</v>
          </cell>
          <cell r="D660" t="str">
            <v xml:space="preserve">investigate lighting issue half of office not working </v>
          </cell>
          <cell r="E660" t="str">
            <v>Key Integrated Services North West Ltd</v>
          </cell>
          <cell r="F660" t="str">
            <v>Subcontractor</v>
          </cell>
          <cell r="G660" t="str">
            <v/>
          </cell>
          <cell r="H660" t="str">
            <v/>
          </cell>
          <cell r="I660" t="str">
            <v/>
          </cell>
          <cell r="J660">
            <v>160</v>
          </cell>
          <cell r="K660">
            <v>32</v>
          </cell>
          <cell r="L660">
            <v>160</v>
          </cell>
          <cell r="M660" t="str">
            <v/>
          </cell>
          <cell r="N660">
            <v>0</v>
          </cell>
        </row>
        <row r="661">
          <cell r="A661">
            <v>19971</v>
          </cell>
          <cell r="B661" t="str">
            <v>18/01/2021</v>
          </cell>
          <cell r="C661" t="str">
            <v>MC2115</v>
          </cell>
          <cell r="D661" t="str">
            <v>AC is leaking in Comms room</v>
          </cell>
          <cell r="E661" t="str">
            <v>Derek Austin Heating Limited</v>
          </cell>
          <cell r="F661" t="str">
            <v>Subcontractor</v>
          </cell>
          <cell r="G661" t="str">
            <v/>
          </cell>
          <cell r="H661" t="str">
            <v>Part</v>
          </cell>
          <cell r="I661" t="str">
            <v/>
          </cell>
          <cell r="J661">
            <v>0.01</v>
          </cell>
          <cell r="K661">
            <v>0</v>
          </cell>
          <cell r="L661">
            <v>0</v>
          </cell>
          <cell r="M661" t="str">
            <v/>
          </cell>
          <cell r="N661">
            <v>0.01</v>
          </cell>
        </row>
        <row r="662">
          <cell r="A662">
            <v>19964</v>
          </cell>
          <cell r="B662" t="str">
            <v>15/01/2021</v>
          </cell>
          <cell r="C662" t="str">
            <v>MC2114</v>
          </cell>
          <cell r="D662" t="str">
            <v xml:space="preserve">investigate bank of lights keep tripping </v>
          </cell>
          <cell r="E662" t="str">
            <v>Barrie Beard Ltd</v>
          </cell>
          <cell r="F662" t="str">
            <v>Subcontractor</v>
          </cell>
          <cell r="G662" t="str">
            <v>21/01/2021</v>
          </cell>
          <cell r="H662" t="str">
            <v>Complete</v>
          </cell>
          <cell r="I662" t="str">
            <v/>
          </cell>
          <cell r="J662">
            <v>0</v>
          </cell>
          <cell r="K662">
            <v>0</v>
          </cell>
          <cell r="L662">
            <v>0</v>
          </cell>
          <cell r="M662" t="str">
            <v/>
          </cell>
          <cell r="N662">
            <v>0</v>
          </cell>
        </row>
        <row r="663">
          <cell r="A663">
            <v>19963</v>
          </cell>
          <cell r="B663" t="str">
            <v>15/01/2021</v>
          </cell>
          <cell r="C663" t="str">
            <v>MC0001</v>
          </cell>
          <cell r="D663" t="str">
            <v>Unblock 2no Toilets plus toilet not flushing in reception</v>
          </cell>
          <cell r="E663" t="str">
            <v>Viabl Ltd T/A Able</v>
          </cell>
          <cell r="F663" t="str">
            <v>Subcontractor</v>
          </cell>
          <cell r="G663" t="str">
            <v/>
          </cell>
          <cell r="H663" t="str">
            <v>Part</v>
          </cell>
          <cell r="I663" t="str">
            <v/>
          </cell>
          <cell r="J663">
            <v>125</v>
          </cell>
          <cell r="K663">
            <v>25</v>
          </cell>
          <cell r="L663">
            <v>125</v>
          </cell>
          <cell r="M663" t="str">
            <v/>
          </cell>
          <cell r="N663">
            <v>0</v>
          </cell>
        </row>
        <row r="664">
          <cell r="A664">
            <v>19945</v>
          </cell>
          <cell r="B664" t="str">
            <v>13/01/2021</v>
          </cell>
          <cell r="C664" t="str">
            <v>MC2113</v>
          </cell>
          <cell r="D664" t="str">
            <v xml:space="preserve">Fire Damper Drop Test </v>
          </cell>
          <cell r="E664" t="str">
            <v>Cougar Mechanical Solutions Limited</v>
          </cell>
          <cell r="F664" t="str">
            <v>Subcontractor</v>
          </cell>
          <cell r="G664" t="str">
            <v/>
          </cell>
          <cell r="H664" t="str">
            <v>Part</v>
          </cell>
          <cell r="I664" t="str">
            <v/>
          </cell>
          <cell r="J664">
            <v>300</v>
          </cell>
          <cell r="K664">
            <v>60</v>
          </cell>
          <cell r="L664">
            <v>300</v>
          </cell>
          <cell r="M664" t="str">
            <v/>
          </cell>
          <cell r="N664">
            <v>0</v>
          </cell>
        </row>
        <row r="665">
          <cell r="A665">
            <v>19939</v>
          </cell>
          <cell r="B665" t="str">
            <v>13/01/2021</v>
          </cell>
          <cell r="C665" t="str">
            <v>MC2115</v>
          </cell>
          <cell r="D665" t="str">
            <v>Atend site to remove &amp; dispose of approx 8no Pallets</v>
          </cell>
          <cell r="E665" t="str">
            <v>Derek Austin Heating Limited</v>
          </cell>
          <cell r="F665" t="str">
            <v>Subcontractor</v>
          </cell>
          <cell r="G665" t="str">
            <v/>
          </cell>
          <cell r="H665" t="str">
            <v>Part</v>
          </cell>
          <cell r="I665" t="str">
            <v/>
          </cell>
          <cell r="J665">
            <v>250</v>
          </cell>
          <cell r="K665">
            <v>50</v>
          </cell>
          <cell r="L665">
            <v>250</v>
          </cell>
          <cell r="M665" t="str">
            <v/>
          </cell>
          <cell r="N665">
            <v>0</v>
          </cell>
        </row>
        <row r="666">
          <cell r="A666">
            <v>19959</v>
          </cell>
          <cell r="B666" t="str">
            <v>08/01/2021</v>
          </cell>
          <cell r="C666" t="str">
            <v>MC0001</v>
          </cell>
          <cell r="D666" t="str">
            <v>Call out - assist lee Arlett</v>
          </cell>
          <cell r="E666" t="str">
            <v>P More PHC Ltd</v>
          </cell>
          <cell r="F666" t="str">
            <v>Subcontractor</v>
          </cell>
          <cell r="G666" t="str">
            <v/>
          </cell>
          <cell r="H666" t="str">
            <v>Part</v>
          </cell>
          <cell r="I666" t="str">
            <v/>
          </cell>
          <cell r="J666">
            <v>150</v>
          </cell>
          <cell r="K666">
            <v>30</v>
          </cell>
          <cell r="L666">
            <v>0</v>
          </cell>
          <cell r="M666" t="str">
            <v/>
          </cell>
          <cell r="N666">
            <v>150</v>
          </cell>
        </row>
        <row r="667">
          <cell r="A667">
            <v>19925</v>
          </cell>
          <cell r="B667" t="str">
            <v>08/01/2021</v>
          </cell>
          <cell r="C667" t="str">
            <v>MC0001</v>
          </cell>
          <cell r="D667" t="str">
            <v>Investigate faulty gripper near ladies toilet</v>
          </cell>
          <cell r="E667" t="str">
            <v>Commercial Temperature Solutions</v>
          </cell>
          <cell r="F667" t="str">
            <v>Subcontractor</v>
          </cell>
          <cell r="G667" t="str">
            <v>08/01/2021</v>
          </cell>
          <cell r="H667" t="str">
            <v/>
          </cell>
          <cell r="I667" t="str">
            <v/>
          </cell>
          <cell r="J667">
            <v>133</v>
          </cell>
          <cell r="K667">
            <v>26.6</v>
          </cell>
          <cell r="L667">
            <v>133</v>
          </cell>
          <cell r="M667" t="str">
            <v/>
          </cell>
          <cell r="N667">
            <v>0</v>
          </cell>
        </row>
        <row r="668">
          <cell r="A668">
            <v>19924</v>
          </cell>
          <cell r="B668" t="str">
            <v>08/01/2021</v>
          </cell>
          <cell r="C668" t="str">
            <v>C1701</v>
          </cell>
          <cell r="D668" t="str">
            <v>Office renovation Bollin Court</v>
          </cell>
          <cell r="E668" t="str">
            <v>Key Integrated Services North West Ltd</v>
          </cell>
          <cell r="F668" t="str">
            <v>Subcontractor</v>
          </cell>
          <cell r="G668" t="str">
            <v>08/01/2021</v>
          </cell>
          <cell r="H668" t="str">
            <v/>
          </cell>
          <cell r="I668" t="str">
            <v/>
          </cell>
          <cell r="J668">
            <v>15769.87</v>
          </cell>
          <cell r="K668">
            <v>3153.97</v>
          </cell>
          <cell r="L668">
            <v>15769.87</v>
          </cell>
          <cell r="M668" t="str">
            <v/>
          </cell>
          <cell r="N668">
            <v>0</v>
          </cell>
        </row>
        <row r="669">
          <cell r="A669">
            <v>19922</v>
          </cell>
          <cell r="B669" t="str">
            <v>08/01/2021</v>
          </cell>
          <cell r="C669" t="str">
            <v>MC0001</v>
          </cell>
          <cell r="D669" t="str">
            <v>Fire Alarm Panel Faulty 08.01.2021</v>
          </cell>
          <cell r="E669" t="str">
            <v>Hoyles Fire + Safety Ltd</v>
          </cell>
          <cell r="F669" t="str">
            <v>Subcontractor</v>
          </cell>
          <cell r="G669" t="str">
            <v/>
          </cell>
          <cell r="H669" t="str">
            <v/>
          </cell>
          <cell r="I669" t="str">
            <v/>
          </cell>
          <cell r="J669">
            <v>85</v>
          </cell>
          <cell r="K669">
            <v>17</v>
          </cell>
          <cell r="L669">
            <v>0</v>
          </cell>
          <cell r="M669" t="str">
            <v/>
          </cell>
          <cell r="N669">
            <v>85</v>
          </cell>
        </row>
        <row r="670">
          <cell r="A670">
            <v>19917</v>
          </cell>
          <cell r="B670" t="str">
            <v>08/01/2021</v>
          </cell>
          <cell r="C670" t="str">
            <v>C1648</v>
          </cell>
          <cell r="D670" t="str">
            <v xml:space="preserve">As per estimate No: 4108 and conversation for £100 less </v>
          </cell>
          <cell r="E670" t="str">
            <v>Flue-Stax Ltd</v>
          </cell>
          <cell r="F670" t="str">
            <v>Subcontractor</v>
          </cell>
          <cell r="G670" t="str">
            <v>26/01/2021</v>
          </cell>
          <cell r="H670" t="str">
            <v/>
          </cell>
          <cell r="I670" t="str">
            <v/>
          </cell>
          <cell r="J670">
            <v>2800</v>
          </cell>
          <cell r="K670">
            <v>560</v>
          </cell>
          <cell r="L670">
            <v>2800</v>
          </cell>
          <cell r="M670" t="str">
            <v/>
          </cell>
          <cell r="N670">
            <v>0</v>
          </cell>
        </row>
        <row r="671">
          <cell r="A671">
            <v>19893</v>
          </cell>
          <cell r="B671" t="str">
            <v>06/01/2021</v>
          </cell>
          <cell r="C671" t="str">
            <v>C1727</v>
          </cell>
          <cell r="D671" t="str">
            <v>AS PER QUOTATION QT01447</v>
          </cell>
          <cell r="E671" t="str">
            <v>Modern Heating Services Limited</v>
          </cell>
          <cell r="F671" t="str">
            <v>Subcontractor</v>
          </cell>
          <cell r="G671" t="str">
            <v>22/01/2021</v>
          </cell>
          <cell r="H671" t="str">
            <v>Part</v>
          </cell>
          <cell r="I671" t="str">
            <v/>
          </cell>
          <cell r="J671">
            <v>1260</v>
          </cell>
          <cell r="K671">
            <v>252</v>
          </cell>
          <cell r="L671">
            <v>1260</v>
          </cell>
          <cell r="M671" t="str">
            <v/>
          </cell>
          <cell r="N671">
            <v>0</v>
          </cell>
        </row>
        <row r="672">
          <cell r="A672">
            <v>19886</v>
          </cell>
          <cell r="B672" t="str">
            <v>05/01/2021</v>
          </cell>
          <cell r="C672" t="str">
            <v>C1731</v>
          </cell>
          <cell r="D672" t="str">
            <v>MPHW Flow Monitoring</v>
          </cell>
          <cell r="E672" t="str">
            <v>New Era Commissioning Specialists Ltd</v>
          </cell>
          <cell r="F672" t="str">
            <v>Subcontractor</v>
          </cell>
          <cell r="G672" t="str">
            <v/>
          </cell>
          <cell r="H672" t="str">
            <v>Part</v>
          </cell>
          <cell r="I672" t="str">
            <v/>
          </cell>
          <cell r="J672">
            <v>1000</v>
          </cell>
          <cell r="K672">
            <v>200</v>
          </cell>
          <cell r="L672">
            <v>1000</v>
          </cell>
          <cell r="M672" t="str">
            <v/>
          </cell>
          <cell r="N672">
            <v>0</v>
          </cell>
        </row>
        <row r="673">
          <cell r="A673">
            <v>19878</v>
          </cell>
          <cell r="B673" t="str">
            <v>04/01/2021</v>
          </cell>
          <cell r="C673" t="str">
            <v>C1648</v>
          </cell>
          <cell r="D673" t="str">
            <v>As per email on the 04/01/21</v>
          </cell>
          <cell r="E673" t="str">
            <v>Thermal Insulation Covers Ltd</v>
          </cell>
          <cell r="F673" t="str">
            <v>Subcontractor</v>
          </cell>
          <cell r="G673" t="str">
            <v>07/01/2021</v>
          </cell>
          <cell r="H673" t="str">
            <v>Part</v>
          </cell>
          <cell r="I673" t="str">
            <v/>
          </cell>
          <cell r="J673">
            <v>15587.33</v>
          </cell>
          <cell r="K673">
            <v>3117.47</v>
          </cell>
          <cell r="L673">
            <v>15587.33</v>
          </cell>
          <cell r="M673" t="str">
            <v/>
          </cell>
          <cell r="N673">
            <v>0</v>
          </cell>
        </row>
        <row r="674">
          <cell r="A674">
            <v>19877</v>
          </cell>
          <cell r="B674" t="str">
            <v>04/01/2021</v>
          </cell>
          <cell r="C674" t="str">
            <v>C1648</v>
          </cell>
          <cell r="D674" t="str">
            <v>As per email 04/01/21</v>
          </cell>
          <cell r="E674" t="str">
            <v>Thermal Insulation Covers Ltd</v>
          </cell>
          <cell r="F674" t="str">
            <v>Subcontractor</v>
          </cell>
          <cell r="G674" t="str">
            <v>07/01/2021</v>
          </cell>
          <cell r="H674" t="str">
            <v>Complete</v>
          </cell>
          <cell r="I674" t="str">
            <v/>
          </cell>
          <cell r="J674">
            <v>0</v>
          </cell>
          <cell r="K674">
            <v>0</v>
          </cell>
          <cell r="L674">
            <v>0</v>
          </cell>
          <cell r="M674" t="str">
            <v/>
          </cell>
          <cell r="N674">
            <v>0</v>
          </cell>
        </row>
        <row r="675">
          <cell r="A675">
            <v>19876</v>
          </cell>
          <cell r="B675" t="str">
            <v>04/01/2021</v>
          </cell>
          <cell r="C675" t="str">
            <v>C1652</v>
          </cell>
          <cell r="D675" t="str">
            <v>Air Balancing of AHUs</v>
          </cell>
          <cell r="E675" t="str">
            <v>New Era Commissioning Specialists Ltd</v>
          </cell>
          <cell r="F675" t="str">
            <v>Subcontractor</v>
          </cell>
          <cell r="G675" t="str">
            <v>12/01/2021</v>
          </cell>
          <cell r="H675" t="str">
            <v>Part</v>
          </cell>
          <cell r="I675" t="str">
            <v/>
          </cell>
          <cell r="J675">
            <v>800</v>
          </cell>
          <cell r="K675">
            <v>160</v>
          </cell>
          <cell r="L675">
            <v>800</v>
          </cell>
          <cell r="M675" t="str">
            <v/>
          </cell>
          <cell r="N675">
            <v>0</v>
          </cell>
        </row>
        <row r="676">
          <cell r="A676">
            <v>19875</v>
          </cell>
          <cell r="B676" t="str">
            <v>04/01/2021</v>
          </cell>
          <cell r="C676" t="str">
            <v>C1660</v>
          </cell>
          <cell r="D676" t="str">
            <v xml:space="preserve">Chlorination of Water services at Greggs Ballihol </v>
          </cell>
          <cell r="E676" t="str">
            <v>MSB Hygiene Ltd</v>
          </cell>
          <cell r="F676" t="str">
            <v>Subcontractor</v>
          </cell>
          <cell r="G676" t="str">
            <v>06/01/2021</v>
          </cell>
          <cell r="H676" t="str">
            <v>Complete</v>
          </cell>
          <cell r="I676" t="str">
            <v/>
          </cell>
          <cell r="J676">
            <v>0</v>
          </cell>
          <cell r="K676">
            <v>0</v>
          </cell>
          <cell r="L676">
            <v>0</v>
          </cell>
          <cell r="M676" t="str">
            <v/>
          </cell>
          <cell r="N676">
            <v>0</v>
          </cell>
        </row>
        <row r="677">
          <cell r="A677">
            <v>19872</v>
          </cell>
          <cell r="B677" t="str">
            <v>23/12/2020</v>
          </cell>
          <cell r="C677" t="str">
            <v>C1728</v>
          </cell>
          <cell r="D677" t="str">
            <v>Pipework - Packaged Steam Boiler Plant</v>
          </cell>
          <cell r="E677" t="str">
            <v>Apex Mechanical Limited</v>
          </cell>
          <cell r="F677" t="str">
            <v>Subcontractor</v>
          </cell>
          <cell r="G677" t="str">
            <v>23/12/2020</v>
          </cell>
          <cell r="H677" t="str">
            <v>Part</v>
          </cell>
          <cell r="I677" t="str">
            <v>Posted</v>
          </cell>
          <cell r="J677">
            <v>95770</v>
          </cell>
          <cell r="K677">
            <v>38308</v>
          </cell>
          <cell r="L677">
            <v>115987</v>
          </cell>
          <cell r="M677" t="str">
            <v/>
          </cell>
          <cell r="N677">
            <v>-20217</v>
          </cell>
        </row>
        <row r="678">
          <cell r="A678">
            <v>19860</v>
          </cell>
          <cell r="B678" t="str">
            <v>21/12/2020</v>
          </cell>
          <cell r="C678" t="str">
            <v>SM001 CALLOUT</v>
          </cell>
          <cell r="D678" t="str">
            <v>masserator replacement</v>
          </cell>
          <cell r="E678" t="str">
            <v>Viabl Ltd T/A Able</v>
          </cell>
          <cell r="F678" t="str">
            <v>Subcontractor</v>
          </cell>
          <cell r="G678" t="str">
            <v/>
          </cell>
          <cell r="H678" t="str">
            <v/>
          </cell>
          <cell r="I678" t="str">
            <v/>
          </cell>
          <cell r="J678">
            <v>849</v>
          </cell>
          <cell r="K678">
            <v>169.8</v>
          </cell>
          <cell r="L678">
            <v>849</v>
          </cell>
          <cell r="M678" t="str">
            <v/>
          </cell>
          <cell r="N678">
            <v>0</v>
          </cell>
        </row>
        <row r="679">
          <cell r="A679">
            <v>19856</v>
          </cell>
          <cell r="B679" t="str">
            <v>21/12/2020</v>
          </cell>
          <cell r="C679" t="str">
            <v>CALLOUT</v>
          </cell>
          <cell r="D679" t="str">
            <v>Alarm fault</v>
          </cell>
          <cell r="E679" t="str">
            <v>Marlowe Fire &amp; Security Limited</v>
          </cell>
          <cell r="F679" t="str">
            <v>Subcontractor</v>
          </cell>
          <cell r="G679" t="str">
            <v/>
          </cell>
          <cell r="H679" t="str">
            <v>Complete</v>
          </cell>
          <cell r="I679" t="str">
            <v/>
          </cell>
          <cell r="J679">
            <v>0</v>
          </cell>
          <cell r="K679">
            <v>0</v>
          </cell>
          <cell r="L679">
            <v>0</v>
          </cell>
          <cell r="M679" t="str">
            <v/>
          </cell>
          <cell r="N679">
            <v>0</v>
          </cell>
        </row>
        <row r="680">
          <cell r="A680">
            <v>19835</v>
          </cell>
          <cell r="B680" t="str">
            <v>21/12/2020</v>
          </cell>
          <cell r="C680" t="str">
            <v>CALLOUT</v>
          </cell>
          <cell r="D680" t="str">
            <v xml:space="preserve">remove confidential paperwork from site </v>
          </cell>
          <cell r="E680" t="str">
            <v>Commercial Temperature Solutions</v>
          </cell>
          <cell r="F680" t="str">
            <v>Subcontractor</v>
          </cell>
          <cell r="G680" t="str">
            <v/>
          </cell>
          <cell r="H680" t="str">
            <v/>
          </cell>
          <cell r="I680" t="str">
            <v/>
          </cell>
          <cell r="J680">
            <v>584</v>
          </cell>
          <cell r="K680">
            <v>116.8</v>
          </cell>
          <cell r="L680">
            <v>584</v>
          </cell>
          <cell r="M680" t="str">
            <v/>
          </cell>
          <cell r="N680">
            <v>0</v>
          </cell>
        </row>
        <row r="681">
          <cell r="A681">
            <v>19853</v>
          </cell>
          <cell r="B681" t="str">
            <v>18/12/2020</v>
          </cell>
          <cell r="C681" t="str">
            <v>SM001 CALLOUT</v>
          </cell>
          <cell r="D681" t="str">
            <v>investigate faulty fused spur</v>
          </cell>
          <cell r="E681" t="str">
            <v>Viabl Ltd T/A Able</v>
          </cell>
          <cell r="F681" t="str">
            <v>Subcontractor</v>
          </cell>
          <cell r="G681" t="str">
            <v/>
          </cell>
          <cell r="H681" t="str">
            <v>Part</v>
          </cell>
          <cell r="I681" t="str">
            <v/>
          </cell>
          <cell r="J681">
            <v>172</v>
          </cell>
          <cell r="K681">
            <v>34.4</v>
          </cell>
          <cell r="L681">
            <v>172</v>
          </cell>
          <cell r="M681" t="str">
            <v/>
          </cell>
          <cell r="N681">
            <v>0</v>
          </cell>
        </row>
        <row r="682">
          <cell r="A682">
            <v>19806</v>
          </cell>
          <cell r="B682" t="str">
            <v>18/12/2020</v>
          </cell>
          <cell r="C682" t="str">
            <v>CALLOUT</v>
          </cell>
          <cell r="D682" t="str">
            <v>Carry out electrical repairs as per quote 10.12.2020</v>
          </cell>
          <cell r="E682" t="str">
            <v>Key Integrated Services North West Ltd</v>
          </cell>
          <cell r="F682" t="str">
            <v>Subcontractor</v>
          </cell>
          <cell r="G682" t="str">
            <v/>
          </cell>
          <cell r="H682" t="str">
            <v>Part</v>
          </cell>
          <cell r="I682" t="str">
            <v/>
          </cell>
          <cell r="J682">
            <v>300.12</v>
          </cell>
          <cell r="K682">
            <v>60.02</v>
          </cell>
          <cell r="L682">
            <v>300.12</v>
          </cell>
          <cell r="M682" t="str">
            <v/>
          </cell>
          <cell r="N682">
            <v>0</v>
          </cell>
        </row>
        <row r="683">
          <cell r="A683">
            <v>19864</v>
          </cell>
          <cell r="B683" t="str">
            <v>17/12/2020</v>
          </cell>
          <cell r="C683" t="str">
            <v>QUOTED</v>
          </cell>
          <cell r="D683" t="str">
            <v xml:space="preserve">Ross PO for Champion vets 2xmen </v>
          </cell>
          <cell r="E683" t="str">
            <v>Commercial Temperature Solutions</v>
          </cell>
          <cell r="F683" t="str">
            <v>Subcontractor</v>
          </cell>
          <cell r="G683" t="str">
            <v/>
          </cell>
          <cell r="H683" t="str">
            <v/>
          </cell>
          <cell r="I683" t="str">
            <v/>
          </cell>
          <cell r="J683">
            <v>781</v>
          </cell>
          <cell r="K683">
            <v>156.19999999999999</v>
          </cell>
          <cell r="L683">
            <v>781</v>
          </cell>
          <cell r="M683" t="str">
            <v/>
          </cell>
          <cell r="N683">
            <v>0</v>
          </cell>
        </row>
        <row r="684">
          <cell r="A684">
            <v>19842</v>
          </cell>
          <cell r="B684" t="str">
            <v>17/12/2020</v>
          </cell>
          <cell r="C684" t="str">
            <v>SM001 CALLOUT</v>
          </cell>
          <cell r="D684" t="str">
            <v xml:space="preserve">Attend site to investigate U Bend on Kitchen Sink leaking </v>
          </cell>
          <cell r="E684" t="str">
            <v>Viabl Ltd T/A Able</v>
          </cell>
          <cell r="F684" t="str">
            <v>Subcontractor</v>
          </cell>
          <cell r="G684" t="str">
            <v/>
          </cell>
          <cell r="H684" t="str">
            <v/>
          </cell>
          <cell r="I684" t="str">
            <v/>
          </cell>
          <cell r="J684">
            <v>156</v>
          </cell>
          <cell r="K684">
            <v>31.2</v>
          </cell>
          <cell r="L684">
            <v>156</v>
          </cell>
          <cell r="M684" t="str">
            <v/>
          </cell>
          <cell r="N684">
            <v>0</v>
          </cell>
        </row>
        <row r="685">
          <cell r="A685">
            <v>19837</v>
          </cell>
          <cell r="B685" t="str">
            <v>16/12/2020</v>
          </cell>
          <cell r="C685" t="str">
            <v>CALLOUT</v>
          </cell>
          <cell r="D685" t="str">
            <v xml:space="preserve">Fire Alarm Showing faults and constantly bleeping </v>
          </cell>
          <cell r="E685" t="str">
            <v>Marlowe Fire &amp; Security Limited</v>
          </cell>
          <cell r="F685" t="str">
            <v>Subcontractor</v>
          </cell>
          <cell r="G685" t="str">
            <v>16/12/2020</v>
          </cell>
          <cell r="H685" t="str">
            <v/>
          </cell>
          <cell r="I685" t="str">
            <v/>
          </cell>
          <cell r="J685">
            <v>85</v>
          </cell>
          <cell r="K685">
            <v>17</v>
          </cell>
          <cell r="L685">
            <v>85</v>
          </cell>
          <cell r="M685" t="str">
            <v/>
          </cell>
          <cell r="N685">
            <v>0</v>
          </cell>
        </row>
        <row r="686">
          <cell r="A686">
            <v>19821</v>
          </cell>
          <cell r="B686" t="str">
            <v>14/12/2020</v>
          </cell>
          <cell r="C686" t="str">
            <v>C1660</v>
          </cell>
          <cell r="D686" t="str">
            <v>Commisioing of Ventilation systems at Ballihol</v>
          </cell>
          <cell r="E686" t="str">
            <v>New Era Commissioning Specialists Ltd</v>
          </cell>
          <cell r="F686" t="str">
            <v>Subcontractor</v>
          </cell>
          <cell r="G686" t="str">
            <v>06/01/2021</v>
          </cell>
          <cell r="H686" t="str">
            <v/>
          </cell>
          <cell r="I686" t="str">
            <v/>
          </cell>
          <cell r="J686">
            <v>1250</v>
          </cell>
          <cell r="K686">
            <v>250</v>
          </cell>
          <cell r="L686">
            <v>1250</v>
          </cell>
          <cell r="M686" t="str">
            <v/>
          </cell>
          <cell r="N686">
            <v>0</v>
          </cell>
        </row>
        <row r="687">
          <cell r="A687">
            <v>19820</v>
          </cell>
          <cell r="B687" t="str">
            <v>14/12/2020</v>
          </cell>
          <cell r="C687" t="str">
            <v>C1660</v>
          </cell>
          <cell r="D687" t="str">
            <v>stainless steel plates</v>
          </cell>
          <cell r="E687" t="str">
            <v>Defabs Engineering Ltd</v>
          </cell>
          <cell r="F687" t="str">
            <v>Subcontractor</v>
          </cell>
          <cell r="G687" t="str">
            <v>16/12/2020</v>
          </cell>
          <cell r="H687" t="str">
            <v>Complete</v>
          </cell>
          <cell r="I687" t="str">
            <v/>
          </cell>
          <cell r="J687">
            <v>0</v>
          </cell>
          <cell r="K687">
            <v>0</v>
          </cell>
          <cell r="L687">
            <v>0</v>
          </cell>
          <cell r="M687" t="str">
            <v/>
          </cell>
          <cell r="N687">
            <v>0</v>
          </cell>
        </row>
        <row r="688">
          <cell r="A688">
            <v>19811</v>
          </cell>
          <cell r="B688" t="str">
            <v>11/12/2020</v>
          </cell>
          <cell r="C688" t="str">
            <v>C1713</v>
          </cell>
          <cell r="D688" t="str">
            <v>Relocation of AC condensing units</v>
          </cell>
          <cell r="E688" t="str">
            <v>Key Integrated Services Ltd</v>
          </cell>
          <cell r="F688" t="str">
            <v>Subcontractor</v>
          </cell>
          <cell r="G688" t="str">
            <v>14/12/2020</v>
          </cell>
          <cell r="H688" t="str">
            <v>Complete</v>
          </cell>
          <cell r="I688" t="str">
            <v/>
          </cell>
          <cell r="J688">
            <v>4596</v>
          </cell>
          <cell r="K688">
            <v>0</v>
          </cell>
          <cell r="L688">
            <v>4596</v>
          </cell>
          <cell r="M688" t="str">
            <v/>
          </cell>
          <cell r="N688">
            <v>0</v>
          </cell>
        </row>
        <row r="689">
          <cell r="A689">
            <v>19804</v>
          </cell>
          <cell r="B689" t="str">
            <v>11/12/2020</v>
          </cell>
          <cell r="C689" t="str">
            <v>C1725</v>
          </cell>
          <cell r="D689" t="str">
            <v>Builderswork Holes</v>
          </cell>
          <cell r="E689" t="str">
            <v>Concrete Drilling Services Limited</v>
          </cell>
          <cell r="F689" t="str">
            <v>Subcontractor</v>
          </cell>
          <cell r="G689" t="str">
            <v>22/12/2020</v>
          </cell>
          <cell r="H689" t="str">
            <v>Part</v>
          </cell>
          <cell r="I689" t="str">
            <v/>
          </cell>
          <cell r="J689">
            <v>2100</v>
          </cell>
          <cell r="K689">
            <v>420</v>
          </cell>
          <cell r="L689">
            <v>2100</v>
          </cell>
          <cell r="M689" t="str">
            <v/>
          </cell>
          <cell r="N689">
            <v>0</v>
          </cell>
        </row>
        <row r="690">
          <cell r="A690">
            <v>19797</v>
          </cell>
          <cell r="B690" t="str">
            <v>10/12/2020</v>
          </cell>
          <cell r="C690" t="str">
            <v>CALLOUT</v>
          </cell>
          <cell r="D690" t="str">
            <v>Fire Alarm not Sounding off on weekly Tests</v>
          </cell>
          <cell r="E690" t="str">
            <v>Marlowe Fire &amp; Security Limited</v>
          </cell>
          <cell r="F690" t="str">
            <v>Subcontractor</v>
          </cell>
          <cell r="G690" t="str">
            <v/>
          </cell>
          <cell r="H690" t="str">
            <v/>
          </cell>
          <cell r="I690" t="str">
            <v/>
          </cell>
          <cell r="J690">
            <v>85</v>
          </cell>
          <cell r="K690">
            <v>17</v>
          </cell>
          <cell r="L690">
            <v>85</v>
          </cell>
          <cell r="M690" t="str">
            <v/>
          </cell>
          <cell r="N690">
            <v>0</v>
          </cell>
        </row>
        <row r="691">
          <cell r="A691">
            <v>19781</v>
          </cell>
          <cell r="B691" t="str">
            <v>08/12/2020</v>
          </cell>
          <cell r="C691" t="str">
            <v>CALLOUT</v>
          </cell>
          <cell r="D691" t="str">
            <v xml:space="preserve">Replace faulty fittings following Annual EML </v>
          </cell>
          <cell r="E691" t="str">
            <v>Key Integrated Services North West Ltd</v>
          </cell>
          <cell r="F691" t="str">
            <v>Subcontractor</v>
          </cell>
          <cell r="G691" t="str">
            <v>18/12/2020</v>
          </cell>
          <cell r="H691" t="str">
            <v/>
          </cell>
          <cell r="I691" t="str">
            <v/>
          </cell>
          <cell r="J691">
            <v>590.07000000000005</v>
          </cell>
          <cell r="K691">
            <v>118.01</v>
          </cell>
          <cell r="L691">
            <v>590.07000000000005</v>
          </cell>
          <cell r="M691" t="str">
            <v/>
          </cell>
          <cell r="N691">
            <v>0</v>
          </cell>
        </row>
        <row r="692">
          <cell r="A692">
            <v>19779</v>
          </cell>
          <cell r="B692" t="str">
            <v>08/12/2020</v>
          </cell>
          <cell r="C692" t="str">
            <v>QUOTED</v>
          </cell>
          <cell r="D692" t="str">
            <v xml:space="preserve">Replace 2no Flood Lights - Supply Access </v>
          </cell>
          <cell r="E692" t="str">
            <v>Key Integrated Services North West Ltd</v>
          </cell>
          <cell r="F692" t="str">
            <v>Subcontractor</v>
          </cell>
          <cell r="G692" t="str">
            <v>16/12/2020</v>
          </cell>
          <cell r="H692" t="str">
            <v/>
          </cell>
          <cell r="I692" t="str">
            <v/>
          </cell>
          <cell r="J692">
            <v>1110.06</v>
          </cell>
          <cell r="K692">
            <v>222.01</v>
          </cell>
          <cell r="L692">
            <v>1110.06</v>
          </cell>
          <cell r="M692" t="str">
            <v/>
          </cell>
          <cell r="N692">
            <v>0</v>
          </cell>
        </row>
        <row r="693">
          <cell r="A693">
            <v>19775</v>
          </cell>
          <cell r="B693" t="str">
            <v>04/12/2020</v>
          </cell>
          <cell r="C693" t="str">
            <v>C1700</v>
          </cell>
          <cell r="D693" t="str">
            <v>Builderswork</v>
          </cell>
          <cell r="E693" t="str">
            <v>D R Reaney &amp; Sons Limited</v>
          </cell>
          <cell r="F693" t="str">
            <v>Subcontractor</v>
          </cell>
          <cell r="G693" t="str">
            <v>04/12/2020</v>
          </cell>
          <cell r="H693" t="str">
            <v>Part</v>
          </cell>
          <cell r="I693" t="str">
            <v/>
          </cell>
          <cell r="J693">
            <v>15004.2</v>
          </cell>
          <cell r="K693">
            <v>3000.84</v>
          </cell>
          <cell r="L693">
            <v>14815.84</v>
          </cell>
          <cell r="M693" t="str">
            <v/>
          </cell>
          <cell r="N693">
            <v>188.36</v>
          </cell>
        </row>
        <row r="694">
          <cell r="A694">
            <v>19774</v>
          </cell>
          <cell r="B694" t="str">
            <v>04/12/2020</v>
          </cell>
          <cell r="C694" t="str">
            <v>C1727</v>
          </cell>
          <cell r="D694" t="str">
            <v>Fabrication of Pipework</v>
          </cell>
          <cell r="E694" t="str">
            <v>Apex Mechanical Limited</v>
          </cell>
          <cell r="F694" t="str">
            <v>Subcontractor</v>
          </cell>
          <cell r="G694" t="str">
            <v/>
          </cell>
          <cell r="H694" t="str">
            <v/>
          </cell>
          <cell r="I694" t="str">
            <v/>
          </cell>
          <cell r="J694">
            <v>2160</v>
          </cell>
          <cell r="K694">
            <v>432</v>
          </cell>
          <cell r="L694">
            <v>2160</v>
          </cell>
          <cell r="M694" t="str">
            <v/>
          </cell>
          <cell r="N694">
            <v>0</v>
          </cell>
        </row>
        <row r="695">
          <cell r="A695">
            <v>19764</v>
          </cell>
          <cell r="B695" t="str">
            <v>03/12/2020</v>
          </cell>
          <cell r="C695" t="str">
            <v>C1712</v>
          </cell>
          <cell r="D695" t="str">
            <v>Alpro Kettering</v>
          </cell>
          <cell r="E695" t="str">
            <v>New Era Commissioning Specialists Ltd</v>
          </cell>
          <cell r="F695" t="str">
            <v>Subcontractor</v>
          </cell>
          <cell r="G695" t="str">
            <v>07/12/2020</v>
          </cell>
          <cell r="H695" t="str">
            <v>Part</v>
          </cell>
          <cell r="I695" t="str">
            <v/>
          </cell>
          <cell r="J695">
            <v>1250</v>
          </cell>
          <cell r="K695">
            <v>250</v>
          </cell>
          <cell r="L695">
            <v>1250</v>
          </cell>
          <cell r="M695" t="str">
            <v/>
          </cell>
          <cell r="N695">
            <v>0</v>
          </cell>
        </row>
        <row r="696">
          <cell r="A696">
            <v>19757</v>
          </cell>
          <cell r="B696" t="str">
            <v>01/12/2020</v>
          </cell>
          <cell r="C696" t="str">
            <v>C1713</v>
          </cell>
          <cell r="D696" t="str">
            <v>Sergio Frunzu - Welder</v>
          </cell>
          <cell r="E696" t="str">
            <v>After Glory Limited T/A Westgate Fabrications</v>
          </cell>
          <cell r="F696" t="str">
            <v>Subcontractor</v>
          </cell>
          <cell r="G696" t="str">
            <v/>
          </cell>
          <cell r="H696" t="str">
            <v>Complete</v>
          </cell>
          <cell r="I696" t="str">
            <v/>
          </cell>
          <cell r="J696">
            <v>15548</v>
          </cell>
          <cell r="K696">
            <v>3109.6</v>
          </cell>
          <cell r="L696">
            <v>15548</v>
          </cell>
          <cell r="M696" t="str">
            <v/>
          </cell>
          <cell r="N696">
            <v>0</v>
          </cell>
        </row>
        <row r="697">
          <cell r="A697">
            <v>19755</v>
          </cell>
          <cell r="B697" t="str">
            <v>01/12/2020</v>
          </cell>
          <cell r="C697" t="str">
            <v>CALLOUT</v>
          </cell>
          <cell r="D697" t="str">
            <v>Fire Alarm Sounding off Atlas 1 01.12.2020</v>
          </cell>
          <cell r="E697" t="str">
            <v>Marlowe Fire &amp; Security Limited</v>
          </cell>
          <cell r="F697" t="str">
            <v>Subcontractor</v>
          </cell>
          <cell r="G697" t="str">
            <v/>
          </cell>
          <cell r="H697" t="str">
            <v/>
          </cell>
          <cell r="I697" t="str">
            <v/>
          </cell>
          <cell r="J697">
            <v>85</v>
          </cell>
          <cell r="K697">
            <v>17</v>
          </cell>
          <cell r="L697">
            <v>85</v>
          </cell>
          <cell r="M697" t="str">
            <v/>
          </cell>
          <cell r="N697">
            <v>0</v>
          </cell>
        </row>
        <row r="698">
          <cell r="A698">
            <v>19790</v>
          </cell>
          <cell r="B698" t="str">
            <v>30/11/2020</v>
          </cell>
          <cell r="C698" t="str">
            <v>SERVICE</v>
          </cell>
          <cell r="D698" t="str">
            <v>em LIGHTING</v>
          </cell>
          <cell r="E698" t="str">
            <v>Key Integrated Services North West Ltd</v>
          </cell>
          <cell r="F698" t="str">
            <v>Subcontractor</v>
          </cell>
          <cell r="G698" t="str">
            <v/>
          </cell>
          <cell r="H698" t="str">
            <v/>
          </cell>
          <cell r="I698" t="str">
            <v/>
          </cell>
          <cell r="J698">
            <v>292.66000000000003</v>
          </cell>
          <cell r="K698">
            <v>58.53</v>
          </cell>
          <cell r="L698">
            <v>150</v>
          </cell>
          <cell r="M698" t="str">
            <v/>
          </cell>
          <cell r="N698">
            <v>142.66</v>
          </cell>
        </row>
        <row r="699">
          <cell r="A699">
            <v>19751</v>
          </cell>
          <cell r="B699" t="str">
            <v>30/11/2020</v>
          </cell>
          <cell r="C699" t="str">
            <v>QUOTED</v>
          </cell>
          <cell r="D699" t="str">
            <v>CArry out works your ref QUO02533</v>
          </cell>
          <cell r="E699" t="str">
            <v>Automated Building &amp; Energy Controls Ltd</v>
          </cell>
          <cell r="F699" t="str">
            <v>Subcontractor</v>
          </cell>
          <cell r="G699" t="str">
            <v/>
          </cell>
          <cell r="H699" t="str">
            <v/>
          </cell>
          <cell r="I699" t="str">
            <v/>
          </cell>
          <cell r="J699">
            <v>4565.03</v>
          </cell>
          <cell r="K699">
            <v>913.01</v>
          </cell>
          <cell r="L699">
            <v>4565.03</v>
          </cell>
          <cell r="M699" t="str">
            <v/>
          </cell>
          <cell r="N699">
            <v>0</v>
          </cell>
        </row>
        <row r="700">
          <cell r="A700">
            <v>19746</v>
          </cell>
          <cell r="B700" t="str">
            <v>30/11/2020</v>
          </cell>
          <cell r="C700" t="str">
            <v>SM002 SERVICE</v>
          </cell>
          <cell r="D700" t="str">
            <v>BMS to attend site for full day to got through the controls</v>
          </cell>
          <cell r="E700" t="str">
            <v>Westminster Controls Ltd</v>
          </cell>
          <cell r="F700" t="str">
            <v>Subcontractor</v>
          </cell>
          <cell r="G700" t="str">
            <v/>
          </cell>
          <cell r="H700" t="str">
            <v/>
          </cell>
          <cell r="I700" t="str">
            <v/>
          </cell>
          <cell r="J700">
            <v>762</v>
          </cell>
          <cell r="K700">
            <v>152.4</v>
          </cell>
          <cell r="L700">
            <v>762</v>
          </cell>
          <cell r="M700" t="str">
            <v/>
          </cell>
          <cell r="N700">
            <v>0</v>
          </cell>
        </row>
        <row r="701">
          <cell r="A701">
            <v>19738</v>
          </cell>
          <cell r="B701" t="str">
            <v>27/11/2020</v>
          </cell>
          <cell r="C701" t="str">
            <v>CALLOUT</v>
          </cell>
          <cell r="D701" t="str">
            <v>To carryout ac maintenance 3 ac units</v>
          </cell>
          <cell r="E701" t="str">
            <v>Commercial Temperature Solutions</v>
          </cell>
          <cell r="F701" t="str">
            <v>Subcontractor</v>
          </cell>
          <cell r="G701" t="str">
            <v/>
          </cell>
          <cell r="H701" t="str">
            <v>Part</v>
          </cell>
          <cell r="I701" t="str">
            <v/>
          </cell>
          <cell r="J701">
            <v>125</v>
          </cell>
          <cell r="K701">
            <v>25</v>
          </cell>
          <cell r="L701">
            <v>125</v>
          </cell>
          <cell r="M701" t="str">
            <v/>
          </cell>
          <cell r="N701">
            <v>0</v>
          </cell>
        </row>
        <row r="702">
          <cell r="A702">
            <v>19889</v>
          </cell>
          <cell r="B702" t="str">
            <v>26/11/2020</v>
          </cell>
          <cell r="C702" t="str">
            <v>C1726</v>
          </cell>
          <cell r="D702" t="str">
            <v>Ventilation Works-Alpro</v>
          </cell>
          <cell r="E702" t="str">
            <v>JTC Ductwork Solutions Limited</v>
          </cell>
          <cell r="F702" t="str">
            <v>Subcontractor</v>
          </cell>
          <cell r="G702" t="str">
            <v>08/12/2020</v>
          </cell>
          <cell r="H702" t="str">
            <v>Part</v>
          </cell>
          <cell r="I702" t="str">
            <v/>
          </cell>
          <cell r="J702">
            <v>4611</v>
          </cell>
          <cell r="K702">
            <v>922.2</v>
          </cell>
          <cell r="L702">
            <v>4611</v>
          </cell>
          <cell r="M702" t="str">
            <v/>
          </cell>
          <cell r="N702">
            <v>0</v>
          </cell>
        </row>
        <row r="703">
          <cell r="A703">
            <v>19734</v>
          </cell>
          <cell r="B703" t="str">
            <v>26/11/2020</v>
          </cell>
          <cell r="C703" t="str">
            <v>C1698</v>
          </cell>
          <cell r="D703" t="str">
            <v>Air Balancing of Mech Vent System</v>
          </cell>
          <cell r="E703" t="str">
            <v>New Era Commissioning Specialists Ltd</v>
          </cell>
          <cell r="F703" t="str">
            <v>Subcontractor</v>
          </cell>
          <cell r="G703" t="str">
            <v/>
          </cell>
          <cell r="H703" t="str">
            <v/>
          </cell>
          <cell r="I703" t="str">
            <v/>
          </cell>
          <cell r="J703">
            <v>600</v>
          </cell>
          <cell r="K703">
            <v>0</v>
          </cell>
          <cell r="L703">
            <v>0</v>
          </cell>
          <cell r="M703" t="str">
            <v/>
          </cell>
          <cell r="N703">
            <v>600</v>
          </cell>
        </row>
        <row r="704">
          <cell r="A704">
            <v>19721</v>
          </cell>
          <cell r="B704" t="str">
            <v>26/11/2020</v>
          </cell>
          <cell r="C704" t="str">
            <v>CALLOUT</v>
          </cell>
          <cell r="D704" t="str">
            <v>Replace Luminere Fitting as per quote dated 19.11.2020</v>
          </cell>
          <cell r="E704" t="str">
            <v>Key Integrated Services North West Ltd</v>
          </cell>
          <cell r="F704" t="str">
            <v>Subcontractor</v>
          </cell>
          <cell r="G704" t="str">
            <v/>
          </cell>
          <cell r="H704" t="str">
            <v/>
          </cell>
          <cell r="I704" t="str">
            <v/>
          </cell>
          <cell r="J704">
            <v>270.51</v>
          </cell>
          <cell r="K704">
            <v>54.1</v>
          </cell>
          <cell r="L704">
            <v>270.51</v>
          </cell>
          <cell r="M704" t="str">
            <v/>
          </cell>
          <cell r="N704">
            <v>0</v>
          </cell>
        </row>
        <row r="705">
          <cell r="A705">
            <v>19711</v>
          </cell>
          <cell r="B705" t="str">
            <v>25/11/2020</v>
          </cell>
          <cell r="C705" t="str">
            <v>CALLOUT</v>
          </cell>
          <cell r="D705" t="str">
            <v>Replace 3no Plantroom Lights</v>
          </cell>
          <cell r="E705" t="str">
            <v>Key Integrated Services North West Ltd</v>
          </cell>
          <cell r="F705" t="str">
            <v>Subcontractor</v>
          </cell>
          <cell r="G705" t="str">
            <v/>
          </cell>
          <cell r="H705" t="str">
            <v>Part</v>
          </cell>
          <cell r="I705" t="str">
            <v/>
          </cell>
          <cell r="J705">
            <v>195.5</v>
          </cell>
          <cell r="K705">
            <v>39.1</v>
          </cell>
          <cell r="L705">
            <v>195.5</v>
          </cell>
          <cell r="M705" t="str">
            <v/>
          </cell>
          <cell r="N705">
            <v>0</v>
          </cell>
        </row>
        <row r="706">
          <cell r="A706">
            <v>19708</v>
          </cell>
          <cell r="B706" t="str">
            <v>24/11/2020</v>
          </cell>
          <cell r="C706" t="str">
            <v>CALLOUT</v>
          </cell>
          <cell r="D706" t="str">
            <v>Attended site to investigate DB Switch tripping</v>
          </cell>
          <cell r="E706" t="str">
            <v>Key Integrated Services North West Ltd</v>
          </cell>
          <cell r="F706" t="str">
            <v>Subcontractor</v>
          </cell>
          <cell r="G706" t="str">
            <v/>
          </cell>
          <cell r="H706" t="str">
            <v/>
          </cell>
          <cell r="I706" t="str">
            <v/>
          </cell>
          <cell r="J706">
            <v>89</v>
          </cell>
          <cell r="K706">
            <v>17.8</v>
          </cell>
          <cell r="L706">
            <v>0</v>
          </cell>
          <cell r="M706" t="str">
            <v/>
          </cell>
          <cell r="N706">
            <v>89</v>
          </cell>
        </row>
        <row r="707">
          <cell r="A707">
            <v>19701</v>
          </cell>
          <cell r="B707" t="str">
            <v>24/11/2020</v>
          </cell>
          <cell r="C707" t="str">
            <v>CALLOUT</v>
          </cell>
          <cell r="D707" t="str">
            <v>Attend site to investigate faulty EML</v>
          </cell>
          <cell r="E707" t="str">
            <v>Barrie Beard Ltd</v>
          </cell>
          <cell r="F707" t="str">
            <v>Subcontractor</v>
          </cell>
          <cell r="G707" t="str">
            <v/>
          </cell>
          <cell r="H707" t="str">
            <v/>
          </cell>
          <cell r="I707" t="str">
            <v/>
          </cell>
          <cell r="J707">
            <v>75</v>
          </cell>
          <cell r="K707">
            <v>15</v>
          </cell>
          <cell r="L707">
            <v>0</v>
          </cell>
          <cell r="M707" t="str">
            <v/>
          </cell>
          <cell r="N707">
            <v>75</v>
          </cell>
        </row>
        <row r="708">
          <cell r="A708">
            <v>19686</v>
          </cell>
          <cell r="B708" t="str">
            <v>23/11/2020</v>
          </cell>
          <cell r="C708" t="str">
            <v>C1713</v>
          </cell>
          <cell r="D708" t="str">
            <v>Thermal Insulations Order</v>
          </cell>
          <cell r="E708" t="str">
            <v>Thermal Insulation Covers Ltd</v>
          </cell>
          <cell r="F708" t="str">
            <v>Subcontractor</v>
          </cell>
          <cell r="G708" t="str">
            <v/>
          </cell>
          <cell r="H708" t="str">
            <v>Part</v>
          </cell>
          <cell r="I708" t="str">
            <v/>
          </cell>
          <cell r="J708">
            <v>1598.13</v>
          </cell>
          <cell r="K708">
            <v>319.63</v>
          </cell>
          <cell r="L708">
            <v>1598.13</v>
          </cell>
          <cell r="M708" t="str">
            <v/>
          </cell>
          <cell r="N708">
            <v>0</v>
          </cell>
        </row>
        <row r="709">
          <cell r="A709">
            <v>19678</v>
          </cell>
          <cell r="B709" t="str">
            <v>20/11/2020</v>
          </cell>
          <cell r="C709" t="str">
            <v>C1597</v>
          </cell>
          <cell r="D709" t="str">
            <v>BOILER</v>
          </cell>
          <cell r="E709" t="str">
            <v>Modern Heating Services Limited</v>
          </cell>
          <cell r="F709" t="str">
            <v>Subcontractor</v>
          </cell>
          <cell r="G709" t="str">
            <v/>
          </cell>
          <cell r="H709" t="str">
            <v/>
          </cell>
          <cell r="I709" t="str">
            <v/>
          </cell>
          <cell r="J709">
            <v>300</v>
          </cell>
          <cell r="K709">
            <v>120</v>
          </cell>
          <cell r="L709">
            <v>300</v>
          </cell>
          <cell r="M709" t="str">
            <v/>
          </cell>
          <cell r="N709">
            <v>300</v>
          </cell>
        </row>
        <row r="710">
          <cell r="A710">
            <v>19672</v>
          </cell>
          <cell r="B710" t="str">
            <v>19/11/2020</v>
          </cell>
          <cell r="C710" t="str">
            <v>CALLOUT</v>
          </cell>
          <cell r="D710" t="str">
            <v>Attended site to investigate faulty lights on 09.11.2020</v>
          </cell>
          <cell r="E710" t="str">
            <v>Barrie Beard Ltd</v>
          </cell>
          <cell r="F710" t="str">
            <v>Subcontractor</v>
          </cell>
          <cell r="G710" t="str">
            <v/>
          </cell>
          <cell r="H710" t="str">
            <v/>
          </cell>
          <cell r="I710" t="str">
            <v/>
          </cell>
          <cell r="J710">
            <v>270</v>
          </cell>
          <cell r="K710">
            <v>54</v>
          </cell>
          <cell r="L710">
            <v>270</v>
          </cell>
          <cell r="M710" t="str">
            <v/>
          </cell>
          <cell r="N710">
            <v>0</v>
          </cell>
        </row>
        <row r="711">
          <cell r="A711">
            <v>19671</v>
          </cell>
          <cell r="B711" t="str">
            <v>19/11/2020</v>
          </cell>
          <cell r="C711" t="str">
            <v>CALLOUT</v>
          </cell>
          <cell r="D711" t="str">
            <v>Condensate pump relpacement , 1,2,3 - PLT /Reception</v>
          </cell>
          <cell r="E711" t="str">
            <v>Commercial Temperature Solutions</v>
          </cell>
          <cell r="F711" t="str">
            <v>Subcontractor</v>
          </cell>
          <cell r="G711" t="str">
            <v/>
          </cell>
          <cell r="H711" t="str">
            <v/>
          </cell>
          <cell r="I711" t="str">
            <v/>
          </cell>
          <cell r="J711">
            <v>620</v>
          </cell>
          <cell r="K711">
            <v>124</v>
          </cell>
          <cell r="L711">
            <v>620</v>
          </cell>
          <cell r="M711" t="str">
            <v/>
          </cell>
          <cell r="N711">
            <v>0</v>
          </cell>
        </row>
        <row r="712">
          <cell r="A712">
            <v>19670</v>
          </cell>
          <cell r="B712" t="str">
            <v>19/11/2020</v>
          </cell>
          <cell r="C712" t="str">
            <v>C1693</v>
          </cell>
          <cell r="D712" t="str">
            <v/>
          </cell>
          <cell r="E712" t="str">
            <v>End Systems Limited</v>
          </cell>
          <cell r="F712" t="str">
            <v>Subcontractor</v>
          </cell>
          <cell r="G712" t="str">
            <v>23/11/2020</v>
          </cell>
          <cell r="H712" t="str">
            <v>Part</v>
          </cell>
          <cell r="I712" t="str">
            <v/>
          </cell>
          <cell r="J712">
            <v>4475</v>
          </cell>
          <cell r="K712">
            <v>895</v>
          </cell>
          <cell r="L712">
            <v>4475</v>
          </cell>
          <cell r="M712" t="str">
            <v/>
          </cell>
          <cell r="N712">
            <v>0</v>
          </cell>
        </row>
        <row r="713">
          <cell r="A713">
            <v>19668</v>
          </cell>
          <cell r="B713" t="str">
            <v>18/11/2020</v>
          </cell>
          <cell r="C713" t="str">
            <v>CALLOUT</v>
          </cell>
          <cell r="D713" t="str">
            <v>Remove Towergate Sign from side of building</v>
          </cell>
          <cell r="E713" t="str">
            <v>Commercial Temperature Solutions</v>
          </cell>
          <cell r="F713" t="str">
            <v>Subcontractor</v>
          </cell>
          <cell r="G713" t="str">
            <v/>
          </cell>
          <cell r="H713" t="str">
            <v>Complete</v>
          </cell>
          <cell r="I713" t="str">
            <v/>
          </cell>
          <cell r="J713">
            <v>0</v>
          </cell>
          <cell r="K713">
            <v>0</v>
          </cell>
          <cell r="L713">
            <v>0</v>
          </cell>
          <cell r="M713" t="str">
            <v/>
          </cell>
          <cell r="N713">
            <v>0</v>
          </cell>
        </row>
        <row r="714">
          <cell r="A714">
            <v>19667</v>
          </cell>
          <cell r="B714" t="str">
            <v>18/11/2020</v>
          </cell>
          <cell r="C714" t="str">
            <v>C1722</v>
          </cell>
          <cell r="D714" t="str">
            <v>Intercom works</v>
          </cell>
          <cell r="E714" t="str">
            <v>Key Integrated Services (Electrical) Ltd</v>
          </cell>
          <cell r="F714" t="str">
            <v>Subcontractor</v>
          </cell>
          <cell r="G714" t="str">
            <v/>
          </cell>
          <cell r="H714" t="str">
            <v/>
          </cell>
          <cell r="I714" t="str">
            <v/>
          </cell>
          <cell r="J714">
            <v>1895</v>
          </cell>
          <cell r="K714">
            <v>379</v>
          </cell>
          <cell r="L714">
            <v>0</v>
          </cell>
          <cell r="M714" t="str">
            <v/>
          </cell>
          <cell r="N714">
            <v>1895</v>
          </cell>
        </row>
        <row r="715">
          <cell r="A715">
            <v>19666</v>
          </cell>
          <cell r="B715" t="str">
            <v>18/11/2020</v>
          </cell>
          <cell r="C715" t="str">
            <v>C1721</v>
          </cell>
          <cell r="D715" t="str">
            <v>Elec services</v>
          </cell>
          <cell r="E715" t="str">
            <v>Key Integrated Services (Electrical) Ltd</v>
          </cell>
          <cell r="F715" t="str">
            <v>Subcontractor</v>
          </cell>
          <cell r="G715" t="str">
            <v/>
          </cell>
          <cell r="H715" t="str">
            <v/>
          </cell>
          <cell r="I715" t="str">
            <v>Posted</v>
          </cell>
          <cell r="J715">
            <v>17551</v>
          </cell>
          <cell r="K715">
            <v>3510.2</v>
          </cell>
          <cell r="L715">
            <v>18671</v>
          </cell>
          <cell r="M715" t="str">
            <v/>
          </cell>
          <cell r="N715">
            <v>-1120</v>
          </cell>
        </row>
        <row r="716">
          <cell r="A716">
            <v>19664</v>
          </cell>
          <cell r="B716" t="str">
            <v>18/11/2020</v>
          </cell>
          <cell r="C716" t="str">
            <v>C1723</v>
          </cell>
          <cell r="D716" t="str">
            <v>AHU Survey at coca cola Wakefield 26.11.20</v>
          </cell>
          <cell r="E716" t="str">
            <v>New Era Commissioning Specialists Ltd</v>
          </cell>
          <cell r="F716" t="str">
            <v>Subcontractor</v>
          </cell>
          <cell r="G716" t="str">
            <v>26/11/2020</v>
          </cell>
          <cell r="H716" t="str">
            <v>Part</v>
          </cell>
          <cell r="I716" t="str">
            <v/>
          </cell>
          <cell r="J716">
            <v>800</v>
          </cell>
          <cell r="K716">
            <v>160</v>
          </cell>
          <cell r="L716">
            <v>800</v>
          </cell>
          <cell r="M716" t="str">
            <v/>
          </cell>
          <cell r="N716">
            <v>0</v>
          </cell>
        </row>
        <row r="717">
          <cell r="A717">
            <v>19659</v>
          </cell>
          <cell r="B717" t="str">
            <v>17/11/2020</v>
          </cell>
          <cell r="C717" t="str">
            <v>SERVICE</v>
          </cell>
          <cell r="D717" t="str">
            <v>Carry out Annual EML Test</v>
          </cell>
          <cell r="E717" t="str">
            <v>Barrie Beard Ltd</v>
          </cell>
          <cell r="F717" t="str">
            <v>Subcontractor</v>
          </cell>
          <cell r="G717" t="str">
            <v/>
          </cell>
          <cell r="H717" t="str">
            <v>Part</v>
          </cell>
          <cell r="I717" t="str">
            <v/>
          </cell>
          <cell r="J717">
            <v>335</v>
          </cell>
          <cell r="K717">
            <v>67</v>
          </cell>
          <cell r="L717">
            <v>335</v>
          </cell>
          <cell r="M717" t="str">
            <v/>
          </cell>
          <cell r="N717">
            <v>0</v>
          </cell>
        </row>
        <row r="718">
          <cell r="A718">
            <v>19658</v>
          </cell>
          <cell r="B718" t="str">
            <v>17/11/2020</v>
          </cell>
          <cell r="C718" t="str">
            <v>CALLOUT</v>
          </cell>
          <cell r="D718" t="str">
            <v>remedial repairs following Annual EML Test</v>
          </cell>
          <cell r="E718" t="str">
            <v>Key Integrated Services North West Ltd</v>
          </cell>
          <cell r="F718" t="str">
            <v>Subcontractor</v>
          </cell>
          <cell r="G718" t="str">
            <v/>
          </cell>
          <cell r="H718" t="str">
            <v/>
          </cell>
          <cell r="I718" t="str">
            <v/>
          </cell>
          <cell r="J718">
            <v>396.5</v>
          </cell>
          <cell r="K718">
            <v>79.3</v>
          </cell>
          <cell r="L718">
            <v>346.94</v>
          </cell>
          <cell r="M718" t="str">
            <v/>
          </cell>
          <cell r="N718">
            <v>49.56</v>
          </cell>
        </row>
        <row r="719">
          <cell r="A719">
            <v>19657</v>
          </cell>
          <cell r="B719" t="str">
            <v>16/11/2020</v>
          </cell>
          <cell r="C719" t="str">
            <v>C1720</v>
          </cell>
          <cell r="D719" t="str">
            <v>Electrical Order</v>
          </cell>
          <cell r="E719" t="str">
            <v>Key Integrated Services (Electrical) Ltd</v>
          </cell>
          <cell r="F719" t="str">
            <v>Subcontractor</v>
          </cell>
          <cell r="G719" t="str">
            <v/>
          </cell>
          <cell r="H719" t="str">
            <v/>
          </cell>
          <cell r="I719" t="str">
            <v/>
          </cell>
          <cell r="J719">
            <v>3500</v>
          </cell>
          <cell r="K719">
            <v>700</v>
          </cell>
          <cell r="L719">
            <v>3500</v>
          </cell>
          <cell r="M719" t="str">
            <v/>
          </cell>
          <cell r="N719">
            <v>0</v>
          </cell>
        </row>
        <row r="720">
          <cell r="A720">
            <v>19653</v>
          </cell>
          <cell r="B720" t="str">
            <v>16/11/2020</v>
          </cell>
          <cell r="C720" t="str">
            <v>C1712</v>
          </cell>
          <cell r="D720" t="str">
            <v>FLT Driver normal rate 3 days anticipated</v>
          </cell>
          <cell r="E720" t="str">
            <v>Grove Engineering Services Limited</v>
          </cell>
          <cell r="F720" t="str">
            <v>Subcontractor</v>
          </cell>
          <cell r="G720" t="str">
            <v>18/11/2020</v>
          </cell>
          <cell r="H720" t="str">
            <v/>
          </cell>
          <cell r="I720" t="str">
            <v/>
          </cell>
          <cell r="J720">
            <v>390</v>
          </cell>
          <cell r="K720">
            <v>78</v>
          </cell>
          <cell r="L720">
            <v>390</v>
          </cell>
          <cell r="M720" t="str">
            <v/>
          </cell>
          <cell r="N720">
            <v>0</v>
          </cell>
        </row>
        <row r="721">
          <cell r="A721">
            <v>19648</v>
          </cell>
          <cell r="B721" t="str">
            <v>16/11/2020</v>
          </cell>
          <cell r="C721" t="str">
            <v>CALLOUT</v>
          </cell>
          <cell r="D721" t="str">
            <v>Sensor beam needs turning off so labourers can use the floor</v>
          </cell>
          <cell r="E721" t="str">
            <v>Marlowe Fire &amp; Security Limited</v>
          </cell>
          <cell r="F721" t="str">
            <v>Subcontractor</v>
          </cell>
          <cell r="G721" t="str">
            <v/>
          </cell>
          <cell r="H721" t="str">
            <v/>
          </cell>
          <cell r="I721" t="str">
            <v/>
          </cell>
          <cell r="J721">
            <v>80</v>
          </cell>
          <cell r="K721">
            <v>16</v>
          </cell>
          <cell r="L721">
            <v>0</v>
          </cell>
          <cell r="M721" t="str">
            <v/>
          </cell>
          <cell r="N721">
            <v>80</v>
          </cell>
        </row>
        <row r="722">
          <cell r="A722">
            <v>19637</v>
          </cell>
          <cell r="B722" t="str">
            <v>12/11/2020</v>
          </cell>
          <cell r="C722" t="str">
            <v>CALLOUT</v>
          </cell>
          <cell r="D722" t="str">
            <v>Supply and Fit 1no Photo Cell - Green Room</v>
          </cell>
          <cell r="E722" t="str">
            <v>Key Integrated Services North West Ltd</v>
          </cell>
          <cell r="F722" t="str">
            <v>Subcontractor</v>
          </cell>
          <cell r="G722" t="str">
            <v/>
          </cell>
          <cell r="H722" t="str">
            <v>Part</v>
          </cell>
          <cell r="I722" t="str">
            <v/>
          </cell>
          <cell r="J722">
            <v>68.2</v>
          </cell>
          <cell r="K722">
            <v>0</v>
          </cell>
          <cell r="L722">
            <v>68.2</v>
          </cell>
          <cell r="M722" t="str">
            <v/>
          </cell>
          <cell r="N722">
            <v>0</v>
          </cell>
        </row>
        <row r="723">
          <cell r="A723">
            <v>19636</v>
          </cell>
          <cell r="B723" t="str">
            <v>12/11/2020</v>
          </cell>
          <cell r="C723" t="str">
            <v>CALLOUT</v>
          </cell>
          <cell r="D723" t="str">
            <v>10no reception canopy lights</v>
          </cell>
          <cell r="E723" t="str">
            <v>Key Integrated Services North West Ltd</v>
          </cell>
          <cell r="F723" t="str">
            <v>Subcontractor</v>
          </cell>
          <cell r="G723" t="str">
            <v/>
          </cell>
          <cell r="H723" t="str">
            <v/>
          </cell>
          <cell r="I723" t="str">
            <v/>
          </cell>
          <cell r="J723">
            <v>573.29999999999995</v>
          </cell>
          <cell r="K723">
            <v>0</v>
          </cell>
          <cell r="L723">
            <v>573.29999999999995</v>
          </cell>
          <cell r="M723" t="str">
            <v/>
          </cell>
          <cell r="N723">
            <v>0</v>
          </cell>
        </row>
        <row r="724">
          <cell r="A724">
            <v>19635</v>
          </cell>
          <cell r="B724" t="str">
            <v>12/11/2020</v>
          </cell>
          <cell r="C724" t="str">
            <v>SERVICE</v>
          </cell>
          <cell r="D724" t="str">
            <v>Lightining Protection due Aug 2021</v>
          </cell>
          <cell r="E724" t="str">
            <v>Lightning Protection UK Ltd</v>
          </cell>
          <cell r="F724" t="str">
            <v>Subcontractor</v>
          </cell>
          <cell r="G724" t="str">
            <v/>
          </cell>
          <cell r="H724" t="str">
            <v/>
          </cell>
          <cell r="I724" t="str">
            <v/>
          </cell>
          <cell r="J724">
            <v>145</v>
          </cell>
          <cell r="K724">
            <v>0</v>
          </cell>
          <cell r="L724">
            <v>0</v>
          </cell>
          <cell r="M724" t="str">
            <v/>
          </cell>
          <cell r="N724">
            <v>145</v>
          </cell>
        </row>
        <row r="725">
          <cell r="A725">
            <v>19633</v>
          </cell>
          <cell r="B725" t="str">
            <v>12/11/2020</v>
          </cell>
          <cell r="C725" t="str">
            <v>C1719</v>
          </cell>
          <cell r="D725" t="str">
            <v>required works</v>
          </cell>
          <cell r="E725" t="str">
            <v>Apex Mechanical Limited</v>
          </cell>
          <cell r="F725" t="str">
            <v>Subcontractor</v>
          </cell>
          <cell r="G725" t="str">
            <v/>
          </cell>
          <cell r="H725" t="str">
            <v/>
          </cell>
          <cell r="I725" t="str">
            <v/>
          </cell>
          <cell r="J725">
            <v>885</v>
          </cell>
          <cell r="K725">
            <v>177</v>
          </cell>
          <cell r="L725">
            <v>885</v>
          </cell>
          <cell r="M725" t="str">
            <v/>
          </cell>
          <cell r="N725">
            <v>0</v>
          </cell>
        </row>
        <row r="726">
          <cell r="A726">
            <v>19632</v>
          </cell>
          <cell r="B726" t="str">
            <v>12/11/2020</v>
          </cell>
          <cell r="C726" t="str">
            <v>C1712</v>
          </cell>
          <cell r="D726" t="str">
            <v>As per sub-contract documents - Steam Header &amp; Enabling Work</v>
          </cell>
          <cell r="E726" t="str">
            <v>Apex Mechanical Limited</v>
          </cell>
          <cell r="F726" t="str">
            <v>Subcontractor</v>
          </cell>
          <cell r="G726" t="str">
            <v>18/11/2020</v>
          </cell>
          <cell r="H726" t="str">
            <v>Part</v>
          </cell>
          <cell r="I726" t="str">
            <v>Posted</v>
          </cell>
          <cell r="J726">
            <v>288000</v>
          </cell>
          <cell r="K726">
            <v>57600</v>
          </cell>
          <cell r="L726">
            <v>294830</v>
          </cell>
          <cell r="M726" t="str">
            <v/>
          </cell>
          <cell r="N726">
            <v>-6830</v>
          </cell>
        </row>
        <row r="727">
          <cell r="A727">
            <v>19625</v>
          </cell>
          <cell r="B727" t="str">
            <v>11/11/2020</v>
          </cell>
          <cell r="C727" t="str">
            <v>SERVICE</v>
          </cell>
          <cell r="D727" t="str">
            <v>2 yearly Legionella Risk Assesment</v>
          </cell>
          <cell r="E727" t="str">
            <v>Hydraclean Ltd</v>
          </cell>
          <cell r="F727" t="str">
            <v>Subcontractor</v>
          </cell>
          <cell r="G727" t="str">
            <v/>
          </cell>
          <cell r="H727" t="str">
            <v/>
          </cell>
          <cell r="I727" t="str">
            <v/>
          </cell>
          <cell r="J727">
            <v>390</v>
          </cell>
          <cell r="K727">
            <v>78</v>
          </cell>
          <cell r="L727">
            <v>390</v>
          </cell>
          <cell r="M727" t="str">
            <v/>
          </cell>
          <cell r="N727">
            <v>0</v>
          </cell>
        </row>
        <row r="728">
          <cell r="A728">
            <v>19624</v>
          </cell>
          <cell r="B728" t="str">
            <v>11/11/2020</v>
          </cell>
          <cell r="C728" t="str">
            <v>SERVICE</v>
          </cell>
          <cell r="D728" t="str">
            <v>Lift Maintenance over 4no visits per annum</v>
          </cell>
          <cell r="E728" t="str">
            <v>Ansa Elevators Limited</v>
          </cell>
          <cell r="F728" t="str">
            <v>Subcontractor</v>
          </cell>
          <cell r="G728" t="str">
            <v/>
          </cell>
          <cell r="H728" t="str">
            <v>Part</v>
          </cell>
          <cell r="I728" t="str">
            <v/>
          </cell>
          <cell r="J728">
            <v>410</v>
          </cell>
          <cell r="K728">
            <v>82</v>
          </cell>
          <cell r="L728">
            <v>410</v>
          </cell>
          <cell r="M728" t="str">
            <v/>
          </cell>
          <cell r="N728">
            <v>0</v>
          </cell>
        </row>
        <row r="729">
          <cell r="A729">
            <v>19622</v>
          </cell>
          <cell r="B729" t="str">
            <v>11/11/2020</v>
          </cell>
          <cell r="C729" t="str">
            <v>SERVICE</v>
          </cell>
          <cell r="D729" t="str">
            <v>Carry out Maintenance on Fire Extinguishers</v>
          </cell>
          <cell r="E729" t="str">
            <v>Hoyles Fire + Safety Ltd</v>
          </cell>
          <cell r="F729" t="str">
            <v>Subcontractor</v>
          </cell>
          <cell r="G729" t="str">
            <v/>
          </cell>
          <cell r="H729" t="str">
            <v>Part</v>
          </cell>
          <cell r="I729" t="str">
            <v/>
          </cell>
          <cell r="J729">
            <v>192.15</v>
          </cell>
          <cell r="K729">
            <v>38.43</v>
          </cell>
          <cell r="L729">
            <v>192.15</v>
          </cell>
          <cell r="M729" t="str">
            <v/>
          </cell>
          <cell r="N729">
            <v>0</v>
          </cell>
        </row>
        <row r="730">
          <cell r="A730">
            <v>19621</v>
          </cell>
          <cell r="B730" t="str">
            <v>11/11/2020</v>
          </cell>
          <cell r="C730" t="str">
            <v>SERVICE</v>
          </cell>
          <cell r="D730" t="str">
            <v>Fire Alarm Maintenance 2no Visits per annum</v>
          </cell>
          <cell r="E730" t="str">
            <v>Hoyles Fire + Safety Ltd</v>
          </cell>
          <cell r="F730" t="str">
            <v>Subcontractor</v>
          </cell>
          <cell r="G730" t="str">
            <v/>
          </cell>
          <cell r="H730" t="str">
            <v/>
          </cell>
          <cell r="I730" t="str">
            <v/>
          </cell>
          <cell r="J730">
            <v>131.84</v>
          </cell>
          <cell r="K730">
            <v>26.37</v>
          </cell>
          <cell r="L730">
            <v>69.239999999999995</v>
          </cell>
          <cell r="M730" t="str">
            <v/>
          </cell>
          <cell r="N730">
            <v>62.6</v>
          </cell>
        </row>
        <row r="731">
          <cell r="A731">
            <v>19620</v>
          </cell>
          <cell r="B731" t="str">
            <v>11/11/2020</v>
          </cell>
          <cell r="C731" t="str">
            <v>SERVICE</v>
          </cell>
          <cell r="D731" t="str">
            <v>Carry out BMS Maintenance</v>
          </cell>
          <cell r="E731" t="str">
            <v>Automated Building &amp; Energy Controls Ltd</v>
          </cell>
          <cell r="F731" t="str">
            <v>Subcontractor</v>
          </cell>
          <cell r="G731" t="str">
            <v/>
          </cell>
          <cell r="H731" t="str">
            <v/>
          </cell>
          <cell r="I731" t="str">
            <v/>
          </cell>
          <cell r="J731">
            <v>450</v>
          </cell>
          <cell r="K731">
            <v>90</v>
          </cell>
          <cell r="L731">
            <v>0</v>
          </cell>
          <cell r="M731" t="str">
            <v/>
          </cell>
          <cell r="N731">
            <v>450</v>
          </cell>
        </row>
        <row r="732">
          <cell r="A732">
            <v>19619</v>
          </cell>
          <cell r="B732" t="str">
            <v>11/11/2020</v>
          </cell>
          <cell r="C732" t="str">
            <v>SERVICE</v>
          </cell>
          <cell r="D732" t="str">
            <v>Water Hygiene Contract Nov 2020 - Oct 2021</v>
          </cell>
          <cell r="E732" t="str">
            <v>Hydraclean Ltd</v>
          </cell>
          <cell r="F732" t="str">
            <v>Subcontractor</v>
          </cell>
          <cell r="G732" t="str">
            <v/>
          </cell>
          <cell r="H732" t="str">
            <v>Part</v>
          </cell>
          <cell r="I732" t="str">
            <v/>
          </cell>
          <cell r="J732">
            <v>571.5</v>
          </cell>
          <cell r="K732">
            <v>114.3</v>
          </cell>
          <cell r="L732">
            <v>381</v>
          </cell>
          <cell r="M732" t="str">
            <v/>
          </cell>
          <cell r="N732">
            <v>190.5</v>
          </cell>
        </row>
        <row r="733">
          <cell r="A733">
            <v>19614</v>
          </cell>
          <cell r="B733" t="str">
            <v>10/11/2020</v>
          </cell>
          <cell r="C733" t="str">
            <v>CALLOUT</v>
          </cell>
          <cell r="D733" t="str">
            <v>Lift not being able to be parked between floors</v>
          </cell>
          <cell r="E733" t="str">
            <v>Ansa Elevators Limited</v>
          </cell>
          <cell r="F733" t="str">
            <v>Subcontractor</v>
          </cell>
          <cell r="G733" t="str">
            <v/>
          </cell>
          <cell r="H733" t="str">
            <v/>
          </cell>
          <cell r="I733" t="str">
            <v/>
          </cell>
          <cell r="J733">
            <v>85</v>
          </cell>
          <cell r="K733">
            <v>17</v>
          </cell>
          <cell r="L733">
            <v>0</v>
          </cell>
          <cell r="M733" t="str">
            <v/>
          </cell>
          <cell r="N733">
            <v>85</v>
          </cell>
        </row>
        <row r="734">
          <cell r="A734">
            <v>19613</v>
          </cell>
          <cell r="B734" t="str">
            <v>10/11/2020</v>
          </cell>
          <cell r="C734" t="str">
            <v>SERVICE</v>
          </cell>
          <cell r="D734" t="str">
            <v>Carry out Annual EML Test</v>
          </cell>
          <cell r="E734" t="str">
            <v>Key Integrated Services North West Ltd</v>
          </cell>
          <cell r="F734" t="str">
            <v>Subcontractor</v>
          </cell>
          <cell r="G734" t="str">
            <v/>
          </cell>
          <cell r="H734" t="str">
            <v/>
          </cell>
          <cell r="I734" t="str">
            <v/>
          </cell>
          <cell r="J734">
            <v>154.85</v>
          </cell>
          <cell r="K734">
            <v>30.97</v>
          </cell>
          <cell r="L734">
            <v>0</v>
          </cell>
          <cell r="M734" t="str">
            <v/>
          </cell>
          <cell r="N734">
            <v>154.85</v>
          </cell>
        </row>
        <row r="735">
          <cell r="A735">
            <v>19605</v>
          </cell>
          <cell r="B735" t="str">
            <v>09/11/2020</v>
          </cell>
          <cell r="C735" t="str">
            <v>CALLOUT</v>
          </cell>
          <cell r="D735" t="str">
            <v>Fire Alarm gone off on 1st floor</v>
          </cell>
          <cell r="E735" t="str">
            <v>Marlowe Fire &amp; Security Limited</v>
          </cell>
          <cell r="F735" t="str">
            <v>Subcontractor</v>
          </cell>
          <cell r="G735" t="str">
            <v/>
          </cell>
          <cell r="H735" t="str">
            <v/>
          </cell>
          <cell r="I735" t="str">
            <v/>
          </cell>
          <cell r="J735">
            <v>85</v>
          </cell>
          <cell r="K735">
            <v>17</v>
          </cell>
          <cell r="L735">
            <v>85</v>
          </cell>
          <cell r="M735" t="str">
            <v/>
          </cell>
          <cell r="N735">
            <v>0</v>
          </cell>
        </row>
        <row r="736">
          <cell r="A736">
            <v>19602</v>
          </cell>
          <cell r="B736" t="str">
            <v>09/11/2020</v>
          </cell>
          <cell r="C736" t="str">
            <v>CALLOUT</v>
          </cell>
          <cell r="D736" t="str">
            <v>CArry out repairs following annual EML Test</v>
          </cell>
          <cell r="E736" t="str">
            <v>Key Integrated Services North West Ltd</v>
          </cell>
          <cell r="F736" t="str">
            <v>Subcontractor</v>
          </cell>
          <cell r="G736" t="str">
            <v/>
          </cell>
          <cell r="H736" t="str">
            <v/>
          </cell>
          <cell r="I736" t="str">
            <v/>
          </cell>
          <cell r="J736">
            <v>315.32</v>
          </cell>
          <cell r="K736">
            <v>63.06</v>
          </cell>
          <cell r="L736">
            <v>315.32</v>
          </cell>
          <cell r="M736" t="str">
            <v/>
          </cell>
          <cell r="N736">
            <v>0</v>
          </cell>
        </row>
        <row r="737">
          <cell r="A737">
            <v>19888</v>
          </cell>
          <cell r="B737" t="str">
            <v>06/11/2020</v>
          </cell>
          <cell r="C737" t="str">
            <v>C1716</v>
          </cell>
          <cell r="D737" t="str">
            <v>Ventilation Works- Tesco Livingston</v>
          </cell>
          <cell r="E737" t="str">
            <v>JTC Ductwork Solutions Limited</v>
          </cell>
          <cell r="F737" t="str">
            <v>Subcontractor</v>
          </cell>
          <cell r="G737" t="str">
            <v>09/11/2020</v>
          </cell>
          <cell r="H737" t="str">
            <v>Part</v>
          </cell>
          <cell r="I737" t="str">
            <v>Posted</v>
          </cell>
          <cell r="J737">
            <v>20000</v>
          </cell>
          <cell r="K737">
            <v>8000</v>
          </cell>
          <cell r="L737">
            <v>33613.75</v>
          </cell>
          <cell r="M737" t="str">
            <v/>
          </cell>
          <cell r="N737">
            <v>-13613.75</v>
          </cell>
        </row>
        <row r="738">
          <cell r="A738">
            <v>19567</v>
          </cell>
          <cell r="B738" t="str">
            <v>03/11/2020</v>
          </cell>
          <cell r="C738" t="str">
            <v>CALLOUT</v>
          </cell>
          <cell r="D738" t="str">
            <v>Survey &amp; Repair issues if possible</v>
          </cell>
          <cell r="E738" t="str">
            <v>Marlowe Fire &amp; Security Limited</v>
          </cell>
          <cell r="F738" t="str">
            <v>Subcontractor</v>
          </cell>
          <cell r="G738" t="str">
            <v/>
          </cell>
          <cell r="H738" t="str">
            <v/>
          </cell>
          <cell r="I738" t="str">
            <v/>
          </cell>
          <cell r="J738">
            <v>85</v>
          </cell>
          <cell r="K738">
            <v>17</v>
          </cell>
          <cell r="L738">
            <v>0</v>
          </cell>
          <cell r="M738" t="str">
            <v/>
          </cell>
          <cell r="N738">
            <v>85</v>
          </cell>
        </row>
        <row r="739">
          <cell r="A739">
            <v>19555</v>
          </cell>
          <cell r="B739" t="str">
            <v>03/11/2020</v>
          </cell>
          <cell r="C739" t="str">
            <v>C1700</v>
          </cell>
          <cell r="D739" t="str">
            <v>Sealing Builderswork Holes through Switch Room Roof</v>
          </cell>
          <cell r="E739" t="str">
            <v>Central Roofing and Building Services Limited</v>
          </cell>
          <cell r="F739" t="str">
            <v>Subcontractor</v>
          </cell>
          <cell r="G739" t="str">
            <v>09/11/2020</v>
          </cell>
          <cell r="H739" t="str">
            <v>Complete</v>
          </cell>
          <cell r="I739" t="str">
            <v/>
          </cell>
          <cell r="J739">
            <v>0</v>
          </cell>
          <cell r="K739">
            <v>0</v>
          </cell>
          <cell r="L739">
            <v>0</v>
          </cell>
          <cell r="M739" t="str">
            <v/>
          </cell>
          <cell r="N739">
            <v>0</v>
          </cell>
        </row>
        <row r="740">
          <cell r="A740">
            <v>19550</v>
          </cell>
          <cell r="B740" t="str">
            <v>02/11/2020</v>
          </cell>
          <cell r="C740" t="str">
            <v>C1713</v>
          </cell>
          <cell r="D740" t="str">
            <v>Modifications to existing PRS3 building and tunnel services</v>
          </cell>
          <cell r="E740" t="str">
            <v>J &amp; J Design Ltd T/A J &amp; J Fire Engineering</v>
          </cell>
          <cell r="F740" t="str">
            <v>Subcontractor</v>
          </cell>
          <cell r="G740" t="str">
            <v>02/11/2020</v>
          </cell>
          <cell r="H740" t="str">
            <v>Complete</v>
          </cell>
          <cell r="I740" t="str">
            <v>Posted</v>
          </cell>
          <cell r="J740">
            <v>167950.7</v>
          </cell>
          <cell r="K740">
            <v>33590.14</v>
          </cell>
          <cell r="L740">
            <v>176790.22</v>
          </cell>
          <cell r="M740" t="str">
            <v/>
          </cell>
          <cell r="N740">
            <v>-8839.52</v>
          </cell>
        </row>
        <row r="741">
          <cell r="A741">
            <v>19539</v>
          </cell>
          <cell r="B741" t="str">
            <v>28/10/2020</v>
          </cell>
          <cell r="C741" t="str">
            <v>C1705</v>
          </cell>
          <cell r="D741" t="str">
            <v>DOP Testing to the Dispensary area at BCM Fareva Including d</v>
          </cell>
          <cell r="E741" t="str">
            <v>Validair Diamond Scientific</v>
          </cell>
          <cell r="F741" t="str">
            <v>Subcontractor</v>
          </cell>
          <cell r="G741" t="str">
            <v/>
          </cell>
          <cell r="H741" t="str">
            <v/>
          </cell>
          <cell r="I741" t="str">
            <v/>
          </cell>
          <cell r="J741">
            <v>1400</v>
          </cell>
          <cell r="K741">
            <v>280</v>
          </cell>
          <cell r="L741">
            <v>1400</v>
          </cell>
          <cell r="M741" t="str">
            <v/>
          </cell>
          <cell r="N741">
            <v>0</v>
          </cell>
        </row>
        <row r="742">
          <cell r="A742">
            <v>19537</v>
          </cell>
          <cell r="B742" t="str">
            <v>28/10/2020</v>
          </cell>
          <cell r="C742" t="str">
            <v>C1713</v>
          </cell>
          <cell r="D742" t="str">
            <v>Date rate</v>
          </cell>
          <cell r="E742" t="str">
            <v>Apex Mechanical Limited</v>
          </cell>
          <cell r="F742" t="str">
            <v>Subcontractor</v>
          </cell>
          <cell r="G742" t="str">
            <v/>
          </cell>
          <cell r="H742" t="str">
            <v/>
          </cell>
          <cell r="I742" t="str">
            <v/>
          </cell>
          <cell r="J742">
            <v>4000</v>
          </cell>
          <cell r="K742">
            <v>800</v>
          </cell>
          <cell r="L742">
            <v>4000</v>
          </cell>
          <cell r="M742" t="str">
            <v/>
          </cell>
          <cell r="N742">
            <v>0</v>
          </cell>
        </row>
        <row r="743">
          <cell r="A743">
            <v>19531</v>
          </cell>
          <cell r="B743" t="str">
            <v>28/10/2020</v>
          </cell>
          <cell r="C743" t="str">
            <v>CALLOUT</v>
          </cell>
          <cell r="D743" t="str">
            <v>Investigate faulty ceiling light</v>
          </cell>
          <cell r="E743" t="str">
            <v>Barrie Beard Ltd</v>
          </cell>
          <cell r="F743" t="str">
            <v>Subcontractor</v>
          </cell>
          <cell r="G743" t="str">
            <v/>
          </cell>
          <cell r="H743" t="str">
            <v/>
          </cell>
          <cell r="I743" t="str">
            <v/>
          </cell>
          <cell r="J743">
            <v>135</v>
          </cell>
          <cell r="K743">
            <v>27</v>
          </cell>
          <cell r="L743">
            <v>135</v>
          </cell>
          <cell r="M743" t="str">
            <v/>
          </cell>
          <cell r="N743">
            <v>0</v>
          </cell>
        </row>
        <row r="744">
          <cell r="A744">
            <v>19528</v>
          </cell>
          <cell r="B744" t="str">
            <v>28/10/2020</v>
          </cell>
          <cell r="C744" t="str">
            <v>SERVICE</v>
          </cell>
          <cell r="D744" t="str">
            <v>Carried out Annual EML TEst</v>
          </cell>
          <cell r="E744" t="str">
            <v>Key Integrated Services North West Ltd</v>
          </cell>
          <cell r="F744" t="str">
            <v>Subcontractor</v>
          </cell>
          <cell r="G744" t="str">
            <v/>
          </cell>
          <cell r="H744" t="str">
            <v/>
          </cell>
          <cell r="I744" t="str">
            <v/>
          </cell>
          <cell r="J744">
            <v>155</v>
          </cell>
          <cell r="K744">
            <v>31</v>
          </cell>
          <cell r="L744">
            <v>0</v>
          </cell>
          <cell r="M744" t="str">
            <v/>
          </cell>
          <cell r="N744">
            <v>155</v>
          </cell>
        </row>
        <row r="745">
          <cell r="A745">
            <v>19525</v>
          </cell>
          <cell r="B745" t="str">
            <v>28/10/2020</v>
          </cell>
          <cell r="C745" t="str">
            <v>CALLOUT</v>
          </cell>
          <cell r="D745" t="str">
            <v>Electrician to attend site same time as compco to disconnect</v>
          </cell>
          <cell r="E745" t="str">
            <v>Key Integrated Services North West Ltd</v>
          </cell>
          <cell r="F745" t="str">
            <v>Subcontractor</v>
          </cell>
          <cell r="G745" t="str">
            <v/>
          </cell>
          <cell r="H745" t="str">
            <v/>
          </cell>
          <cell r="I745" t="str">
            <v/>
          </cell>
          <cell r="J745">
            <v>200</v>
          </cell>
          <cell r="K745">
            <v>40</v>
          </cell>
          <cell r="L745">
            <v>0</v>
          </cell>
          <cell r="M745" t="str">
            <v/>
          </cell>
          <cell r="N745">
            <v>200</v>
          </cell>
        </row>
        <row r="746">
          <cell r="A746">
            <v>19515</v>
          </cell>
          <cell r="B746" t="str">
            <v>26/10/2020</v>
          </cell>
          <cell r="C746" t="str">
            <v>CALLOUT</v>
          </cell>
          <cell r="D746" t="str">
            <v>CArry out Quoted Works QU002480</v>
          </cell>
          <cell r="E746" t="str">
            <v>Automated Building &amp; Energy Controls Ltd</v>
          </cell>
          <cell r="F746" t="str">
            <v>Subcontractor</v>
          </cell>
          <cell r="G746" t="str">
            <v/>
          </cell>
          <cell r="H746" t="str">
            <v/>
          </cell>
          <cell r="I746" t="str">
            <v/>
          </cell>
          <cell r="J746">
            <v>754.42</v>
          </cell>
          <cell r="K746">
            <v>150.88</v>
          </cell>
          <cell r="L746">
            <v>0</v>
          </cell>
          <cell r="M746" t="str">
            <v/>
          </cell>
          <cell r="N746">
            <v>754.42</v>
          </cell>
        </row>
        <row r="747">
          <cell r="A747">
            <v>19504</v>
          </cell>
          <cell r="B747" t="str">
            <v>22/10/2020</v>
          </cell>
          <cell r="C747" t="str">
            <v>C1695</v>
          </cell>
          <cell r="D747" t="str">
            <v>Commisioing of FCU at Blackpool Nutrician group</v>
          </cell>
          <cell r="E747" t="str">
            <v>New Era Commissioning Specialists Ltd</v>
          </cell>
          <cell r="F747" t="str">
            <v>Subcontractor</v>
          </cell>
          <cell r="G747" t="str">
            <v>29/10/2020</v>
          </cell>
          <cell r="H747" t="str">
            <v/>
          </cell>
          <cell r="I747" t="str">
            <v/>
          </cell>
          <cell r="J747">
            <v>350</v>
          </cell>
          <cell r="K747">
            <v>70</v>
          </cell>
          <cell r="L747">
            <v>0</v>
          </cell>
          <cell r="M747" t="str">
            <v/>
          </cell>
          <cell r="N747">
            <v>350</v>
          </cell>
        </row>
        <row r="748">
          <cell r="A748">
            <v>19491</v>
          </cell>
          <cell r="B748" t="str">
            <v>21/10/2020</v>
          </cell>
          <cell r="C748" t="str">
            <v>C1713</v>
          </cell>
          <cell r="D748" t="str">
            <v>PRS3 AHU Validation</v>
          </cell>
          <cell r="E748" t="str">
            <v>New Era Commissioning Specialists Ltd</v>
          </cell>
          <cell r="F748" t="str">
            <v>Subcontractor</v>
          </cell>
          <cell r="G748" t="str">
            <v>23/10/2020</v>
          </cell>
          <cell r="H748" t="str">
            <v/>
          </cell>
          <cell r="I748" t="str">
            <v/>
          </cell>
          <cell r="J748">
            <v>400</v>
          </cell>
          <cell r="K748">
            <v>80</v>
          </cell>
          <cell r="L748">
            <v>400</v>
          </cell>
          <cell r="M748" t="str">
            <v/>
          </cell>
          <cell r="N748">
            <v>0</v>
          </cell>
        </row>
        <row r="749">
          <cell r="A749">
            <v>19470</v>
          </cell>
          <cell r="B749" t="str">
            <v>15/10/2020</v>
          </cell>
          <cell r="C749" t="str">
            <v>CALLOUT</v>
          </cell>
          <cell r="D749" t="str">
            <v>Fire Alarm interface to be supplied &amp; fitted GEnt SMS sentri</v>
          </cell>
          <cell r="E749" t="str">
            <v>Hoyles Fire + Safety Ltd</v>
          </cell>
          <cell r="F749" t="str">
            <v>Subcontractor</v>
          </cell>
          <cell r="G749" t="str">
            <v/>
          </cell>
          <cell r="H749" t="str">
            <v/>
          </cell>
          <cell r="I749" t="str">
            <v/>
          </cell>
          <cell r="J749">
            <v>682</v>
          </cell>
          <cell r="K749">
            <v>136.4</v>
          </cell>
          <cell r="L749">
            <v>682</v>
          </cell>
          <cell r="M749" t="str">
            <v/>
          </cell>
          <cell r="N749">
            <v>0</v>
          </cell>
        </row>
        <row r="750">
          <cell r="A750">
            <v>19467</v>
          </cell>
          <cell r="B750" t="str">
            <v>15/10/2020</v>
          </cell>
          <cell r="C750" t="str">
            <v>SERVICE</v>
          </cell>
          <cell r="D750" t="str">
            <v>to Carry out AC Maintenance</v>
          </cell>
          <cell r="E750" t="str">
            <v>Commercial Temperature Solutions</v>
          </cell>
          <cell r="F750" t="str">
            <v>Subcontractor</v>
          </cell>
          <cell r="G750" t="str">
            <v/>
          </cell>
          <cell r="H750" t="str">
            <v/>
          </cell>
          <cell r="I750" t="str">
            <v/>
          </cell>
          <cell r="J750">
            <v>330</v>
          </cell>
          <cell r="K750">
            <v>66</v>
          </cell>
          <cell r="L750">
            <v>330</v>
          </cell>
          <cell r="M750" t="str">
            <v/>
          </cell>
          <cell r="N750">
            <v>0</v>
          </cell>
        </row>
        <row r="751">
          <cell r="A751">
            <v>19461</v>
          </cell>
          <cell r="B751" t="str">
            <v>14/10/2020</v>
          </cell>
          <cell r="C751" t="str">
            <v>SERVICE</v>
          </cell>
          <cell r="D751" t="str">
            <v>L8 Monthly</v>
          </cell>
          <cell r="E751" t="str">
            <v>Commercial Temperature Solutions</v>
          </cell>
          <cell r="F751" t="str">
            <v>Subcontractor</v>
          </cell>
          <cell r="G751" t="str">
            <v/>
          </cell>
          <cell r="H751" t="str">
            <v>Part</v>
          </cell>
          <cell r="I751" t="str">
            <v/>
          </cell>
          <cell r="J751">
            <v>80</v>
          </cell>
          <cell r="K751">
            <v>16</v>
          </cell>
          <cell r="L751">
            <v>80</v>
          </cell>
          <cell r="M751" t="str">
            <v/>
          </cell>
          <cell r="N751">
            <v>0</v>
          </cell>
        </row>
        <row r="752">
          <cell r="A752">
            <v>19460</v>
          </cell>
          <cell r="B752" t="str">
            <v>14/10/2020</v>
          </cell>
          <cell r="C752" t="str">
            <v>CALLOUT</v>
          </cell>
          <cell r="D752" t="str">
            <v>Investigate faulty AC System</v>
          </cell>
          <cell r="E752" t="str">
            <v>Commercial Temperature Solutions</v>
          </cell>
          <cell r="F752" t="str">
            <v>Subcontractor</v>
          </cell>
          <cell r="G752" t="str">
            <v/>
          </cell>
          <cell r="H752" t="str">
            <v/>
          </cell>
          <cell r="I752" t="str">
            <v/>
          </cell>
          <cell r="J752">
            <v>100</v>
          </cell>
          <cell r="K752">
            <v>20</v>
          </cell>
          <cell r="L752">
            <v>100</v>
          </cell>
          <cell r="M752" t="str">
            <v/>
          </cell>
          <cell r="N752">
            <v>0</v>
          </cell>
        </row>
        <row r="753">
          <cell r="A753">
            <v>19454</v>
          </cell>
          <cell r="B753" t="str">
            <v>13/10/2020</v>
          </cell>
          <cell r="C753" t="str">
            <v>C1693</v>
          </cell>
          <cell r="D753" t="str">
            <v/>
          </cell>
          <cell r="E753" t="str">
            <v>CK Direct Duct &amp; Maintenance Ltd</v>
          </cell>
          <cell r="F753" t="str">
            <v>Subcontractor</v>
          </cell>
          <cell r="G753" t="str">
            <v>01/11/2020</v>
          </cell>
          <cell r="H753" t="str">
            <v/>
          </cell>
          <cell r="I753" t="str">
            <v/>
          </cell>
          <cell r="J753">
            <v>14003.27</v>
          </cell>
          <cell r="K753">
            <v>2800.65</v>
          </cell>
          <cell r="L753">
            <v>14003.27</v>
          </cell>
          <cell r="M753" t="str">
            <v/>
          </cell>
          <cell r="N753">
            <v>0</v>
          </cell>
        </row>
        <row r="754">
          <cell r="A754">
            <v>19444</v>
          </cell>
          <cell r="B754" t="str">
            <v>09/10/2020</v>
          </cell>
          <cell r="C754" t="str">
            <v>C1705</v>
          </cell>
          <cell r="D754" t="str">
            <v>Thermal Insualtion to the supply &amp; Extract as per Firth Draw</v>
          </cell>
          <cell r="E754" t="str">
            <v>Grangewood Insulation Services Ltd</v>
          </cell>
          <cell r="F754" t="str">
            <v>Subcontractor</v>
          </cell>
          <cell r="G754" t="str">
            <v>26/10/2020</v>
          </cell>
          <cell r="H754" t="str">
            <v>Part</v>
          </cell>
          <cell r="I754" t="str">
            <v/>
          </cell>
          <cell r="J754">
            <v>6500</v>
          </cell>
          <cell r="K754">
            <v>1300</v>
          </cell>
          <cell r="L754">
            <v>6500</v>
          </cell>
          <cell r="M754" t="str">
            <v/>
          </cell>
          <cell r="N754">
            <v>0</v>
          </cell>
        </row>
        <row r="755">
          <cell r="A755">
            <v>19439</v>
          </cell>
          <cell r="B755" t="str">
            <v>08/10/2020</v>
          </cell>
          <cell r="C755" t="str">
            <v>QUOTED</v>
          </cell>
          <cell r="D755" t="str">
            <v>Installation of Plantroom Lighting</v>
          </cell>
          <cell r="E755" t="str">
            <v>Key Integrated Services North West Ltd</v>
          </cell>
          <cell r="F755" t="str">
            <v>Subcontractor</v>
          </cell>
          <cell r="G755" t="str">
            <v/>
          </cell>
          <cell r="H755" t="str">
            <v/>
          </cell>
          <cell r="I755" t="str">
            <v/>
          </cell>
          <cell r="J755">
            <v>2088.1999999999998</v>
          </cell>
          <cell r="K755">
            <v>417.64</v>
          </cell>
          <cell r="L755">
            <v>2088.1999999999998</v>
          </cell>
          <cell r="M755" t="str">
            <v/>
          </cell>
          <cell r="N755">
            <v>0</v>
          </cell>
        </row>
        <row r="756">
          <cell r="A756">
            <v>19437</v>
          </cell>
          <cell r="B756" t="str">
            <v>08/10/2020</v>
          </cell>
          <cell r="C756" t="str">
            <v>C1700</v>
          </cell>
          <cell r="D756" t="str">
            <v>Lagging works see 19132</v>
          </cell>
          <cell r="E756" t="str">
            <v>Thermal Insulation Covers Ltd</v>
          </cell>
          <cell r="F756" t="str">
            <v>Subcontractor</v>
          </cell>
          <cell r="G756" t="str">
            <v/>
          </cell>
          <cell r="H756" t="str">
            <v/>
          </cell>
          <cell r="I756" t="str">
            <v/>
          </cell>
          <cell r="J756">
            <v>16000</v>
          </cell>
          <cell r="K756">
            <v>3200</v>
          </cell>
          <cell r="L756">
            <v>13920</v>
          </cell>
          <cell r="M756" t="str">
            <v/>
          </cell>
          <cell r="N756">
            <v>2080</v>
          </cell>
        </row>
        <row r="757">
          <cell r="A757">
            <v>19435</v>
          </cell>
          <cell r="B757" t="str">
            <v>08/10/2020</v>
          </cell>
          <cell r="C757" t="str">
            <v>SERVICE</v>
          </cell>
          <cell r="D757" t="str">
            <v>Carry out Covid 19 Checks</v>
          </cell>
          <cell r="E757" t="str">
            <v>Commercial Temperature Solutions</v>
          </cell>
          <cell r="F757" t="str">
            <v>Subcontractor</v>
          </cell>
          <cell r="G757" t="str">
            <v/>
          </cell>
          <cell r="H757" t="str">
            <v/>
          </cell>
          <cell r="I757" t="str">
            <v/>
          </cell>
          <cell r="J757">
            <v>250</v>
          </cell>
          <cell r="K757">
            <v>50</v>
          </cell>
          <cell r="L757">
            <v>250</v>
          </cell>
          <cell r="M757" t="str">
            <v/>
          </cell>
          <cell r="N757">
            <v>0</v>
          </cell>
        </row>
        <row r="758">
          <cell r="A758">
            <v>19434</v>
          </cell>
          <cell r="B758" t="str">
            <v>08/10/2020</v>
          </cell>
          <cell r="C758" t="str">
            <v>SERVICE</v>
          </cell>
          <cell r="D758" t="str">
            <v>Carried out Covid 19 Checks</v>
          </cell>
          <cell r="E758" t="str">
            <v>Commercial Temperature Solutions</v>
          </cell>
          <cell r="F758" t="str">
            <v>Subcontractor</v>
          </cell>
          <cell r="G758" t="str">
            <v/>
          </cell>
          <cell r="H758" t="str">
            <v>Part</v>
          </cell>
          <cell r="I758" t="str">
            <v/>
          </cell>
          <cell r="J758">
            <v>150</v>
          </cell>
          <cell r="K758">
            <v>30</v>
          </cell>
          <cell r="L758">
            <v>150</v>
          </cell>
          <cell r="M758" t="str">
            <v/>
          </cell>
          <cell r="N758">
            <v>0</v>
          </cell>
        </row>
        <row r="759">
          <cell r="A759">
            <v>19433</v>
          </cell>
          <cell r="B759" t="str">
            <v>08/10/2020</v>
          </cell>
          <cell r="C759" t="str">
            <v>CALLOUT</v>
          </cell>
          <cell r="D759" t="str">
            <v>Carry out Covid 19 Checks</v>
          </cell>
          <cell r="E759" t="str">
            <v>Commercial Temperature Solutions</v>
          </cell>
          <cell r="F759" t="str">
            <v>Subcontractor</v>
          </cell>
          <cell r="G759" t="str">
            <v/>
          </cell>
          <cell r="H759" t="str">
            <v/>
          </cell>
          <cell r="I759" t="str">
            <v/>
          </cell>
          <cell r="J759">
            <v>250</v>
          </cell>
          <cell r="K759">
            <v>50</v>
          </cell>
          <cell r="L759">
            <v>0</v>
          </cell>
          <cell r="M759" t="str">
            <v/>
          </cell>
          <cell r="N759">
            <v>250</v>
          </cell>
        </row>
        <row r="760">
          <cell r="A760">
            <v>19430</v>
          </cell>
          <cell r="B760" t="str">
            <v>08/10/2020</v>
          </cell>
          <cell r="C760" t="str">
            <v>SM001 CALLOUT</v>
          </cell>
          <cell r="D760" t="str">
            <v>No Power to various desk sockets</v>
          </cell>
          <cell r="E760" t="str">
            <v>Key Integrated Services (Electrical) Ltd</v>
          </cell>
          <cell r="F760" t="str">
            <v>Subcontractor</v>
          </cell>
          <cell r="G760" t="str">
            <v/>
          </cell>
          <cell r="H760" t="str">
            <v/>
          </cell>
          <cell r="I760" t="str">
            <v/>
          </cell>
          <cell r="J760">
            <v>150</v>
          </cell>
          <cell r="K760">
            <v>30</v>
          </cell>
          <cell r="L760">
            <v>150</v>
          </cell>
          <cell r="M760" t="str">
            <v/>
          </cell>
          <cell r="N760">
            <v>0</v>
          </cell>
        </row>
        <row r="761">
          <cell r="A761">
            <v>19414</v>
          </cell>
          <cell r="B761" t="str">
            <v>06/10/2020</v>
          </cell>
          <cell r="C761" t="str">
            <v>SERVICE</v>
          </cell>
          <cell r="D761" t="str">
            <v>carry out Covid 19 Checks</v>
          </cell>
          <cell r="E761" t="str">
            <v>Commercial Temperature Solutions</v>
          </cell>
          <cell r="F761" t="str">
            <v>Subcontractor</v>
          </cell>
          <cell r="G761" t="str">
            <v/>
          </cell>
          <cell r="H761" t="str">
            <v/>
          </cell>
          <cell r="I761" t="str">
            <v/>
          </cell>
          <cell r="J761">
            <v>200</v>
          </cell>
          <cell r="K761">
            <v>40</v>
          </cell>
          <cell r="L761">
            <v>200</v>
          </cell>
          <cell r="M761" t="str">
            <v/>
          </cell>
          <cell r="N761">
            <v>0</v>
          </cell>
        </row>
        <row r="762">
          <cell r="A762">
            <v>19413</v>
          </cell>
          <cell r="B762" t="str">
            <v>06/10/2020</v>
          </cell>
          <cell r="C762" t="str">
            <v>CALLOUT</v>
          </cell>
          <cell r="D762" t="str">
            <v>Attend site to invesitgate Trend Control</v>
          </cell>
          <cell r="E762" t="str">
            <v>Automated Building &amp; Energy Controls Ltd</v>
          </cell>
          <cell r="F762" t="str">
            <v>Subcontractor</v>
          </cell>
          <cell r="G762" t="str">
            <v/>
          </cell>
          <cell r="H762" t="str">
            <v/>
          </cell>
          <cell r="I762" t="str">
            <v/>
          </cell>
          <cell r="J762">
            <v>1204.42</v>
          </cell>
          <cell r="K762">
            <v>240.88</v>
          </cell>
          <cell r="L762">
            <v>1204.42</v>
          </cell>
          <cell r="M762" t="str">
            <v/>
          </cell>
          <cell r="N762">
            <v>0</v>
          </cell>
        </row>
        <row r="763">
          <cell r="A763">
            <v>19403</v>
          </cell>
          <cell r="B763" t="str">
            <v>05/10/2020</v>
          </cell>
          <cell r="C763" t="str">
            <v>CALLOUT</v>
          </cell>
          <cell r="D763" t="str">
            <v>Urgent CAll Out Lift Door stuck Part Open</v>
          </cell>
          <cell r="E763" t="str">
            <v>Ansa Elevators Limited</v>
          </cell>
          <cell r="F763" t="str">
            <v>Subcontractor</v>
          </cell>
          <cell r="G763" t="str">
            <v/>
          </cell>
          <cell r="H763" t="str">
            <v/>
          </cell>
          <cell r="I763" t="str">
            <v/>
          </cell>
          <cell r="J763">
            <v>75</v>
          </cell>
          <cell r="K763">
            <v>15</v>
          </cell>
          <cell r="L763">
            <v>0</v>
          </cell>
          <cell r="M763" t="str">
            <v/>
          </cell>
          <cell r="N763">
            <v>75</v>
          </cell>
        </row>
        <row r="764">
          <cell r="A764">
            <v>19401</v>
          </cell>
          <cell r="B764" t="str">
            <v>05/10/2020</v>
          </cell>
          <cell r="C764" t="str">
            <v>C1708</v>
          </cell>
          <cell r="D764" t="str">
            <v>Install pick by light rail</v>
          </cell>
          <cell r="E764" t="str">
            <v>Key Integrated Services (Electrical) Ltd</v>
          </cell>
          <cell r="F764" t="str">
            <v>Subcontractor</v>
          </cell>
          <cell r="G764" t="str">
            <v/>
          </cell>
          <cell r="H764" t="str">
            <v/>
          </cell>
          <cell r="I764" t="str">
            <v/>
          </cell>
          <cell r="J764">
            <v>768</v>
          </cell>
          <cell r="K764">
            <v>153.6</v>
          </cell>
          <cell r="L764">
            <v>768</v>
          </cell>
          <cell r="M764" t="str">
            <v/>
          </cell>
          <cell r="N764">
            <v>0</v>
          </cell>
        </row>
        <row r="765">
          <cell r="A765">
            <v>19400</v>
          </cell>
          <cell r="B765" t="str">
            <v>05/10/2020</v>
          </cell>
          <cell r="C765" t="str">
            <v>C1709</v>
          </cell>
          <cell r="D765" t="str">
            <v>Access control works EQ1724</v>
          </cell>
          <cell r="E765" t="str">
            <v>Key Integrated Services (Electrical) Ltd</v>
          </cell>
          <cell r="F765" t="str">
            <v>Subcontractor</v>
          </cell>
          <cell r="G765" t="str">
            <v/>
          </cell>
          <cell r="H765" t="str">
            <v>Complete</v>
          </cell>
          <cell r="I765" t="str">
            <v/>
          </cell>
          <cell r="J765">
            <v>0</v>
          </cell>
          <cell r="K765">
            <v>0</v>
          </cell>
          <cell r="L765">
            <v>941</v>
          </cell>
          <cell r="M765" t="str">
            <v/>
          </cell>
          <cell r="N765">
            <v>-941</v>
          </cell>
        </row>
        <row r="766">
          <cell r="A766">
            <v>19398</v>
          </cell>
          <cell r="B766" t="str">
            <v>05/10/2020</v>
          </cell>
          <cell r="C766" t="str">
            <v>C1710</v>
          </cell>
          <cell r="D766" t="str">
            <v>LED lighting in Pie Blaster upgrade</v>
          </cell>
          <cell r="E766" t="str">
            <v>Key Integrated Services (Electrical) Ltd</v>
          </cell>
          <cell r="F766" t="str">
            <v>Subcontractor</v>
          </cell>
          <cell r="G766" t="str">
            <v/>
          </cell>
          <cell r="H766" t="str">
            <v>Part</v>
          </cell>
          <cell r="I766" t="str">
            <v/>
          </cell>
          <cell r="J766">
            <v>3368</v>
          </cell>
          <cell r="K766">
            <v>673.6</v>
          </cell>
          <cell r="L766">
            <v>3368</v>
          </cell>
          <cell r="M766" t="str">
            <v/>
          </cell>
          <cell r="N766">
            <v>0</v>
          </cell>
        </row>
        <row r="767">
          <cell r="A767">
            <v>19384</v>
          </cell>
          <cell r="B767" t="str">
            <v>02/10/2020</v>
          </cell>
          <cell r="C767" t="str">
            <v>CALLOUT</v>
          </cell>
          <cell r="D767" t="str">
            <v>investigate various fire alarm sounders not working</v>
          </cell>
          <cell r="E767" t="str">
            <v>Marlowe Fire &amp; Security Limited</v>
          </cell>
          <cell r="F767" t="str">
            <v>Subcontractor</v>
          </cell>
          <cell r="G767" t="str">
            <v/>
          </cell>
          <cell r="H767" t="str">
            <v/>
          </cell>
          <cell r="I767" t="str">
            <v/>
          </cell>
          <cell r="J767">
            <v>85</v>
          </cell>
          <cell r="K767">
            <v>17</v>
          </cell>
          <cell r="L767">
            <v>85</v>
          </cell>
          <cell r="M767" t="str">
            <v/>
          </cell>
          <cell r="N767">
            <v>0</v>
          </cell>
        </row>
        <row r="768">
          <cell r="A768">
            <v>19378</v>
          </cell>
          <cell r="B768" t="str">
            <v>01/10/2020</v>
          </cell>
          <cell r="C768" t="str">
            <v>C1707</v>
          </cell>
          <cell r="D768" t="str">
            <v/>
          </cell>
          <cell r="E768" t="str">
            <v>North West Renewables Ltd</v>
          </cell>
          <cell r="F768" t="str">
            <v>Subcontractor</v>
          </cell>
          <cell r="G768" t="str">
            <v>06/10/2020</v>
          </cell>
          <cell r="H768" t="str">
            <v/>
          </cell>
          <cell r="I768" t="str">
            <v/>
          </cell>
          <cell r="J768">
            <v>4586</v>
          </cell>
          <cell r="K768">
            <v>917.2</v>
          </cell>
          <cell r="L768">
            <v>4586</v>
          </cell>
          <cell r="M768" t="str">
            <v/>
          </cell>
          <cell r="N768">
            <v>0</v>
          </cell>
        </row>
        <row r="769">
          <cell r="A769">
            <v>19369</v>
          </cell>
          <cell r="B769" t="str">
            <v>30/09/2020</v>
          </cell>
          <cell r="C769" t="str">
            <v>CALLOUT</v>
          </cell>
          <cell r="D769" t="str">
            <v>REplace Light Fitting in Tech Corridor Toilets</v>
          </cell>
          <cell r="E769" t="str">
            <v>Key Integrated Services North West Ltd</v>
          </cell>
          <cell r="F769" t="str">
            <v>Subcontractor</v>
          </cell>
          <cell r="G769" t="str">
            <v/>
          </cell>
          <cell r="H769" t="str">
            <v/>
          </cell>
          <cell r="I769" t="str">
            <v/>
          </cell>
          <cell r="J769">
            <v>75.819999999999993</v>
          </cell>
          <cell r="K769">
            <v>15.16</v>
          </cell>
          <cell r="L769">
            <v>75.819999999999993</v>
          </cell>
          <cell r="M769" t="str">
            <v/>
          </cell>
          <cell r="N769">
            <v>0</v>
          </cell>
        </row>
        <row r="770">
          <cell r="A770">
            <v>19362</v>
          </cell>
          <cell r="B770" t="str">
            <v>30/09/2020</v>
          </cell>
          <cell r="C770" t="str">
            <v>C1700</v>
          </cell>
          <cell r="D770" t="str">
            <v>LTHW Water Treatment</v>
          </cell>
          <cell r="E770" t="str">
            <v>Primary Water Treatments</v>
          </cell>
          <cell r="F770" t="str">
            <v>Subcontractor</v>
          </cell>
          <cell r="G770" t="str">
            <v>19/10/2020</v>
          </cell>
          <cell r="H770" t="str">
            <v>Complete</v>
          </cell>
          <cell r="I770" t="str">
            <v/>
          </cell>
          <cell r="J770">
            <v>0</v>
          </cell>
          <cell r="K770">
            <v>0</v>
          </cell>
          <cell r="L770">
            <v>0</v>
          </cell>
          <cell r="M770" t="str">
            <v/>
          </cell>
          <cell r="N770">
            <v>0</v>
          </cell>
        </row>
        <row r="771">
          <cell r="A771">
            <v>19355</v>
          </cell>
          <cell r="B771" t="str">
            <v>29/09/2020</v>
          </cell>
          <cell r="C771" t="str">
            <v>C1695</v>
          </cell>
          <cell r="D771" t="str">
            <v>Air balancing as per email quote to DW on 28/9/20</v>
          </cell>
          <cell r="E771" t="str">
            <v>New Era Commissioning Specialists Ltd</v>
          </cell>
          <cell r="F771" t="str">
            <v>Subcontractor</v>
          </cell>
          <cell r="G771" t="str">
            <v>05/10/2020</v>
          </cell>
          <cell r="H771" t="str">
            <v/>
          </cell>
          <cell r="I771" t="str">
            <v/>
          </cell>
          <cell r="J771">
            <v>450</v>
          </cell>
          <cell r="K771">
            <v>90</v>
          </cell>
          <cell r="L771">
            <v>450</v>
          </cell>
          <cell r="M771" t="str">
            <v/>
          </cell>
          <cell r="N771">
            <v>0</v>
          </cell>
        </row>
        <row r="772">
          <cell r="A772">
            <v>19350</v>
          </cell>
          <cell r="B772" t="str">
            <v>25/09/2020</v>
          </cell>
          <cell r="C772" t="str">
            <v>C1705</v>
          </cell>
          <cell r="D772" t="str">
            <v>Thermal Insulation as Quotation</v>
          </cell>
          <cell r="E772" t="str">
            <v>Thermal Insulation Covers Ltd</v>
          </cell>
          <cell r="F772" t="str">
            <v>Subcontractor</v>
          </cell>
          <cell r="G772" t="str">
            <v/>
          </cell>
          <cell r="H772" t="str">
            <v/>
          </cell>
          <cell r="I772" t="str">
            <v/>
          </cell>
          <cell r="J772">
            <v>1235</v>
          </cell>
          <cell r="K772">
            <v>247</v>
          </cell>
          <cell r="L772">
            <v>1235</v>
          </cell>
          <cell r="M772" t="str">
            <v/>
          </cell>
          <cell r="N772">
            <v>0</v>
          </cell>
        </row>
        <row r="773">
          <cell r="A773">
            <v>19349</v>
          </cell>
          <cell r="B773" t="str">
            <v>25/09/2020</v>
          </cell>
          <cell r="C773" t="str">
            <v>SERVICE</v>
          </cell>
          <cell r="D773" t="str">
            <v>Boiler Maintenance</v>
          </cell>
          <cell r="E773" t="str">
            <v>Commercial Temperature Solutions</v>
          </cell>
          <cell r="F773" t="str">
            <v>Subcontractor</v>
          </cell>
          <cell r="G773" t="str">
            <v/>
          </cell>
          <cell r="H773" t="str">
            <v/>
          </cell>
          <cell r="I773" t="str">
            <v/>
          </cell>
          <cell r="J773">
            <v>150</v>
          </cell>
          <cell r="K773">
            <v>30</v>
          </cell>
          <cell r="L773">
            <v>150</v>
          </cell>
          <cell r="M773" t="str">
            <v/>
          </cell>
          <cell r="N773">
            <v>0</v>
          </cell>
        </row>
        <row r="774">
          <cell r="A774">
            <v>19344</v>
          </cell>
          <cell r="B774" t="str">
            <v>24/09/2020</v>
          </cell>
          <cell r="C774" t="str">
            <v>C1693</v>
          </cell>
          <cell r="D774" t="str">
            <v/>
          </cell>
          <cell r="E774" t="str">
            <v>Mission Air Ltd</v>
          </cell>
          <cell r="F774" t="str">
            <v>Subcontractor</v>
          </cell>
          <cell r="G774" t="str">
            <v>02/08/2020</v>
          </cell>
          <cell r="H774" t="str">
            <v>Part</v>
          </cell>
          <cell r="I774" t="str">
            <v/>
          </cell>
          <cell r="J774">
            <v>79260</v>
          </cell>
          <cell r="K774">
            <v>15852</v>
          </cell>
          <cell r="L774">
            <v>79260</v>
          </cell>
          <cell r="M774" t="str">
            <v/>
          </cell>
          <cell r="N774">
            <v>0</v>
          </cell>
        </row>
        <row r="775">
          <cell r="A775">
            <v>19342</v>
          </cell>
          <cell r="B775" t="str">
            <v>24/09/2020</v>
          </cell>
          <cell r="C775" t="str">
            <v>SERVICE</v>
          </cell>
          <cell r="D775" t="str">
            <v>12 Months PPM ( 12 x £125.00 monthly instalments)</v>
          </cell>
          <cell r="E775" t="str">
            <v>Commercial Temperature Solutions</v>
          </cell>
          <cell r="F775" t="str">
            <v>Subcontractor</v>
          </cell>
          <cell r="G775" t="str">
            <v/>
          </cell>
          <cell r="H775" t="str">
            <v/>
          </cell>
          <cell r="I775" t="str">
            <v/>
          </cell>
          <cell r="J775">
            <v>1500</v>
          </cell>
          <cell r="K775">
            <v>300</v>
          </cell>
          <cell r="L775">
            <v>0</v>
          </cell>
          <cell r="M775" t="str">
            <v/>
          </cell>
          <cell r="N775">
            <v>1500</v>
          </cell>
        </row>
        <row r="776">
          <cell r="A776">
            <v>19331</v>
          </cell>
          <cell r="B776" t="str">
            <v>23/09/2020</v>
          </cell>
          <cell r="C776" t="str">
            <v>CALLOUT</v>
          </cell>
          <cell r="D776" t="str">
            <v>The cost for investigation</v>
          </cell>
          <cell r="E776" t="str">
            <v>Key Integrated Services North West Ltd</v>
          </cell>
          <cell r="F776" t="str">
            <v>Subcontractor</v>
          </cell>
          <cell r="G776" t="str">
            <v/>
          </cell>
          <cell r="H776" t="str">
            <v/>
          </cell>
          <cell r="I776" t="str">
            <v/>
          </cell>
          <cell r="J776">
            <v>121.05</v>
          </cell>
          <cell r="K776">
            <v>24.21</v>
          </cell>
          <cell r="L776">
            <v>121.05</v>
          </cell>
          <cell r="M776" t="str">
            <v/>
          </cell>
          <cell r="N776">
            <v>0</v>
          </cell>
        </row>
        <row r="777">
          <cell r="A777">
            <v>19327</v>
          </cell>
          <cell r="B777" t="str">
            <v>22/09/2020</v>
          </cell>
          <cell r="C777" t="str">
            <v>C1693</v>
          </cell>
          <cell r="D777" t="str">
            <v/>
          </cell>
          <cell r="E777" t="str">
            <v>Red Gray Engineering Limited</v>
          </cell>
          <cell r="F777" t="str">
            <v>Subcontractor</v>
          </cell>
          <cell r="G777" t="str">
            <v>13/09/2020</v>
          </cell>
          <cell r="H777" t="str">
            <v>Part</v>
          </cell>
          <cell r="I777" t="str">
            <v/>
          </cell>
          <cell r="J777">
            <v>185498.46</v>
          </cell>
          <cell r="K777">
            <v>37099.69</v>
          </cell>
          <cell r="L777">
            <v>185498.46</v>
          </cell>
          <cell r="M777" t="str">
            <v/>
          </cell>
          <cell r="N777">
            <v>0</v>
          </cell>
        </row>
        <row r="778">
          <cell r="A778">
            <v>19325</v>
          </cell>
          <cell r="B778" t="str">
            <v>22/09/2020</v>
          </cell>
          <cell r="C778" t="str">
            <v>CALLOUT</v>
          </cell>
          <cell r="D778" t="str">
            <v>Connect the fire interface and programme</v>
          </cell>
          <cell r="E778" t="str">
            <v>Ansa Elevators Limited</v>
          </cell>
          <cell r="F778" t="str">
            <v>Subcontractor</v>
          </cell>
          <cell r="G778" t="str">
            <v/>
          </cell>
          <cell r="H778" t="str">
            <v/>
          </cell>
          <cell r="I778" t="str">
            <v/>
          </cell>
          <cell r="J778">
            <v>403.5</v>
          </cell>
          <cell r="K778">
            <v>80.7</v>
          </cell>
          <cell r="L778">
            <v>403.5</v>
          </cell>
          <cell r="M778" t="str">
            <v/>
          </cell>
          <cell r="N778">
            <v>0</v>
          </cell>
        </row>
        <row r="779">
          <cell r="A779">
            <v>19324</v>
          </cell>
          <cell r="B779" t="str">
            <v>22/09/2020</v>
          </cell>
          <cell r="C779" t="str">
            <v>QUOTED</v>
          </cell>
          <cell r="D779" t="str">
            <v>Carry out repairs your ref OPO24735</v>
          </cell>
          <cell r="E779" t="str">
            <v>Ansa Elevators Limited</v>
          </cell>
          <cell r="F779" t="str">
            <v>Subcontractor</v>
          </cell>
          <cell r="G779" t="str">
            <v/>
          </cell>
          <cell r="H779" t="str">
            <v/>
          </cell>
          <cell r="I779" t="str">
            <v/>
          </cell>
          <cell r="J779">
            <v>1746</v>
          </cell>
          <cell r="K779">
            <v>349.2</v>
          </cell>
          <cell r="L779">
            <v>1746</v>
          </cell>
          <cell r="M779" t="str">
            <v/>
          </cell>
          <cell r="N779">
            <v>0</v>
          </cell>
        </row>
        <row r="780">
          <cell r="A780">
            <v>19323</v>
          </cell>
          <cell r="B780" t="str">
            <v>22/09/2020</v>
          </cell>
          <cell r="C780" t="str">
            <v>C1700</v>
          </cell>
          <cell r="D780" t="str">
            <v>LTHW Commissioning</v>
          </cell>
          <cell r="E780" t="str">
            <v>New Era Commissioning Specialists Ltd</v>
          </cell>
          <cell r="F780" t="str">
            <v>Subcontractor</v>
          </cell>
          <cell r="G780" t="str">
            <v>19/10/2020</v>
          </cell>
          <cell r="H780" t="str">
            <v>Part</v>
          </cell>
          <cell r="I780" t="str">
            <v/>
          </cell>
          <cell r="J780">
            <v>1500</v>
          </cell>
          <cell r="K780">
            <v>300</v>
          </cell>
          <cell r="L780">
            <v>1500</v>
          </cell>
          <cell r="M780" t="str">
            <v/>
          </cell>
          <cell r="N780">
            <v>0</v>
          </cell>
        </row>
        <row r="781">
          <cell r="A781">
            <v>19318</v>
          </cell>
          <cell r="B781" t="str">
            <v>22/09/2020</v>
          </cell>
          <cell r="C781" t="str">
            <v>CALLOUT</v>
          </cell>
          <cell r="D781" t="str">
            <v>The battery pack for 11 Lumanaries and 1 complete downlight</v>
          </cell>
          <cell r="E781" t="str">
            <v>Key Integrated Services North West Ltd</v>
          </cell>
          <cell r="F781" t="str">
            <v>Subcontractor</v>
          </cell>
          <cell r="G781" t="str">
            <v/>
          </cell>
          <cell r="H781" t="str">
            <v/>
          </cell>
          <cell r="I781" t="str">
            <v/>
          </cell>
          <cell r="J781">
            <v>600</v>
          </cell>
          <cell r="K781">
            <v>120</v>
          </cell>
          <cell r="L781">
            <v>600</v>
          </cell>
          <cell r="M781" t="str">
            <v/>
          </cell>
          <cell r="N781">
            <v>0</v>
          </cell>
        </row>
        <row r="782">
          <cell r="A782">
            <v>19316</v>
          </cell>
          <cell r="B782" t="str">
            <v>21/09/2020</v>
          </cell>
          <cell r="C782" t="str">
            <v>QUOTED</v>
          </cell>
          <cell r="D782" t="str">
            <v>Installation of Gas Suprression System</v>
          </cell>
          <cell r="E782" t="str">
            <v>Key Integrated Services North West Ltd</v>
          </cell>
          <cell r="F782" t="str">
            <v>Subcontractor</v>
          </cell>
          <cell r="G782" t="str">
            <v/>
          </cell>
          <cell r="H782" t="str">
            <v/>
          </cell>
          <cell r="I782" t="str">
            <v/>
          </cell>
          <cell r="J782">
            <v>3538</v>
          </cell>
          <cell r="K782">
            <v>707.6</v>
          </cell>
          <cell r="L782">
            <v>3538</v>
          </cell>
          <cell r="M782" t="str">
            <v/>
          </cell>
          <cell r="N782">
            <v>0</v>
          </cell>
        </row>
        <row r="783">
          <cell r="A783">
            <v>19315</v>
          </cell>
          <cell r="B783" t="str">
            <v>21/09/2020</v>
          </cell>
          <cell r="C783" t="str">
            <v>QUOTED</v>
          </cell>
          <cell r="D783" t="str">
            <v>Installation of new Isolators</v>
          </cell>
          <cell r="E783" t="str">
            <v>Key Integrated Services North West Ltd</v>
          </cell>
          <cell r="F783" t="str">
            <v>Subcontractor</v>
          </cell>
          <cell r="G783" t="str">
            <v/>
          </cell>
          <cell r="H783" t="str">
            <v/>
          </cell>
          <cell r="I783" t="str">
            <v/>
          </cell>
          <cell r="J783">
            <v>855.7</v>
          </cell>
          <cell r="K783">
            <v>171.14</v>
          </cell>
          <cell r="L783">
            <v>855.7</v>
          </cell>
          <cell r="M783" t="str">
            <v/>
          </cell>
          <cell r="N783">
            <v>0</v>
          </cell>
        </row>
        <row r="784">
          <cell r="A784">
            <v>19312</v>
          </cell>
          <cell r="B784" t="str">
            <v>21/09/2020</v>
          </cell>
          <cell r="C784" t="str">
            <v>C1698</v>
          </cell>
          <cell r="D784" t="str">
            <v>Plumbing Labour to complete Mezzanine Toilets</v>
          </cell>
          <cell r="E784" t="str">
            <v>North West Renewables Ltd</v>
          </cell>
          <cell r="F784" t="str">
            <v>Subcontractor</v>
          </cell>
          <cell r="G784" t="str">
            <v>21/09/2020</v>
          </cell>
          <cell r="H784" t="str">
            <v/>
          </cell>
          <cell r="I784" t="str">
            <v/>
          </cell>
          <cell r="J784">
            <v>2282.63</v>
          </cell>
          <cell r="K784">
            <v>456.53</v>
          </cell>
          <cell r="L784">
            <v>2282.63</v>
          </cell>
          <cell r="M784" t="str">
            <v/>
          </cell>
          <cell r="N784">
            <v>0</v>
          </cell>
        </row>
        <row r="785">
          <cell r="A785">
            <v>19311</v>
          </cell>
          <cell r="B785" t="str">
            <v>21/09/2020</v>
          </cell>
          <cell r="C785" t="str">
            <v>C1705</v>
          </cell>
          <cell r="D785" t="str">
            <v>Supply &amp; Install Daikin Heat pump condensor, AHU Interface B</v>
          </cell>
          <cell r="E785" t="str">
            <v>Coolair Equipment Ltd</v>
          </cell>
          <cell r="F785" t="str">
            <v>Subcontractor</v>
          </cell>
          <cell r="G785" t="str">
            <v>15/10/2020</v>
          </cell>
          <cell r="H785" t="str">
            <v/>
          </cell>
          <cell r="I785" t="str">
            <v/>
          </cell>
          <cell r="J785">
            <v>4833</v>
          </cell>
          <cell r="K785">
            <v>966.6</v>
          </cell>
          <cell r="L785">
            <v>4833</v>
          </cell>
          <cell r="M785" t="str">
            <v/>
          </cell>
          <cell r="N785">
            <v>0</v>
          </cell>
        </row>
        <row r="786">
          <cell r="A786">
            <v>19309</v>
          </cell>
          <cell r="B786" t="str">
            <v>18/09/2020</v>
          </cell>
          <cell r="C786" t="str">
            <v>C1705</v>
          </cell>
          <cell r="D786" t="str">
            <v>Supply &amp; Install Ductwork System for the BCM Dispensary</v>
          </cell>
          <cell r="E786" t="str">
            <v>Firth Sheet Metal Limited</v>
          </cell>
          <cell r="F786" t="str">
            <v>Subcontractor</v>
          </cell>
          <cell r="G786" t="str">
            <v>14/09/2020</v>
          </cell>
          <cell r="H786" t="str">
            <v>Part</v>
          </cell>
          <cell r="I786" t="str">
            <v>Posted</v>
          </cell>
          <cell r="J786">
            <v>141500</v>
          </cell>
          <cell r="K786">
            <v>28300</v>
          </cell>
          <cell r="L786">
            <v>141219</v>
          </cell>
          <cell r="M786" t="str">
            <v/>
          </cell>
          <cell r="N786">
            <v>281</v>
          </cell>
        </row>
        <row r="787">
          <cell r="A787">
            <v>19306</v>
          </cell>
          <cell r="B787" t="str">
            <v>18/09/2020</v>
          </cell>
          <cell r="C787" t="str">
            <v>C1695</v>
          </cell>
          <cell r="D787" t="str">
            <v>Installation of 'Free Issue' Mitsubishi condensing unit and</v>
          </cell>
          <cell r="E787" t="str">
            <v>Complete Cooling Services Limited</v>
          </cell>
          <cell r="F787" t="str">
            <v>Subcontractor</v>
          </cell>
          <cell r="G787" t="str">
            <v>23/09/2020</v>
          </cell>
          <cell r="H787" t="str">
            <v/>
          </cell>
          <cell r="I787" t="str">
            <v/>
          </cell>
          <cell r="J787">
            <v>2500</v>
          </cell>
          <cell r="K787">
            <v>500</v>
          </cell>
          <cell r="L787">
            <v>2500</v>
          </cell>
          <cell r="M787" t="str">
            <v/>
          </cell>
          <cell r="N787">
            <v>0</v>
          </cell>
        </row>
        <row r="788">
          <cell r="A788">
            <v>19304</v>
          </cell>
          <cell r="B788" t="str">
            <v>18/09/2020</v>
          </cell>
          <cell r="C788" t="str">
            <v>C1700</v>
          </cell>
          <cell r="D788" t="str">
            <v>Saturday 26th September 2020</v>
          </cell>
          <cell r="E788" t="str">
            <v>Concrete Drilling Services Limited</v>
          </cell>
          <cell r="F788" t="str">
            <v>Subcontractor</v>
          </cell>
          <cell r="G788" t="str">
            <v/>
          </cell>
          <cell r="H788" t="str">
            <v/>
          </cell>
          <cell r="I788" t="str">
            <v/>
          </cell>
          <cell r="J788">
            <v>450</v>
          </cell>
          <cell r="K788">
            <v>90</v>
          </cell>
          <cell r="L788">
            <v>0</v>
          </cell>
          <cell r="M788" t="str">
            <v/>
          </cell>
          <cell r="N788">
            <v>450</v>
          </cell>
        </row>
        <row r="789">
          <cell r="A789">
            <v>19299</v>
          </cell>
          <cell r="B789" t="str">
            <v>16/09/2020</v>
          </cell>
          <cell r="C789" t="str">
            <v>C1660</v>
          </cell>
          <cell r="D789" t="str">
            <v>Contract lift and locate water skid package</v>
          </cell>
          <cell r="E789" t="str">
            <v>Armquest Industrial Services Ltd</v>
          </cell>
          <cell r="F789" t="str">
            <v>Subcontractor</v>
          </cell>
          <cell r="G789" t="str">
            <v>22/09/2020</v>
          </cell>
          <cell r="H789" t="str">
            <v/>
          </cell>
          <cell r="I789" t="str">
            <v/>
          </cell>
          <cell r="J789">
            <v>1600</v>
          </cell>
          <cell r="K789">
            <v>320</v>
          </cell>
          <cell r="L789">
            <v>1600</v>
          </cell>
          <cell r="M789" t="str">
            <v/>
          </cell>
          <cell r="N789">
            <v>0</v>
          </cell>
        </row>
        <row r="790">
          <cell r="A790">
            <v>19278</v>
          </cell>
          <cell r="B790" t="str">
            <v>11/09/2020</v>
          </cell>
          <cell r="C790" t="str">
            <v>A2000</v>
          </cell>
          <cell r="D790" t="str">
            <v>Initial attendance</v>
          </cell>
          <cell r="E790" t="str">
            <v>Impact Control Systems Ltd</v>
          </cell>
          <cell r="F790" t="str">
            <v>Subcontractor</v>
          </cell>
          <cell r="G790" t="str">
            <v/>
          </cell>
          <cell r="H790" t="str">
            <v>Complete</v>
          </cell>
          <cell r="I790" t="str">
            <v/>
          </cell>
          <cell r="J790">
            <v>0</v>
          </cell>
          <cell r="K790">
            <v>0</v>
          </cell>
          <cell r="L790">
            <v>0</v>
          </cell>
          <cell r="M790" t="str">
            <v/>
          </cell>
          <cell r="N790">
            <v>0</v>
          </cell>
        </row>
        <row r="791">
          <cell r="A791">
            <v>19274</v>
          </cell>
          <cell r="B791" t="str">
            <v>11/09/2020</v>
          </cell>
          <cell r="C791" t="str">
            <v>QUOTED</v>
          </cell>
          <cell r="D791" t="str">
            <v>Spares Required:</v>
          </cell>
          <cell r="E791" t="str">
            <v>Impact Control Systems Ltd</v>
          </cell>
          <cell r="F791" t="str">
            <v>Subcontractor</v>
          </cell>
          <cell r="G791" t="str">
            <v/>
          </cell>
          <cell r="H791" t="str">
            <v>Part</v>
          </cell>
          <cell r="I791" t="str">
            <v/>
          </cell>
          <cell r="J791">
            <v>870</v>
          </cell>
          <cell r="K791">
            <v>174</v>
          </cell>
          <cell r="L791">
            <v>870</v>
          </cell>
          <cell r="M791" t="str">
            <v/>
          </cell>
          <cell r="N791">
            <v>0</v>
          </cell>
        </row>
        <row r="792">
          <cell r="A792">
            <v>19272</v>
          </cell>
          <cell r="B792" t="str">
            <v>11/09/2020</v>
          </cell>
          <cell r="C792" t="str">
            <v>CALLOUT</v>
          </cell>
          <cell r="D792" t="str">
            <v>Fire alarm continusly going off</v>
          </cell>
          <cell r="E792" t="str">
            <v>Marlowe Fire &amp; Security Limited</v>
          </cell>
          <cell r="F792" t="str">
            <v>Subcontractor</v>
          </cell>
          <cell r="G792" t="str">
            <v/>
          </cell>
          <cell r="H792" t="str">
            <v>Part</v>
          </cell>
          <cell r="I792" t="str">
            <v/>
          </cell>
          <cell r="J792">
            <v>145.13</v>
          </cell>
          <cell r="K792">
            <v>29.03</v>
          </cell>
          <cell r="L792">
            <v>145.13</v>
          </cell>
          <cell r="M792" t="str">
            <v/>
          </cell>
          <cell r="N792">
            <v>0</v>
          </cell>
        </row>
        <row r="793">
          <cell r="A793">
            <v>19260</v>
          </cell>
          <cell r="B793" t="str">
            <v>09/09/2020</v>
          </cell>
          <cell r="C793" t="str">
            <v>CALLOUT</v>
          </cell>
          <cell r="D793" t="str">
            <v>Carry out Covid 19 Checks</v>
          </cell>
          <cell r="E793" t="str">
            <v>Commercial Temperature Solutions</v>
          </cell>
          <cell r="F793" t="str">
            <v>Subcontractor</v>
          </cell>
          <cell r="G793" t="str">
            <v/>
          </cell>
          <cell r="H793" t="str">
            <v>Part</v>
          </cell>
          <cell r="I793" t="str">
            <v/>
          </cell>
          <cell r="J793">
            <v>130</v>
          </cell>
          <cell r="K793">
            <v>26</v>
          </cell>
          <cell r="L793">
            <v>130</v>
          </cell>
          <cell r="M793" t="str">
            <v/>
          </cell>
          <cell r="N793">
            <v>0</v>
          </cell>
        </row>
        <row r="794">
          <cell r="A794">
            <v>19242</v>
          </cell>
          <cell r="B794" t="str">
            <v>04/09/2020</v>
          </cell>
          <cell r="C794" t="str">
            <v>C1698</v>
          </cell>
          <cell r="D794" t="str">
            <v>Gas &amp; Plumbing Works at Tesco NDC Livingston</v>
          </cell>
          <cell r="E794" t="str">
            <v>Blantyre Park Services Limited</v>
          </cell>
          <cell r="F794" t="str">
            <v>Subcontractor</v>
          </cell>
          <cell r="G794" t="str">
            <v>14/09/2020</v>
          </cell>
          <cell r="H794" t="str">
            <v>Part</v>
          </cell>
          <cell r="I794" t="str">
            <v/>
          </cell>
          <cell r="J794">
            <v>72283.77</v>
          </cell>
          <cell r="K794">
            <v>14456.75</v>
          </cell>
          <cell r="L794">
            <v>72283.77</v>
          </cell>
          <cell r="M794" t="str">
            <v/>
          </cell>
          <cell r="N794">
            <v>0</v>
          </cell>
        </row>
        <row r="795">
          <cell r="A795">
            <v>19239</v>
          </cell>
          <cell r="B795" t="str">
            <v>04/09/2020</v>
          </cell>
          <cell r="C795" t="str">
            <v>CALLOUT</v>
          </cell>
          <cell r="D795" t="str">
            <v>Supply &amp; Install 4no Double Electric Sockets</v>
          </cell>
          <cell r="E795" t="str">
            <v>Key Integrated Services North West Ltd</v>
          </cell>
          <cell r="F795" t="str">
            <v>Subcontractor</v>
          </cell>
          <cell r="G795" t="str">
            <v/>
          </cell>
          <cell r="H795" t="str">
            <v/>
          </cell>
          <cell r="I795" t="str">
            <v/>
          </cell>
          <cell r="J795">
            <v>600</v>
          </cell>
          <cell r="K795">
            <v>120</v>
          </cell>
          <cell r="L795">
            <v>600</v>
          </cell>
          <cell r="M795" t="str">
            <v/>
          </cell>
          <cell r="N795">
            <v>0</v>
          </cell>
        </row>
        <row r="796">
          <cell r="A796">
            <v>19237</v>
          </cell>
          <cell r="B796" t="str">
            <v>04/09/2020</v>
          </cell>
          <cell r="C796" t="str">
            <v>C1652</v>
          </cell>
          <cell r="D796" t="str">
            <v>Line stopping as per your quotation APSQ13508</v>
          </cell>
          <cell r="E796" t="str">
            <v>Allied Pipefreezing Services Limited</v>
          </cell>
          <cell r="F796" t="str">
            <v>Subcontractor</v>
          </cell>
          <cell r="G796" t="str">
            <v/>
          </cell>
          <cell r="H796" t="str">
            <v/>
          </cell>
          <cell r="I796" t="str">
            <v/>
          </cell>
          <cell r="J796">
            <v>2400</v>
          </cell>
          <cell r="K796">
            <v>480</v>
          </cell>
          <cell r="L796">
            <v>2400</v>
          </cell>
          <cell r="M796" t="str">
            <v/>
          </cell>
          <cell r="N796">
            <v>0</v>
          </cell>
        </row>
        <row r="797">
          <cell r="A797">
            <v>19236</v>
          </cell>
          <cell r="B797" t="str">
            <v>03/09/2020</v>
          </cell>
          <cell r="C797" t="str">
            <v>C1700</v>
          </cell>
          <cell r="D797" t="str">
            <v>Erect and dismantle scafollding Saturday 12th September 2020</v>
          </cell>
          <cell r="E797" t="str">
            <v>Climax Scaffolding Limited</v>
          </cell>
          <cell r="F797" t="str">
            <v>Subcontractor</v>
          </cell>
          <cell r="G797" t="str">
            <v>12/09/2020</v>
          </cell>
          <cell r="H797" t="str">
            <v/>
          </cell>
          <cell r="I797" t="str">
            <v/>
          </cell>
          <cell r="J797">
            <v>3889</v>
          </cell>
          <cell r="K797">
            <v>777.8</v>
          </cell>
          <cell r="L797">
            <v>3889</v>
          </cell>
          <cell r="M797" t="str">
            <v/>
          </cell>
          <cell r="N797">
            <v>0</v>
          </cell>
        </row>
        <row r="798">
          <cell r="A798">
            <v>19235</v>
          </cell>
          <cell r="B798" t="str">
            <v>03/09/2020</v>
          </cell>
          <cell r="C798" t="str">
            <v>C1597</v>
          </cell>
          <cell r="D798" t="str">
            <v>Gas pipe mod</v>
          </cell>
          <cell r="E798" t="str">
            <v>Buckley Plumbing &amp; Mechanical Services</v>
          </cell>
          <cell r="F798" t="str">
            <v>Subcontractor</v>
          </cell>
          <cell r="G798" t="str">
            <v/>
          </cell>
          <cell r="H798" t="str">
            <v/>
          </cell>
          <cell r="I798" t="str">
            <v/>
          </cell>
          <cell r="J798">
            <v>4296.05</v>
          </cell>
          <cell r="K798">
            <v>859.21</v>
          </cell>
          <cell r="L798">
            <v>4296.05</v>
          </cell>
          <cell r="M798" t="str">
            <v/>
          </cell>
          <cell r="N798">
            <v>0</v>
          </cell>
        </row>
        <row r="799">
          <cell r="A799">
            <v>19228</v>
          </cell>
          <cell r="B799" t="str">
            <v>03/09/2020</v>
          </cell>
          <cell r="C799" t="str">
            <v>CALLOUT</v>
          </cell>
          <cell r="D799" t="str">
            <v>Attend site as per quote ref OPO24559</v>
          </cell>
          <cell r="E799" t="str">
            <v>Ansa Elevators Limited</v>
          </cell>
          <cell r="F799" t="str">
            <v>Subcontractor</v>
          </cell>
          <cell r="G799" t="str">
            <v/>
          </cell>
          <cell r="H799" t="str">
            <v/>
          </cell>
          <cell r="I799" t="str">
            <v/>
          </cell>
          <cell r="J799">
            <v>168</v>
          </cell>
          <cell r="K799">
            <v>33.6</v>
          </cell>
          <cell r="L799">
            <v>168</v>
          </cell>
          <cell r="M799" t="str">
            <v/>
          </cell>
          <cell r="N799">
            <v>0</v>
          </cell>
        </row>
        <row r="800">
          <cell r="A800">
            <v>19225</v>
          </cell>
          <cell r="B800" t="str">
            <v>03/09/2020</v>
          </cell>
          <cell r="C800" t="str">
            <v>SM001 CALLOUT</v>
          </cell>
          <cell r="D800" t="str">
            <v>Attedn site to investigate Flickering Light</v>
          </cell>
          <cell r="E800" t="str">
            <v>Derek Austin Heating Limited</v>
          </cell>
          <cell r="F800" t="str">
            <v>Subcontractor</v>
          </cell>
          <cell r="G800" t="str">
            <v/>
          </cell>
          <cell r="H800" t="str">
            <v>Complete</v>
          </cell>
          <cell r="I800" t="str">
            <v/>
          </cell>
          <cell r="J800">
            <v>0</v>
          </cell>
          <cell r="K800">
            <v>0</v>
          </cell>
          <cell r="L800">
            <v>0</v>
          </cell>
          <cell r="M800" t="str">
            <v/>
          </cell>
          <cell r="N800">
            <v>0</v>
          </cell>
        </row>
        <row r="801">
          <cell r="A801">
            <v>19222</v>
          </cell>
          <cell r="B801" t="str">
            <v>03/09/2020</v>
          </cell>
          <cell r="C801" t="str">
            <v>QUOTED</v>
          </cell>
          <cell r="D801" t="str">
            <v>To carry out Option 2 Quoted works</v>
          </cell>
          <cell r="E801" t="str">
            <v>PH17 LTD</v>
          </cell>
          <cell r="F801" t="str">
            <v>Subcontractor</v>
          </cell>
          <cell r="G801" t="str">
            <v/>
          </cell>
          <cell r="H801" t="str">
            <v/>
          </cell>
          <cell r="I801" t="str">
            <v/>
          </cell>
          <cell r="J801">
            <v>1533</v>
          </cell>
          <cell r="K801">
            <v>306.60000000000002</v>
          </cell>
          <cell r="L801">
            <v>1533</v>
          </cell>
          <cell r="M801" t="str">
            <v/>
          </cell>
          <cell r="N801">
            <v>0</v>
          </cell>
        </row>
        <row r="802">
          <cell r="A802">
            <v>19217</v>
          </cell>
          <cell r="B802" t="str">
            <v>02/09/2020</v>
          </cell>
          <cell r="C802" t="str">
            <v>C1705</v>
          </cell>
          <cell r="D802" t="str">
            <v>Enabling works as emailed quotation</v>
          </cell>
          <cell r="E802" t="str">
            <v>Firth Sheet Metal Limited</v>
          </cell>
          <cell r="F802" t="str">
            <v>Subcontractor</v>
          </cell>
          <cell r="G802" t="str">
            <v/>
          </cell>
          <cell r="H802" t="str">
            <v>Complete</v>
          </cell>
          <cell r="I802" t="str">
            <v/>
          </cell>
          <cell r="J802">
            <v>0</v>
          </cell>
          <cell r="K802">
            <v>0</v>
          </cell>
          <cell r="L802">
            <v>0</v>
          </cell>
          <cell r="M802" t="str">
            <v/>
          </cell>
          <cell r="N802">
            <v>0</v>
          </cell>
        </row>
        <row r="803">
          <cell r="A803">
            <v>19208</v>
          </cell>
          <cell r="B803" t="str">
            <v>01/09/2020</v>
          </cell>
          <cell r="C803" t="str">
            <v>CALLOUT</v>
          </cell>
          <cell r="D803" t="str">
            <v>Attend site to replace Fuse to Kitchen Extract</v>
          </cell>
          <cell r="E803" t="str">
            <v>Key Integrated Services North West Ltd</v>
          </cell>
          <cell r="F803" t="str">
            <v>Subcontractor</v>
          </cell>
          <cell r="G803" t="str">
            <v/>
          </cell>
          <cell r="H803" t="str">
            <v/>
          </cell>
          <cell r="I803" t="str">
            <v/>
          </cell>
          <cell r="J803">
            <v>137.66</v>
          </cell>
          <cell r="K803">
            <v>27.53</v>
          </cell>
          <cell r="L803">
            <v>0</v>
          </cell>
          <cell r="M803" t="str">
            <v/>
          </cell>
          <cell r="N803">
            <v>137.66</v>
          </cell>
        </row>
        <row r="804">
          <cell r="A804">
            <v>19206</v>
          </cell>
          <cell r="B804" t="str">
            <v>01/09/2020</v>
          </cell>
          <cell r="C804" t="str">
            <v>CALLOUT</v>
          </cell>
          <cell r="D804" t="str">
            <v>Investigate Kitchen Extract</v>
          </cell>
          <cell r="E804" t="str">
            <v>Key Integrated Services North West Ltd</v>
          </cell>
          <cell r="F804" t="str">
            <v>Subcontractor</v>
          </cell>
          <cell r="G804" t="str">
            <v/>
          </cell>
          <cell r="H804" t="str">
            <v/>
          </cell>
          <cell r="I804" t="str">
            <v/>
          </cell>
          <cell r="J804">
            <v>122.44</v>
          </cell>
          <cell r="K804">
            <v>24.49</v>
          </cell>
          <cell r="L804">
            <v>122.44</v>
          </cell>
          <cell r="M804" t="str">
            <v/>
          </cell>
          <cell r="N804">
            <v>0</v>
          </cell>
        </row>
        <row r="805">
          <cell r="A805">
            <v>19194</v>
          </cell>
          <cell r="B805" t="str">
            <v>28/08/2020</v>
          </cell>
          <cell r="C805" t="str">
            <v>C1700</v>
          </cell>
          <cell r="D805" t="str">
            <v>Builderswork Saturday 5th September 2020</v>
          </cell>
          <cell r="E805" t="str">
            <v>Concrete Drilling Services Limited</v>
          </cell>
          <cell r="F805" t="str">
            <v>Subcontractor</v>
          </cell>
          <cell r="G805" t="str">
            <v>05/09/2020</v>
          </cell>
          <cell r="H805" t="str">
            <v/>
          </cell>
          <cell r="I805" t="str">
            <v/>
          </cell>
          <cell r="J805">
            <v>1350</v>
          </cell>
          <cell r="K805">
            <v>270</v>
          </cell>
          <cell r="L805">
            <v>1350</v>
          </cell>
          <cell r="M805" t="str">
            <v/>
          </cell>
          <cell r="N805">
            <v>0</v>
          </cell>
        </row>
        <row r="806">
          <cell r="A806">
            <v>19173</v>
          </cell>
          <cell r="B806" t="str">
            <v>26/08/2020</v>
          </cell>
          <cell r="C806" t="str">
            <v>SERVICE</v>
          </cell>
          <cell r="D806" t="str">
            <v>Fire Detection &amp; Fire Alarm System</v>
          </cell>
          <cell r="E806" t="str">
            <v>Security and Fire Experts Ltd</v>
          </cell>
          <cell r="F806" t="str">
            <v>Subcontractor</v>
          </cell>
          <cell r="G806" t="str">
            <v/>
          </cell>
          <cell r="H806" t="str">
            <v/>
          </cell>
          <cell r="I806" t="str">
            <v/>
          </cell>
          <cell r="J806">
            <v>1212.95</v>
          </cell>
          <cell r="K806">
            <v>242.59</v>
          </cell>
          <cell r="L806">
            <v>1097.99</v>
          </cell>
          <cell r="M806" t="str">
            <v/>
          </cell>
          <cell r="N806">
            <v>114.96</v>
          </cell>
        </row>
        <row r="807">
          <cell r="A807">
            <v>19171</v>
          </cell>
          <cell r="B807" t="str">
            <v>26/08/2020</v>
          </cell>
          <cell r="C807" t="str">
            <v>SERVICE</v>
          </cell>
          <cell r="D807" t="str">
            <v>Bronze Package (2no Visits per annum)</v>
          </cell>
          <cell r="E807" t="str">
            <v>Impact Control Systems Ltd</v>
          </cell>
          <cell r="F807" t="str">
            <v>Subcontractor</v>
          </cell>
          <cell r="G807" t="str">
            <v/>
          </cell>
          <cell r="H807" t="str">
            <v/>
          </cell>
          <cell r="I807" t="str">
            <v/>
          </cell>
          <cell r="J807">
            <v>930</v>
          </cell>
          <cell r="K807">
            <v>186</v>
          </cell>
          <cell r="L807">
            <v>930</v>
          </cell>
          <cell r="M807" t="str">
            <v/>
          </cell>
          <cell r="N807">
            <v>0</v>
          </cell>
        </row>
        <row r="808">
          <cell r="A808">
            <v>19167</v>
          </cell>
          <cell r="B808" t="str">
            <v>25/08/2020</v>
          </cell>
          <cell r="C808" t="str">
            <v>SM001 CALLOUT</v>
          </cell>
          <cell r="D808" t="str">
            <v>Investigated AC Leak 12.08.2020</v>
          </cell>
          <cell r="E808" t="str">
            <v>Pole to Pole Climate Control Ltd</v>
          </cell>
          <cell r="F808" t="str">
            <v>Subcontractor</v>
          </cell>
          <cell r="G808" t="str">
            <v/>
          </cell>
          <cell r="H808" t="str">
            <v/>
          </cell>
          <cell r="I808" t="str">
            <v/>
          </cell>
          <cell r="J808">
            <v>150</v>
          </cell>
          <cell r="K808">
            <v>30</v>
          </cell>
          <cell r="L808">
            <v>0</v>
          </cell>
          <cell r="M808" t="str">
            <v/>
          </cell>
          <cell r="N808">
            <v>150</v>
          </cell>
        </row>
        <row r="809">
          <cell r="A809">
            <v>19165</v>
          </cell>
          <cell r="B809" t="str">
            <v>25/08/2020</v>
          </cell>
          <cell r="C809" t="str">
            <v>SM001 CALLOUT</v>
          </cell>
          <cell r="D809" t="str">
            <v>Attended site to investigate water leak</v>
          </cell>
          <cell r="E809" t="str">
            <v>Viabl Ltd T/A Able</v>
          </cell>
          <cell r="F809" t="str">
            <v>Subcontractor</v>
          </cell>
          <cell r="G809" t="str">
            <v/>
          </cell>
          <cell r="H809" t="str">
            <v/>
          </cell>
          <cell r="I809" t="str">
            <v/>
          </cell>
          <cell r="J809">
            <v>260</v>
          </cell>
          <cell r="K809">
            <v>52</v>
          </cell>
          <cell r="L809">
            <v>260</v>
          </cell>
          <cell r="M809" t="str">
            <v/>
          </cell>
          <cell r="N809">
            <v>0</v>
          </cell>
        </row>
        <row r="810">
          <cell r="A810">
            <v>19161</v>
          </cell>
          <cell r="B810" t="str">
            <v>25/08/2020</v>
          </cell>
          <cell r="C810" t="str">
            <v>C1698</v>
          </cell>
          <cell r="D810" t="str">
            <v>Plumbing Labour</v>
          </cell>
          <cell r="E810" t="str">
            <v>North West Renewables Ltd</v>
          </cell>
          <cell r="F810" t="str">
            <v>Subcontractor</v>
          </cell>
          <cell r="G810" t="str">
            <v>25/08/2020</v>
          </cell>
          <cell r="H810" t="str">
            <v/>
          </cell>
          <cell r="I810" t="str">
            <v/>
          </cell>
          <cell r="J810">
            <v>2282.63</v>
          </cell>
          <cell r="K810">
            <v>456.53</v>
          </cell>
          <cell r="L810">
            <v>0</v>
          </cell>
          <cell r="M810" t="str">
            <v/>
          </cell>
          <cell r="N810">
            <v>2282.63</v>
          </cell>
        </row>
        <row r="811">
          <cell r="A811">
            <v>19158</v>
          </cell>
          <cell r="B811" t="str">
            <v>24/08/2020</v>
          </cell>
          <cell r="C811" t="str">
            <v>SM001 CALLOUT</v>
          </cell>
          <cell r="D811" t="str">
            <v>Investigate no water in upstairs Toilet Pan</v>
          </cell>
          <cell r="E811" t="str">
            <v>Viabl Ltd T/A Able</v>
          </cell>
          <cell r="F811" t="str">
            <v>Subcontractor</v>
          </cell>
          <cell r="G811" t="str">
            <v/>
          </cell>
          <cell r="H811" t="str">
            <v/>
          </cell>
          <cell r="I811" t="str">
            <v/>
          </cell>
          <cell r="J811">
            <v>125</v>
          </cell>
          <cell r="K811">
            <v>25</v>
          </cell>
          <cell r="L811">
            <v>125</v>
          </cell>
          <cell r="M811" t="str">
            <v/>
          </cell>
          <cell r="N811">
            <v>0</v>
          </cell>
        </row>
        <row r="812">
          <cell r="A812">
            <v>19153</v>
          </cell>
          <cell r="B812" t="str">
            <v>21/08/2020</v>
          </cell>
          <cell r="C812" t="str">
            <v>QUOTED</v>
          </cell>
          <cell r="D812" t="str">
            <v>Exchange 52 LED/Bulkhead Lights free issue</v>
          </cell>
          <cell r="E812" t="str">
            <v>Key Integrated Services North West Ltd</v>
          </cell>
          <cell r="F812" t="str">
            <v>Subcontractor</v>
          </cell>
          <cell r="G812" t="str">
            <v/>
          </cell>
          <cell r="H812" t="str">
            <v/>
          </cell>
          <cell r="I812" t="str">
            <v/>
          </cell>
          <cell r="J812">
            <v>921.67</v>
          </cell>
          <cell r="K812">
            <v>184.33</v>
          </cell>
          <cell r="L812">
            <v>921.67</v>
          </cell>
          <cell r="M812" t="str">
            <v/>
          </cell>
          <cell r="N812">
            <v>0</v>
          </cell>
        </row>
        <row r="813">
          <cell r="A813">
            <v>19147</v>
          </cell>
          <cell r="B813" t="str">
            <v>21/08/2020</v>
          </cell>
          <cell r="C813" t="str">
            <v>C1597</v>
          </cell>
          <cell r="D813" t="str">
            <v>Gas pipework Installation and testing</v>
          </cell>
          <cell r="E813" t="str">
            <v>Buckley Plumbing &amp; Mechanical Services</v>
          </cell>
          <cell r="F813" t="str">
            <v>Subcontractor</v>
          </cell>
          <cell r="G813" t="str">
            <v/>
          </cell>
          <cell r="H813" t="str">
            <v>Complete</v>
          </cell>
          <cell r="I813" t="str">
            <v/>
          </cell>
          <cell r="J813">
            <v>0</v>
          </cell>
          <cell r="K813">
            <v>0</v>
          </cell>
          <cell r="L813">
            <v>0</v>
          </cell>
          <cell r="M813" t="str">
            <v/>
          </cell>
          <cell r="N813">
            <v>0</v>
          </cell>
        </row>
        <row r="814">
          <cell r="A814">
            <v>19144</v>
          </cell>
          <cell r="B814" t="str">
            <v>21/08/2020</v>
          </cell>
          <cell r="C814" t="str">
            <v>C1597</v>
          </cell>
          <cell r="D814" t="str">
            <v>Electrical disconnection/modification works</v>
          </cell>
          <cell r="E814" t="str">
            <v>Key Integrated Services North West Ltd</v>
          </cell>
          <cell r="F814" t="str">
            <v>Subcontractor</v>
          </cell>
          <cell r="G814" t="str">
            <v/>
          </cell>
          <cell r="H814" t="str">
            <v/>
          </cell>
          <cell r="I814" t="str">
            <v/>
          </cell>
          <cell r="J814">
            <v>328.2</v>
          </cell>
          <cell r="K814">
            <v>65.64</v>
          </cell>
          <cell r="L814">
            <v>328.2</v>
          </cell>
          <cell r="M814" t="str">
            <v/>
          </cell>
          <cell r="N814">
            <v>0</v>
          </cell>
        </row>
        <row r="815">
          <cell r="A815">
            <v>19139</v>
          </cell>
          <cell r="B815" t="str">
            <v>20/08/2020</v>
          </cell>
          <cell r="C815" t="str">
            <v>C1660</v>
          </cell>
          <cell r="D815" t="str">
            <v>Pipework and ductwork services</v>
          </cell>
          <cell r="E815" t="str">
            <v>Thermal Insulation Covers Ltd</v>
          </cell>
          <cell r="F815" t="str">
            <v>Subcontractor</v>
          </cell>
          <cell r="G815" t="str">
            <v/>
          </cell>
          <cell r="H815" t="str">
            <v>Complete</v>
          </cell>
          <cell r="I815" t="str">
            <v/>
          </cell>
          <cell r="J815">
            <v>0</v>
          </cell>
          <cell r="K815">
            <v>0</v>
          </cell>
          <cell r="L815">
            <v>0</v>
          </cell>
          <cell r="M815" t="str">
            <v/>
          </cell>
          <cell r="N815">
            <v>0</v>
          </cell>
        </row>
        <row r="816">
          <cell r="A816">
            <v>19136</v>
          </cell>
          <cell r="B816" t="str">
            <v>20/08/2020</v>
          </cell>
          <cell r="C816" t="str">
            <v>C1693</v>
          </cell>
          <cell r="D816" t="str">
            <v/>
          </cell>
          <cell r="E816" t="str">
            <v>Thermal Insulation Covers Ltd</v>
          </cell>
          <cell r="F816" t="str">
            <v>Subcontractor</v>
          </cell>
          <cell r="G816" t="str">
            <v>26/08/2020</v>
          </cell>
          <cell r="H816" t="str">
            <v>Part</v>
          </cell>
          <cell r="I816" t="str">
            <v>Posted</v>
          </cell>
          <cell r="J816">
            <v>55568.38</v>
          </cell>
          <cell r="K816">
            <v>11113.68</v>
          </cell>
          <cell r="L816">
            <v>54699.88</v>
          </cell>
          <cell r="M816" t="str">
            <v/>
          </cell>
          <cell r="N816">
            <v>868.5</v>
          </cell>
        </row>
        <row r="817">
          <cell r="A817">
            <v>19132</v>
          </cell>
          <cell r="B817" t="str">
            <v>20/08/2020</v>
          </cell>
          <cell r="C817" t="str">
            <v>C1700</v>
          </cell>
          <cell r="D817" t="str">
            <v>Thermal Insulation to Pipework Services</v>
          </cell>
          <cell r="E817" t="str">
            <v>Thermal Insulation Covers Ltd</v>
          </cell>
          <cell r="F817" t="str">
            <v>Subcontractor</v>
          </cell>
          <cell r="G817" t="str">
            <v>24/08/2020</v>
          </cell>
          <cell r="H817" t="str">
            <v>Part</v>
          </cell>
          <cell r="I817" t="str">
            <v/>
          </cell>
          <cell r="J817">
            <v>3315</v>
          </cell>
          <cell r="K817">
            <v>663</v>
          </cell>
          <cell r="L817">
            <v>3315</v>
          </cell>
          <cell r="M817" t="str">
            <v/>
          </cell>
          <cell r="N817">
            <v>0</v>
          </cell>
        </row>
        <row r="818">
          <cell r="A818">
            <v>19116</v>
          </cell>
          <cell r="B818" t="str">
            <v>18/08/2020</v>
          </cell>
          <cell r="C818" t="str">
            <v>SERVICE</v>
          </cell>
          <cell r="D818" t="str">
            <v>Carry out Water Heater Maintenance Visit</v>
          </cell>
          <cell r="E818" t="str">
            <v>Commercial Temperature Solutions</v>
          </cell>
          <cell r="F818" t="str">
            <v>Subcontractor</v>
          </cell>
          <cell r="G818" t="str">
            <v/>
          </cell>
          <cell r="H818" t="str">
            <v/>
          </cell>
          <cell r="I818" t="str">
            <v/>
          </cell>
          <cell r="J818">
            <v>200</v>
          </cell>
          <cell r="K818">
            <v>40</v>
          </cell>
          <cell r="L818">
            <v>200</v>
          </cell>
          <cell r="M818" t="str">
            <v/>
          </cell>
          <cell r="N818">
            <v>0</v>
          </cell>
        </row>
        <row r="819">
          <cell r="A819">
            <v>19115</v>
          </cell>
          <cell r="B819" t="str">
            <v>18/08/2020</v>
          </cell>
          <cell r="C819" t="str">
            <v>C1704</v>
          </cell>
          <cell r="D819" t="str">
            <v>Chris Longden Email 18.08</v>
          </cell>
          <cell r="E819" t="str">
            <v>Technical Utilities Services UK Ltd</v>
          </cell>
          <cell r="F819" t="str">
            <v>Subcontractor</v>
          </cell>
          <cell r="G819" t="str">
            <v/>
          </cell>
          <cell r="H819" t="str">
            <v/>
          </cell>
          <cell r="I819" t="str">
            <v/>
          </cell>
          <cell r="J819">
            <v>2490.75</v>
          </cell>
          <cell r="K819">
            <v>498.15</v>
          </cell>
          <cell r="L819">
            <v>2490.75</v>
          </cell>
          <cell r="M819" t="str">
            <v/>
          </cell>
          <cell r="N819">
            <v>0</v>
          </cell>
        </row>
        <row r="820">
          <cell r="A820">
            <v>19095</v>
          </cell>
          <cell r="B820" t="str">
            <v>13/08/2020</v>
          </cell>
          <cell r="C820" t="str">
            <v>SM003 QUOTED</v>
          </cell>
          <cell r="D820" t="str">
            <v>LAbour as per quotation</v>
          </cell>
          <cell r="E820" t="str">
            <v>Impact Control Systems Ltd</v>
          </cell>
          <cell r="F820" t="str">
            <v>Subcontractor</v>
          </cell>
          <cell r="G820" t="str">
            <v/>
          </cell>
          <cell r="H820" t="str">
            <v/>
          </cell>
          <cell r="I820" t="str">
            <v/>
          </cell>
          <cell r="J820">
            <v>3962</v>
          </cell>
          <cell r="K820">
            <v>792.4</v>
          </cell>
          <cell r="L820">
            <v>3962</v>
          </cell>
          <cell r="M820" t="str">
            <v/>
          </cell>
          <cell r="N820">
            <v>0</v>
          </cell>
        </row>
        <row r="821">
          <cell r="A821">
            <v>19093</v>
          </cell>
          <cell r="B821" t="str">
            <v>13/08/2020</v>
          </cell>
          <cell r="C821" t="str">
            <v>CALLOUT</v>
          </cell>
          <cell r="D821" t="str">
            <v>REplace Mag Lock in Bike Store</v>
          </cell>
          <cell r="E821" t="str">
            <v>Security and Fire Experts Ltd</v>
          </cell>
          <cell r="F821" t="str">
            <v>Subcontractor</v>
          </cell>
          <cell r="G821" t="str">
            <v/>
          </cell>
          <cell r="H821" t="str">
            <v/>
          </cell>
          <cell r="I821" t="str">
            <v/>
          </cell>
          <cell r="J821">
            <v>139.34</v>
          </cell>
          <cell r="K821">
            <v>27.87</v>
          </cell>
          <cell r="L821">
            <v>139.34</v>
          </cell>
          <cell r="M821" t="str">
            <v/>
          </cell>
          <cell r="N821">
            <v>0</v>
          </cell>
        </row>
        <row r="822">
          <cell r="A822">
            <v>19089</v>
          </cell>
          <cell r="B822" t="str">
            <v>13/08/2020</v>
          </cell>
          <cell r="C822" t="str">
            <v>C1700</v>
          </cell>
          <cell r="D822" t="str">
            <v>Electical Installation</v>
          </cell>
          <cell r="E822" t="str">
            <v>Key Integrated Services North West Ltd</v>
          </cell>
          <cell r="F822" t="str">
            <v>Subcontractor</v>
          </cell>
          <cell r="G822" t="str">
            <v/>
          </cell>
          <cell r="H822" t="str">
            <v>Part</v>
          </cell>
          <cell r="I822" t="str">
            <v/>
          </cell>
          <cell r="J822">
            <v>6047.82</v>
          </cell>
          <cell r="K822">
            <v>1209.56</v>
          </cell>
          <cell r="L822">
            <v>6047.82</v>
          </cell>
          <cell r="M822" t="str">
            <v/>
          </cell>
          <cell r="N822">
            <v>0</v>
          </cell>
        </row>
        <row r="823">
          <cell r="A823">
            <v>19087</v>
          </cell>
          <cell r="B823" t="str">
            <v>13/08/2020</v>
          </cell>
          <cell r="C823" t="str">
            <v>SERVICE</v>
          </cell>
          <cell r="D823" t="str">
            <v>AC maintenance 7 units</v>
          </cell>
          <cell r="E823" t="str">
            <v>Commercial Temperature Solutions</v>
          </cell>
          <cell r="F823" t="str">
            <v>Subcontractor</v>
          </cell>
          <cell r="G823" t="str">
            <v/>
          </cell>
          <cell r="H823" t="str">
            <v/>
          </cell>
          <cell r="I823" t="str">
            <v/>
          </cell>
          <cell r="J823">
            <v>175</v>
          </cell>
          <cell r="K823">
            <v>35</v>
          </cell>
          <cell r="L823">
            <v>175</v>
          </cell>
          <cell r="M823" t="str">
            <v/>
          </cell>
          <cell r="N823">
            <v>0</v>
          </cell>
        </row>
        <row r="824">
          <cell r="A824">
            <v>19086</v>
          </cell>
          <cell r="B824" t="str">
            <v>13/08/2020</v>
          </cell>
          <cell r="C824" t="str">
            <v>SERVICE</v>
          </cell>
          <cell r="D824" t="str">
            <v>AC Maintenance 6 units</v>
          </cell>
          <cell r="E824" t="str">
            <v>Commercial Temperature Solutions</v>
          </cell>
          <cell r="F824" t="str">
            <v>Subcontractor</v>
          </cell>
          <cell r="G824" t="str">
            <v/>
          </cell>
          <cell r="H824" t="str">
            <v/>
          </cell>
          <cell r="I824" t="str">
            <v/>
          </cell>
          <cell r="J824">
            <v>150</v>
          </cell>
          <cell r="K824">
            <v>30</v>
          </cell>
          <cell r="L824">
            <v>150</v>
          </cell>
          <cell r="M824" t="str">
            <v/>
          </cell>
          <cell r="N824">
            <v>0</v>
          </cell>
        </row>
        <row r="825">
          <cell r="A825">
            <v>19085</v>
          </cell>
          <cell r="B825" t="str">
            <v>13/08/2020</v>
          </cell>
          <cell r="C825" t="str">
            <v>CALLOUT</v>
          </cell>
          <cell r="D825" t="str">
            <v>faulty lights in 4 x area's</v>
          </cell>
          <cell r="E825" t="str">
            <v>Barrie Beard Ltd</v>
          </cell>
          <cell r="F825" t="str">
            <v>Subcontractor</v>
          </cell>
          <cell r="G825" t="str">
            <v/>
          </cell>
          <cell r="H825" t="str">
            <v>Complete</v>
          </cell>
          <cell r="I825" t="str">
            <v/>
          </cell>
          <cell r="J825">
            <v>0</v>
          </cell>
          <cell r="K825">
            <v>0</v>
          </cell>
          <cell r="L825">
            <v>0</v>
          </cell>
          <cell r="M825" t="str">
            <v/>
          </cell>
          <cell r="N825">
            <v>0</v>
          </cell>
        </row>
        <row r="826">
          <cell r="A826">
            <v>19073</v>
          </cell>
          <cell r="B826" t="str">
            <v>12/08/2020</v>
          </cell>
          <cell r="C826" t="str">
            <v>CALLOUT</v>
          </cell>
          <cell r="D826" t="str">
            <v>Call out to investigate various lights not working</v>
          </cell>
          <cell r="E826" t="str">
            <v>Barrie Beard Ltd</v>
          </cell>
          <cell r="F826" t="str">
            <v>Subcontractor</v>
          </cell>
          <cell r="G826" t="str">
            <v/>
          </cell>
          <cell r="H826" t="str">
            <v/>
          </cell>
          <cell r="I826" t="str">
            <v/>
          </cell>
          <cell r="J826">
            <v>365</v>
          </cell>
          <cell r="K826">
            <v>73</v>
          </cell>
          <cell r="L826">
            <v>365</v>
          </cell>
          <cell r="M826" t="str">
            <v/>
          </cell>
          <cell r="N826">
            <v>0</v>
          </cell>
        </row>
        <row r="827">
          <cell r="A827">
            <v>19064</v>
          </cell>
          <cell r="B827" t="str">
            <v>11/08/2020</v>
          </cell>
          <cell r="C827" t="str">
            <v>C1693</v>
          </cell>
          <cell r="D827" t="str">
            <v/>
          </cell>
          <cell r="E827" t="str">
            <v>Armquest Industrial Services Ltd</v>
          </cell>
          <cell r="F827" t="str">
            <v>Subcontractor</v>
          </cell>
          <cell r="G827" t="str">
            <v>15/09/2020</v>
          </cell>
          <cell r="H827" t="str">
            <v>Part</v>
          </cell>
          <cell r="I827" t="str">
            <v/>
          </cell>
          <cell r="J827">
            <v>8550</v>
          </cell>
          <cell r="K827">
            <v>1710</v>
          </cell>
          <cell r="L827">
            <v>8550</v>
          </cell>
          <cell r="M827" t="str">
            <v/>
          </cell>
          <cell r="N827">
            <v>0</v>
          </cell>
        </row>
        <row r="828">
          <cell r="A828">
            <v>19052</v>
          </cell>
          <cell r="B828" t="str">
            <v>07/08/2020</v>
          </cell>
          <cell r="C828" t="str">
            <v>C1700</v>
          </cell>
          <cell r="D828" t="str">
            <v>Builderswork Holes</v>
          </cell>
          <cell r="E828" t="str">
            <v>Concrete Drilling Services Limited</v>
          </cell>
          <cell r="F828" t="str">
            <v>Subcontractor</v>
          </cell>
          <cell r="G828" t="str">
            <v>12/08/2020</v>
          </cell>
          <cell r="H828" t="str">
            <v>Part</v>
          </cell>
          <cell r="I828" t="str">
            <v/>
          </cell>
          <cell r="J828">
            <v>3600</v>
          </cell>
          <cell r="K828">
            <v>720</v>
          </cell>
          <cell r="L828">
            <v>3600</v>
          </cell>
          <cell r="M828" t="str">
            <v/>
          </cell>
          <cell r="N828">
            <v>0</v>
          </cell>
        </row>
        <row r="829">
          <cell r="A829">
            <v>19048</v>
          </cell>
          <cell r="B829" t="str">
            <v>06/08/2020</v>
          </cell>
          <cell r="C829" t="str">
            <v>SM001 CALLOUT</v>
          </cell>
          <cell r="D829" t="str">
            <v>Pressure Test, Repair Leand add new gas</v>
          </cell>
          <cell r="E829" t="str">
            <v>Derek Austin Heating Limited</v>
          </cell>
          <cell r="F829" t="str">
            <v>Subcontractor</v>
          </cell>
          <cell r="G829" t="str">
            <v/>
          </cell>
          <cell r="H829" t="str">
            <v/>
          </cell>
          <cell r="I829" t="str">
            <v/>
          </cell>
          <cell r="J829">
            <v>566.5</v>
          </cell>
          <cell r="K829">
            <v>113.3</v>
          </cell>
          <cell r="L829">
            <v>566.5</v>
          </cell>
          <cell r="M829" t="str">
            <v/>
          </cell>
          <cell r="N829">
            <v>0</v>
          </cell>
        </row>
        <row r="830">
          <cell r="A830">
            <v>19047</v>
          </cell>
          <cell r="B830" t="str">
            <v>06/08/2020</v>
          </cell>
          <cell r="C830" t="str">
            <v>SM001 CALLOUT</v>
          </cell>
          <cell r="D830" t="str">
            <v>Attend site to investigate AC not working</v>
          </cell>
          <cell r="E830" t="str">
            <v>Derek Austin Heating Limited</v>
          </cell>
          <cell r="F830" t="str">
            <v>Subcontractor</v>
          </cell>
          <cell r="G830" t="str">
            <v/>
          </cell>
          <cell r="H830" t="str">
            <v/>
          </cell>
          <cell r="I830" t="str">
            <v/>
          </cell>
          <cell r="J830">
            <v>145.5</v>
          </cell>
          <cell r="K830">
            <v>29.1</v>
          </cell>
          <cell r="L830">
            <v>145</v>
          </cell>
          <cell r="M830" t="str">
            <v/>
          </cell>
          <cell r="N830">
            <v>0.5</v>
          </cell>
        </row>
        <row r="831">
          <cell r="A831">
            <v>19036</v>
          </cell>
          <cell r="B831" t="str">
            <v>04/08/2020</v>
          </cell>
          <cell r="C831" t="str">
            <v>QUOTED</v>
          </cell>
          <cell r="D831" t="str">
            <v>Installation 2no new fire detectors in false ceiling</v>
          </cell>
          <cell r="E831" t="str">
            <v>Marlowe Fire &amp; Security Limited</v>
          </cell>
          <cell r="F831" t="str">
            <v>Subcontractor</v>
          </cell>
          <cell r="G831" t="str">
            <v/>
          </cell>
          <cell r="H831" t="str">
            <v/>
          </cell>
          <cell r="I831" t="str">
            <v/>
          </cell>
          <cell r="J831">
            <v>893.53</v>
          </cell>
          <cell r="K831">
            <v>178.71</v>
          </cell>
          <cell r="L831">
            <v>893.53</v>
          </cell>
          <cell r="M831" t="str">
            <v/>
          </cell>
          <cell r="N831">
            <v>0</v>
          </cell>
        </row>
        <row r="832">
          <cell r="A832">
            <v>19029</v>
          </cell>
          <cell r="B832" t="str">
            <v>04/08/2020</v>
          </cell>
          <cell r="C832" t="str">
            <v>C1639</v>
          </cell>
          <cell r="D832" t="str">
            <v/>
          </cell>
          <cell r="E832" t="str">
            <v>Complete Cooling Services Limited</v>
          </cell>
          <cell r="F832" t="str">
            <v>Subcontractor</v>
          </cell>
          <cell r="G832" t="str">
            <v>06/08/2020</v>
          </cell>
          <cell r="H832" t="str">
            <v>Part</v>
          </cell>
          <cell r="I832" t="str">
            <v/>
          </cell>
          <cell r="J832">
            <v>6381</v>
          </cell>
          <cell r="K832">
            <v>1276.2</v>
          </cell>
          <cell r="L832">
            <v>6381</v>
          </cell>
          <cell r="M832" t="str">
            <v/>
          </cell>
          <cell r="N832">
            <v>0</v>
          </cell>
        </row>
        <row r="833">
          <cell r="A833">
            <v>18999</v>
          </cell>
          <cell r="B833" t="str">
            <v>28/07/2020</v>
          </cell>
          <cell r="C833" t="str">
            <v>C1700</v>
          </cell>
          <cell r="D833" t="str">
            <v>Scope of Works:</v>
          </cell>
          <cell r="E833" t="str">
            <v>MJW Asbestos Removal &amp; Re-Insulation Services Ltd</v>
          </cell>
          <cell r="F833" t="str">
            <v>Subcontractor</v>
          </cell>
          <cell r="G833" t="str">
            <v/>
          </cell>
          <cell r="H833" t="str">
            <v>Part</v>
          </cell>
          <cell r="I833" t="str">
            <v/>
          </cell>
          <cell r="J833">
            <v>5673</v>
          </cell>
          <cell r="K833">
            <v>1134.5999999999999</v>
          </cell>
          <cell r="L833">
            <v>5673</v>
          </cell>
          <cell r="M833" t="str">
            <v/>
          </cell>
          <cell r="N833">
            <v>0</v>
          </cell>
        </row>
        <row r="834">
          <cell r="A834">
            <v>18989</v>
          </cell>
          <cell r="B834" t="str">
            <v>27/07/2020</v>
          </cell>
          <cell r="C834" t="str">
            <v>C1639</v>
          </cell>
          <cell r="D834" t="str">
            <v>Daywork Commencing 30.07.2020</v>
          </cell>
          <cell r="E834" t="str">
            <v>P More PHC Ltd</v>
          </cell>
          <cell r="F834" t="str">
            <v>Subcontractor</v>
          </cell>
          <cell r="G834" t="str">
            <v/>
          </cell>
          <cell r="H834" t="str">
            <v/>
          </cell>
          <cell r="I834" t="str">
            <v/>
          </cell>
          <cell r="J834">
            <v>1800</v>
          </cell>
          <cell r="K834">
            <v>360</v>
          </cell>
          <cell r="L834">
            <v>1800</v>
          </cell>
          <cell r="M834" t="str">
            <v/>
          </cell>
          <cell r="N834">
            <v>0</v>
          </cell>
        </row>
        <row r="835">
          <cell r="A835">
            <v>18980</v>
          </cell>
          <cell r="B835" t="str">
            <v>27/07/2020</v>
          </cell>
          <cell r="C835" t="str">
            <v>SERVICE</v>
          </cell>
          <cell r="D835" t="str">
            <v>Carry out AC Maintenance on 5no Units</v>
          </cell>
          <cell r="E835" t="str">
            <v>Commercial Temperature Solutions</v>
          </cell>
          <cell r="F835" t="str">
            <v>Subcontractor</v>
          </cell>
          <cell r="G835" t="str">
            <v/>
          </cell>
          <cell r="H835" t="str">
            <v/>
          </cell>
          <cell r="I835" t="str">
            <v/>
          </cell>
          <cell r="J835">
            <v>125</v>
          </cell>
          <cell r="K835">
            <v>25</v>
          </cell>
          <cell r="L835">
            <v>125</v>
          </cell>
          <cell r="M835" t="str">
            <v/>
          </cell>
          <cell r="N835">
            <v>0</v>
          </cell>
        </row>
        <row r="836">
          <cell r="A836">
            <v>18979</v>
          </cell>
          <cell r="B836" t="str">
            <v>27/07/2020</v>
          </cell>
          <cell r="C836" t="str">
            <v>SERVICE</v>
          </cell>
          <cell r="D836" t="str">
            <v>Carry out AC Maintenance on 1no unit</v>
          </cell>
          <cell r="E836" t="str">
            <v>Commercial Temperature Solutions</v>
          </cell>
          <cell r="F836" t="str">
            <v>Subcontractor</v>
          </cell>
          <cell r="G836" t="str">
            <v/>
          </cell>
          <cell r="H836" t="str">
            <v/>
          </cell>
          <cell r="I836" t="str">
            <v/>
          </cell>
          <cell r="J836">
            <v>25</v>
          </cell>
          <cell r="K836">
            <v>5</v>
          </cell>
          <cell r="L836">
            <v>0</v>
          </cell>
          <cell r="M836" t="str">
            <v/>
          </cell>
          <cell r="N836">
            <v>25</v>
          </cell>
        </row>
        <row r="837">
          <cell r="A837">
            <v>18975</v>
          </cell>
          <cell r="B837" t="str">
            <v>24/07/2020</v>
          </cell>
          <cell r="C837" t="str">
            <v>C1700</v>
          </cell>
          <cell r="D837" t="str">
            <v>One operative with diamond drilling plant and podium- day ra</v>
          </cell>
          <cell r="E837" t="str">
            <v>Concrete Drilling Services Limited</v>
          </cell>
          <cell r="F837" t="str">
            <v>Subcontractor</v>
          </cell>
          <cell r="G837" t="str">
            <v/>
          </cell>
          <cell r="H837" t="str">
            <v/>
          </cell>
          <cell r="I837" t="str">
            <v/>
          </cell>
          <cell r="J837">
            <v>450</v>
          </cell>
          <cell r="K837">
            <v>90</v>
          </cell>
          <cell r="L837">
            <v>450</v>
          </cell>
          <cell r="M837" t="str">
            <v/>
          </cell>
          <cell r="N837">
            <v>0</v>
          </cell>
        </row>
        <row r="838">
          <cell r="A838">
            <v>18970</v>
          </cell>
          <cell r="B838" t="str">
            <v>23/07/2020</v>
          </cell>
          <cell r="C838" t="str">
            <v>CALLOUT</v>
          </cell>
          <cell r="D838" t="str">
            <v>Installation of 2no Frog Lights in Theatre/3no in Sports inc</v>
          </cell>
          <cell r="E838" t="str">
            <v>Key Integrated Services North West Ltd</v>
          </cell>
          <cell r="F838" t="str">
            <v>Subcontractor</v>
          </cell>
          <cell r="G838" t="str">
            <v/>
          </cell>
          <cell r="H838" t="str">
            <v/>
          </cell>
          <cell r="I838" t="str">
            <v/>
          </cell>
          <cell r="J838">
            <v>599.33000000000004</v>
          </cell>
          <cell r="K838">
            <v>119.87</v>
          </cell>
          <cell r="L838">
            <v>599.33000000000004</v>
          </cell>
          <cell r="M838" t="str">
            <v/>
          </cell>
          <cell r="N838">
            <v>0</v>
          </cell>
        </row>
        <row r="839">
          <cell r="A839">
            <v>18961</v>
          </cell>
          <cell r="B839" t="str">
            <v>22/07/2020</v>
          </cell>
          <cell r="C839" t="str">
            <v>CALLOUT</v>
          </cell>
          <cell r="D839" t="str">
            <v>Replace Water Heater and unvented kit A &amp; B</v>
          </cell>
          <cell r="E839" t="str">
            <v>K Gammon Plumbing &amp; Heating Ltd</v>
          </cell>
          <cell r="F839" t="str">
            <v>Subcontractor</v>
          </cell>
          <cell r="G839" t="str">
            <v/>
          </cell>
          <cell r="H839" t="str">
            <v/>
          </cell>
          <cell r="I839" t="str">
            <v/>
          </cell>
          <cell r="J839">
            <v>315.39999999999998</v>
          </cell>
          <cell r="K839">
            <v>63.08</v>
          </cell>
          <cell r="L839">
            <v>315.39999999999998</v>
          </cell>
          <cell r="M839" t="str">
            <v/>
          </cell>
          <cell r="N839">
            <v>0</v>
          </cell>
        </row>
        <row r="840">
          <cell r="A840">
            <v>18956</v>
          </cell>
          <cell r="B840" t="str">
            <v>22/07/2020</v>
          </cell>
          <cell r="C840" t="str">
            <v>SERVICE</v>
          </cell>
          <cell r="D840" t="str">
            <v>additional PPM Visit in May 2021</v>
          </cell>
          <cell r="E840" t="str">
            <v>Riello UPS Ltd</v>
          </cell>
          <cell r="F840" t="str">
            <v>Subcontractor</v>
          </cell>
          <cell r="G840" t="str">
            <v/>
          </cell>
          <cell r="H840" t="str">
            <v/>
          </cell>
          <cell r="I840" t="str">
            <v/>
          </cell>
          <cell r="J840">
            <v>325</v>
          </cell>
          <cell r="K840">
            <v>65</v>
          </cell>
          <cell r="L840">
            <v>325</v>
          </cell>
          <cell r="M840" t="str">
            <v/>
          </cell>
          <cell r="N840">
            <v>0</v>
          </cell>
        </row>
        <row r="841">
          <cell r="A841">
            <v>18954</v>
          </cell>
          <cell r="B841" t="str">
            <v>22/07/2020</v>
          </cell>
          <cell r="C841" t="str">
            <v>C1700</v>
          </cell>
          <cell r="D841" t="str">
            <v>BMS Installation at Ivanhoe College</v>
          </cell>
          <cell r="E841" t="str">
            <v>Detail Design Engineering Ltd</v>
          </cell>
          <cell r="F841" t="str">
            <v>Subcontractor</v>
          </cell>
          <cell r="G841" t="str">
            <v>27/07/2020</v>
          </cell>
          <cell r="H841" t="str">
            <v/>
          </cell>
          <cell r="I841" t="str">
            <v>Posted</v>
          </cell>
          <cell r="J841">
            <v>19000</v>
          </cell>
          <cell r="K841">
            <v>3800</v>
          </cell>
          <cell r="L841">
            <v>24320</v>
          </cell>
          <cell r="M841" t="str">
            <v/>
          </cell>
          <cell r="N841">
            <v>-5320</v>
          </cell>
        </row>
        <row r="842">
          <cell r="A842">
            <v>18949</v>
          </cell>
          <cell r="B842" t="str">
            <v>21/07/2020</v>
          </cell>
          <cell r="C842" t="str">
            <v>CALLOUT</v>
          </cell>
          <cell r="D842" t="str">
            <v>Reconnect FA Sensor in Warehouse</v>
          </cell>
          <cell r="E842" t="str">
            <v>Marlowe Fire &amp; Security Limited</v>
          </cell>
          <cell r="F842" t="str">
            <v>Subcontractor</v>
          </cell>
          <cell r="G842" t="str">
            <v/>
          </cell>
          <cell r="H842" t="str">
            <v/>
          </cell>
          <cell r="I842" t="str">
            <v/>
          </cell>
          <cell r="J842">
            <v>125</v>
          </cell>
          <cell r="K842">
            <v>25</v>
          </cell>
          <cell r="L842">
            <v>85</v>
          </cell>
          <cell r="M842" t="str">
            <v/>
          </cell>
          <cell r="N842">
            <v>40</v>
          </cell>
        </row>
        <row r="843">
          <cell r="A843">
            <v>18941</v>
          </cell>
          <cell r="B843" t="str">
            <v>20/07/2020</v>
          </cell>
          <cell r="C843" t="str">
            <v>C1700</v>
          </cell>
          <cell r="D843" t="str">
            <v>LTHW Installation as per draings and specification.</v>
          </cell>
          <cell r="E843" t="str">
            <v>Defabs Engineering Ltd</v>
          </cell>
          <cell r="F843" t="str">
            <v>Subcontractor</v>
          </cell>
          <cell r="G843" t="str">
            <v/>
          </cell>
          <cell r="H843" t="str">
            <v>Part</v>
          </cell>
          <cell r="I843" t="str">
            <v/>
          </cell>
          <cell r="J843">
            <v>94000</v>
          </cell>
          <cell r="K843">
            <v>18800</v>
          </cell>
          <cell r="L843">
            <v>133000</v>
          </cell>
          <cell r="M843" t="str">
            <v/>
          </cell>
          <cell r="N843">
            <v>-39000</v>
          </cell>
        </row>
        <row r="844">
          <cell r="A844">
            <v>18936</v>
          </cell>
          <cell r="B844" t="str">
            <v>20/07/2020</v>
          </cell>
          <cell r="C844" t="str">
            <v>CALLOUT</v>
          </cell>
          <cell r="D844" t="str">
            <v>Remove 2no water Coolers as per quotation</v>
          </cell>
          <cell r="E844" t="str">
            <v>Quay Carpets LLP</v>
          </cell>
          <cell r="F844" t="str">
            <v>Subcontractor</v>
          </cell>
          <cell r="G844" t="str">
            <v/>
          </cell>
          <cell r="H844" t="str">
            <v/>
          </cell>
          <cell r="I844" t="str">
            <v/>
          </cell>
          <cell r="J844">
            <v>150</v>
          </cell>
          <cell r="K844">
            <v>30</v>
          </cell>
          <cell r="L844">
            <v>150</v>
          </cell>
          <cell r="M844" t="str">
            <v/>
          </cell>
          <cell r="N844">
            <v>0</v>
          </cell>
        </row>
        <row r="845">
          <cell r="A845">
            <v>18934</v>
          </cell>
          <cell r="B845" t="str">
            <v>17/07/2020</v>
          </cell>
          <cell r="C845" t="str">
            <v>SERVICE</v>
          </cell>
          <cell r="D845" t="str">
            <v>Carry out service to double sliding doors</v>
          </cell>
          <cell r="E845" t="str">
            <v>Amber Doors &amp; Loading Bay Services Limited</v>
          </cell>
          <cell r="F845" t="str">
            <v>Subcontractor</v>
          </cell>
          <cell r="G845" t="str">
            <v/>
          </cell>
          <cell r="H845" t="str">
            <v/>
          </cell>
          <cell r="I845" t="str">
            <v/>
          </cell>
          <cell r="J845">
            <v>250</v>
          </cell>
          <cell r="K845">
            <v>50</v>
          </cell>
          <cell r="L845">
            <v>0</v>
          </cell>
          <cell r="M845" t="str">
            <v/>
          </cell>
          <cell r="N845">
            <v>250</v>
          </cell>
        </row>
        <row r="846">
          <cell r="A846">
            <v>18929</v>
          </cell>
          <cell r="B846" t="str">
            <v>17/07/2020</v>
          </cell>
          <cell r="C846" t="str">
            <v>CALLOUT</v>
          </cell>
          <cell r="D846" t="str">
            <v>install new cables to Dist Board</v>
          </cell>
          <cell r="E846" t="str">
            <v>Key Integrated Services North West Ltd</v>
          </cell>
          <cell r="F846" t="str">
            <v>Subcontractor</v>
          </cell>
          <cell r="G846" t="str">
            <v/>
          </cell>
          <cell r="H846" t="str">
            <v/>
          </cell>
          <cell r="I846" t="str">
            <v/>
          </cell>
          <cell r="J846">
            <v>135.30000000000001</v>
          </cell>
          <cell r="K846">
            <v>27.06</v>
          </cell>
          <cell r="L846">
            <v>270.60000000000002</v>
          </cell>
          <cell r="M846" t="str">
            <v/>
          </cell>
          <cell r="N846">
            <v>-135.30000000000001</v>
          </cell>
        </row>
        <row r="847">
          <cell r="A847">
            <v>18928</v>
          </cell>
          <cell r="B847" t="str">
            <v>17/07/2020</v>
          </cell>
          <cell r="C847" t="str">
            <v>C1693</v>
          </cell>
          <cell r="D847" t="str">
            <v/>
          </cell>
          <cell r="E847" t="str">
            <v>P More PHC Ltd</v>
          </cell>
          <cell r="F847" t="str">
            <v>Subcontractor</v>
          </cell>
          <cell r="G847" t="str">
            <v>20/07/2020</v>
          </cell>
          <cell r="H847" t="str">
            <v>Part</v>
          </cell>
          <cell r="I847" t="str">
            <v>Posted</v>
          </cell>
          <cell r="J847">
            <v>147813.19</v>
          </cell>
          <cell r="K847">
            <v>29562.639999999999</v>
          </cell>
          <cell r="L847">
            <v>146113.19</v>
          </cell>
          <cell r="M847" t="str">
            <v/>
          </cell>
          <cell r="N847">
            <v>1700</v>
          </cell>
        </row>
        <row r="848">
          <cell r="A848">
            <v>18923</v>
          </cell>
          <cell r="B848" t="str">
            <v>16/07/2020</v>
          </cell>
          <cell r="C848" t="str">
            <v>SERVICE</v>
          </cell>
          <cell r="D848" t="str">
            <v>12 months PPM</v>
          </cell>
          <cell r="E848" t="str">
            <v>J &amp; A Hall T/A Daikin Applied</v>
          </cell>
          <cell r="F848" t="str">
            <v>Subcontractor</v>
          </cell>
          <cell r="G848" t="str">
            <v/>
          </cell>
          <cell r="H848" t="str">
            <v/>
          </cell>
          <cell r="I848" t="str">
            <v/>
          </cell>
          <cell r="J848">
            <v>2256.36</v>
          </cell>
          <cell r="K848">
            <v>451.27</v>
          </cell>
          <cell r="L848">
            <v>2256.36</v>
          </cell>
          <cell r="M848" t="str">
            <v/>
          </cell>
          <cell r="N848">
            <v>0</v>
          </cell>
        </row>
        <row r="849">
          <cell r="A849">
            <v>18922</v>
          </cell>
          <cell r="B849" t="str">
            <v>16/07/2020</v>
          </cell>
          <cell r="C849" t="str">
            <v>SERVICE</v>
          </cell>
          <cell r="D849" t="str">
            <v>12 Months Planned Platinum Lite (2no vistis per annum)</v>
          </cell>
          <cell r="E849" t="str">
            <v>Riello UPS Ltd</v>
          </cell>
          <cell r="F849" t="str">
            <v>Subcontractor</v>
          </cell>
          <cell r="G849" t="str">
            <v/>
          </cell>
          <cell r="H849" t="str">
            <v/>
          </cell>
          <cell r="I849" t="str">
            <v/>
          </cell>
          <cell r="J849">
            <v>960</v>
          </cell>
          <cell r="K849">
            <v>192</v>
          </cell>
          <cell r="L849">
            <v>960</v>
          </cell>
          <cell r="M849" t="str">
            <v/>
          </cell>
          <cell r="N849">
            <v>0</v>
          </cell>
        </row>
        <row r="850">
          <cell r="A850">
            <v>18921</v>
          </cell>
          <cell r="B850" t="str">
            <v>16/07/2020</v>
          </cell>
          <cell r="C850" t="str">
            <v>SERVICE</v>
          </cell>
          <cell r="D850" t="str">
            <v>12 Months PPM (4no Visits per annum)</v>
          </cell>
          <cell r="E850" t="str">
            <v>Newsome Ltd</v>
          </cell>
          <cell r="F850" t="str">
            <v>Subcontractor</v>
          </cell>
          <cell r="G850" t="str">
            <v/>
          </cell>
          <cell r="H850" t="str">
            <v/>
          </cell>
          <cell r="I850" t="str">
            <v/>
          </cell>
          <cell r="J850">
            <v>3025.6</v>
          </cell>
          <cell r="K850">
            <v>605.12</v>
          </cell>
          <cell r="L850">
            <v>2469.5500000000002</v>
          </cell>
          <cell r="M850" t="str">
            <v/>
          </cell>
          <cell r="N850">
            <v>556.04999999999995</v>
          </cell>
        </row>
        <row r="851">
          <cell r="A851">
            <v>18920</v>
          </cell>
          <cell r="B851" t="str">
            <v>16/07/2020</v>
          </cell>
          <cell r="C851" t="str">
            <v>SERVICE</v>
          </cell>
          <cell r="D851" t="str">
            <v>12 Months Gold Package Maintenance (4no Visits per annum)</v>
          </cell>
          <cell r="E851" t="str">
            <v>Impact Control Systems Ltd</v>
          </cell>
          <cell r="F851" t="str">
            <v>Subcontractor</v>
          </cell>
          <cell r="G851" t="str">
            <v/>
          </cell>
          <cell r="H851" t="str">
            <v>Part</v>
          </cell>
          <cell r="I851" t="str">
            <v/>
          </cell>
          <cell r="J851">
            <v>3007</v>
          </cell>
          <cell r="K851">
            <v>0</v>
          </cell>
          <cell r="L851">
            <v>3007</v>
          </cell>
          <cell r="M851" t="str">
            <v/>
          </cell>
          <cell r="N851">
            <v>0</v>
          </cell>
        </row>
        <row r="852">
          <cell r="A852">
            <v>18919</v>
          </cell>
          <cell r="B852" t="str">
            <v>16/07/2020</v>
          </cell>
          <cell r="C852" t="str">
            <v>SERVICE</v>
          </cell>
          <cell r="D852" t="str">
            <v>12 Months Planned Mainteannce (4no Visits per annum)</v>
          </cell>
          <cell r="E852" t="str">
            <v>WB Power Services Ltd</v>
          </cell>
          <cell r="F852" t="str">
            <v>Subcontractor</v>
          </cell>
          <cell r="G852" t="str">
            <v/>
          </cell>
          <cell r="H852" t="str">
            <v/>
          </cell>
          <cell r="I852" t="str">
            <v/>
          </cell>
          <cell r="J852">
            <v>1246</v>
          </cell>
          <cell r="K852">
            <v>249.2</v>
          </cell>
          <cell r="L852">
            <v>1246</v>
          </cell>
          <cell r="M852" t="str">
            <v/>
          </cell>
          <cell r="N852">
            <v>0</v>
          </cell>
        </row>
        <row r="853">
          <cell r="A853">
            <v>18918</v>
          </cell>
          <cell r="B853" t="str">
            <v>16/07/2020</v>
          </cell>
          <cell r="C853" t="str">
            <v>SERVICE</v>
          </cell>
          <cell r="D853" t="str">
            <v>12 Months Maintenance - 2no Visits per annum</v>
          </cell>
          <cell r="E853" t="str">
            <v>Dortek Limited</v>
          </cell>
          <cell r="F853" t="str">
            <v>Subcontractor</v>
          </cell>
          <cell r="G853" t="str">
            <v/>
          </cell>
          <cell r="H853" t="str">
            <v>Part</v>
          </cell>
          <cell r="I853" t="str">
            <v/>
          </cell>
          <cell r="J853">
            <v>312</v>
          </cell>
          <cell r="K853">
            <v>62.4</v>
          </cell>
          <cell r="L853">
            <v>312</v>
          </cell>
          <cell r="M853" t="str">
            <v/>
          </cell>
          <cell r="N853">
            <v>0</v>
          </cell>
        </row>
        <row r="854">
          <cell r="A854">
            <v>18917</v>
          </cell>
          <cell r="B854" t="str">
            <v>16/07/2020</v>
          </cell>
          <cell r="C854" t="str">
            <v>QUOTED</v>
          </cell>
          <cell r="D854" t="str">
            <v>Re-labelling all devices and Zonal diagram</v>
          </cell>
          <cell r="E854" t="str">
            <v>Marlowe Fire &amp; Security Limited</v>
          </cell>
          <cell r="F854" t="str">
            <v>Subcontractor</v>
          </cell>
          <cell r="G854" t="str">
            <v/>
          </cell>
          <cell r="H854" t="str">
            <v/>
          </cell>
          <cell r="I854" t="str">
            <v/>
          </cell>
          <cell r="J854">
            <v>2009.45</v>
          </cell>
          <cell r="K854">
            <v>401.89</v>
          </cell>
          <cell r="L854">
            <v>102.5</v>
          </cell>
          <cell r="M854" t="str">
            <v/>
          </cell>
          <cell r="N854">
            <v>1906.95</v>
          </cell>
        </row>
        <row r="855">
          <cell r="A855">
            <v>18916</v>
          </cell>
          <cell r="B855" t="str">
            <v>16/07/2020</v>
          </cell>
          <cell r="C855" t="str">
            <v>CALLOUT</v>
          </cell>
          <cell r="D855" t="str">
            <v>Installation MCP with resettable element and Protective cove</v>
          </cell>
          <cell r="E855" t="str">
            <v>Marlowe Fire &amp; Security Limited</v>
          </cell>
          <cell r="F855" t="str">
            <v>Subcontractor</v>
          </cell>
          <cell r="G855" t="str">
            <v/>
          </cell>
          <cell r="H855" t="str">
            <v/>
          </cell>
          <cell r="I855" t="str">
            <v/>
          </cell>
          <cell r="J855">
            <v>531.48</v>
          </cell>
          <cell r="K855">
            <v>106.3</v>
          </cell>
          <cell r="L855">
            <v>0</v>
          </cell>
          <cell r="M855" t="str">
            <v/>
          </cell>
          <cell r="N855">
            <v>531.48</v>
          </cell>
        </row>
        <row r="856">
          <cell r="A856">
            <v>18897</v>
          </cell>
          <cell r="B856" t="str">
            <v>13/07/2020</v>
          </cell>
          <cell r="C856" t="str">
            <v>C1639</v>
          </cell>
          <cell r="D856" t="str">
            <v>To supply a a pipe fitter weld to carry out works at GR Wrig</v>
          </cell>
          <cell r="E856" t="str">
            <v>Defabs Engineering Ltd</v>
          </cell>
          <cell r="F856" t="str">
            <v>Subcontractor</v>
          </cell>
          <cell r="G856" t="str">
            <v/>
          </cell>
          <cell r="H856" t="str">
            <v/>
          </cell>
          <cell r="I856" t="str">
            <v/>
          </cell>
          <cell r="J856">
            <v>849.16</v>
          </cell>
          <cell r="K856">
            <v>169.83</v>
          </cell>
          <cell r="L856">
            <v>849.16</v>
          </cell>
          <cell r="M856" t="str">
            <v/>
          </cell>
          <cell r="N856">
            <v>0</v>
          </cell>
        </row>
        <row r="857">
          <cell r="A857">
            <v>18896</v>
          </cell>
          <cell r="B857" t="str">
            <v>13/07/2020</v>
          </cell>
          <cell r="C857" t="str">
            <v>C1694</v>
          </cell>
          <cell r="D857" t="str">
            <v>Domestic Water Services Disinfection:</v>
          </cell>
          <cell r="E857" t="str">
            <v>MSB Hygiene Ltd</v>
          </cell>
          <cell r="F857" t="str">
            <v>Subcontractor</v>
          </cell>
          <cell r="G857" t="str">
            <v/>
          </cell>
          <cell r="H857" t="str">
            <v/>
          </cell>
          <cell r="I857" t="str">
            <v/>
          </cell>
          <cell r="J857">
            <v>500</v>
          </cell>
          <cell r="K857">
            <v>100</v>
          </cell>
          <cell r="L857">
            <v>500</v>
          </cell>
          <cell r="M857" t="str">
            <v/>
          </cell>
          <cell r="N857">
            <v>0</v>
          </cell>
        </row>
        <row r="858">
          <cell r="A858">
            <v>18895</v>
          </cell>
          <cell r="B858" t="str">
            <v>13/07/2020</v>
          </cell>
          <cell r="C858" t="str">
            <v>C1694</v>
          </cell>
          <cell r="D858" t="str">
            <v>Phenolic lag all internal services</v>
          </cell>
          <cell r="E858" t="str">
            <v>Thermal Insulation Covers Ltd</v>
          </cell>
          <cell r="F858" t="str">
            <v>Subcontractor</v>
          </cell>
          <cell r="G858" t="str">
            <v/>
          </cell>
          <cell r="H858" t="str">
            <v/>
          </cell>
          <cell r="I858" t="str">
            <v/>
          </cell>
          <cell r="J858">
            <v>1097.0999999999999</v>
          </cell>
          <cell r="K858">
            <v>219.42</v>
          </cell>
          <cell r="L858">
            <v>1097.0999999999999</v>
          </cell>
          <cell r="M858" t="str">
            <v/>
          </cell>
          <cell r="N858">
            <v>0</v>
          </cell>
        </row>
        <row r="859">
          <cell r="A859">
            <v>18887</v>
          </cell>
          <cell r="B859" t="str">
            <v>09/07/2020</v>
          </cell>
          <cell r="C859" t="str">
            <v>C1652</v>
          </cell>
          <cell r="D859" t="str">
            <v>Supply &amp; Install stainless steel canopy</v>
          </cell>
          <cell r="E859" t="str">
            <v>Firth Sheet Metal Limited</v>
          </cell>
          <cell r="F859" t="str">
            <v>Subcontractor</v>
          </cell>
          <cell r="G859" t="str">
            <v>23/07/2020</v>
          </cell>
          <cell r="H859" t="str">
            <v>Part</v>
          </cell>
          <cell r="I859" t="str">
            <v/>
          </cell>
          <cell r="J859">
            <v>4535</v>
          </cell>
          <cell r="K859">
            <v>907</v>
          </cell>
          <cell r="L859">
            <v>4535</v>
          </cell>
          <cell r="M859" t="str">
            <v/>
          </cell>
          <cell r="N859">
            <v>0</v>
          </cell>
        </row>
        <row r="860">
          <cell r="A860">
            <v>18882</v>
          </cell>
          <cell r="B860" t="str">
            <v>08/07/2020</v>
          </cell>
          <cell r="C860" t="str">
            <v>C1639</v>
          </cell>
          <cell r="D860" t="str">
            <v>Scope of works:</v>
          </cell>
          <cell r="E860" t="str">
            <v>Auto-Vent Limited</v>
          </cell>
          <cell r="F860" t="str">
            <v>Subcontractor</v>
          </cell>
          <cell r="G860" t="str">
            <v/>
          </cell>
          <cell r="H860" t="str">
            <v/>
          </cell>
          <cell r="I860" t="str">
            <v/>
          </cell>
          <cell r="J860">
            <v>5730</v>
          </cell>
          <cell r="K860">
            <v>1146</v>
          </cell>
          <cell r="L860">
            <v>5730</v>
          </cell>
          <cell r="M860" t="str">
            <v/>
          </cell>
          <cell r="N860">
            <v>0</v>
          </cell>
        </row>
        <row r="861">
          <cell r="A861">
            <v>18881</v>
          </cell>
          <cell r="B861" t="str">
            <v>08/07/2020</v>
          </cell>
          <cell r="C861" t="str">
            <v>C1639</v>
          </cell>
          <cell r="D861" t="str">
            <v>Materials Quote: 14301-DJ</v>
          </cell>
          <cell r="E861" t="str">
            <v>Defabs Engineering Ltd</v>
          </cell>
          <cell r="F861" t="str">
            <v>Subcontractor</v>
          </cell>
          <cell r="G861" t="str">
            <v/>
          </cell>
          <cell r="H861" t="str">
            <v>Complete</v>
          </cell>
          <cell r="I861" t="str">
            <v/>
          </cell>
          <cell r="J861">
            <v>0</v>
          </cell>
          <cell r="K861">
            <v>0</v>
          </cell>
          <cell r="L861">
            <v>0</v>
          </cell>
          <cell r="M861" t="str">
            <v/>
          </cell>
          <cell r="N861">
            <v>0</v>
          </cell>
        </row>
        <row r="862">
          <cell r="A862">
            <v>18880</v>
          </cell>
          <cell r="B862" t="str">
            <v>08/07/2020</v>
          </cell>
          <cell r="C862" t="str">
            <v>C1682</v>
          </cell>
          <cell r="D862" t="str">
            <v>Lagging Cost</v>
          </cell>
          <cell r="E862" t="str">
            <v>Specialist Welding Services Ltd</v>
          </cell>
          <cell r="F862" t="str">
            <v>Subcontractor</v>
          </cell>
          <cell r="G862" t="str">
            <v/>
          </cell>
          <cell r="H862" t="str">
            <v/>
          </cell>
          <cell r="I862" t="str">
            <v/>
          </cell>
          <cell r="J862">
            <v>1365</v>
          </cell>
          <cell r="K862">
            <v>273</v>
          </cell>
          <cell r="L862">
            <v>1365</v>
          </cell>
          <cell r="M862" t="str">
            <v/>
          </cell>
          <cell r="N862">
            <v>0</v>
          </cell>
        </row>
        <row r="863">
          <cell r="A863">
            <v>18876</v>
          </cell>
          <cell r="B863" t="str">
            <v>08/07/2020</v>
          </cell>
          <cell r="C863" t="str">
            <v>C1694</v>
          </cell>
          <cell r="D863" t="str">
            <v>External Water Service Break In</v>
          </cell>
          <cell r="E863" t="str">
            <v>Technical Utilities Services UK Ltd</v>
          </cell>
          <cell r="F863" t="str">
            <v>Subcontractor</v>
          </cell>
          <cell r="G863" t="str">
            <v/>
          </cell>
          <cell r="H863" t="str">
            <v/>
          </cell>
          <cell r="I863" t="str">
            <v/>
          </cell>
          <cell r="J863">
            <v>800</v>
          </cell>
          <cell r="K863">
            <v>160</v>
          </cell>
          <cell r="L863">
            <v>800</v>
          </cell>
          <cell r="M863" t="str">
            <v/>
          </cell>
          <cell r="N863">
            <v>0</v>
          </cell>
        </row>
        <row r="864">
          <cell r="A864">
            <v>18874</v>
          </cell>
          <cell r="B864" t="str">
            <v>08/07/2020</v>
          </cell>
          <cell r="C864" t="str">
            <v>C1660</v>
          </cell>
          <cell r="D864" t="str">
            <v>Supply &amp; Installation of AC System at Ballihol</v>
          </cell>
          <cell r="E864" t="str">
            <v>Coolair Equipment Ltd</v>
          </cell>
          <cell r="F864" t="str">
            <v>Subcontractor</v>
          </cell>
          <cell r="G864" t="str">
            <v>27/07/2020</v>
          </cell>
          <cell r="H864" t="str">
            <v/>
          </cell>
          <cell r="I864" t="str">
            <v/>
          </cell>
          <cell r="J864">
            <v>45000</v>
          </cell>
          <cell r="K864">
            <v>9000</v>
          </cell>
          <cell r="L864">
            <v>45000</v>
          </cell>
          <cell r="M864" t="str">
            <v/>
          </cell>
          <cell r="N864">
            <v>0</v>
          </cell>
        </row>
        <row r="865">
          <cell r="A865">
            <v>18872</v>
          </cell>
          <cell r="B865" t="str">
            <v>07/07/2020</v>
          </cell>
          <cell r="C865" t="str">
            <v>SERVICE</v>
          </cell>
          <cell r="D865" t="str">
            <v>6 monthly CWST Inspection of CWST01/Annual HWS01 &amp; HWS02 Flu</v>
          </cell>
          <cell r="E865" t="str">
            <v>Hydraclean Ltd</v>
          </cell>
          <cell r="F865" t="str">
            <v>Subcontractor</v>
          </cell>
          <cell r="G865" t="str">
            <v/>
          </cell>
          <cell r="H865" t="str">
            <v/>
          </cell>
          <cell r="I865" t="str">
            <v/>
          </cell>
          <cell r="J865">
            <v>910</v>
          </cell>
          <cell r="K865">
            <v>182</v>
          </cell>
          <cell r="L865">
            <v>210</v>
          </cell>
          <cell r="M865" t="str">
            <v/>
          </cell>
          <cell r="N865">
            <v>700</v>
          </cell>
        </row>
        <row r="866">
          <cell r="A866">
            <v>18865</v>
          </cell>
          <cell r="B866" t="str">
            <v>07/07/2020</v>
          </cell>
          <cell r="C866" t="str">
            <v>C1692</v>
          </cell>
          <cell r="D866" t="str">
            <v>Electrical Design</v>
          </cell>
          <cell r="E866" t="str">
            <v>Key Integrated Services North West Ltd</v>
          </cell>
          <cell r="F866" t="str">
            <v>Subcontractor</v>
          </cell>
          <cell r="G866" t="str">
            <v/>
          </cell>
          <cell r="H866" t="str">
            <v/>
          </cell>
          <cell r="I866" t="str">
            <v/>
          </cell>
          <cell r="J866">
            <v>40000</v>
          </cell>
          <cell r="K866">
            <v>8000</v>
          </cell>
          <cell r="L866">
            <v>40000</v>
          </cell>
          <cell r="M866" t="str">
            <v/>
          </cell>
          <cell r="N866">
            <v>0</v>
          </cell>
        </row>
        <row r="867">
          <cell r="A867">
            <v>19002</v>
          </cell>
          <cell r="B867" t="str">
            <v>06/07/2020</v>
          </cell>
          <cell r="C867" t="str">
            <v>C1699</v>
          </cell>
          <cell r="D867" t="str">
            <v>Installation of Ductwork. Project Southern</v>
          </cell>
          <cell r="E867" t="str">
            <v>JTC Ductwork Solutions Limited</v>
          </cell>
          <cell r="F867" t="str">
            <v>Subcontractor</v>
          </cell>
          <cell r="G867" t="str">
            <v>06/07/2020</v>
          </cell>
          <cell r="H867" t="str">
            <v/>
          </cell>
          <cell r="I867" t="str">
            <v/>
          </cell>
          <cell r="J867">
            <v>47000</v>
          </cell>
          <cell r="K867">
            <v>9400</v>
          </cell>
          <cell r="L867">
            <v>63673</v>
          </cell>
          <cell r="M867" t="str">
            <v/>
          </cell>
          <cell r="N867">
            <v>-16673</v>
          </cell>
        </row>
        <row r="868">
          <cell r="A868">
            <v>18850</v>
          </cell>
          <cell r="B868" t="str">
            <v>03/07/2020</v>
          </cell>
          <cell r="C868" t="str">
            <v>C1639</v>
          </cell>
          <cell r="D868" t="str">
            <v>Welding services est cost</v>
          </cell>
          <cell r="E868" t="str">
            <v>Defabs Engineering Ltd</v>
          </cell>
          <cell r="F868" t="str">
            <v>Subcontractor</v>
          </cell>
          <cell r="G868" t="str">
            <v/>
          </cell>
          <cell r="H868" t="str">
            <v/>
          </cell>
          <cell r="I868" t="str">
            <v/>
          </cell>
          <cell r="J868">
            <v>14797.08</v>
          </cell>
          <cell r="K868">
            <v>2959.42</v>
          </cell>
          <cell r="L868">
            <v>14797.08</v>
          </cell>
          <cell r="M868" t="str">
            <v/>
          </cell>
          <cell r="N868">
            <v>0</v>
          </cell>
        </row>
        <row r="869">
          <cell r="A869">
            <v>18843</v>
          </cell>
          <cell r="B869" t="str">
            <v>02/07/2020</v>
          </cell>
          <cell r="C869" t="str">
            <v>C1604</v>
          </cell>
          <cell r="D869" t="str">
            <v>cctv column power supplies</v>
          </cell>
          <cell r="E869" t="str">
            <v>Key Integrated Services (Electrical) Ltd</v>
          </cell>
          <cell r="F869" t="str">
            <v>Subcontractor</v>
          </cell>
          <cell r="G869" t="str">
            <v/>
          </cell>
          <cell r="H869" t="str">
            <v/>
          </cell>
          <cell r="I869" t="str">
            <v/>
          </cell>
          <cell r="J869">
            <v>1443.5</v>
          </cell>
          <cell r="K869">
            <v>288.7</v>
          </cell>
          <cell r="L869">
            <v>1418</v>
          </cell>
          <cell r="M869" t="str">
            <v/>
          </cell>
          <cell r="N869">
            <v>25.5</v>
          </cell>
        </row>
        <row r="870">
          <cell r="A870">
            <v>18838</v>
          </cell>
          <cell r="B870" t="str">
            <v>01/07/2020</v>
          </cell>
          <cell r="C870" t="str">
            <v>CALLOUT</v>
          </cell>
          <cell r="D870" t="str">
            <v>Investigate water leak from undersink water heater 1st flr k</v>
          </cell>
          <cell r="E870" t="str">
            <v>K Gammon Plumbing &amp; Heating Ltd</v>
          </cell>
          <cell r="F870" t="str">
            <v>Subcontractor</v>
          </cell>
          <cell r="G870" t="str">
            <v/>
          </cell>
          <cell r="H870" t="str">
            <v/>
          </cell>
          <cell r="I870" t="str">
            <v/>
          </cell>
          <cell r="J870">
            <v>90</v>
          </cell>
          <cell r="K870">
            <v>18</v>
          </cell>
          <cell r="L870">
            <v>90</v>
          </cell>
          <cell r="M870" t="str">
            <v/>
          </cell>
          <cell r="N870">
            <v>0</v>
          </cell>
        </row>
        <row r="871">
          <cell r="A871">
            <v>18834</v>
          </cell>
          <cell r="B871" t="str">
            <v>01/07/2020</v>
          </cell>
          <cell r="C871" t="str">
            <v>CALLOUT</v>
          </cell>
          <cell r="D871" t="str">
            <v>System invetigation by Hydraclean Chemist</v>
          </cell>
          <cell r="E871" t="str">
            <v>Hydraclean Ltd</v>
          </cell>
          <cell r="F871" t="str">
            <v>Subcontractor</v>
          </cell>
          <cell r="G871" t="str">
            <v/>
          </cell>
          <cell r="H871" t="str">
            <v/>
          </cell>
          <cell r="I871" t="str">
            <v/>
          </cell>
          <cell r="J871">
            <v>350</v>
          </cell>
          <cell r="K871">
            <v>70</v>
          </cell>
          <cell r="L871">
            <v>350</v>
          </cell>
          <cell r="M871" t="str">
            <v/>
          </cell>
          <cell r="N871">
            <v>0</v>
          </cell>
        </row>
        <row r="872">
          <cell r="A872">
            <v>18827</v>
          </cell>
          <cell r="B872" t="str">
            <v>30/06/2020</v>
          </cell>
          <cell r="C872" t="str">
            <v>C1639</v>
          </cell>
          <cell r="D872" t="str">
            <v>Supply and install a temperature monitoring system as quoted</v>
          </cell>
          <cell r="E872" t="str">
            <v>Key Integrated Services (Electrical) Ltd</v>
          </cell>
          <cell r="F872" t="str">
            <v>Subcontractor</v>
          </cell>
          <cell r="G872" t="str">
            <v/>
          </cell>
          <cell r="H872" t="str">
            <v>Part</v>
          </cell>
          <cell r="I872" t="str">
            <v/>
          </cell>
          <cell r="J872">
            <v>23370</v>
          </cell>
          <cell r="K872">
            <v>4674</v>
          </cell>
          <cell r="L872">
            <v>23370</v>
          </cell>
          <cell r="M872" t="str">
            <v/>
          </cell>
          <cell r="N872">
            <v>0</v>
          </cell>
        </row>
        <row r="873">
          <cell r="A873">
            <v>18816</v>
          </cell>
          <cell r="B873" t="str">
            <v>30/06/2020</v>
          </cell>
          <cell r="C873" t="str">
            <v>CALLOUT</v>
          </cell>
          <cell r="D873" t="str">
            <v>Revisit site to replace sensor</v>
          </cell>
          <cell r="E873" t="str">
            <v>Marlowe Fire &amp; Security Limited</v>
          </cell>
          <cell r="F873" t="str">
            <v>Subcontractor</v>
          </cell>
          <cell r="G873" t="str">
            <v/>
          </cell>
          <cell r="H873" t="str">
            <v>Part</v>
          </cell>
          <cell r="I873" t="str">
            <v/>
          </cell>
          <cell r="J873">
            <v>112.61</v>
          </cell>
          <cell r="K873">
            <v>22.52</v>
          </cell>
          <cell r="L873">
            <v>112.61</v>
          </cell>
          <cell r="M873" t="str">
            <v/>
          </cell>
          <cell r="N873">
            <v>0</v>
          </cell>
        </row>
        <row r="874">
          <cell r="A874">
            <v>18811</v>
          </cell>
          <cell r="B874" t="str">
            <v>29/06/2020</v>
          </cell>
          <cell r="C874" t="str">
            <v>CALLOUT</v>
          </cell>
          <cell r="D874" t="str">
            <v>Attend call out monday 29th June 2020</v>
          </cell>
          <cell r="E874" t="str">
            <v>Marlowe Fire &amp; Security Limited</v>
          </cell>
          <cell r="F874" t="str">
            <v>Subcontractor</v>
          </cell>
          <cell r="G874" t="str">
            <v/>
          </cell>
          <cell r="H874" t="str">
            <v/>
          </cell>
          <cell r="I874" t="str">
            <v/>
          </cell>
          <cell r="J874">
            <v>105</v>
          </cell>
          <cell r="K874">
            <v>21</v>
          </cell>
          <cell r="L874">
            <v>87.5</v>
          </cell>
          <cell r="M874" t="str">
            <v/>
          </cell>
          <cell r="N874">
            <v>17.5</v>
          </cell>
        </row>
        <row r="875">
          <cell r="A875">
            <v>18807</v>
          </cell>
          <cell r="B875" t="str">
            <v>26/06/2020</v>
          </cell>
          <cell r="C875" t="str">
            <v>CALLOUT</v>
          </cell>
          <cell r="D875" t="str">
            <v>Investigate fire alarm panel in fault</v>
          </cell>
          <cell r="E875" t="str">
            <v>Marlowe Fire &amp; Security Limited</v>
          </cell>
          <cell r="F875" t="str">
            <v>Subcontractor</v>
          </cell>
          <cell r="G875" t="str">
            <v/>
          </cell>
          <cell r="H875" t="str">
            <v/>
          </cell>
          <cell r="I875" t="str">
            <v/>
          </cell>
          <cell r="J875">
            <v>175.08</v>
          </cell>
          <cell r="K875">
            <v>35.020000000000003</v>
          </cell>
          <cell r="L875">
            <v>175.08</v>
          </cell>
          <cell r="M875" t="str">
            <v/>
          </cell>
          <cell r="N875">
            <v>0</v>
          </cell>
        </row>
        <row r="876">
          <cell r="A876">
            <v>18793</v>
          </cell>
          <cell r="B876" t="str">
            <v>23/06/2020</v>
          </cell>
          <cell r="C876" t="str">
            <v>CALLOUT</v>
          </cell>
          <cell r="D876" t="str">
            <v>Supply and install 2 channel time clock - free issue actuato</v>
          </cell>
          <cell r="E876" t="str">
            <v>Commercial Temperature Solutions</v>
          </cell>
          <cell r="F876" t="str">
            <v>Subcontractor</v>
          </cell>
          <cell r="G876" t="str">
            <v/>
          </cell>
          <cell r="H876" t="str">
            <v/>
          </cell>
          <cell r="I876" t="str">
            <v/>
          </cell>
          <cell r="J876">
            <v>328.9</v>
          </cell>
          <cell r="K876">
            <v>65.78</v>
          </cell>
          <cell r="L876">
            <v>328.9</v>
          </cell>
          <cell r="M876" t="str">
            <v/>
          </cell>
          <cell r="N876">
            <v>0</v>
          </cell>
        </row>
        <row r="877">
          <cell r="A877">
            <v>18781</v>
          </cell>
          <cell r="B877" t="str">
            <v>18/06/2020</v>
          </cell>
          <cell r="C877" t="str">
            <v>C1691</v>
          </cell>
          <cell r="D877" t="str">
            <v>Air balance works</v>
          </cell>
          <cell r="E877" t="str">
            <v>New Era Commissioning Specialists Ltd</v>
          </cell>
          <cell r="F877" t="str">
            <v>Subcontractor</v>
          </cell>
          <cell r="G877" t="str">
            <v/>
          </cell>
          <cell r="H877" t="str">
            <v>Part</v>
          </cell>
          <cell r="I877" t="str">
            <v/>
          </cell>
          <cell r="J877">
            <v>2100</v>
          </cell>
          <cell r="K877">
            <v>420</v>
          </cell>
          <cell r="L877">
            <v>2100</v>
          </cell>
          <cell r="M877" t="str">
            <v/>
          </cell>
          <cell r="N877">
            <v>0</v>
          </cell>
        </row>
        <row r="878">
          <cell r="A878">
            <v>18776</v>
          </cell>
          <cell r="B878" t="str">
            <v>17/06/2020</v>
          </cell>
          <cell r="C878" t="str">
            <v>CALLOUT</v>
          </cell>
          <cell r="D878" t="str">
            <v>Change 20 strip lights to 600 x 600 LED Panels (free issue)</v>
          </cell>
          <cell r="E878" t="str">
            <v>Key Integrated Services North West Ltd</v>
          </cell>
          <cell r="F878" t="str">
            <v>Subcontractor</v>
          </cell>
          <cell r="G878" t="str">
            <v/>
          </cell>
          <cell r="H878" t="str">
            <v/>
          </cell>
          <cell r="I878" t="str">
            <v/>
          </cell>
          <cell r="J878">
            <v>442.5</v>
          </cell>
          <cell r="K878">
            <v>88.5</v>
          </cell>
          <cell r="L878">
            <v>442.5</v>
          </cell>
          <cell r="M878" t="str">
            <v/>
          </cell>
          <cell r="N878">
            <v>0</v>
          </cell>
        </row>
        <row r="879">
          <cell r="A879">
            <v>18772</v>
          </cell>
          <cell r="B879" t="str">
            <v>17/06/2020</v>
          </cell>
          <cell r="C879" t="str">
            <v>SERVICE</v>
          </cell>
          <cell r="D879" t="str">
            <v>Fire Alarm your ref 325455</v>
          </cell>
          <cell r="E879" t="str">
            <v>Marlowe Fire &amp; Security Limited</v>
          </cell>
          <cell r="F879" t="str">
            <v>Subcontractor</v>
          </cell>
          <cell r="G879" t="str">
            <v/>
          </cell>
          <cell r="H879" t="str">
            <v/>
          </cell>
          <cell r="I879" t="str">
            <v/>
          </cell>
          <cell r="J879">
            <v>125</v>
          </cell>
          <cell r="K879">
            <v>25</v>
          </cell>
          <cell r="L879">
            <v>125</v>
          </cell>
          <cell r="M879" t="str">
            <v/>
          </cell>
          <cell r="N879">
            <v>0</v>
          </cell>
        </row>
        <row r="880">
          <cell r="A880">
            <v>18770</v>
          </cell>
          <cell r="B880" t="str">
            <v>16/06/2020</v>
          </cell>
          <cell r="C880" t="str">
            <v>C1691</v>
          </cell>
          <cell r="D880" t="str">
            <v>Air balnacing works</v>
          </cell>
          <cell r="E880" t="str">
            <v>New Era Commissioning Specialists Ltd</v>
          </cell>
          <cell r="F880" t="str">
            <v>Subcontractor</v>
          </cell>
          <cell r="G880" t="str">
            <v/>
          </cell>
          <cell r="H880" t="str">
            <v>Complete</v>
          </cell>
          <cell r="I880" t="str">
            <v/>
          </cell>
          <cell r="J880">
            <v>0</v>
          </cell>
          <cell r="K880">
            <v>0</v>
          </cell>
          <cell r="L880">
            <v>0</v>
          </cell>
          <cell r="M880" t="str">
            <v/>
          </cell>
          <cell r="N880">
            <v>0</v>
          </cell>
        </row>
        <row r="881">
          <cell r="A881">
            <v>18766</v>
          </cell>
          <cell r="B881" t="str">
            <v>15/06/2020</v>
          </cell>
          <cell r="C881" t="str">
            <v>C1684</v>
          </cell>
          <cell r="D881" t="str">
            <v>Domestic Water Services Disinfection:</v>
          </cell>
          <cell r="E881" t="str">
            <v>MSB Hygiene Ltd</v>
          </cell>
          <cell r="F881" t="str">
            <v>Subcontractor</v>
          </cell>
          <cell r="G881" t="str">
            <v/>
          </cell>
          <cell r="H881" t="str">
            <v/>
          </cell>
          <cell r="I881" t="str">
            <v/>
          </cell>
          <cell r="J881">
            <v>550</v>
          </cell>
          <cell r="K881">
            <v>110</v>
          </cell>
          <cell r="L881">
            <v>550</v>
          </cell>
          <cell r="M881" t="str">
            <v/>
          </cell>
          <cell r="N881">
            <v>0</v>
          </cell>
        </row>
        <row r="882">
          <cell r="A882">
            <v>18762</v>
          </cell>
          <cell r="B882" t="str">
            <v>12/06/2020</v>
          </cell>
          <cell r="C882" t="str">
            <v>C1695</v>
          </cell>
          <cell r="D882" t="str">
            <v>Ductwork as nutrician group requirements</v>
          </cell>
          <cell r="E882" t="str">
            <v>Cougar Mechanical Solutions Limited</v>
          </cell>
          <cell r="F882" t="str">
            <v>Subcontractor</v>
          </cell>
          <cell r="G882" t="str">
            <v/>
          </cell>
          <cell r="H882" t="str">
            <v/>
          </cell>
          <cell r="I882" t="str">
            <v/>
          </cell>
          <cell r="J882">
            <v>4800</v>
          </cell>
          <cell r="K882">
            <v>960</v>
          </cell>
          <cell r="L882">
            <v>4800</v>
          </cell>
          <cell r="M882" t="str">
            <v/>
          </cell>
          <cell r="N882">
            <v>0</v>
          </cell>
        </row>
        <row r="883">
          <cell r="A883">
            <v>18754</v>
          </cell>
          <cell r="B883" t="str">
            <v>11/06/2020</v>
          </cell>
          <cell r="C883" t="str">
            <v>C1691</v>
          </cell>
          <cell r="D883" t="str">
            <v>Fitting of sanitaryware and supply and fit above ground drai</v>
          </cell>
          <cell r="E883" t="str">
            <v>P More PHC Ltd</v>
          </cell>
          <cell r="F883" t="str">
            <v>Subcontractor</v>
          </cell>
          <cell r="G883" t="str">
            <v>12/06/2020</v>
          </cell>
          <cell r="H883" t="str">
            <v/>
          </cell>
          <cell r="I883" t="str">
            <v/>
          </cell>
          <cell r="J883">
            <v>11520.84</v>
          </cell>
          <cell r="K883">
            <v>2304.17</v>
          </cell>
          <cell r="L883">
            <v>11520.84</v>
          </cell>
          <cell r="M883" t="str">
            <v/>
          </cell>
          <cell r="N883">
            <v>0</v>
          </cell>
        </row>
        <row r="884">
          <cell r="A884">
            <v>18751</v>
          </cell>
          <cell r="B884" t="str">
            <v>11/06/2020</v>
          </cell>
          <cell r="C884" t="str">
            <v>C1684</v>
          </cell>
          <cell r="D884" t="str">
            <v>Trace heating and insulation to the cold water pipework</v>
          </cell>
          <cell r="E884" t="str">
            <v>Thermal Insulation Covers Ltd</v>
          </cell>
          <cell r="F884" t="str">
            <v>Subcontractor</v>
          </cell>
          <cell r="G884" t="str">
            <v/>
          </cell>
          <cell r="H884" t="str">
            <v/>
          </cell>
          <cell r="I884" t="str">
            <v/>
          </cell>
          <cell r="J884">
            <v>1916.51</v>
          </cell>
          <cell r="K884">
            <v>383.3</v>
          </cell>
          <cell r="L884">
            <v>1916.51</v>
          </cell>
          <cell r="M884" t="str">
            <v/>
          </cell>
          <cell r="N884">
            <v>0</v>
          </cell>
        </row>
        <row r="885">
          <cell r="A885">
            <v>18746</v>
          </cell>
          <cell r="B885" t="str">
            <v>09/06/2020</v>
          </cell>
          <cell r="C885" t="str">
            <v>C1652</v>
          </cell>
          <cell r="D885" t="str">
            <v>APSQ13459</v>
          </cell>
          <cell r="E885" t="str">
            <v>Allied Pipefreezing Services Limited</v>
          </cell>
          <cell r="F885" t="str">
            <v>Subcontractor</v>
          </cell>
          <cell r="G885" t="str">
            <v/>
          </cell>
          <cell r="H885" t="str">
            <v/>
          </cell>
          <cell r="I885" t="str">
            <v/>
          </cell>
          <cell r="J885">
            <v>950</v>
          </cell>
          <cell r="K885">
            <v>190</v>
          </cell>
          <cell r="L885">
            <v>950</v>
          </cell>
          <cell r="M885" t="str">
            <v/>
          </cell>
          <cell r="N885">
            <v>0</v>
          </cell>
        </row>
        <row r="886">
          <cell r="A886">
            <v>18745</v>
          </cell>
          <cell r="B886" t="str">
            <v>09/06/2020</v>
          </cell>
          <cell r="C886" t="str">
            <v>CALLOUT</v>
          </cell>
          <cell r="D886" t="str">
            <v>Fire Panel showing fault message breaker @ card one</v>
          </cell>
          <cell r="E886" t="str">
            <v>Hoyles Fire + Safety Ltd</v>
          </cell>
          <cell r="F886" t="str">
            <v>Subcontractor</v>
          </cell>
          <cell r="G886" t="str">
            <v/>
          </cell>
          <cell r="H886" t="str">
            <v/>
          </cell>
          <cell r="I886" t="str">
            <v/>
          </cell>
          <cell r="J886">
            <v>92.7</v>
          </cell>
          <cell r="K886">
            <v>18.54</v>
          </cell>
          <cell r="L886">
            <v>92.7</v>
          </cell>
          <cell r="M886" t="str">
            <v/>
          </cell>
          <cell r="N886">
            <v>0</v>
          </cell>
        </row>
        <row r="887">
          <cell r="A887">
            <v>18744</v>
          </cell>
          <cell r="B887" t="str">
            <v>09/06/2020</v>
          </cell>
          <cell r="C887" t="str">
            <v>CALLOUT</v>
          </cell>
          <cell r="D887" t="str">
            <v>Lift Doors on Floor 3 not shutting - Lift Out of Service</v>
          </cell>
          <cell r="E887" t="str">
            <v>Ansa Elevators Limited</v>
          </cell>
          <cell r="F887" t="str">
            <v>Subcontractor</v>
          </cell>
          <cell r="G887" t="str">
            <v/>
          </cell>
          <cell r="H887" t="str">
            <v/>
          </cell>
          <cell r="I887" t="str">
            <v/>
          </cell>
          <cell r="J887">
            <v>52.5</v>
          </cell>
          <cell r="K887">
            <v>10.5</v>
          </cell>
          <cell r="L887">
            <v>52.5</v>
          </cell>
          <cell r="M887" t="str">
            <v/>
          </cell>
          <cell r="N887">
            <v>0</v>
          </cell>
        </row>
        <row r="888">
          <cell r="A888">
            <v>18730</v>
          </cell>
          <cell r="B888" t="str">
            <v>08/06/2020</v>
          </cell>
          <cell r="C888" t="str">
            <v>SERVICE</v>
          </cell>
          <cell r="D888" t="str">
            <v>CArry out AC &amp; Boiler Maintenance</v>
          </cell>
          <cell r="E888" t="str">
            <v>Commercial Temperature Solutions</v>
          </cell>
          <cell r="F888" t="str">
            <v>Subcontractor</v>
          </cell>
          <cell r="G888" t="str">
            <v/>
          </cell>
          <cell r="H888" t="str">
            <v/>
          </cell>
          <cell r="I888" t="str">
            <v/>
          </cell>
          <cell r="J888">
            <v>250</v>
          </cell>
          <cell r="K888">
            <v>50</v>
          </cell>
          <cell r="L888">
            <v>250</v>
          </cell>
          <cell r="M888" t="str">
            <v/>
          </cell>
          <cell r="N888">
            <v>0</v>
          </cell>
        </row>
        <row r="889">
          <cell r="A889">
            <v>18725</v>
          </cell>
          <cell r="B889" t="str">
            <v>05/06/2020</v>
          </cell>
          <cell r="C889" t="str">
            <v>C1648</v>
          </cell>
          <cell r="D889" t="str">
            <v>To supply pipe Shrouds</v>
          </cell>
          <cell r="E889" t="str">
            <v>Defabs Engineering Ltd</v>
          </cell>
          <cell r="F889" t="str">
            <v>Subcontractor</v>
          </cell>
          <cell r="G889" t="str">
            <v/>
          </cell>
          <cell r="H889" t="str">
            <v/>
          </cell>
          <cell r="I889" t="str">
            <v/>
          </cell>
          <cell r="J889">
            <v>240</v>
          </cell>
          <cell r="K889">
            <v>48</v>
          </cell>
          <cell r="L889">
            <v>240</v>
          </cell>
          <cell r="M889" t="str">
            <v/>
          </cell>
          <cell r="N889">
            <v>0</v>
          </cell>
        </row>
        <row r="890">
          <cell r="A890">
            <v>18723</v>
          </cell>
          <cell r="B890" t="str">
            <v>05/06/2020</v>
          </cell>
          <cell r="C890" t="str">
            <v>SERVICE</v>
          </cell>
          <cell r="D890" t="str">
            <v>12 Months Lightning Protectioon Inspection</v>
          </cell>
          <cell r="E890" t="str">
            <v>Omega Red Group Ltd</v>
          </cell>
          <cell r="F890" t="str">
            <v>Subcontractor</v>
          </cell>
          <cell r="G890" t="str">
            <v/>
          </cell>
          <cell r="H890" t="str">
            <v>Complete</v>
          </cell>
          <cell r="I890" t="str">
            <v/>
          </cell>
          <cell r="J890">
            <v>0</v>
          </cell>
          <cell r="K890">
            <v>0</v>
          </cell>
          <cell r="L890">
            <v>0</v>
          </cell>
          <cell r="M890" t="str">
            <v/>
          </cell>
          <cell r="N890">
            <v>0</v>
          </cell>
        </row>
        <row r="891">
          <cell r="A891">
            <v>18704</v>
          </cell>
          <cell r="B891" t="str">
            <v>02/06/2020</v>
          </cell>
          <cell r="C891" t="str">
            <v>CALLOUT</v>
          </cell>
          <cell r="D891" t="str">
            <v>Lift Engineer to accompany site to inspet lift shaft &amp; Mech</v>
          </cell>
          <cell r="E891" t="str">
            <v>Ansa Elevators Limited</v>
          </cell>
          <cell r="F891" t="str">
            <v>Subcontractor</v>
          </cell>
          <cell r="G891" t="str">
            <v/>
          </cell>
          <cell r="H891" t="str">
            <v/>
          </cell>
          <cell r="I891" t="str">
            <v/>
          </cell>
          <cell r="J891">
            <v>87.5</v>
          </cell>
          <cell r="K891">
            <v>17.5</v>
          </cell>
          <cell r="L891">
            <v>87.5</v>
          </cell>
          <cell r="M891" t="str">
            <v/>
          </cell>
          <cell r="N891">
            <v>0</v>
          </cell>
        </row>
        <row r="892">
          <cell r="A892">
            <v>18700</v>
          </cell>
          <cell r="B892" t="str">
            <v>02/06/2020</v>
          </cell>
          <cell r="C892" t="str">
            <v>C1660</v>
          </cell>
          <cell r="D892" t="str">
            <v>Ductwork as your quotation</v>
          </cell>
          <cell r="E892" t="str">
            <v>Maine Engineering Ltd</v>
          </cell>
          <cell r="F892" t="str">
            <v>Subcontractor</v>
          </cell>
          <cell r="G892" t="str">
            <v/>
          </cell>
          <cell r="H892" t="str">
            <v>Part</v>
          </cell>
          <cell r="I892" t="str">
            <v/>
          </cell>
          <cell r="J892">
            <v>29891.67</v>
          </cell>
          <cell r="K892">
            <v>5978.33</v>
          </cell>
          <cell r="L892">
            <v>29891.67</v>
          </cell>
          <cell r="M892" t="str">
            <v/>
          </cell>
          <cell r="N892">
            <v>0</v>
          </cell>
        </row>
        <row r="893">
          <cell r="A893">
            <v>18693</v>
          </cell>
          <cell r="B893" t="str">
            <v>29/05/2020</v>
          </cell>
          <cell r="C893" t="str">
            <v>SERVICE</v>
          </cell>
          <cell r="D893" t="str">
            <v>Fire Alarm Maintenance - 1st Visit Req June 2020/December 20</v>
          </cell>
          <cell r="E893" t="str">
            <v>Marlowe Fire &amp; Security Limited</v>
          </cell>
          <cell r="F893" t="str">
            <v>Subcontractor</v>
          </cell>
          <cell r="G893" t="str">
            <v/>
          </cell>
          <cell r="H893" t="str">
            <v/>
          </cell>
          <cell r="I893" t="str">
            <v/>
          </cell>
          <cell r="J893">
            <v>292.68</v>
          </cell>
          <cell r="K893">
            <v>58.54</v>
          </cell>
          <cell r="L893">
            <v>0</v>
          </cell>
          <cell r="M893" t="str">
            <v/>
          </cell>
          <cell r="N893">
            <v>292.68</v>
          </cell>
        </row>
        <row r="894">
          <cell r="A894">
            <v>18692</v>
          </cell>
          <cell r="B894" t="str">
            <v>29/05/2020</v>
          </cell>
          <cell r="C894" t="str">
            <v>CALLOUT</v>
          </cell>
          <cell r="D894" t="str">
            <v>Reinstated 3rd Floor Car Calls</v>
          </cell>
          <cell r="E894" t="str">
            <v>Ansa Elevators Limited</v>
          </cell>
          <cell r="F894" t="str">
            <v>Subcontractor</v>
          </cell>
          <cell r="G894" t="str">
            <v/>
          </cell>
          <cell r="H894" t="str">
            <v/>
          </cell>
          <cell r="I894" t="str">
            <v/>
          </cell>
          <cell r="J894">
            <v>70</v>
          </cell>
          <cell r="K894">
            <v>14</v>
          </cell>
          <cell r="L894">
            <v>70</v>
          </cell>
          <cell r="M894" t="str">
            <v/>
          </cell>
          <cell r="N894">
            <v>0</v>
          </cell>
        </row>
        <row r="895">
          <cell r="A895">
            <v>18684</v>
          </cell>
          <cell r="B895" t="str">
            <v>27/05/2020</v>
          </cell>
          <cell r="C895" t="str">
            <v>C1693</v>
          </cell>
          <cell r="D895" t="str">
            <v>Mechanical Validation Works at Heathrow</v>
          </cell>
          <cell r="E895" t="str">
            <v>New Era Commissioning Specialists Ltd</v>
          </cell>
          <cell r="F895" t="str">
            <v>Subcontractor</v>
          </cell>
          <cell r="G895" t="str">
            <v>03/06/2020</v>
          </cell>
          <cell r="H895" t="str">
            <v>Part</v>
          </cell>
          <cell r="I895" t="str">
            <v/>
          </cell>
          <cell r="J895">
            <v>1500</v>
          </cell>
          <cell r="K895">
            <v>300</v>
          </cell>
          <cell r="L895">
            <v>1500</v>
          </cell>
          <cell r="M895" t="str">
            <v/>
          </cell>
          <cell r="N895">
            <v>0</v>
          </cell>
        </row>
        <row r="896">
          <cell r="A896">
            <v>18672</v>
          </cell>
          <cell r="B896" t="str">
            <v>22/05/2020</v>
          </cell>
          <cell r="C896" t="str">
            <v>CALLOUT</v>
          </cell>
          <cell r="D896" t="str">
            <v>Option 1 Remove Control Gear &amp; install LED Gear TRay</v>
          </cell>
          <cell r="E896" t="str">
            <v>Key Integrated Services North West Ltd</v>
          </cell>
          <cell r="F896" t="str">
            <v>Subcontractor</v>
          </cell>
          <cell r="G896" t="str">
            <v/>
          </cell>
          <cell r="H896" t="str">
            <v/>
          </cell>
          <cell r="I896" t="str">
            <v/>
          </cell>
          <cell r="J896">
            <v>300.60000000000002</v>
          </cell>
          <cell r="K896">
            <v>60.12</v>
          </cell>
          <cell r="L896">
            <v>0</v>
          </cell>
          <cell r="M896" t="str">
            <v/>
          </cell>
          <cell r="N896">
            <v>300.60000000000002</v>
          </cell>
        </row>
        <row r="897">
          <cell r="A897">
            <v>18659</v>
          </cell>
          <cell r="B897" t="str">
            <v>14/05/2020</v>
          </cell>
          <cell r="C897" t="str">
            <v>SERVICE</v>
          </cell>
          <cell r="D897" t="str">
            <v>AC Maintenance</v>
          </cell>
          <cell r="E897" t="str">
            <v>Commercial Temperature Solutions</v>
          </cell>
          <cell r="F897" t="str">
            <v>Subcontractor</v>
          </cell>
          <cell r="G897" t="str">
            <v/>
          </cell>
          <cell r="H897" t="str">
            <v/>
          </cell>
          <cell r="I897" t="str">
            <v/>
          </cell>
          <cell r="J897">
            <v>330</v>
          </cell>
          <cell r="K897">
            <v>66</v>
          </cell>
          <cell r="L897">
            <v>330</v>
          </cell>
          <cell r="M897" t="str">
            <v/>
          </cell>
          <cell r="N897">
            <v>0</v>
          </cell>
        </row>
        <row r="898">
          <cell r="A898">
            <v>18656</v>
          </cell>
          <cell r="B898" t="str">
            <v>13/05/2020</v>
          </cell>
          <cell r="C898" t="str">
            <v>CALLOUT</v>
          </cell>
          <cell r="D898" t="str">
            <v>Call Out Chep Plant 04.05.2020</v>
          </cell>
          <cell r="E898" t="str">
            <v>Key Integrated Services North West Ltd</v>
          </cell>
          <cell r="F898" t="str">
            <v>Subcontractor</v>
          </cell>
          <cell r="G898" t="str">
            <v/>
          </cell>
          <cell r="H898" t="str">
            <v/>
          </cell>
          <cell r="I898" t="str">
            <v/>
          </cell>
          <cell r="J898">
            <v>89</v>
          </cell>
          <cell r="K898">
            <v>17.8</v>
          </cell>
          <cell r="L898">
            <v>89</v>
          </cell>
          <cell r="M898" t="str">
            <v/>
          </cell>
          <cell r="N898">
            <v>0</v>
          </cell>
        </row>
        <row r="899">
          <cell r="A899">
            <v>18650</v>
          </cell>
          <cell r="B899" t="str">
            <v>11/05/2020</v>
          </cell>
          <cell r="C899" t="str">
            <v>C1691</v>
          </cell>
          <cell r="D899" t="str">
            <v>Supply and install canopies as sub con doc</v>
          </cell>
          <cell r="E899" t="str">
            <v>CK Direct Duct &amp; Maintenance Ltd</v>
          </cell>
          <cell r="F899" t="str">
            <v>Subcontractor</v>
          </cell>
          <cell r="G899" t="str">
            <v>01/06/2020</v>
          </cell>
          <cell r="H899" t="str">
            <v/>
          </cell>
          <cell r="I899" t="str">
            <v/>
          </cell>
          <cell r="J899">
            <v>35054.69</v>
          </cell>
          <cell r="K899">
            <v>7010.94</v>
          </cell>
          <cell r="L899">
            <v>35054.69</v>
          </cell>
          <cell r="M899" t="str">
            <v/>
          </cell>
          <cell r="N899">
            <v>0</v>
          </cell>
        </row>
        <row r="900">
          <cell r="A900">
            <v>18645</v>
          </cell>
          <cell r="B900" t="str">
            <v>06/05/2020</v>
          </cell>
          <cell r="C900" t="str">
            <v>CALLOUT</v>
          </cell>
          <cell r="D900" t="str">
            <v>Supply and install 2no hidden ceiling hinge locks</v>
          </cell>
          <cell r="E900" t="str">
            <v>Ansa Elevators Limited</v>
          </cell>
          <cell r="F900" t="str">
            <v>Subcontractor</v>
          </cell>
          <cell r="G900" t="str">
            <v/>
          </cell>
          <cell r="H900" t="str">
            <v/>
          </cell>
          <cell r="I900" t="str">
            <v/>
          </cell>
          <cell r="J900">
            <v>235.5</v>
          </cell>
          <cell r="K900">
            <v>47.1</v>
          </cell>
          <cell r="L900">
            <v>235.5</v>
          </cell>
          <cell r="M900" t="str">
            <v/>
          </cell>
          <cell r="N900">
            <v>0</v>
          </cell>
        </row>
        <row r="901">
          <cell r="A901">
            <v>18633</v>
          </cell>
          <cell r="B901" t="str">
            <v>04/05/2020</v>
          </cell>
          <cell r="C901" t="str">
            <v>SERVICE</v>
          </cell>
          <cell r="D901" t="str">
            <v>12 months Lift Maintenance (4no visits per annum)</v>
          </cell>
          <cell r="E901" t="str">
            <v>Ansa Elevators Limited</v>
          </cell>
          <cell r="F901" t="str">
            <v>Subcontractor</v>
          </cell>
          <cell r="G901" t="str">
            <v/>
          </cell>
          <cell r="H901" t="str">
            <v/>
          </cell>
          <cell r="I901" t="str">
            <v/>
          </cell>
          <cell r="J901">
            <v>1040</v>
          </cell>
          <cell r="K901">
            <v>208</v>
          </cell>
          <cell r="L901">
            <v>260</v>
          </cell>
          <cell r="M901" t="str">
            <v/>
          </cell>
          <cell r="N901">
            <v>780</v>
          </cell>
        </row>
        <row r="902">
          <cell r="A902">
            <v>18632</v>
          </cell>
          <cell r="B902" t="str">
            <v>04/05/2020</v>
          </cell>
          <cell r="C902" t="str">
            <v>SERVICE</v>
          </cell>
          <cell r="D902" t="str">
            <v>Intruder Alarm (2no visits per annum)</v>
          </cell>
          <cell r="E902" t="str">
            <v>Marlowe Fire &amp; Security Limited</v>
          </cell>
          <cell r="F902" t="str">
            <v>Subcontractor</v>
          </cell>
          <cell r="G902" t="str">
            <v/>
          </cell>
          <cell r="H902" t="str">
            <v/>
          </cell>
          <cell r="I902" t="str">
            <v/>
          </cell>
          <cell r="J902">
            <v>494.45</v>
          </cell>
          <cell r="K902">
            <v>98.89</v>
          </cell>
          <cell r="L902">
            <v>310.7</v>
          </cell>
          <cell r="M902" t="str">
            <v/>
          </cell>
          <cell r="N902">
            <v>183.75</v>
          </cell>
        </row>
        <row r="903">
          <cell r="A903">
            <v>18631</v>
          </cell>
          <cell r="B903" t="str">
            <v>04/05/2020</v>
          </cell>
          <cell r="C903" t="str">
            <v>C1687</v>
          </cell>
          <cell r="D903" t="str">
            <v>Ductwrok installation</v>
          </cell>
          <cell r="E903" t="str">
            <v>JTC Ductwork Solutions Limited</v>
          </cell>
          <cell r="F903" t="str">
            <v>Subcontractor</v>
          </cell>
          <cell r="G903" t="str">
            <v/>
          </cell>
          <cell r="H903" t="str">
            <v/>
          </cell>
          <cell r="I903" t="str">
            <v/>
          </cell>
          <cell r="J903">
            <v>9847.5</v>
          </cell>
          <cell r="K903">
            <v>1969.5</v>
          </cell>
          <cell r="L903">
            <v>9847</v>
          </cell>
          <cell r="M903" t="str">
            <v/>
          </cell>
          <cell r="N903">
            <v>0.5</v>
          </cell>
        </row>
        <row r="904">
          <cell r="A904">
            <v>18627</v>
          </cell>
          <cell r="B904" t="str">
            <v>30/04/2020</v>
          </cell>
          <cell r="C904" t="str">
            <v>C1684</v>
          </cell>
          <cell r="D904" t="str">
            <v/>
          </cell>
          <cell r="E904" t="str">
            <v>UK Dry Risers Ltd</v>
          </cell>
          <cell r="F904" t="str">
            <v>Subcontractor</v>
          </cell>
          <cell r="G904" t="str">
            <v>07/05/2020</v>
          </cell>
          <cell r="H904" t="str">
            <v/>
          </cell>
          <cell r="I904" t="str">
            <v/>
          </cell>
          <cell r="J904">
            <v>3980</v>
          </cell>
          <cell r="K904">
            <v>796</v>
          </cell>
          <cell r="L904">
            <v>3980</v>
          </cell>
          <cell r="M904" t="str">
            <v/>
          </cell>
          <cell r="N904">
            <v>0</v>
          </cell>
        </row>
        <row r="905">
          <cell r="A905">
            <v>18621</v>
          </cell>
          <cell r="B905" t="str">
            <v>30/04/2020</v>
          </cell>
          <cell r="C905" t="str">
            <v>QUOTED</v>
          </cell>
          <cell r="D905" t="str">
            <v>Carry out quoted works as agreed with Jim Kelley</v>
          </cell>
          <cell r="E905" t="str">
            <v>Key Integrated Services North West Ltd</v>
          </cell>
          <cell r="F905" t="str">
            <v>Subcontractor</v>
          </cell>
          <cell r="G905" t="str">
            <v/>
          </cell>
          <cell r="H905" t="str">
            <v/>
          </cell>
          <cell r="I905" t="str">
            <v/>
          </cell>
          <cell r="J905">
            <v>589.62</v>
          </cell>
          <cell r="K905">
            <v>117.92</v>
          </cell>
          <cell r="L905">
            <v>589.62</v>
          </cell>
          <cell r="M905" t="str">
            <v/>
          </cell>
          <cell r="N905">
            <v>0</v>
          </cell>
        </row>
        <row r="906">
          <cell r="A906">
            <v>18620</v>
          </cell>
          <cell r="B906" t="str">
            <v>29/04/2020</v>
          </cell>
          <cell r="C906" t="str">
            <v>C1691</v>
          </cell>
          <cell r="D906" t="str">
            <v>Electrical installation as per tender docs</v>
          </cell>
          <cell r="E906" t="str">
            <v>Key Integrated Services (Electrical) Ltd</v>
          </cell>
          <cell r="F906" t="str">
            <v>Subcontractor</v>
          </cell>
          <cell r="G906" t="str">
            <v>29/04/2020</v>
          </cell>
          <cell r="H906" t="str">
            <v>Part</v>
          </cell>
          <cell r="I906" t="str">
            <v/>
          </cell>
          <cell r="J906">
            <v>226205.65</v>
          </cell>
          <cell r="K906">
            <v>45241.13</v>
          </cell>
          <cell r="L906">
            <v>226185.65</v>
          </cell>
          <cell r="M906" t="str">
            <v/>
          </cell>
          <cell r="N906">
            <v>20</v>
          </cell>
        </row>
        <row r="907">
          <cell r="A907">
            <v>18610</v>
          </cell>
          <cell r="B907" t="str">
            <v>28/04/2020</v>
          </cell>
          <cell r="C907" t="str">
            <v>CALLOUT</v>
          </cell>
          <cell r="D907" t="str">
            <v>Investigate intruder alarm locked out</v>
          </cell>
          <cell r="E907" t="str">
            <v>Marlowe Fire &amp; Security Limited</v>
          </cell>
          <cell r="F907" t="str">
            <v>Subcontractor</v>
          </cell>
          <cell r="G907" t="str">
            <v/>
          </cell>
          <cell r="H907" t="str">
            <v/>
          </cell>
          <cell r="I907" t="str">
            <v/>
          </cell>
          <cell r="J907">
            <v>85</v>
          </cell>
          <cell r="K907">
            <v>17</v>
          </cell>
          <cell r="L907">
            <v>85</v>
          </cell>
          <cell r="M907" t="str">
            <v/>
          </cell>
          <cell r="N907">
            <v>0</v>
          </cell>
        </row>
        <row r="908">
          <cell r="A908">
            <v>18597</v>
          </cell>
          <cell r="B908" t="str">
            <v>22/04/2020</v>
          </cell>
          <cell r="C908" t="str">
            <v>C1688</v>
          </cell>
          <cell r="D908" t="str">
            <v>Power to water heaters</v>
          </cell>
          <cell r="E908" t="str">
            <v>Key Integrated Services (Electrical) Ltd</v>
          </cell>
          <cell r="F908" t="str">
            <v>Subcontractor</v>
          </cell>
          <cell r="G908" t="str">
            <v/>
          </cell>
          <cell r="H908" t="str">
            <v/>
          </cell>
          <cell r="I908" t="str">
            <v/>
          </cell>
          <cell r="J908">
            <v>600</v>
          </cell>
          <cell r="K908">
            <v>120</v>
          </cell>
          <cell r="L908">
            <v>600</v>
          </cell>
          <cell r="M908" t="str">
            <v/>
          </cell>
          <cell r="N908">
            <v>0</v>
          </cell>
        </row>
        <row r="909">
          <cell r="A909">
            <v>18584</v>
          </cell>
          <cell r="B909" t="str">
            <v>08/04/2020</v>
          </cell>
          <cell r="C909" t="str">
            <v>CALLOUT</v>
          </cell>
          <cell r="D909" t="str">
            <v>Attended Call Out 25.03.2020 Access Control Fault</v>
          </cell>
          <cell r="E909" t="str">
            <v>Security and Fire Experts Ltd</v>
          </cell>
          <cell r="F909" t="str">
            <v>Subcontractor</v>
          </cell>
          <cell r="G909" t="str">
            <v/>
          </cell>
          <cell r="H909" t="str">
            <v/>
          </cell>
          <cell r="I909" t="str">
            <v/>
          </cell>
          <cell r="J909">
            <v>150</v>
          </cell>
          <cell r="K909">
            <v>30</v>
          </cell>
          <cell r="L909">
            <v>150</v>
          </cell>
          <cell r="M909" t="str">
            <v/>
          </cell>
          <cell r="N909">
            <v>0</v>
          </cell>
        </row>
        <row r="910">
          <cell r="A910">
            <v>18574</v>
          </cell>
          <cell r="B910" t="str">
            <v>02/04/2020</v>
          </cell>
          <cell r="C910" t="str">
            <v>SM001 CALLOUT</v>
          </cell>
          <cell r="D910" t="str">
            <v>Investigate Hot Water Scalding Hot in Ladies WC</v>
          </cell>
          <cell r="E910" t="str">
            <v>Derek Austin Heating Limited</v>
          </cell>
          <cell r="F910" t="str">
            <v>Subcontractor</v>
          </cell>
          <cell r="G910" t="str">
            <v/>
          </cell>
          <cell r="H910" t="str">
            <v/>
          </cell>
          <cell r="I910" t="str">
            <v/>
          </cell>
          <cell r="J910">
            <v>257.39999999999998</v>
          </cell>
          <cell r="K910">
            <v>51.48</v>
          </cell>
          <cell r="L910">
            <v>257.39999999999998</v>
          </cell>
          <cell r="M910" t="str">
            <v/>
          </cell>
          <cell r="N910">
            <v>0</v>
          </cell>
        </row>
        <row r="911">
          <cell r="A911">
            <v>18571</v>
          </cell>
          <cell r="B911" t="str">
            <v>01/04/2020</v>
          </cell>
          <cell r="C911" t="str">
            <v>C1686</v>
          </cell>
          <cell r="D911" t="str">
            <v>Data points robot and cream room Greggs order 4500203132</v>
          </cell>
          <cell r="E911" t="str">
            <v>Key Integrated Services (Electrical) Ltd</v>
          </cell>
          <cell r="F911" t="str">
            <v>Subcontractor</v>
          </cell>
          <cell r="G911" t="str">
            <v/>
          </cell>
          <cell r="H911" t="str">
            <v/>
          </cell>
          <cell r="I911" t="str">
            <v/>
          </cell>
          <cell r="J911">
            <v>692</v>
          </cell>
          <cell r="K911">
            <v>138.4</v>
          </cell>
          <cell r="L911">
            <v>692</v>
          </cell>
          <cell r="M911" t="str">
            <v/>
          </cell>
          <cell r="N911">
            <v>0</v>
          </cell>
        </row>
        <row r="912">
          <cell r="A912">
            <v>18565</v>
          </cell>
          <cell r="B912" t="str">
            <v>30/03/2020</v>
          </cell>
          <cell r="C912" t="str">
            <v>SERVICE</v>
          </cell>
          <cell r="D912" t="str">
            <v>12 Months Fire Alarm Maintenance and Monitoring</v>
          </cell>
          <cell r="E912" t="str">
            <v>Marlowe Fire &amp; Security Limited</v>
          </cell>
          <cell r="F912" t="str">
            <v>Subcontractor</v>
          </cell>
          <cell r="G912" t="str">
            <v/>
          </cell>
          <cell r="H912" t="str">
            <v/>
          </cell>
          <cell r="I912" t="str">
            <v/>
          </cell>
          <cell r="J912">
            <v>1301.73</v>
          </cell>
          <cell r="K912">
            <v>260.35000000000002</v>
          </cell>
          <cell r="L912">
            <v>705.86</v>
          </cell>
          <cell r="M912" t="str">
            <v/>
          </cell>
          <cell r="N912">
            <v>595.87</v>
          </cell>
        </row>
        <row r="913">
          <cell r="A913">
            <v>18564</v>
          </cell>
          <cell r="B913" t="str">
            <v>30/03/2020</v>
          </cell>
          <cell r="C913" t="str">
            <v>SERVICE</v>
          </cell>
          <cell r="D913" t="str">
            <v>12 Months Fire Alarm Maintenance and Monitoring</v>
          </cell>
          <cell r="E913" t="str">
            <v>Marlowe Fire &amp; Security Limited</v>
          </cell>
          <cell r="F913" t="str">
            <v>Subcontractor</v>
          </cell>
          <cell r="G913" t="str">
            <v/>
          </cell>
          <cell r="H913" t="str">
            <v/>
          </cell>
          <cell r="I913" t="str">
            <v/>
          </cell>
          <cell r="J913">
            <v>1301.72</v>
          </cell>
          <cell r="K913">
            <v>260.33999999999997</v>
          </cell>
          <cell r="L913">
            <v>705.86</v>
          </cell>
          <cell r="M913" t="str">
            <v/>
          </cell>
          <cell r="N913">
            <v>595.86</v>
          </cell>
        </row>
        <row r="914">
          <cell r="A914">
            <v>18560</v>
          </cell>
          <cell r="B914" t="str">
            <v>26/03/2020</v>
          </cell>
          <cell r="C914" t="str">
            <v>QUOTED</v>
          </cell>
          <cell r="D914" t="str">
            <v>To carry out wroks as per quotation dated 20.03.2020</v>
          </cell>
          <cell r="E914" t="str">
            <v>Key Integrated Services North West Ltd</v>
          </cell>
          <cell r="F914" t="str">
            <v>Subcontractor</v>
          </cell>
          <cell r="G914" t="str">
            <v/>
          </cell>
          <cell r="H914" t="str">
            <v/>
          </cell>
          <cell r="I914" t="str">
            <v/>
          </cell>
          <cell r="J914">
            <v>436.68</v>
          </cell>
          <cell r="K914">
            <v>87.34</v>
          </cell>
          <cell r="L914">
            <v>436.68</v>
          </cell>
          <cell r="M914" t="str">
            <v/>
          </cell>
          <cell r="N914">
            <v>0</v>
          </cell>
        </row>
        <row r="915">
          <cell r="A915">
            <v>18548</v>
          </cell>
          <cell r="B915" t="str">
            <v>23/03/2020</v>
          </cell>
          <cell r="C915" t="str">
            <v>C1686</v>
          </cell>
          <cell r="D915" t="str">
            <v>Installation of Paxton control equipment to site.</v>
          </cell>
          <cell r="E915" t="str">
            <v>Key Integrated Services (Electrical) Ltd</v>
          </cell>
          <cell r="F915" t="str">
            <v>Subcontractor</v>
          </cell>
          <cell r="G915" t="str">
            <v/>
          </cell>
          <cell r="H915" t="str">
            <v/>
          </cell>
          <cell r="I915" t="str">
            <v/>
          </cell>
          <cell r="J915">
            <v>1401</v>
          </cell>
          <cell r="K915">
            <v>280.2</v>
          </cell>
          <cell r="L915">
            <v>1401</v>
          </cell>
          <cell r="M915" t="str">
            <v/>
          </cell>
          <cell r="N915">
            <v>0</v>
          </cell>
        </row>
        <row r="916">
          <cell r="A916">
            <v>18545</v>
          </cell>
          <cell r="B916" t="str">
            <v>23/03/2020</v>
          </cell>
          <cell r="C916" t="str">
            <v>C1654</v>
          </cell>
          <cell r="D916" t="str">
            <v>Pre-fab pipework</v>
          </cell>
          <cell r="E916" t="str">
            <v>Buckley Plumbing &amp; Mechanical Services</v>
          </cell>
          <cell r="F916" t="str">
            <v>Subcontractor</v>
          </cell>
          <cell r="G916" t="str">
            <v>02/01/2020</v>
          </cell>
          <cell r="H916" t="str">
            <v>Complete</v>
          </cell>
          <cell r="I916" t="str">
            <v/>
          </cell>
          <cell r="J916">
            <v>0</v>
          </cell>
          <cell r="K916">
            <v>0</v>
          </cell>
          <cell r="L916">
            <v>0</v>
          </cell>
          <cell r="M916" t="str">
            <v/>
          </cell>
          <cell r="N916">
            <v>0</v>
          </cell>
        </row>
        <row r="917">
          <cell r="A917">
            <v>18540</v>
          </cell>
          <cell r="B917" t="str">
            <v>20/03/2020</v>
          </cell>
          <cell r="C917" t="str">
            <v>QUOTED</v>
          </cell>
          <cell r="D917" t="str">
            <v>elecs for 2no water eaters as per quote</v>
          </cell>
          <cell r="E917" t="str">
            <v>Key Integrated Services North West Ltd</v>
          </cell>
          <cell r="F917" t="str">
            <v>Subcontractor</v>
          </cell>
          <cell r="G917" t="str">
            <v/>
          </cell>
          <cell r="H917" t="str">
            <v/>
          </cell>
          <cell r="I917" t="str">
            <v/>
          </cell>
          <cell r="J917">
            <v>384.7</v>
          </cell>
          <cell r="K917">
            <v>76.94</v>
          </cell>
          <cell r="L917">
            <v>384.7</v>
          </cell>
          <cell r="M917" t="str">
            <v/>
          </cell>
          <cell r="N917">
            <v>0</v>
          </cell>
        </row>
        <row r="918">
          <cell r="A918">
            <v>18531</v>
          </cell>
          <cell r="B918" t="str">
            <v>19/03/2020</v>
          </cell>
          <cell r="C918" t="str">
            <v>CALLOUT</v>
          </cell>
          <cell r="D918" t="str">
            <v>Fire Alarm Sounding reported 19th March 2020</v>
          </cell>
          <cell r="E918" t="str">
            <v>Marlowe Fire &amp; Security Limited</v>
          </cell>
          <cell r="F918" t="str">
            <v>Subcontractor</v>
          </cell>
          <cell r="G918" t="str">
            <v/>
          </cell>
          <cell r="H918" t="str">
            <v>Part</v>
          </cell>
          <cell r="I918" t="str">
            <v/>
          </cell>
          <cell r="J918">
            <v>140</v>
          </cell>
          <cell r="K918">
            <v>28</v>
          </cell>
          <cell r="L918">
            <v>0</v>
          </cell>
          <cell r="M918" t="str">
            <v/>
          </cell>
          <cell r="N918">
            <v>140</v>
          </cell>
        </row>
        <row r="919">
          <cell r="A919">
            <v>18528</v>
          </cell>
          <cell r="B919" t="str">
            <v>18/03/2020</v>
          </cell>
          <cell r="C919" t="str">
            <v>CALLOUT</v>
          </cell>
          <cell r="D919" t="str">
            <v>1st floor ladies wc rh cubicle has broken handle</v>
          </cell>
          <cell r="E919" t="str">
            <v>Viabl Ltd T/A Able</v>
          </cell>
          <cell r="F919" t="str">
            <v>Subcontractor</v>
          </cell>
          <cell r="G919" t="str">
            <v/>
          </cell>
          <cell r="H919" t="str">
            <v>Part</v>
          </cell>
          <cell r="I919" t="str">
            <v/>
          </cell>
          <cell r="J919">
            <v>175</v>
          </cell>
          <cell r="K919">
            <v>35</v>
          </cell>
          <cell r="L919">
            <v>175</v>
          </cell>
          <cell r="M919" t="str">
            <v/>
          </cell>
          <cell r="N919">
            <v>0</v>
          </cell>
        </row>
        <row r="920">
          <cell r="A920">
            <v>18518</v>
          </cell>
          <cell r="B920" t="str">
            <v>18/03/2020</v>
          </cell>
          <cell r="C920" t="str">
            <v>CALLOUT</v>
          </cell>
          <cell r="D920" t="str">
            <v>eml emedials</v>
          </cell>
          <cell r="E920" t="str">
            <v>Key Integrated Services North West Ltd</v>
          </cell>
          <cell r="F920" t="str">
            <v>Subcontractor</v>
          </cell>
          <cell r="G920" t="str">
            <v/>
          </cell>
          <cell r="H920" t="str">
            <v/>
          </cell>
          <cell r="I920" t="str">
            <v/>
          </cell>
          <cell r="J920">
            <v>103.32</v>
          </cell>
          <cell r="K920">
            <v>20.66</v>
          </cell>
          <cell r="L920">
            <v>99.32</v>
          </cell>
          <cell r="M920" t="str">
            <v/>
          </cell>
          <cell r="N920">
            <v>4</v>
          </cell>
        </row>
        <row r="921">
          <cell r="A921">
            <v>18517</v>
          </cell>
          <cell r="B921" t="str">
            <v>18/03/2020</v>
          </cell>
          <cell r="C921" t="str">
            <v>CALLOUT</v>
          </cell>
          <cell r="D921" t="str">
            <v>eml remedials</v>
          </cell>
          <cell r="E921" t="str">
            <v>Key Integrated Services North West Ltd</v>
          </cell>
          <cell r="F921" t="str">
            <v>Subcontractor</v>
          </cell>
          <cell r="G921" t="str">
            <v/>
          </cell>
          <cell r="H921" t="str">
            <v/>
          </cell>
          <cell r="I921" t="str">
            <v/>
          </cell>
          <cell r="J921">
            <v>265.98</v>
          </cell>
          <cell r="K921">
            <v>53.2</v>
          </cell>
          <cell r="L921">
            <v>265.98</v>
          </cell>
          <cell r="M921" t="str">
            <v/>
          </cell>
          <cell r="N921">
            <v>0</v>
          </cell>
        </row>
        <row r="922">
          <cell r="A922">
            <v>18516</v>
          </cell>
          <cell r="B922" t="str">
            <v>18/03/2020</v>
          </cell>
          <cell r="C922" t="str">
            <v>CALLOUT</v>
          </cell>
          <cell r="D922" t="str">
            <v>eml remedials</v>
          </cell>
          <cell r="E922" t="str">
            <v>Key Integrated Services North West Ltd</v>
          </cell>
          <cell r="F922" t="str">
            <v>Subcontractor</v>
          </cell>
          <cell r="G922" t="str">
            <v/>
          </cell>
          <cell r="H922" t="str">
            <v/>
          </cell>
          <cell r="I922" t="str">
            <v/>
          </cell>
          <cell r="J922">
            <v>103.32</v>
          </cell>
          <cell r="K922">
            <v>20.66</v>
          </cell>
          <cell r="L922">
            <v>103.32</v>
          </cell>
          <cell r="M922" t="str">
            <v/>
          </cell>
          <cell r="N922">
            <v>0</v>
          </cell>
        </row>
        <row r="923">
          <cell r="A923">
            <v>18515</v>
          </cell>
          <cell r="B923" t="str">
            <v>18/03/2020</v>
          </cell>
          <cell r="C923" t="str">
            <v>CALLOUT</v>
          </cell>
          <cell r="D923" t="str">
            <v>eml remedials</v>
          </cell>
          <cell r="E923" t="str">
            <v>Key Integrated Services North West Ltd</v>
          </cell>
          <cell r="F923" t="str">
            <v>Subcontractor</v>
          </cell>
          <cell r="G923" t="str">
            <v/>
          </cell>
          <cell r="H923" t="str">
            <v/>
          </cell>
          <cell r="I923" t="str">
            <v/>
          </cell>
          <cell r="J923">
            <v>211.23</v>
          </cell>
          <cell r="K923">
            <v>42.25</v>
          </cell>
          <cell r="L923">
            <v>211.23</v>
          </cell>
          <cell r="M923" t="str">
            <v/>
          </cell>
          <cell r="N923">
            <v>0</v>
          </cell>
        </row>
        <row r="924">
          <cell r="A924">
            <v>18514</v>
          </cell>
          <cell r="B924" t="str">
            <v>18/03/2020</v>
          </cell>
          <cell r="C924" t="str">
            <v>CALLOUT</v>
          </cell>
          <cell r="D924" t="str">
            <v>eml remedials</v>
          </cell>
          <cell r="E924" t="str">
            <v>Key Integrated Services North West Ltd</v>
          </cell>
          <cell r="F924" t="str">
            <v>Subcontractor</v>
          </cell>
          <cell r="G924" t="str">
            <v/>
          </cell>
          <cell r="H924" t="str">
            <v/>
          </cell>
          <cell r="I924" t="str">
            <v/>
          </cell>
          <cell r="J924">
            <v>101.32</v>
          </cell>
          <cell r="K924">
            <v>20.260000000000002</v>
          </cell>
          <cell r="L924">
            <v>101.32</v>
          </cell>
          <cell r="M924" t="str">
            <v/>
          </cell>
          <cell r="N924">
            <v>0</v>
          </cell>
        </row>
        <row r="925">
          <cell r="A925">
            <v>18513</v>
          </cell>
          <cell r="B925" t="str">
            <v>18/03/2020</v>
          </cell>
          <cell r="C925" t="str">
            <v>CALLOUT</v>
          </cell>
          <cell r="D925" t="str">
            <v>EML remedials</v>
          </cell>
          <cell r="E925" t="str">
            <v>Key Integrated Services North West Ltd</v>
          </cell>
          <cell r="F925" t="str">
            <v>Subcontractor</v>
          </cell>
          <cell r="G925" t="str">
            <v/>
          </cell>
          <cell r="H925" t="str">
            <v/>
          </cell>
          <cell r="I925" t="str">
            <v/>
          </cell>
          <cell r="J925">
            <v>17.059999999999999</v>
          </cell>
          <cell r="K925">
            <v>3.41</v>
          </cell>
          <cell r="L925">
            <v>17.059999999999999</v>
          </cell>
          <cell r="M925" t="str">
            <v/>
          </cell>
          <cell r="N925">
            <v>0</v>
          </cell>
        </row>
        <row r="926">
          <cell r="A926">
            <v>18512</v>
          </cell>
          <cell r="B926" t="str">
            <v>18/03/2020</v>
          </cell>
          <cell r="C926" t="str">
            <v>CALLOUT</v>
          </cell>
          <cell r="D926" t="str">
            <v>Fire extinguishers remedials</v>
          </cell>
          <cell r="E926" t="str">
            <v>Marlowe Fire &amp; Security Limited</v>
          </cell>
          <cell r="F926" t="str">
            <v>Subcontractor</v>
          </cell>
          <cell r="G926" t="str">
            <v/>
          </cell>
          <cell r="H926" t="str">
            <v/>
          </cell>
          <cell r="I926" t="str">
            <v/>
          </cell>
          <cell r="J926">
            <v>113.34</v>
          </cell>
          <cell r="K926">
            <v>22.67</v>
          </cell>
          <cell r="L926">
            <v>113.34</v>
          </cell>
          <cell r="M926" t="str">
            <v/>
          </cell>
          <cell r="N926">
            <v>0</v>
          </cell>
        </row>
        <row r="927">
          <cell r="A927">
            <v>18511</v>
          </cell>
          <cell r="B927" t="str">
            <v>18/03/2020</v>
          </cell>
          <cell r="C927" t="str">
            <v>CALLOUT</v>
          </cell>
          <cell r="D927" t="str">
            <v>Fire extinguishers remedials</v>
          </cell>
          <cell r="E927" t="str">
            <v>Marlowe Fire &amp; Security Limited</v>
          </cell>
          <cell r="F927" t="str">
            <v>Subcontractor</v>
          </cell>
          <cell r="G927" t="str">
            <v/>
          </cell>
          <cell r="H927" t="str">
            <v/>
          </cell>
          <cell r="I927" t="str">
            <v/>
          </cell>
          <cell r="J927">
            <v>284.29000000000002</v>
          </cell>
          <cell r="K927">
            <v>56.86</v>
          </cell>
          <cell r="L927">
            <v>284.29000000000002</v>
          </cell>
          <cell r="M927" t="str">
            <v/>
          </cell>
          <cell r="N927">
            <v>0</v>
          </cell>
        </row>
        <row r="928">
          <cell r="A928">
            <v>18510</v>
          </cell>
          <cell r="B928" t="str">
            <v>18/03/2020</v>
          </cell>
          <cell r="C928" t="str">
            <v>QUOTED</v>
          </cell>
          <cell r="D928" t="str">
            <v>lift works</v>
          </cell>
          <cell r="E928" t="str">
            <v>Ansa Elevators Limited</v>
          </cell>
          <cell r="F928" t="str">
            <v>Subcontractor</v>
          </cell>
          <cell r="G928" t="str">
            <v/>
          </cell>
          <cell r="H928" t="str">
            <v/>
          </cell>
          <cell r="I928" t="str">
            <v/>
          </cell>
          <cell r="J928">
            <v>2428.5</v>
          </cell>
          <cell r="K928">
            <v>485.7</v>
          </cell>
          <cell r="L928">
            <v>2428.5</v>
          </cell>
          <cell r="M928" t="str">
            <v/>
          </cell>
          <cell r="N928">
            <v>0</v>
          </cell>
        </row>
        <row r="929">
          <cell r="A929">
            <v>18508</v>
          </cell>
          <cell r="B929" t="str">
            <v>18/03/2020</v>
          </cell>
          <cell r="C929" t="str">
            <v>QUOTED</v>
          </cell>
          <cell r="D929" t="str">
            <v>lift works</v>
          </cell>
          <cell r="E929" t="str">
            <v>Ansa Elevators Limited</v>
          </cell>
          <cell r="F929" t="str">
            <v>Subcontractor</v>
          </cell>
          <cell r="G929" t="str">
            <v/>
          </cell>
          <cell r="H929" t="str">
            <v/>
          </cell>
          <cell r="I929" t="str">
            <v/>
          </cell>
          <cell r="J929">
            <v>2428</v>
          </cell>
          <cell r="K929">
            <v>485.6</v>
          </cell>
          <cell r="L929">
            <v>2428.5</v>
          </cell>
          <cell r="M929" t="str">
            <v/>
          </cell>
          <cell r="N929">
            <v>-0.5</v>
          </cell>
        </row>
        <row r="930">
          <cell r="A930">
            <v>18507</v>
          </cell>
          <cell r="B930" t="str">
            <v>18/03/2020</v>
          </cell>
          <cell r="C930" t="str">
            <v>QUOTED</v>
          </cell>
          <cell r="D930" t="str">
            <v>lift works</v>
          </cell>
          <cell r="E930" t="str">
            <v>Ansa Elevators Limited</v>
          </cell>
          <cell r="F930" t="str">
            <v>Subcontractor</v>
          </cell>
          <cell r="G930" t="str">
            <v/>
          </cell>
          <cell r="H930" t="str">
            <v/>
          </cell>
          <cell r="I930" t="str">
            <v/>
          </cell>
          <cell r="J930">
            <v>2605.5</v>
          </cell>
          <cell r="K930">
            <v>521.1</v>
          </cell>
          <cell r="L930">
            <v>0</v>
          </cell>
          <cell r="M930" t="str">
            <v/>
          </cell>
          <cell r="N930">
            <v>2605.5</v>
          </cell>
        </row>
        <row r="931">
          <cell r="A931">
            <v>18498</v>
          </cell>
          <cell r="B931" t="str">
            <v>17/03/2020</v>
          </cell>
          <cell r="C931" t="str">
            <v>SM001 CALLOUT</v>
          </cell>
          <cell r="D931" t="str">
            <v>Light Fitting in Ground Floor disabled Toilet has fallen fro</v>
          </cell>
          <cell r="E931" t="str">
            <v>Viabl Ltd T/A Able</v>
          </cell>
          <cell r="F931" t="str">
            <v>Subcontractor</v>
          </cell>
          <cell r="G931" t="str">
            <v/>
          </cell>
          <cell r="H931" t="str">
            <v>Part</v>
          </cell>
          <cell r="I931" t="str">
            <v/>
          </cell>
          <cell r="J931">
            <v>130</v>
          </cell>
          <cell r="K931">
            <v>26</v>
          </cell>
          <cell r="L931">
            <v>130</v>
          </cell>
          <cell r="M931" t="str">
            <v/>
          </cell>
          <cell r="N931">
            <v>0</v>
          </cell>
        </row>
        <row r="932">
          <cell r="A932">
            <v>18493</v>
          </cell>
          <cell r="B932" t="str">
            <v>16/03/2020</v>
          </cell>
          <cell r="C932" t="str">
            <v>C1654</v>
          </cell>
          <cell r="D932" t="str">
            <v>Pre fab pipework</v>
          </cell>
          <cell r="E932" t="str">
            <v>Buckley Plumbing &amp; Mechanical Services</v>
          </cell>
          <cell r="F932" t="str">
            <v>Subcontractor</v>
          </cell>
          <cell r="G932" t="str">
            <v/>
          </cell>
          <cell r="H932" t="str">
            <v/>
          </cell>
          <cell r="I932" t="str">
            <v/>
          </cell>
          <cell r="J932">
            <v>4050.17</v>
          </cell>
          <cell r="K932">
            <v>810.03</v>
          </cell>
          <cell r="L932">
            <v>4050.17</v>
          </cell>
          <cell r="M932" t="str">
            <v/>
          </cell>
          <cell r="N932">
            <v>0</v>
          </cell>
        </row>
        <row r="933">
          <cell r="A933">
            <v>18490</v>
          </cell>
          <cell r="B933" t="str">
            <v>16/03/2020</v>
          </cell>
          <cell r="C933" t="str">
            <v>CALLOUT</v>
          </cell>
          <cell r="D933" t="str">
            <v>floor box has fell thru</v>
          </cell>
          <cell r="E933" t="str">
            <v>Key Integrated Services North West Ltd</v>
          </cell>
          <cell r="F933" t="str">
            <v>Subcontractor</v>
          </cell>
          <cell r="G933" t="str">
            <v/>
          </cell>
          <cell r="H933" t="str">
            <v>Part</v>
          </cell>
          <cell r="I933" t="str">
            <v/>
          </cell>
          <cell r="J933">
            <v>298.99</v>
          </cell>
          <cell r="K933">
            <v>59.8</v>
          </cell>
          <cell r="L933">
            <v>298.99</v>
          </cell>
          <cell r="M933" t="str">
            <v/>
          </cell>
          <cell r="N933">
            <v>0</v>
          </cell>
        </row>
        <row r="934">
          <cell r="A934">
            <v>18489</v>
          </cell>
          <cell r="B934" t="str">
            <v>16/03/2020</v>
          </cell>
          <cell r="C934" t="str">
            <v>SM001 CALLOUT</v>
          </cell>
          <cell r="D934" t="str">
            <v>no heating</v>
          </cell>
          <cell r="E934" t="str">
            <v>K Gammon Plumbing &amp; Heating Ltd</v>
          </cell>
          <cell r="F934" t="str">
            <v>Subcontractor</v>
          </cell>
          <cell r="G934" t="str">
            <v/>
          </cell>
          <cell r="H934" t="str">
            <v>Part</v>
          </cell>
          <cell r="I934" t="str">
            <v/>
          </cell>
          <cell r="J934">
            <v>90</v>
          </cell>
          <cell r="K934">
            <v>18</v>
          </cell>
          <cell r="L934">
            <v>90</v>
          </cell>
          <cell r="M934" t="str">
            <v/>
          </cell>
          <cell r="N934">
            <v>0</v>
          </cell>
        </row>
        <row r="935">
          <cell r="A935">
            <v>18480</v>
          </cell>
          <cell r="B935" t="str">
            <v>13/03/2020</v>
          </cell>
          <cell r="C935" t="str">
            <v>SM001 CALLOUT</v>
          </cell>
          <cell r="D935" t="str">
            <v>boiler pressure keeps dropping</v>
          </cell>
          <cell r="E935" t="str">
            <v>Pole to Pole Climate Control Ltd</v>
          </cell>
          <cell r="F935" t="str">
            <v>Subcontractor</v>
          </cell>
          <cell r="G935" t="str">
            <v/>
          </cell>
          <cell r="H935" t="str">
            <v>Part</v>
          </cell>
          <cell r="I935" t="str">
            <v/>
          </cell>
          <cell r="J935">
            <v>120</v>
          </cell>
          <cell r="K935">
            <v>24</v>
          </cell>
          <cell r="L935">
            <v>120</v>
          </cell>
          <cell r="M935" t="str">
            <v/>
          </cell>
          <cell r="N935">
            <v>0</v>
          </cell>
        </row>
        <row r="936">
          <cell r="A936">
            <v>18476</v>
          </cell>
          <cell r="B936" t="str">
            <v>12/03/2020</v>
          </cell>
          <cell r="C936" t="str">
            <v>CALLOUT</v>
          </cell>
          <cell r="D936" t="str">
            <v>Out of Hours Call Out 01.03.2020 Access Doors in fault</v>
          </cell>
          <cell r="E936" t="str">
            <v>Security and Fire Experts Ltd</v>
          </cell>
          <cell r="F936" t="str">
            <v>Subcontractor</v>
          </cell>
          <cell r="G936" t="str">
            <v/>
          </cell>
          <cell r="H936" t="str">
            <v/>
          </cell>
          <cell r="I936" t="str">
            <v/>
          </cell>
          <cell r="J936">
            <v>205</v>
          </cell>
          <cell r="K936">
            <v>41</v>
          </cell>
          <cell r="L936">
            <v>205</v>
          </cell>
          <cell r="M936" t="str">
            <v/>
          </cell>
          <cell r="N936">
            <v>0</v>
          </cell>
        </row>
        <row r="937">
          <cell r="A937">
            <v>18475</v>
          </cell>
          <cell r="B937" t="str">
            <v>12/03/2020</v>
          </cell>
          <cell r="C937" t="str">
            <v>CALLOUT</v>
          </cell>
          <cell r="D937" t="str">
            <v>Out of Hours Call 23.02.2020 No Code Intruder Alarm</v>
          </cell>
          <cell r="E937" t="str">
            <v>Security and Fire Experts Ltd</v>
          </cell>
          <cell r="F937" t="str">
            <v>Subcontractor</v>
          </cell>
          <cell r="G937" t="str">
            <v/>
          </cell>
          <cell r="H937" t="str">
            <v/>
          </cell>
          <cell r="I937" t="str">
            <v/>
          </cell>
          <cell r="J937">
            <v>150</v>
          </cell>
          <cell r="K937">
            <v>30</v>
          </cell>
          <cell r="L937">
            <v>150</v>
          </cell>
          <cell r="M937" t="str">
            <v/>
          </cell>
          <cell r="N937">
            <v>0</v>
          </cell>
        </row>
        <row r="938">
          <cell r="A938">
            <v>18473</v>
          </cell>
          <cell r="B938" t="str">
            <v>12/03/2020</v>
          </cell>
          <cell r="C938" t="str">
            <v>SM001 CALLOUT</v>
          </cell>
          <cell r="D938" t="str">
            <v>ladies wc hw scalding hot -</v>
          </cell>
          <cell r="E938" t="str">
            <v>Derek Austin Heating Limited</v>
          </cell>
          <cell r="F938" t="str">
            <v>Subcontractor</v>
          </cell>
          <cell r="G938" t="str">
            <v/>
          </cell>
          <cell r="H938" t="str">
            <v>Complete</v>
          </cell>
          <cell r="I938" t="str">
            <v/>
          </cell>
          <cell r="J938">
            <v>0</v>
          </cell>
          <cell r="K938">
            <v>0</v>
          </cell>
          <cell r="L938">
            <v>0</v>
          </cell>
          <cell r="M938" t="str">
            <v/>
          </cell>
          <cell r="N938">
            <v>0</v>
          </cell>
        </row>
        <row r="939">
          <cell r="A939">
            <v>18468</v>
          </cell>
          <cell r="B939" t="str">
            <v>11/03/2020</v>
          </cell>
          <cell r="C939" t="str">
            <v>CALLOUT</v>
          </cell>
          <cell r="D939" t="str">
            <v>Paint room as per quote</v>
          </cell>
          <cell r="E939" t="str">
            <v>K Gammon Plumbing &amp; Heating Ltd</v>
          </cell>
          <cell r="F939" t="str">
            <v>Subcontractor</v>
          </cell>
          <cell r="G939" t="str">
            <v/>
          </cell>
          <cell r="H939" t="str">
            <v/>
          </cell>
          <cell r="I939" t="str">
            <v/>
          </cell>
          <cell r="J939">
            <v>480</v>
          </cell>
          <cell r="K939">
            <v>96</v>
          </cell>
          <cell r="L939">
            <v>0</v>
          </cell>
          <cell r="M939" t="str">
            <v/>
          </cell>
          <cell r="N939">
            <v>480</v>
          </cell>
        </row>
        <row r="940">
          <cell r="A940">
            <v>18467</v>
          </cell>
          <cell r="B940" t="str">
            <v>11/03/2020</v>
          </cell>
          <cell r="C940" t="str">
            <v>CALLOUT</v>
          </cell>
          <cell r="D940" t="str">
            <v>tech room 1/2 of room off</v>
          </cell>
          <cell r="E940" t="str">
            <v>Key Integrated Services North West Ltd</v>
          </cell>
          <cell r="F940" t="str">
            <v>Subcontractor</v>
          </cell>
          <cell r="G940" t="str">
            <v/>
          </cell>
          <cell r="H940" t="str">
            <v>Part</v>
          </cell>
          <cell r="I940" t="str">
            <v/>
          </cell>
          <cell r="J940">
            <v>50</v>
          </cell>
          <cell r="K940">
            <v>10</v>
          </cell>
          <cell r="L940">
            <v>50</v>
          </cell>
          <cell r="M940" t="str">
            <v/>
          </cell>
          <cell r="N940">
            <v>0</v>
          </cell>
        </row>
        <row r="941">
          <cell r="A941">
            <v>18463</v>
          </cell>
          <cell r="B941" t="str">
            <v>10/03/2020</v>
          </cell>
          <cell r="C941" t="str">
            <v>QUOTED</v>
          </cell>
          <cell r="D941" t="str">
            <v>Replace 4" gas solenoid gas valve as per quote</v>
          </cell>
          <cell r="E941" t="str">
            <v>K Gammon Plumbing &amp; Heating Ltd</v>
          </cell>
          <cell r="F941" t="str">
            <v>Subcontractor</v>
          </cell>
          <cell r="G941" t="str">
            <v/>
          </cell>
          <cell r="H941" t="str">
            <v/>
          </cell>
          <cell r="I941" t="str">
            <v/>
          </cell>
          <cell r="J941">
            <v>2286</v>
          </cell>
          <cell r="K941">
            <v>457.2</v>
          </cell>
          <cell r="L941">
            <v>2286</v>
          </cell>
          <cell r="M941" t="str">
            <v/>
          </cell>
          <cell r="N941">
            <v>0</v>
          </cell>
        </row>
        <row r="942">
          <cell r="A942">
            <v>18461</v>
          </cell>
          <cell r="B942" t="str">
            <v>10/03/2020</v>
          </cell>
          <cell r="C942" t="str">
            <v>CALLOUT</v>
          </cell>
          <cell r="D942" t="str">
            <v>Supply and install EML Keyswitch - replaced various lamps</v>
          </cell>
          <cell r="E942" t="str">
            <v>Key Integrated Services North West Ltd</v>
          </cell>
          <cell r="F942" t="str">
            <v>Subcontractor</v>
          </cell>
          <cell r="G942" t="str">
            <v/>
          </cell>
          <cell r="H942" t="str">
            <v/>
          </cell>
          <cell r="I942" t="str">
            <v/>
          </cell>
          <cell r="J942">
            <v>155.13</v>
          </cell>
          <cell r="K942">
            <v>31.03</v>
          </cell>
          <cell r="L942">
            <v>155.13</v>
          </cell>
          <cell r="M942" t="str">
            <v/>
          </cell>
          <cell r="N942">
            <v>0</v>
          </cell>
        </row>
        <row r="943">
          <cell r="A943">
            <v>18457</v>
          </cell>
          <cell r="B943" t="str">
            <v>09/03/2020</v>
          </cell>
          <cell r="C943" t="str">
            <v>CALLOUT</v>
          </cell>
          <cell r="D943" t="str">
            <v>No Hot Water attended call out 2nd March 2020</v>
          </cell>
          <cell r="E943" t="str">
            <v>K Gammon Plumbing &amp; Heating Ltd</v>
          </cell>
          <cell r="F943" t="str">
            <v>Subcontractor</v>
          </cell>
          <cell r="G943" t="str">
            <v/>
          </cell>
          <cell r="H943" t="str">
            <v/>
          </cell>
          <cell r="I943" t="str">
            <v/>
          </cell>
          <cell r="J943">
            <v>90</v>
          </cell>
          <cell r="K943">
            <v>18</v>
          </cell>
          <cell r="L943">
            <v>90</v>
          </cell>
          <cell r="M943" t="str">
            <v/>
          </cell>
          <cell r="N943">
            <v>0</v>
          </cell>
        </row>
        <row r="944">
          <cell r="A944">
            <v>18443</v>
          </cell>
          <cell r="B944" t="str">
            <v>06/03/2020</v>
          </cell>
          <cell r="C944" t="str">
            <v>CALLOUT</v>
          </cell>
          <cell r="D944" t="str">
            <v>supply and install new unit EML</v>
          </cell>
          <cell r="E944" t="str">
            <v>Key Integrated Services North West Ltd</v>
          </cell>
          <cell r="F944" t="str">
            <v>Subcontractor</v>
          </cell>
          <cell r="G944" t="str">
            <v/>
          </cell>
          <cell r="H944" t="str">
            <v>Part</v>
          </cell>
          <cell r="I944" t="str">
            <v/>
          </cell>
          <cell r="J944">
            <v>124.33</v>
          </cell>
          <cell r="K944">
            <v>24.87</v>
          </cell>
          <cell r="L944">
            <v>124.33</v>
          </cell>
          <cell r="M944" t="str">
            <v/>
          </cell>
          <cell r="N944">
            <v>0</v>
          </cell>
        </row>
        <row r="945">
          <cell r="A945">
            <v>18431</v>
          </cell>
          <cell r="B945" t="str">
            <v>05/03/2020</v>
          </cell>
          <cell r="C945" t="str">
            <v>C1681</v>
          </cell>
          <cell r="D945" t="str">
            <v>Commisioing to Line 4 pasturizer</v>
          </cell>
          <cell r="E945" t="str">
            <v>Air Balancing Commissioning Services</v>
          </cell>
          <cell r="F945" t="str">
            <v>Subcontractor</v>
          </cell>
          <cell r="G945" t="str">
            <v>05/03/2020</v>
          </cell>
          <cell r="H945" t="str">
            <v/>
          </cell>
          <cell r="I945" t="str">
            <v/>
          </cell>
          <cell r="J945">
            <v>495</v>
          </cell>
          <cell r="K945">
            <v>99</v>
          </cell>
          <cell r="L945">
            <v>495</v>
          </cell>
          <cell r="M945" t="str">
            <v/>
          </cell>
          <cell r="N945">
            <v>0</v>
          </cell>
        </row>
        <row r="946">
          <cell r="A946">
            <v>18429</v>
          </cell>
          <cell r="B946" t="str">
            <v>05/03/2020</v>
          </cell>
          <cell r="C946" t="str">
            <v>CALLOUT</v>
          </cell>
          <cell r="D946" t="str">
            <v>smelll of gas from boiler</v>
          </cell>
          <cell r="E946" t="str">
            <v>K Gammon Plumbing &amp; Heating Ltd</v>
          </cell>
          <cell r="F946" t="str">
            <v>Subcontractor</v>
          </cell>
          <cell r="G946" t="str">
            <v/>
          </cell>
          <cell r="H946" t="str">
            <v>Part</v>
          </cell>
          <cell r="I946" t="str">
            <v/>
          </cell>
          <cell r="J946">
            <v>150</v>
          </cell>
          <cell r="K946">
            <v>30</v>
          </cell>
          <cell r="L946">
            <v>150</v>
          </cell>
          <cell r="M946" t="str">
            <v/>
          </cell>
          <cell r="N946">
            <v>0</v>
          </cell>
        </row>
        <row r="947">
          <cell r="A947">
            <v>18425</v>
          </cell>
          <cell r="B947" t="str">
            <v>05/03/2020</v>
          </cell>
          <cell r="C947" t="str">
            <v>SM001 CALLOUT</v>
          </cell>
          <cell r="D947" t="str">
            <v>Fit a fixed fused spur on the 1st floor</v>
          </cell>
          <cell r="E947" t="str">
            <v>Viabl Ltd T/A Able</v>
          </cell>
          <cell r="F947" t="str">
            <v>Subcontractor</v>
          </cell>
          <cell r="G947" t="str">
            <v/>
          </cell>
          <cell r="H947" t="str">
            <v>Part</v>
          </cell>
          <cell r="I947" t="str">
            <v/>
          </cell>
          <cell r="J947">
            <v>214.56</v>
          </cell>
          <cell r="K947">
            <v>42.91</v>
          </cell>
          <cell r="L947">
            <v>214.56</v>
          </cell>
          <cell r="M947" t="str">
            <v/>
          </cell>
          <cell r="N947">
            <v>0</v>
          </cell>
        </row>
        <row r="948">
          <cell r="A948">
            <v>18421</v>
          </cell>
          <cell r="B948" t="str">
            <v>04/03/2020</v>
          </cell>
          <cell r="C948" t="str">
            <v>CALLOUT</v>
          </cell>
          <cell r="D948" t="str">
            <v>REplace water solenoid valve and filter</v>
          </cell>
          <cell r="E948" t="str">
            <v>Commercial Temperature Solutions</v>
          </cell>
          <cell r="F948" t="str">
            <v>Subcontractor</v>
          </cell>
          <cell r="G948" t="str">
            <v/>
          </cell>
          <cell r="H948" t="str">
            <v/>
          </cell>
          <cell r="I948" t="str">
            <v/>
          </cell>
          <cell r="J948">
            <v>260</v>
          </cell>
          <cell r="K948">
            <v>52</v>
          </cell>
          <cell r="L948">
            <v>260</v>
          </cell>
          <cell r="M948" t="str">
            <v/>
          </cell>
          <cell r="N948">
            <v>0</v>
          </cell>
        </row>
        <row r="949">
          <cell r="A949">
            <v>18420</v>
          </cell>
          <cell r="B949" t="str">
            <v>04/03/2020</v>
          </cell>
          <cell r="C949" t="str">
            <v>SM001 CALLOUT</v>
          </cell>
          <cell r="D949" t="str">
            <v>Replace with LED Pin Spot EML Fitting</v>
          </cell>
          <cell r="E949" t="str">
            <v>Lantei Ltd</v>
          </cell>
          <cell r="F949" t="str">
            <v>Subcontractor</v>
          </cell>
          <cell r="G949" t="str">
            <v/>
          </cell>
          <cell r="H949" t="str">
            <v/>
          </cell>
          <cell r="I949" t="str">
            <v/>
          </cell>
          <cell r="J949">
            <v>203.02</v>
          </cell>
          <cell r="K949">
            <v>40.6</v>
          </cell>
          <cell r="L949">
            <v>203.02</v>
          </cell>
          <cell r="M949" t="str">
            <v/>
          </cell>
          <cell r="N949">
            <v>0</v>
          </cell>
        </row>
        <row r="950">
          <cell r="A950">
            <v>18419</v>
          </cell>
          <cell r="B950" t="str">
            <v>04/03/2020</v>
          </cell>
          <cell r="C950" t="str">
            <v>CALLOUT</v>
          </cell>
          <cell r="D950" t="str">
            <v>Replace immersion heater</v>
          </cell>
          <cell r="E950" t="str">
            <v>K Gammon Plumbing &amp; Heating Ltd</v>
          </cell>
          <cell r="F950" t="str">
            <v>Subcontractor</v>
          </cell>
          <cell r="G950" t="str">
            <v/>
          </cell>
          <cell r="H950" t="str">
            <v/>
          </cell>
          <cell r="I950" t="str">
            <v/>
          </cell>
          <cell r="J950">
            <v>88.4</v>
          </cell>
          <cell r="K950">
            <v>17.68</v>
          </cell>
          <cell r="L950">
            <v>88.4</v>
          </cell>
          <cell r="M950" t="str">
            <v/>
          </cell>
          <cell r="N950">
            <v>0</v>
          </cell>
        </row>
        <row r="951">
          <cell r="A951">
            <v>18409</v>
          </cell>
          <cell r="B951" t="str">
            <v>03/03/2020</v>
          </cell>
          <cell r="C951" t="str">
            <v>C1678</v>
          </cell>
          <cell r="D951" t="str">
            <v/>
          </cell>
          <cell r="E951" t="str">
            <v>JTC Ductwork Solutions Limited</v>
          </cell>
          <cell r="F951" t="str">
            <v>Subcontractor</v>
          </cell>
          <cell r="G951" t="str">
            <v>04/03/2020</v>
          </cell>
          <cell r="H951" t="str">
            <v>Part</v>
          </cell>
          <cell r="I951" t="str">
            <v/>
          </cell>
          <cell r="J951">
            <v>53763</v>
          </cell>
          <cell r="K951">
            <v>10752.6</v>
          </cell>
          <cell r="L951">
            <v>53763</v>
          </cell>
          <cell r="M951" t="str">
            <v/>
          </cell>
          <cell r="N951">
            <v>0</v>
          </cell>
        </row>
        <row r="952">
          <cell r="A952">
            <v>18389</v>
          </cell>
          <cell r="B952" t="str">
            <v>28/02/2020</v>
          </cell>
          <cell r="C952" t="str">
            <v>QUOTED</v>
          </cell>
          <cell r="D952" t="str">
            <v>electrical works relating to water heater</v>
          </cell>
          <cell r="E952" t="str">
            <v>Key Integrated Services North West Ltd</v>
          </cell>
          <cell r="F952" t="str">
            <v>Subcontractor</v>
          </cell>
          <cell r="G952" t="str">
            <v/>
          </cell>
          <cell r="H952" t="str">
            <v/>
          </cell>
          <cell r="I952" t="str">
            <v/>
          </cell>
          <cell r="J952">
            <v>3685.65</v>
          </cell>
          <cell r="K952">
            <v>737.13</v>
          </cell>
          <cell r="L952">
            <v>3685.65</v>
          </cell>
          <cell r="M952" t="str">
            <v/>
          </cell>
          <cell r="N952">
            <v>0</v>
          </cell>
        </row>
        <row r="953">
          <cell r="A953">
            <v>18380</v>
          </cell>
          <cell r="B953" t="str">
            <v>27/02/2020</v>
          </cell>
          <cell r="C953" t="str">
            <v>SERVICE</v>
          </cell>
          <cell r="D953" t="str">
            <v>12 months water hygiene maintenance</v>
          </cell>
          <cell r="E953" t="str">
            <v>Hydraclean Ltd</v>
          </cell>
          <cell r="F953" t="str">
            <v>Subcontractor</v>
          </cell>
          <cell r="G953" t="str">
            <v/>
          </cell>
          <cell r="H953" t="str">
            <v/>
          </cell>
          <cell r="I953" t="str">
            <v/>
          </cell>
          <cell r="J953">
            <v>365</v>
          </cell>
          <cell r="K953">
            <v>73</v>
          </cell>
          <cell r="L953">
            <v>140</v>
          </cell>
          <cell r="M953" t="str">
            <v/>
          </cell>
          <cell r="N953">
            <v>225</v>
          </cell>
        </row>
        <row r="954">
          <cell r="A954">
            <v>18379</v>
          </cell>
          <cell r="B954" t="str">
            <v>27/02/2020</v>
          </cell>
          <cell r="C954" t="str">
            <v>CALLOUT</v>
          </cell>
          <cell r="D954" t="str">
            <v>Replace fttgs following EML test</v>
          </cell>
          <cell r="E954" t="str">
            <v>Key Integrated Services North West Ltd</v>
          </cell>
          <cell r="F954" t="str">
            <v>Subcontractor</v>
          </cell>
          <cell r="G954" t="str">
            <v/>
          </cell>
          <cell r="H954" t="str">
            <v/>
          </cell>
          <cell r="I954" t="str">
            <v/>
          </cell>
          <cell r="J954">
            <v>107.22</v>
          </cell>
          <cell r="K954">
            <v>21.44</v>
          </cell>
          <cell r="L954">
            <v>107.22</v>
          </cell>
          <cell r="M954" t="str">
            <v/>
          </cell>
          <cell r="N954">
            <v>0</v>
          </cell>
        </row>
        <row r="955">
          <cell r="A955">
            <v>18378</v>
          </cell>
          <cell r="B955" t="str">
            <v>27/02/2020</v>
          </cell>
          <cell r="C955" t="str">
            <v>CALLOUT</v>
          </cell>
          <cell r="D955" t="str">
            <v>Replace fttgs following EML drain down</v>
          </cell>
          <cell r="E955" t="str">
            <v>Key Integrated Services North West Ltd</v>
          </cell>
          <cell r="F955" t="str">
            <v>Subcontractor</v>
          </cell>
          <cell r="G955" t="str">
            <v/>
          </cell>
          <cell r="H955" t="str">
            <v/>
          </cell>
          <cell r="I955" t="str">
            <v/>
          </cell>
          <cell r="J955">
            <v>497.22</v>
          </cell>
          <cell r="K955">
            <v>99.44</v>
          </cell>
          <cell r="L955">
            <v>497.72</v>
          </cell>
          <cell r="M955" t="str">
            <v/>
          </cell>
          <cell r="N955">
            <v>-0.5</v>
          </cell>
        </row>
        <row r="956">
          <cell r="A956">
            <v>18377</v>
          </cell>
          <cell r="B956" t="str">
            <v>27/02/2020</v>
          </cell>
          <cell r="C956" t="str">
            <v>SERVICE</v>
          </cell>
          <cell r="D956" t="str">
            <v>Carry out 12 months Water Hygiene Maintenance (2no Visits pe</v>
          </cell>
          <cell r="E956" t="str">
            <v>Hydraclean Ltd</v>
          </cell>
          <cell r="F956" t="str">
            <v>Subcontractor</v>
          </cell>
          <cell r="G956" t="str">
            <v/>
          </cell>
          <cell r="H956" t="str">
            <v>Part</v>
          </cell>
          <cell r="I956" t="str">
            <v/>
          </cell>
          <cell r="J956">
            <v>665</v>
          </cell>
          <cell r="K956">
            <v>133</v>
          </cell>
          <cell r="L956">
            <v>440</v>
          </cell>
          <cell r="M956" t="str">
            <v/>
          </cell>
          <cell r="N956">
            <v>225</v>
          </cell>
        </row>
        <row r="957">
          <cell r="A957">
            <v>18376</v>
          </cell>
          <cell r="B957" t="str">
            <v>27/02/2020</v>
          </cell>
          <cell r="C957" t="str">
            <v>C1680</v>
          </cell>
          <cell r="D957" t="str">
            <v/>
          </cell>
          <cell r="E957" t="str">
            <v>Key Integrated Services (Electrical) Ltd</v>
          </cell>
          <cell r="F957" t="str">
            <v>Subcontractor</v>
          </cell>
          <cell r="G957" t="str">
            <v/>
          </cell>
          <cell r="H957" t="str">
            <v>Part</v>
          </cell>
          <cell r="I957" t="str">
            <v/>
          </cell>
          <cell r="J957">
            <v>1882</v>
          </cell>
          <cell r="K957">
            <v>631.4</v>
          </cell>
          <cell r="L957">
            <v>2779.6</v>
          </cell>
          <cell r="M957" t="str">
            <v/>
          </cell>
          <cell r="N957">
            <v>377.4</v>
          </cell>
        </row>
        <row r="958">
          <cell r="A958">
            <v>18375</v>
          </cell>
          <cell r="B958" t="str">
            <v>27/02/2020</v>
          </cell>
          <cell r="C958" t="str">
            <v>C1679</v>
          </cell>
          <cell r="D958" t="str">
            <v/>
          </cell>
          <cell r="E958" t="str">
            <v>Key Integrated Services (Electrical) Ltd</v>
          </cell>
          <cell r="F958" t="str">
            <v>Subcontractor</v>
          </cell>
          <cell r="G958" t="str">
            <v/>
          </cell>
          <cell r="H958" t="str">
            <v/>
          </cell>
          <cell r="I958" t="str">
            <v/>
          </cell>
          <cell r="J958">
            <v>24581.41</v>
          </cell>
          <cell r="K958">
            <v>4916.28</v>
          </cell>
          <cell r="L958">
            <v>23288.75</v>
          </cell>
          <cell r="M958" t="str">
            <v/>
          </cell>
          <cell r="N958">
            <v>1292.6600000000001</v>
          </cell>
        </row>
        <row r="959">
          <cell r="A959">
            <v>18354</v>
          </cell>
          <cell r="B959" t="str">
            <v>25/02/2020</v>
          </cell>
          <cell r="C959" t="str">
            <v>CALLOUT</v>
          </cell>
          <cell r="D959" t="str">
            <v>Investiaet fire alarm issues</v>
          </cell>
          <cell r="E959" t="str">
            <v>Marlowe Fire &amp; Security Limited</v>
          </cell>
          <cell r="F959" t="str">
            <v>Subcontractor</v>
          </cell>
          <cell r="G959" t="str">
            <v/>
          </cell>
          <cell r="H959" t="str">
            <v/>
          </cell>
          <cell r="I959" t="str">
            <v/>
          </cell>
          <cell r="J959">
            <v>400</v>
          </cell>
          <cell r="K959">
            <v>80</v>
          </cell>
          <cell r="L959">
            <v>400</v>
          </cell>
          <cell r="M959" t="str">
            <v/>
          </cell>
          <cell r="N959">
            <v>0</v>
          </cell>
        </row>
        <row r="960">
          <cell r="A960">
            <v>18343</v>
          </cell>
          <cell r="B960" t="str">
            <v>24/02/2020</v>
          </cell>
          <cell r="C960" t="str">
            <v>C1654</v>
          </cell>
          <cell r="D960" t="str">
            <v>Heating balancing works</v>
          </cell>
          <cell r="E960" t="str">
            <v>New Era Commissioning Specialists Ltd</v>
          </cell>
          <cell r="F960" t="str">
            <v>Subcontractor</v>
          </cell>
          <cell r="G960" t="str">
            <v>26/02/2020</v>
          </cell>
          <cell r="H960" t="str">
            <v>Complete</v>
          </cell>
          <cell r="I960" t="str">
            <v/>
          </cell>
          <cell r="J960">
            <v>350</v>
          </cell>
          <cell r="K960">
            <v>70</v>
          </cell>
          <cell r="L960">
            <v>350</v>
          </cell>
          <cell r="M960" t="str">
            <v/>
          </cell>
          <cell r="N960">
            <v>0</v>
          </cell>
        </row>
        <row r="961">
          <cell r="A961">
            <v>18331</v>
          </cell>
          <cell r="B961" t="str">
            <v>20/02/2020</v>
          </cell>
          <cell r="C961" t="str">
            <v>C1644</v>
          </cell>
          <cell r="D961" t="str">
            <v>Elec install works</v>
          </cell>
          <cell r="E961" t="str">
            <v>Key Integrated Services North West Ltd</v>
          </cell>
          <cell r="F961" t="str">
            <v>Subcontractor</v>
          </cell>
          <cell r="G961" t="str">
            <v/>
          </cell>
          <cell r="H961" t="str">
            <v/>
          </cell>
          <cell r="I961" t="str">
            <v/>
          </cell>
          <cell r="J961">
            <v>1500</v>
          </cell>
          <cell r="K961">
            <v>300</v>
          </cell>
          <cell r="L961">
            <v>1500</v>
          </cell>
          <cell r="M961" t="str">
            <v/>
          </cell>
          <cell r="N961">
            <v>0</v>
          </cell>
        </row>
        <row r="962">
          <cell r="A962">
            <v>18328</v>
          </cell>
          <cell r="B962" t="str">
            <v>19/02/2020</v>
          </cell>
          <cell r="C962" t="str">
            <v>QUOTED</v>
          </cell>
          <cell r="D962" t="str">
            <v>Additional Fire Alarm interface and door holder</v>
          </cell>
          <cell r="E962" t="str">
            <v>Security and Fire Experts Ltd</v>
          </cell>
          <cell r="F962" t="str">
            <v>Subcontractor</v>
          </cell>
          <cell r="G962" t="str">
            <v/>
          </cell>
          <cell r="H962" t="str">
            <v/>
          </cell>
          <cell r="I962" t="str">
            <v/>
          </cell>
          <cell r="J962">
            <v>1022.36</v>
          </cell>
          <cell r="K962">
            <v>204.47</v>
          </cell>
          <cell r="L962">
            <v>1022.36</v>
          </cell>
          <cell r="M962" t="str">
            <v/>
          </cell>
          <cell r="N962">
            <v>0</v>
          </cell>
        </row>
        <row r="963">
          <cell r="A963">
            <v>18325</v>
          </cell>
          <cell r="B963" t="str">
            <v>19/02/2020</v>
          </cell>
          <cell r="C963" t="str">
            <v>CALLOUT</v>
          </cell>
          <cell r="D963" t="str">
            <v>attend call out Radiators not heating up</v>
          </cell>
          <cell r="E963" t="str">
            <v>Commercial Temperature Solutions</v>
          </cell>
          <cell r="F963" t="str">
            <v>Subcontractor</v>
          </cell>
          <cell r="G963" t="str">
            <v/>
          </cell>
          <cell r="H963" t="str">
            <v/>
          </cell>
          <cell r="I963" t="str">
            <v/>
          </cell>
          <cell r="J963">
            <v>123</v>
          </cell>
          <cell r="K963">
            <v>24.6</v>
          </cell>
          <cell r="L963">
            <v>123</v>
          </cell>
          <cell r="M963" t="str">
            <v/>
          </cell>
          <cell r="N963">
            <v>0</v>
          </cell>
        </row>
        <row r="964">
          <cell r="A964">
            <v>18323</v>
          </cell>
          <cell r="B964" t="str">
            <v>19/02/2020</v>
          </cell>
          <cell r="C964" t="str">
            <v>CALLOUT</v>
          </cell>
          <cell r="D964" t="str">
            <v>fire alarm sounding</v>
          </cell>
          <cell r="E964" t="str">
            <v>Marlowe Fire &amp; Security Limited</v>
          </cell>
          <cell r="F964" t="str">
            <v>Subcontractor</v>
          </cell>
          <cell r="G964" t="str">
            <v/>
          </cell>
          <cell r="H964" t="str">
            <v>Part</v>
          </cell>
          <cell r="I964" t="str">
            <v/>
          </cell>
          <cell r="J964">
            <v>102.5</v>
          </cell>
          <cell r="K964">
            <v>20.5</v>
          </cell>
          <cell r="L964">
            <v>102.5</v>
          </cell>
          <cell r="M964" t="str">
            <v/>
          </cell>
          <cell r="N964">
            <v>0</v>
          </cell>
        </row>
        <row r="965">
          <cell r="A965">
            <v>18314</v>
          </cell>
          <cell r="B965" t="str">
            <v>18/02/2020</v>
          </cell>
          <cell r="C965" t="str">
            <v>C1648</v>
          </cell>
          <cell r="D965" t="str">
            <v/>
          </cell>
          <cell r="E965" t="str">
            <v>Switchsafe Environmental</v>
          </cell>
          <cell r="F965" t="str">
            <v>Subcontractor</v>
          </cell>
          <cell r="G965" t="str">
            <v>15/10/2020</v>
          </cell>
          <cell r="H965" t="str">
            <v>Complete</v>
          </cell>
          <cell r="I965" t="str">
            <v/>
          </cell>
          <cell r="J965">
            <v>0</v>
          </cell>
          <cell r="K965">
            <v>0</v>
          </cell>
          <cell r="L965">
            <v>0</v>
          </cell>
          <cell r="M965" t="str">
            <v/>
          </cell>
          <cell r="N965">
            <v>0</v>
          </cell>
        </row>
        <row r="966">
          <cell r="A966">
            <v>18313</v>
          </cell>
          <cell r="B966" t="str">
            <v>18/02/2020</v>
          </cell>
          <cell r="C966" t="str">
            <v>CALLOUT</v>
          </cell>
          <cell r="D966" t="str">
            <v>electrical works</v>
          </cell>
          <cell r="E966" t="str">
            <v>Barrie Beard Ltd</v>
          </cell>
          <cell r="F966" t="str">
            <v>Subcontractor</v>
          </cell>
          <cell r="G966" t="str">
            <v/>
          </cell>
          <cell r="H966" t="str">
            <v>Part</v>
          </cell>
          <cell r="I966" t="str">
            <v/>
          </cell>
          <cell r="J966">
            <v>270.86</v>
          </cell>
          <cell r="K966">
            <v>54.17</v>
          </cell>
          <cell r="L966">
            <v>270.86</v>
          </cell>
          <cell r="M966" t="str">
            <v/>
          </cell>
          <cell r="N966">
            <v>0</v>
          </cell>
        </row>
        <row r="967">
          <cell r="A967">
            <v>18308</v>
          </cell>
          <cell r="B967" t="str">
            <v>17/02/2020</v>
          </cell>
          <cell r="C967" t="str">
            <v>SERVICE</v>
          </cell>
          <cell r="D967" t="str">
            <v>Carry out Maintenance (Server) Your Ref 506850</v>
          </cell>
          <cell r="E967" t="str">
            <v>Fire Suppression Limited</v>
          </cell>
          <cell r="F967" t="str">
            <v>Subcontractor</v>
          </cell>
          <cell r="G967" t="str">
            <v/>
          </cell>
          <cell r="H967" t="str">
            <v/>
          </cell>
          <cell r="I967" t="str">
            <v/>
          </cell>
          <cell r="J967">
            <v>570</v>
          </cell>
          <cell r="K967">
            <v>114</v>
          </cell>
          <cell r="L967">
            <v>570</v>
          </cell>
          <cell r="M967" t="str">
            <v/>
          </cell>
          <cell r="N967">
            <v>0</v>
          </cell>
        </row>
        <row r="968">
          <cell r="A968">
            <v>18305</v>
          </cell>
          <cell r="B968" t="str">
            <v>17/02/2020</v>
          </cell>
          <cell r="C968" t="str">
            <v>CALLOUT</v>
          </cell>
          <cell r="D968" t="str">
            <v>gas boiler not working</v>
          </cell>
          <cell r="E968" t="str">
            <v>Commercial Temperature Solutions</v>
          </cell>
          <cell r="F968" t="str">
            <v>Subcontractor</v>
          </cell>
          <cell r="G968" t="str">
            <v/>
          </cell>
          <cell r="H968" t="str">
            <v>Part</v>
          </cell>
          <cell r="I968" t="str">
            <v/>
          </cell>
          <cell r="J968">
            <v>123</v>
          </cell>
          <cell r="K968">
            <v>24.6</v>
          </cell>
          <cell r="L968">
            <v>123</v>
          </cell>
          <cell r="M968" t="str">
            <v/>
          </cell>
          <cell r="N968">
            <v>0</v>
          </cell>
        </row>
        <row r="969">
          <cell r="A969">
            <v>18293</v>
          </cell>
          <cell r="B969" t="str">
            <v>13/02/2020</v>
          </cell>
          <cell r="C969" t="str">
            <v>CALLOUT</v>
          </cell>
          <cell r="D969" t="str">
            <v>REplace 6kg Powder Portable Fire Extinguisher</v>
          </cell>
          <cell r="E969" t="str">
            <v>Security and Fire Experts Ltd</v>
          </cell>
          <cell r="F969" t="str">
            <v>Subcontractor</v>
          </cell>
          <cell r="G969" t="str">
            <v/>
          </cell>
          <cell r="H969" t="str">
            <v/>
          </cell>
          <cell r="I969" t="str">
            <v/>
          </cell>
          <cell r="J969">
            <v>100</v>
          </cell>
          <cell r="K969">
            <v>20</v>
          </cell>
          <cell r="L969">
            <v>100</v>
          </cell>
          <cell r="M969" t="str">
            <v/>
          </cell>
          <cell r="N969">
            <v>0</v>
          </cell>
        </row>
        <row r="970">
          <cell r="A970">
            <v>18287</v>
          </cell>
          <cell r="B970" t="str">
            <v>13/02/2020</v>
          </cell>
          <cell r="C970" t="str">
            <v>CALLOUT</v>
          </cell>
          <cell r="D970" t="str">
            <v>boiler issues</v>
          </cell>
          <cell r="E970" t="str">
            <v>Commercial Temperature Solutions</v>
          </cell>
          <cell r="F970" t="str">
            <v>Subcontractor</v>
          </cell>
          <cell r="G970" t="str">
            <v/>
          </cell>
          <cell r="H970" t="str">
            <v>Part</v>
          </cell>
          <cell r="I970" t="str">
            <v/>
          </cell>
          <cell r="J970">
            <v>157</v>
          </cell>
          <cell r="K970">
            <v>31.4</v>
          </cell>
          <cell r="L970">
            <v>157</v>
          </cell>
          <cell r="M970" t="str">
            <v/>
          </cell>
          <cell r="N970">
            <v>0</v>
          </cell>
        </row>
        <row r="971">
          <cell r="A971">
            <v>18278</v>
          </cell>
          <cell r="B971" t="str">
            <v>12/02/2020</v>
          </cell>
          <cell r="C971" t="str">
            <v>C1558</v>
          </cell>
          <cell r="D971" t="str">
            <v/>
          </cell>
          <cell r="E971" t="str">
            <v>Grangewood Insulation Services Ltd</v>
          </cell>
          <cell r="F971" t="str">
            <v>Subcontractor</v>
          </cell>
          <cell r="G971" t="str">
            <v>16/02/2020</v>
          </cell>
          <cell r="H971" t="str">
            <v/>
          </cell>
          <cell r="I971" t="str">
            <v/>
          </cell>
          <cell r="J971">
            <v>900</v>
          </cell>
          <cell r="K971">
            <v>180</v>
          </cell>
          <cell r="L971">
            <v>900</v>
          </cell>
          <cell r="M971" t="str">
            <v/>
          </cell>
          <cell r="N971">
            <v>0</v>
          </cell>
        </row>
        <row r="972">
          <cell r="A972">
            <v>18277</v>
          </cell>
          <cell r="B972" t="str">
            <v>12/02/2020</v>
          </cell>
          <cell r="C972" t="str">
            <v>SM001 CALLOUT</v>
          </cell>
          <cell r="D972" t="str">
            <v>AC leaking on roof</v>
          </cell>
          <cell r="E972" t="str">
            <v>Derek Austin Heating Limited</v>
          </cell>
          <cell r="F972" t="str">
            <v>Subcontractor</v>
          </cell>
          <cell r="G972" t="str">
            <v/>
          </cell>
          <cell r="H972" t="str">
            <v>Part</v>
          </cell>
          <cell r="I972" t="str">
            <v/>
          </cell>
          <cell r="J972">
            <v>135</v>
          </cell>
          <cell r="K972">
            <v>27</v>
          </cell>
          <cell r="L972">
            <v>135</v>
          </cell>
          <cell r="M972" t="str">
            <v/>
          </cell>
          <cell r="N972">
            <v>0</v>
          </cell>
        </row>
        <row r="973">
          <cell r="A973">
            <v>18274</v>
          </cell>
          <cell r="B973" t="str">
            <v>11/02/2020</v>
          </cell>
          <cell r="C973" t="str">
            <v>C1639</v>
          </cell>
          <cell r="D973" t="str">
            <v>Boiler room installation as per sub con document</v>
          </cell>
          <cell r="E973" t="str">
            <v>Enco Ltd</v>
          </cell>
          <cell r="F973" t="str">
            <v>Subcontractor</v>
          </cell>
          <cell r="G973" t="str">
            <v>17/02/2020</v>
          </cell>
          <cell r="H973" t="str">
            <v>Part</v>
          </cell>
          <cell r="I973" t="str">
            <v/>
          </cell>
          <cell r="J973">
            <v>24175</v>
          </cell>
          <cell r="K973">
            <v>4835</v>
          </cell>
          <cell r="L973">
            <v>24175</v>
          </cell>
          <cell r="M973" t="str">
            <v/>
          </cell>
          <cell r="N973">
            <v>0</v>
          </cell>
        </row>
        <row r="974">
          <cell r="A974">
            <v>18267</v>
          </cell>
          <cell r="B974" t="str">
            <v>11/02/2020</v>
          </cell>
          <cell r="C974" t="str">
            <v>CALLOUT</v>
          </cell>
          <cell r="D974" t="str">
            <v>remove anti nuisance feature on lift</v>
          </cell>
          <cell r="E974" t="str">
            <v>Ansa Elevators Limited</v>
          </cell>
          <cell r="F974" t="str">
            <v>Subcontractor</v>
          </cell>
          <cell r="G974" t="str">
            <v/>
          </cell>
          <cell r="H974" t="str">
            <v/>
          </cell>
          <cell r="I974" t="str">
            <v/>
          </cell>
          <cell r="J974">
            <v>252</v>
          </cell>
          <cell r="K974">
            <v>50.4</v>
          </cell>
          <cell r="L974">
            <v>252</v>
          </cell>
          <cell r="M974" t="str">
            <v/>
          </cell>
          <cell r="N974">
            <v>0</v>
          </cell>
        </row>
        <row r="975">
          <cell r="A975">
            <v>18263</v>
          </cell>
          <cell r="B975" t="str">
            <v>11/02/2020</v>
          </cell>
          <cell r="C975" t="str">
            <v>CALLOUT</v>
          </cell>
          <cell r="D975" t="str">
            <v>2 x cubilcle locks to be replaced</v>
          </cell>
          <cell r="E975" t="str">
            <v>Viabl Ltd T/A Able</v>
          </cell>
          <cell r="F975" t="str">
            <v>Subcontractor</v>
          </cell>
          <cell r="G975" t="str">
            <v/>
          </cell>
          <cell r="H975" t="str">
            <v>Part</v>
          </cell>
          <cell r="I975" t="str">
            <v/>
          </cell>
          <cell r="J975">
            <v>195</v>
          </cell>
          <cell r="K975">
            <v>39</v>
          </cell>
          <cell r="L975">
            <v>195</v>
          </cell>
          <cell r="M975" t="str">
            <v/>
          </cell>
          <cell r="N975">
            <v>0</v>
          </cell>
        </row>
        <row r="976">
          <cell r="A976">
            <v>18257</v>
          </cell>
          <cell r="B976" t="str">
            <v>10/02/2020</v>
          </cell>
          <cell r="C976" t="str">
            <v>CALLOUT</v>
          </cell>
          <cell r="D976" t="str">
            <v>Replace additional extuihser located on site as per quote</v>
          </cell>
          <cell r="E976" t="str">
            <v>Marlowe Fire &amp; Security Limited</v>
          </cell>
          <cell r="F976" t="str">
            <v>Subcontractor</v>
          </cell>
          <cell r="G976" t="str">
            <v/>
          </cell>
          <cell r="H976" t="str">
            <v/>
          </cell>
          <cell r="I976" t="str">
            <v/>
          </cell>
          <cell r="J976">
            <v>117.55</v>
          </cell>
          <cell r="K976">
            <v>23.51</v>
          </cell>
          <cell r="L976">
            <v>117.55</v>
          </cell>
          <cell r="M976" t="str">
            <v/>
          </cell>
          <cell r="N976">
            <v>0</v>
          </cell>
        </row>
        <row r="977">
          <cell r="A977">
            <v>18243</v>
          </cell>
          <cell r="B977" t="str">
            <v>07/02/2020</v>
          </cell>
          <cell r="C977" t="str">
            <v>CALLOUT</v>
          </cell>
          <cell r="D977" t="str">
            <v>replace 1 x keyswitch and 3 x batteries as per quote</v>
          </cell>
          <cell r="E977" t="str">
            <v>Barrie Beard Ltd</v>
          </cell>
          <cell r="F977" t="str">
            <v>Subcontractor</v>
          </cell>
          <cell r="G977" t="str">
            <v/>
          </cell>
          <cell r="H977" t="str">
            <v/>
          </cell>
          <cell r="I977" t="str">
            <v/>
          </cell>
          <cell r="J977">
            <v>349.6</v>
          </cell>
          <cell r="K977">
            <v>69.92</v>
          </cell>
          <cell r="L977">
            <v>349.6</v>
          </cell>
          <cell r="M977" t="str">
            <v/>
          </cell>
          <cell r="N977">
            <v>0</v>
          </cell>
        </row>
        <row r="978">
          <cell r="A978">
            <v>18238</v>
          </cell>
          <cell r="B978" t="str">
            <v>06/02/2020</v>
          </cell>
          <cell r="C978" t="str">
            <v>QUOTED</v>
          </cell>
          <cell r="D978" t="str">
            <v>install 2 x dble sockets as per quote</v>
          </cell>
          <cell r="E978" t="str">
            <v>Key Integrated Services North West Ltd</v>
          </cell>
          <cell r="F978" t="str">
            <v>Subcontractor</v>
          </cell>
          <cell r="G978" t="str">
            <v/>
          </cell>
          <cell r="H978" t="str">
            <v/>
          </cell>
          <cell r="I978" t="str">
            <v/>
          </cell>
          <cell r="J978">
            <v>849.78</v>
          </cell>
          <cell r="K978">
            <v>169.96</v>
          </cell>
          <cell r="L978">
            <v>849.78</v>
          </cell>
          <cell r="M978" t="str">
            <v/>
          </cell>
          <cell r="N978">
            <v>0</v>
          </cell>
        </row>
        <row r="979">
          <cell r="A979">
            <v>18237</v>
          </cell>
          <cell r="B979" t="str">
            <v>06/02/2020</v>
          </cell>
          <cell r="C979" t="str">
            <v>QUOTED</v>
          </cell>
          <cell r="D979" t="str">
            <v>suuply and install glass drying bench as per quote</v>
          </cell>
          <cell r="E979" t="str">
            <v>Huddersfield Interiors Ltd</v>
          </cell>
          <cell r="F979" t="str">
            <v>Subcontractor</v>
          </cell>
          <cell r="G979" t="str">
            <v/>
          </cell>
          <cell r="H979" t="str">
            <v/>
          </cell>
          <cell r="I979" t="str">
            <v/>
          </cell>
          <cell r="J979">
            <v>1400</v>
          </cell>
          <cell r="K979">
            <v>280</v>
          </cell>
          <cell r="L979">
            <v>1400</v>
          </cell>
          <cell r="M979" t="str">
            <v/>
          </cell>
          <cell r="N979">
            <v>0</v>
          </cell>
        </row>
        <row r="980">
          <cell r="A980">
            <v>18236</v>
          </cell>
          <cell r="B980" t="str">
            <v>06/02/2020</v>
          </cell>
          <cell r="C980" t="str">
            <v>C1669</v>
          </cell>
          <cell r="D980" t="str">
            <v>Supply &amp; install 2 number canopies over line 4 pasturizers</v>
          </cell>
          <cell r="E980" t="str">
            <v>Firth Sheet Metal Limited</v>
          </cell>
          <cell r="F980" t="str">
            <v>Subcontractor</v>
          </cell>
          <cell r="G980" t="str">
            <v>07/02/2020</v>
          </cell>
          <cell r="H980" t="str">
            <v/>
          </cell>
          <cell r="I980" t="str">
            <v>Posted</v>
          </cell>
          <cell r="J980">
            <v>22580</v>
          </cell>
          <cell r="K980">
            <v>4516</v>
          </cell>
          <cell r="L980">
            <v>27115</v>
          </cell>
          <cell r="M980" t="str">
            <v/>
          </cell>
          <cell r="N980">
            <v>-4535</v>
          </cell>
        </row>
        <row r="981">
          <cell r="A981">
            <v>18219</v>
          </cell>
          <cell r="B981" t="str">
            <v>04/02/2020</v>
          </cell>
          <cell r="C981" t="str">
            <v>CALLOUT</v>
          </cell>
          <cell r="D981" t="str">
            <v>h/l lamps out</v>
          </cell>
          <cell r="E981" t="str">
            <v>Barrie Beard Ltd</v>
          </cell>
          <cell r="F981" t="str">
            <v>Subcontractor</v>
          </cell>
          <cell r="G981" t="str">
            <v/>
          </cell>
          <cell r="H981" t="str">
            <v/>
          </cell>
          <cell r="I981" t="str">
            <v/>
          </cell>
          <cell r="J981">
            <v>80</v>
          </cell>
          <cell r="K981">
            <v>16</v>
          </cell>
          <cell r="L981">
            <v>80</v>
          </cell>
          <cell r="M981" t="str">
            <v/>
          </cell>
          <cell r="N981">
            <v>0</v>
          </cell>
        </row>
        <row r="982">
          <cell r="A982">
            <v>18216</v>
          </cell>
          <cell r="B982" t="str">
            <v>04/02/2020</v>
          </cell>
          <cell r="C982" t="str">
            <v>CALLOUT</v>
          </cell>
          <cell r="D982" t="str">
            <v>Replace h/l lamps in car park as per quote</v>
          </cell>
          <cell r="E982" t="str">
            <v>Key Integrated Services North West Ltd</v>
          </cell>
          <cell r="F982" t="str">
            <v>Subcontractor</v>
          </cell>
          <cell r="G982" t="str">
            <v/>
          </cell>
          <cell r="H982" t="str">
            <v/>
          </cell>
          <cell r="I982" t="str">
            <v/>
          </cell>
          <cell r="J982">
            <v>251.84</v>
          </cell>
          <cell r="K982">
            <v>50.37</v>
          </cell>
          <cell r="L982">
            <v>251.84</v>
          </cell>
          <cell r="M982" t="str">
            <v/>
          </cell>
          <cell r="N982">
            <v>0</v>
          </cell>
        </row>
        <row r="983">
          <cell r="A983">
            <v>18204</v>
          </cell>
          <cell r="B983" t="str">
            <v>03/02/2020</v>
          </cell>
          <cell r="C983" t="str">
            <v>SERVICE</v>
          </cell>
          <cell r="D983" t="str">
            <v>AC Maintenance</v>
          </cell>
          <cell r="E983" t="str">
            <v>Commercial Temperature Solutions</v>
          </cell>
          <cell r="F983" t="str">
            <v>Subcontractor</v>
          </cell>
          <cell r="G983" t="str">
            <v/>
          </cell>
          <cell r="H983" t="str">
            <v/>
          </cell>
          <cell r="I983" t="str">
            <v/>
          </cell>
          <cell r="J983">
            <v>25</v>
          </cell>
          <cell r="K983">
            <v>5</v>
          </cell>
          <cell r="L983">
            <v>25</v>
          </cell>
          <cell r="M983" t="str">
            <v/>
          </cell>
          <cell r="N983">
            <v>0</v>
          </cell>
        </row>
        <row r="984">
          <cell r="A984">
            <v>18203</v>
          </cell>
          <cell r="B984" t="str">
            <v>03/02/2020</v>
          </cell>
          <cell r="C984" t="str">
            <v>SERVICE</v>
          </cell>
          <cell r="D984" t="str">
            <v>AC Maintenance Feb 2020</v>
          </cell>
          <cell r="E984" t="str">
            <v>Commercial Temperature Solutions</v>
          </cell>
          <cell r="F984" t="str">
            <v>Subcontractor</v>
          </cell>
          <cell r="G984" t="str">
            <v/>
          </cell>
          <cell r="H984" t="str">
            <v/>
          </cell>
          <cell r="I984" t="str">
            <v/>
          </cell>
          <cell r="J984">
            <v>150</v>
          </cell>
          <cell r="K984">
            <v>30</v>
          </cell>
          <cell r="L984">
            <v>150</v>
          </cell>
          <cell r="M984" t="str">
            <v/>
          </cell>
          <cell r="N984">
            <v>0</v>
          </cell>
        </row>
        <row r="985">
          <cell r="A985">
            <v>18202</v>
          </cell>
          <cell r="B985" t="str">
            <v>03/02/2020</v>
          </cell>
          <cell r="C985" t="str">
            <v>SERVICE</v>
          </cell>
          <cell r="D985" t="str">
            <v>AC Maintenance Feb 2020</v>
          </cell>
          <cell r="E985" t="str">
            <v>Commercial Temperature Solutions</v>
          </cell>
          <cell r="F985" t="str">
            <v>Subcontractor</v>
          </cell>
          <cell r="G985" t="str">
            <v/>
          </cell>
          <cell r="H985" t="str">
            <v/>
          </cell>
          <cell r="I985" t="str">
            <v/>
          </cell>
          <cell r="J985">
            <v>175</v>
          </cell>
          <cell r="K985">
            <v>35</v>
          </cell>
          <cell r="L985">
            <v>175</v>
          </cell>
          <cell r="M985" t="str">
            <v/>
          </cell>
          <cell r="N985">
            <v>0</v>
          </cell>
        </row>
        <row r="986">
          <cell r="A986">
            <v>18201</v>
          </cell>
          <cell r="B986" t="str">
            <v>03/02/2020</v>
          </cell>
          <cell r="C986" t="str">
            <v>SERVICE</v>
          </cell>
          <cell r="D986" t="str">
            <v>AC Maintenance Feb 2020</v>
          </cell>
          <cell r="E986" t="str">
            <v>Commercial Temperature Solutions</v>
          </cell>
          <cell r="F986" t="str">
            <v>Subcontractor</v>
          </cell>
          <cell r="G986" t="str">
            <v/>
          </cell>
          <cell r="H986" t="str">
            <v/>
          </cell>
          <cell r="I986" t="str">
            <v/>
          </cell>
          <cell r="J986">
            <v>50</v>
          </cell>
          <cell r="K986">
            <v>10</v>
          </cell>
          <cell r="L986">
            <v>50</v>
          </cell>
          <cell r="M986" t="str">
            <v/>
          </cell>
          <cell r="N986">
            <v>0</v>
          </cell>
        </row>
        <row r="987">
          <cell r="A987">
            <v>18200</v>
          </cell>
          <cell r="B987" t="str">
            <v>31/01/2020</v>
          </cell>
          <cell r="C987" t="str">
            <v>CALLOUT</v>
          </cell>
          <cell r="D987" t="str">
            <v>lift entrapment</v>
          </cell>
          <cell r="E987" t="str">
            <v>Ansa Elevators Limited</v>
          </cell>
          <cell r="F987" t="str">
            <v>Subcontractor</v>
          </cell>
          <cell r="G987" t="str">
            <v/>
          </cell>
          <cell r="H987" t="str">
            <v>Complete</v>
          </cell>
          <cell r="I987" t="str">
            <v/>
          </cell>
          <cell r="J987">
            <v>0</v>
          </cell>
          <cell r="K987">
            <v>0</v>
          </cell>
          <cell r="L987">
            <v>0</v>
          </cell>
          <cell r="M987" t="str">
            <v/>
          </cell>
          <cell r="N987">
            <v>0</v>
          </cell>
        </row>
        <row r="988">
          <cell r="A988">
            <v>18195</v>
          </cell>
          <cell r="B988" t="str">
            <v>31/01/2020</v>
          </cell>
          <cell r="C988" t="str">
            <v>QUOTED</v>
          </cell>
          <cell r="D988" t="str">
            <v>Upgrade BMS as per quote</v>
          </cell>
          <cell r="E988" t="str">
            <v>Impact Control Systems Ltd</v>
          </cell>
          <cell r="F988" t="str">
            <v>Subcontractor</v>
          </cell>
          <cell r="G988" t="str">
            <v/>
          </cell>
          <cell r="H988" t="str">
            <v/>
          </cell>
          <cell r="I988" t="str">
            <v/>
          </cell>
          <cell r="J988">
            <v>4622</v>
          </cell>
          <cell r="K988">
            <v>924.4</v>
          </cell>
          <cell r="L988">
            <v>4622</v>
          </cell>
          <cell r="M988" t="str">
            <v/>
          </cell>
          <cell r="N988">
            <v>0</v>
          </cell>
        </row>
        <row r="989">
          <cell r="A989">
            <v>18194</v>
          </cell>
          <cell r="B989" t="str">
            <v>31/01/2020</v>
          </cell>
          <cell r="C989" t="str">
            <v>C1665</v>
          </cell>
          <cell r="D989" t="str">
            <v>Thermal insulation as quotes £3,352.76 + £2,460 + £784</v>
          </cell>
          <cell r="E989" t="str">
            <v>Thermal Insulation Covers Ltd</v>
          </cell>
          <cell r="F989" t="str">
            <v>Subcontractor</v>
          </cell>
          <cell r="G989" t="str">
            <v>31/01/2020</v>
          </cell>
          <cell r="H989" t="str">
            <v/>
          </cell>
          <cell r="I989" t="str">
            <v/>
          </cell>
          <cell r="J989">
            <v>8733.76</v>
          </cell>
          <cell r="K989">
            <v>1746.75</v>
          </cell>
          <cell r="L989">
            <v>8811.26</v>
          </cell>
          <cell r="M989" t="str">
            <v/>
          </cell>
          <cell r="N989">
            <v>-77.5</v>
          </cell>
        </row>
        <row r="990">
          <cell r="A990">
            <v>18190</v>
          </cell>
          <cell r="B990" t="str">
            <v>30/01/2020</v>
          </cell>
          <cell r="C990" t="str">
            <v>QUOTED</v>
          </cell>
          <cell r="D990" t="str">
            <v>Fire Destection &amp; Alarm Modifications</v>
          </cell>
          <cell r="E990" t="str">
            <v>Security and Fire Experts Ltd</v>
          </cell>
          <cell r="F990" t="str">
            <v>Subcontractor</v>
          </cell>
          <cell r="G990" t="str">
            <v/>
          </cell>
          <cell r="H990" t="str">
            <v/>
          </cell>
          <cell r="I990" t="str">
            <v/>
          </cell>
          <cell r="J990">
            <v>8925.2099999999991</v>
          </cell>
          <cell r="K990">
            <v>1785.04</v>
          </cell>
          <cell r="L990">
            <v>8925.2099999999991</v>
          </cell>
          <cell r="M990" t="str">
            <v/>
          </cell>
          <cell r="N990">
            <v>0</v>
          </cell>
        </row>
        <row r="991">
          <cell r="A991">
            <v>18189</v>
          </cell>
          <cell r="B991" t="str">
            <v>30/01/2020</v>
          </cell>
          <cell r="C991" t="str">
            <v>CALLOUT</v>
          </cell>
          <cell r="D991" t="str">
            <v>Replace batteries in fire alarm pane</v>
          </cell>
          <cell r="E991" t="str">
            <v>Marlowe Fire &amp; Security Limited</v>
          </cell>
          <cell r="F991" t="str">
            <v>Subcontractor</v>
          </cell>
          <cell r="G991" t="str">
            <v/>
          </cell>
          <cell r="H991" t="str">
            <v/>
          </cell>
          <cell r="I991" t="str">
            <v/>
          </cell>
          <cell r="J991">
            <v>84.82</v>
          </cell>
          <cell r="K991">
            <v>16.96</v>
          </cell>
          <cell r="L991">
            <v>84.82</v>
          </cell>
          <cell r="M991" t="str">
            <v/>
          </cell>
          <cell r="N991">
            <v>0</v>
          </cell>
        </row>
        <row r="992">
          <cell r="A992">
            <v>18187</v>
          </cell>
          <cell r="B992" t="str">
            <v>30/01/2020</v>
          </cell>
          <cell r="C992" t="str">
            <v>CALLOUT</v>
          </cell>
          <cell r="D992" t="str">
            <v>6no bulkheads fiited - 3 seperate visits</v>
          </cell>
          <cell r="E992" t="str">
            <v>Key Integrated Services North West Ltd</v>
          </cell>
          <cell r="F992" t="str">
            <v>Subcontractor</v>
          </cell>
          <cell r="G992" t="str">
            <v/>
          </cell>
          <cell r="H992" t="str">
            <v/>
          </cell>
          <cell r="I992" t="str">
            <v/>
          </cell>
          <cell r="J992">
            <v>468</v>
          </cell>
          <cell r="K992">
            <v>93.6</v>
          </cell>
          <cell r="L992">
            <v>468</v>
          </cell>
          <cell r="M992" t="str">
            <v/>
          </cell>
          <cell r="N992">
            <v>0</v>
          </cell>
        </row>
        <row r="993">
          <cell r="A993">
            <v>18186</v>
          </cell>
          <cell r="B993" t="str">
            <v>29/01/2020</v>
          </cell>
          <cell r="C993" t="str">
            <v>CALLOUT</v>
          </cell>
          <cell r="D993" t="str">
            <v>faulty light fttg 1st floor gents</v>
          </cell>
          <cell r="E993" t="str">
            <v>Key Integrated Services North West Ltd</v>
          </cell>
          <cell r="F993" t="str">
            <v>Subcontractor</v>
          </cell>
          <cell r="G993" t="str">
            <v/>
          </cell>
          <cell r="H993" t="str">
            <v>Part</v>
          </cell>
          <cell r="I993" t="str">
            <v/>
          </cell>
          <cell r="J993">
            <v>258.88</v>
          </cell>
          <cell r="K993">
            <v>51.78</v>
          </cell>
          <cell r="L993">
            <v>258.88</v>
          </cell>
          <cell r="M993" t="str">
            <v/>
          </cell>
          <cell r="N993">
            <v>0</v>
          </cell>
        </row>
        <row r="994">
          <cell r="A994">
            <v>18185</v>
          </cell>
          <cell r="B994" t="str">
            <v>29/01/2020</v>
          </cell>
          <cell r="C994" t="str">
            <v>CALLOUT</v>
          </cell>
          <cell r="D994" t="str">
            <v>Replace batteries in fire alarm panel</v>
          </cell>
          <cell r="E994" t="str">
            <v>Marlowe Fire &amp; Security Limited</v>
          </cell>
          <cell r="F994" t="str">
            <v>Subcontractor</v>
          </cell>
          <cell r="G994" t="str">
            <v/>
          </cell>
          <cell r="H994" t="str">
            <v/>
          </cell>
          <cell r="I994" t="str">
            <v/>
          </cell>
          <cell r="J994">
            <v>94.72</v>
          </cell>
          <cell r="K994">
            <v>18.940000000000001</v>
          </cell>
          <cell r="L994">
            <v>94.72</v>
          </cell>
          <cell r="M994" t="str">
            <v/>
          </cell>
          <cell r="N994">
            <v>0</v>
          </cell>
        </row>
        <row r="995">
          <cell r="A995">
            <v>18184</v>
          </cell>
          <cell r="B995" t="str">
            <v>29/01/2020</v>
          </cell>
          <cell r="C995" t="str">
            <v>CALLOUT</v>
          </cell>
          <cell r="D995" t="str">
            <v>Replace batteries in fire alarm panel</v>
          </cell>
          <cell r="E995" t="str">
            <v>Marlowe Fire &amp; Security Limited</v>
          </cell>
          <cell r="F995" t="str">
            <v>Subcontractor</v>
          </cell>
          <cell r="G995" t="str">
            <v/>
          </cell>
          <cell r="H995" t="str">
            <v/>
          </cell>
          <cell r="I995" t="str">
            <v/>
          </cell>
          <cell r="J995">
            <v>94.72</v>
          </cell>
          <cell r="K995">
            <v>18.940000000000001</v>
          </cell>
          <cell r="L995">
            <v>94.72</v>
          </cell>
          <cell r="M995" t="str">
            <v/>
          </cell>
          <cell r="N995">
            <v>0</v>
          </cell>
        </row>
        <row r="996">
          <cell r="A996">
            <v>18183</v>
          </cell>
          <cell r="B996" t="str">
            <v>29/01/2020</v>
          </cell>
          <cell r="C996" t="str">
            <v>C1618</v>
          </cell>
          <cell r="D996" t="str">
            <v/>
          </cell>
          <cell r="E996" t="str">
            <v>Key Integrated Services (Electrical) Ltd</v>
          </cell>
          <cell r="F996" t="str">
            <v>Subcontractor</v>
          </cell>
          <cell r="G996" t="str">
            <v/>
          </cell>
          <cell r="H996" t="str">
            <v/>
          </cell>
          <cell r="I996" t="str">
            <v/>
          </cell>
          <cell r="J996">
            <v>6317.5</v>
          </cell>
          <cell r="K996">
            <v>1263.5</v>
          </cell>
          <cell r="L996">
            <v>6317</v>
          </cell>
          <cell r="M996" t="str">
            <v/>
          </cell>
          <cell r="N996">
            <v>0.5</v>
          </cell>
        </row>
        <row r="997">
          <cell r="A997">
            <v>18178</v>
          </cell>
          <cell r="B997" t="str">
            <v>29/01/2020</v>
          </cell>
          <cell r="C997" t="str">
            <v>CALLOUT</v>
          </cell>
          <cell r="D997" t="str">
            <v>Replace extinguishers as per quote</v>
          </cell>
          <cell r="E997" t="str">
            <v>Marlowe Fire &amp; Security Limited</v>
          </cell>
          <cell r="F997" t="str">
            <v>Subcontractor</v>
          </cell>
          <cell r="G997" t="str">
            <v/>
          </cell>
          <cell r="H997" t="str">
            <v/>
          </cell>
          <cell r="I997" t="str">
            <v/>
          </cell>
          <cell r="J997">
            <v>157.68</v>
          </cell>
          <cell r="K997">
            <v>31.54</v>
          </cell>
          <cell r="L997">
            <v>157.68</v>
          </cell>
          <cell r="M997" t="str">
            <v/>
          </cell>
          <cell r="N997">
            <v>0</v>
          </cell>
        </row>
        <row r="998">
          <cell r="A998">
            <v>18177</v>
          </cell>
          <cell r="B998" t="str">
            <v>29/01/2020</v>
          </cell>
          <cell r="C998" t="str">
            <v>CALLOUT</v>
          </cell>
          <cell r="D998" t="str">
            <v>Replace fire extinguishers as per quote</v>
          </cell>
          <cell r="E998" t="str">
            <v>Marlowe Fire &amp; Security Limited</v>
          </cell>
          <cell r="F998" t="str">
            <v>Subcontractor</v>
          </cell>
          <cell r="G998" t="str">
            <v/>
          </cell>
          <cell r="H998" t="str">
            <v/>
          </cell>
          <cell r="I998" t="str">
            <v/>
          </cell>
          <cell r="J998">
            <v>42.92</v>
          </cell>
          <cell r="K998">
            <v>8.58</v>
          </cell>
          <cell r="L998">
            <v>42.92</v>
          </cell>
          <cell r="M998" t="str">
            <v/>
          </cell>
          <cell r="N998">
            <v>0</v>
          </cell>
        </row>
        <row r="999">
          <cell r="A999">
            <v>18176</v>
          </cell>
          <cell r="B999" t="str">
            <v>29/01/2020</v>
          </cell>
          <cell r="C999" t="str">
            <v>CALLOUT</v>
          </cell>
          <cell r="D999" t="str">
            <v>Replace fire extinguishers as per quote</v>
          </cell>
          <cell r="E999" t="str">
            <v>Marlowe Fire &amp; Security Limited</v>
          </cell>
          <cell r="F999" t="str">
            <v>Subcontractor</v>
          </cell>
          <cell r="G999" t="str">
            <v/>
          </cell>
          <cell r="H999" t="str">
            <v/>
          </cell>
          <cell r="I999" t="str">
            <v/>
          </cell>
          <cell r="J999">
            <v>42.92</v>
          </cell>
          <cell r="K999">
            <v>8.58</v>
          </cell>
          <cell r="L999">
            <v>42.92</v>
          </cell>
          <cell r="M999" t="str">
            <v/>
          </cell>
          <cell r="N999">
            <v>0</v>
          </cell>
        </row>
        <row r="1000">
          <cell r="A1000">
            <v>18165</v>
          </cell>
          <cell r="B1000" t="str">
            <v>28/01/2020</v>
          </cell>
          <cell r="C1000" t="str">
            <v>CALLOUT</v>
          </cell>
          <cell r="D1000" t="str">
            <v>grd floor urinals not flushing</v>
          </cell>
          <cell r="E1000" t="str">
            <v>Derek Austin Heating Limited</v>
          </cell>
          <cell r="F1000" t="str">
            <v>Subcontractor</v>
          </cell>
          <cell r="G1000" t="str">
            <v/>
          </cell>
          <cell r="H1000" t="str">
            <v>Part</v>
          </cell>
          <cell r="I1000" t="str">
            <v/>
          </cell>
          <cell r="J1000">
            <v>421.92</v>
          </cell>
          <cell r="K1000">
            <v>84.38</v>
          </cell>
          <cell r="L1000">
            <v>421.92</v>
          </cell>
          <cell r="M1000" t="str">
            <v/>
          </cell>
          <cell r="N1000">
            <v>0</v>
          </cell>
        </row>
        <row r="1001">
          <cell r="A1001">
            <v>18164</v>
          </cell>
          <cell r="B1001" t="str">
            <v>28/01/2020</v>
          </cell>
          <cell r="C1001" t="str">
            <v>CALLOUT</v>
          </cell>
          <cell r="D1001" t="str">
            <v>LED replacements h/l lights</v>
          </cell>
          <cell r="E1001" t="str">
            <v>Key Integrated Services North West Ltd</v>
          </cell>
          <cell r="F1001" t="str">
            <v>Subcontractor</v>
          </cell>
          <cell r="G1001" t="str">
            <v/>
          </cell>
          <cell r="H1001" t="str">
            <v/>
          </cell>
          <cell r="I1001" t="str">
            <v/>
          </cell>
          <cell r="J1001">
            <v>583.79999999999995</v>
          </cell>
          <cell r="K1001">
            <v>116.76</v>
          </cell>
          <cell r="L1001">
            <v>552.05999999999995</v>
          </cell>
          <cell r="M1001" t="str">
            <v/>
          </cell>
          <cell r="N1001">
            <v>31.74</v>
          </cell>
        </row>
        <row r="1002">
          <cell r="A1002">
            <v>18153</v>
          </cell>
          <cell r="B1002" t="str">
            <v>27/01/2020</v>
          </cell>
          <cell r="C1002" t="str">
            <v>CALLOUT</v>
          </cell>
          <cell r="D1002" t="str">
            <v>earth gas tank as per quote</v>
          </cell>
          <cell r="E1002" t="str">
            <v>Key Integrated Services North West Ltd</v>
          </cell>
          <cell r="F1002" t="str">
            <v>Subcontractor</v>
          </cell>
          <cell r="G1002" t="str">
            <v/>
          </cell>
          <cell r="H1002" t="str">
            <v/>
          </cell>
          <cell r="I1002" t="str">
            <v/>
          </cell>
          <cell r="J1002">
            <v>687.9</v>
          </cell>
          <cell r="K1002">
            <v>137.58000000000001</v>
          </cell>
          <cell r="L1002">
            <v>687.9</v>
          </cell>
          <cell r="M1002" t="str">
            <v/>
          </cell>
          <cell r="N1002">
            <v>0</v>
          </cell>
        </row>
        <row r="1003">
          <cell r="A1003">
            <v>18151</v>
          </cell>
          <cell r="B1003" t="str">
            <v>24/01/2020</v>
          </cell>
          <cell r="C1003" t="str">
            <v>CALLOUT</v>
          </cell>
          <cell r="D1003" t="str">
            <v>EML drain down as per quote</v>
          </cell>
          <cell r="E1003" t="str">
            <v>Key Integrated Services (Electrical) Ltd</v>
          </cell>
          <cell r="F1003" t="str">
            <v>Subcontractor</v>
          </cell>
          <cell r="G1003" t="str">
            <v/>
          </cell>
          <cell r="H1003" t="str">
            <v/>
          </cell>
          <cell r="I1003" t="str">
            <v/>
          </cell>
          <cell r="J1003">
            <v>178.6</v>
          </cell>
          <cell r="K1003">
            <v>35.72</v>
          </cell>
          <cell r="L1003">
            <v>178.6</v>
          </cell>
          <cell r="M1003" t="str">
            <v/>
          </cell>
          <cell r="N1003">
            <v>0</v>
          </cell>
        </row>
        <row r="1004">
          <cell r="A1004">
            <v>18148</v>
          </cell>
          <cell r="B1004" t="str">
            <v>24/01/2020</v>
          </cell>
          <cell r="C1004" t="str">
            <v>C1643</v>
          </cell>
          <cell r="D1004" t="str">
            <v>Outline Electrical Design'</v>
          </cell>
          <cell r="E1004" t="str">
            <v>Key Integrated Services North West Ltd</v>
          </cell>
          <cell r="F1004" t="str">
            <v>Subcontractor</v>
          </cell>
          <cell r="G1004" t="str">
            <v/>
          </cell>
          <cell r="H1004" t="str">
            <v/>
          </cell>
          <cell r="I1004" t="str">
            <v/>
          </cell>
          <cell r="J1004">
            <v>3200</v>
          </cell>
          <cell r="K1004">
            <v>640</v>
          </cell>
          <cell r="L1004">
            <v>0</v>
          </cell>
          <cell r="M1004" t="str">
            <v/>
          </cell>
          <cell r="N1004">
            <v>3200</v>
          </cell>
        </row>
        <row r="1005">
          <cell r="A1005">
            <v>18137</v>
          </cell>
          <cell r="B1005" t="str">
            <v>23/01/2020</v>
          </cell>
          <cell r="C1005" t="str">
            <v>CALLOUT</v>
          </cell>
          <cell r="D1005" t="str">
            <v>2nd floor kitchen no power</v>
          </cell>
          <cell r="E1005" t="str">
            <v>Key Integrated Services North West Ltd</v>
          </cell>
          <cell r="F1005" t="str">
            <v>Subcontractor</v>
          </cell>
          <cell r="G1005" t="str">
            <v/>
          </cell>
          <cell r="H1005" t="str">
            <v>Part</v>
          </cell>
          <cell r="I1005" t="str">
            <v/>
          </cell>
          <cell r="J1005">
            <v>75</v>
          </cell>
          <cell r="K1005">
            <v>15</v>
          </cell>
          <cell r="L1005">
            <v>75</v>
          </cell>
          <cell r="M1005" t="str">
            <v/>
          </cell>
          <cell r="N1005">
            <v>0</v>
          </cell>
        </row>
        <row r="1006">
          <cell r="A1006">
            <v>18121</v>
          </cell>
          <cell r="B1006" t="str">
            <v>21/01/2020</v>
          </cell>
          <cell r="C1006" t="str">
            <v>SERVICE</v>
          </cell>
          <cell r="D1006" t="str">
            <v>1 set process filters</v>
          </cell>
          <cell r="E1006" t="str">
            <v>Newsome Ltd</v>
          </cell>
          <cell r="F1006" t="str">
            <v>Subcontractor</v>
          </cell>
          <cell r="G1006" t="str">
            <v/>
          </cell>
          <cell r="H1006" t="str">
            <v/>
          </cell>
          <cell r="I1006" t="str">
            <v/>
          </cell>
          <cell r="J1006">
            <v>956.75</v>
          </cell>
          <cell r="K1006">
            <v>191.35</v>
          </cell>
          <cell r="L1006">
            <v>0</v>
          </cell>
          <cell r="M1006" t="str">
            <v/>
          </cell>
          <cell r="N1006">
            <v>956.75</v>
          </cell>
        </row>
        <row r="1007">
          <cell r="A1007">
            <v>18108</v>
          </cell>
          <cell r="B1007" t="str">
            <v>17/01/2020</v>
          </cell>
          <cell r="C1007" t="str">
            <v>QUOTED</v>
          </cell>
          <cell r="D1007" t="str">
            <v>Replace 11 keyswitches as per quote</v>
          </cell>
          <cell r="E1007" t="str">
            <v>Barrie Beard Ltd</v>
          </cell>
          <cell r="F1007" t="str">
            <v>Subcontractor</v>
          </cell>
          <cell r="G1007" t="str">
            <v/>
          </cell>
          <cell r="H1007" t="str">
            <v/>
          </cell>
          <cell r="I1007" t="str">
            <v/>
          </cell>
          <cell r="J1007">
            <v>738.84</v>
          </cell>
          <cell r="K1007">
            <v>147.77000000000001</v>
          </cell>
          <cell r="L1007">
            <v>738.84</v>
          </cell>
          <cell r="M1007" t="str">
            <v/>
          </cell>
          <cell r="N1007">
            <v>0</v>
          </cell>
        </row>
        <row r="1008">
          <cell r="A1008">
            <v>18106</v>
          </cell>
          <cell r="B1008" t="str">
            <v>16/01/2020</v>
          </cell>
          <cell r="C1008" t="str">
            <v>SM001 CALLOUT</v>
          </cell>
          <cell r="D1008" t="str">
            <v>installed fuse spur</v>
          </cell>
          <cell r="E1008" t="str">
            <v>Derek Austin Heating Limited</v>
          </cell>
          <cell r="F1008" t="str">
            <v>Subcontractor</v>
          </cell>
          <cell r="G1008" t="str">
            <v/>
          </cell>
          <cell r="H1008" t="str">
            <v>Part</v>
          </cell>
          <cell r="I1008" t="str">
            <v/>
          </cell>
          <cell r="J1008">
            <v>194.87</v>
          </cell>
          <cell r="K1008">
            <v>38.97</v>
          </cell>
          <cell r="L1008">
            <v>194.87</v>
          </cell>
          <cell r="M1008" t="str">
            <v/>
          </cell>
          <cell r="N1008">
            <v>0</v>
          </cell>
        </row>
        <row r="1009">
          <cell r="A1009">
            <v>18094</v>
          </cell>
          <cell r="B1009" t="str">
            <v>16/01/2020</v>
          </cell>
          <cell r="C1009" t="str">
            <v>QUOTED</v>
          </cell>
          <cell r="D1009" t="str">
            <v>laundry cabinet and desk alterations as per quote</v>
          </cell>
          <cell r="E1009" t="str">
            <v>Huddersfield Interiors Ltd</v>
          </cell>
          <cell r="F1009" t="str">
            <v>Subcontractor</v>
          </cell>
          <cell r="G1009" t="str">
            <v/>
          </cell>
          <cell r="H1009" t="str">
            <v/>
          </cell>
          <cell r="I1009" t="str">
            <v/>
          </cell>
          <cell r="J1009">
            <v>2350</v>
          </cell>
          <cell r="K1009">
            <v>470</v>
          </cell>
          <cell r="L1009">
            <v>2350</v>
          </cell>
          <cell r="M1009" t="str">
            <v/>
          </cell>
          <cell r="N1009">
            <v>0</v>
          </cell>
        </row>
        <row r="1010">
          <cell r="A1010">
            <v>18088</v>
          </cell>
          <cell r="B1010" t="str">
            <v>15/01/2020</v>
          </cell>
          <cell r="C1010" t="str">
            <v>QUOTED</v>
          </cell>
          <cell r="D1010" t="str">
            <v>electrical works for De min unit</v>
          </cell>
          <cell r="E1010" t="str">
            <v>Key Integrated Services North West Ltd</v>
          </cell>
          <cell r="F1010" t="str">
            <v>Subcontractor</v>
          </cell>
          <cell r="G1010" t="str">
            <v/>
          </cell>
          <cell r="H1010" t="str">
            <v/>
          </cell>
          <cell r="I1010" t="str">
            <v/>
          </cell>
          <cell r="J1010">
            <v>907.58</v>
          </cell>
          <cell r="K1010">
            <v>181.52</v>
          </cell>
          <cell r="L1010">
            <v>907.58</v>
          </cell>
          <cell r="M1010" t="str">
            <v/>
          </cell>
          <cell r="N1010">
            <v>0</v>
          </cell>
        </row>
        <row r="1011">
          <cell r="A1011">
            <v>18085</v>
          </cell>
          <cell r="B1011" t="str">
            <v>15/01/2020</v>
          </cell>
          <cell r="C1011" t="str">
            <v>CALLOUT</v>
          </cell>
          <cell r="D1011" t="str">
            <v>electrical work</v>
          </cell>
          <cell r="E1011" t="str">
            <v>Barrie Beard Ltd</v>
          </cell>
          <cell r="F1011" t="str">
            <v>Subcontractor</v>
          </cell>
          <cell r="G1011" t="str">
            <v/>
          </cell>
          <cell r="H1011" t="str">
            <v>Part</v>
          </cell>
          <cell r="I1011" t="str">
            <v/>
          </cell>
          <cell r="J1011">
            <v>275</v>
          </cell>
          <cell r="K1011">
            <v>55</v>
          </cell>
          <cell r="L1011">
            <v>275</v>
          </cell>
          <cell r="M1011" t="str">
            <v/>
          </cell>
          <cell r="N1011">
            <v>0</v>
          </cell>
        </row>
        <row r="1012">
          <cell r="A1012">
            <v>18084</v>
          </cell>
          <cell r="B1012" t="str">
            <v>15/01/2020</v>
          </cell>
          <cell r="C1012" t="str">
            <v>CALLOUT</v>
          </cell>
          <cell r="D1012" t="str">
            <v>replace broken dble socket on sckt in admin room</v>
          </cell>
          <cell r="E1012" t="str">
            <v>Key Integrated Services North West Ltd</v>
          </cell>
          <cell r="F1012" t="str">
            <v>Subcontractor</v>
          </cell>
          <cell r="G1012" t="str">
            <v/>
          </cell>
          <cell r="H1012" t="str">
            <v>Part</v>
          </cell>
          <cell r="I1012" t="str">
            <v/>
          </cell>
          <cell r="J1012">
            <v>124.99</v>
          </cell>
          <cell r="K1012">
            <v>25</v>
          </cell>
          <cell r="L1012">
            <v>124.99</v>
          </cell>
          <cell r="M1012" t="str">
            <v/>
          </cell>
          <cell r="N1012">
            <v>0</v>
          </cell>
        </row>
        <row r="1013">
          <cell r="A1013">
            <v>18083</v>
          </cell>
          <cell r="B1013" t="str">
            <v>15/01/2020</v>
          </cell>
          <cell r="C1013" t="str">
            <v>CALLOUT</v>
          </cell>
          <cell r="D1013" t="str">
            <v>Replace GENT fire call point grd floor outside boiler room</v>
          </cell>
          <cell r="E1013" t="str">
            <v>Hoyles Fire + Safety Ltd</v>
          </cell>
          <cell r="F1013" t="str">
            <v>Subcontractor</v>
          </cell>
          <cell r="G1013" t="str">
            <v/>
          </cell>
          <cell r="H1013" t="str">
            <v>Complete</v>
          </cell>
          <cell r="I1013" t="str">
            <v/>
          </cell>
          <cell r="J1013">
            <v>0</v>
          </cell>
          <cell r="K1013">
            <v>0</v>
          </cell>
          <cell r="L1013">
            <v>0</v>
          </cell>
          <cell r="M1013" t="str">
            <v/>
          </cell>
          <cell r="N1013">
            <v>0</v>
          </cell>
        </row>
        <row r="1014">
          <cell r="A1014">
            <v>18082</v>
          </cell>
          <cell r="B1014" t="str">
            <v>15/01/2020</v>
          </cell>
          <cell r="C1014" t="str">
            <v>CALLOUT</v>
          </cell>
          <cell r="D1014" t="str">
            <v>REM line not working on lift</v>
          </cell>
          <cell r="E1014" t="str">
            <v>Ansa Elevators Limited</v>
          </cell>
          <cell r="F1014" t="str">
            <v>Subcontractor</v>
          </cell>
          <cell r="G1014" t="str">
            <v/>
          </cell>
          <cell r="H1014" t="str">
            <v>Part</v>
          </cell>
          <cell r="I1014" t="str">
            <v/>
          </cell>
          <cell r="J1014">
            <v>140</v>
          </cell>
          <cell r="K1014">
            <v>28</v>
          </cell>
          <cell r="L1014">
            <v>140</v>
          </cell>
          <cell r="M1014" t="str">
            <v/>
          </cell>
          <cell r="N1014">
            <v>0</v>
          </cell>
        </row>
        <row r="1015">
          <cell r="A1015">
            <v>18078</v>
          </cell>
          <cell r="B1015" t="str">
            <v>14/01/2020</v>
          </cell>
          <cell r="C1015" t="str">
            <v>C1670</v>
          </cell>
          <cell r="D1015" t="str">
            <v>manufacture and delivery of 38 plenum boxes Palletised</v>
          </cell>
          <cell r="E1015" t="str">
            <v>Auto-Vent Limited</v>
          </cell>
          <cell r="F1015" t="str">
            <v>Subcontractor</v>
          </cell>
          <cell r="G1015" t="str">
            <v/>
          </cell>
          <cell r="H1015" t="str">
            <v/>
          </cell>
          <cell r="I1015" t="str">
            <v/>
          </cell>
          <cell r="J1015">
            <v>2485</v>
          </cell>
          <cell r="K1015">
            <v>497</v>
          </cell>
          <cell r="L1015">
            <v>2485</v>
          </cell>
          <cell r="M1015" t="str">
            <v/>
          </cell>
          <cell r="N1015">
            <v>0</v>
          </cell>
        </row>
        <row r="1016">
          <cell r="A1016">
            <v>18077</v>
          </cell>
          <cell r="B1016" t="str">
            <v>14/01/2020</v>
          </cell>
          <cell r="C1016" t="str">
            <v>A2000</v>
          </cell>
          <cell r="D1016" t="str">
            <v>Scope of Works:</v>
          </cell>
          <cell r="E1016" t="str">
            <v>North West Renewables Ltd</v>
          </cell>
          <cell r="F1016" t="str">
            <v>Subcontractor</v>
          </cell>
          <cell r="G1016" t="str">
            <v/>
          </cell>
          <cell r="H1016" t="str">
            <v/>
          </cell>
          <cell r="I1016" t="str">
            <v/>
          </cell>
          <cell r="J1016">
            <v>889</v>
          </cell>
          <cell r="K1016">
            <v>177.8</v>
          </cell>
          <cell r="L1016">
            <v>0</v>
          </cell>
          <cell r="M1016" t="str">
            <v/>
          </cell>
          <cell r="N1016">
            <v>889</v>
          </cell>
        </row>
        <row r="1017">
          <cell r="A1017">
            <v>18076</v>
          </cell>
          <cell r="B1017" t="str">
            <v>14/01/2020</v>
          </cell>
          <cell r="C1017" t="str">
            <v>CALLOUT</v>
          </cell>
          <cell r="D1017" t="str">
            <v>Show site how to test the fire alarm</v>
          </cell>
          <cell r="E1017" t="str">
            <v>Marlowe Fire &amp; Security Limited</v>
          </cell>
          <cell r="F1017" t="str">
            <v>Subcontractor</v>
          </cell>
          <cell r="G1017" t="str">
            <v/>
          </cell>
          <cell r="H1017" t="str">
            <v>Part</v>
          </cell>
          <cell r="I1017" t="str">
            <v/>
          </cell>
          <cell r="J1017">
            <v>140</v>
          </cell>
          <cell r="K1017">
            <v>28</v>
          </cell>
          <cell r="L1017">
            <v>140</v>
          </cell>
          <cell r="M1017" t="str">
            <v/>
          </cell>
          <cell r="N1017">
            <v>0</v>
          </cell>
        </row>
        <row r="1018">
          <cell r="A1018">
            <v>18071</v>
          </cell>
          <cell r="B1018" t="str">
            <v>14/01/2020</v>
          </cell>
          <cell r="C1018" t="str">
            <v>SERVICE</v>
          </cell>
          <cell r="D1018" t="str">
            <v>Jan &amp; Feb L8 Monthly Testing</v>
          </cell>
          <cell r="E1018" t="str">
            <v>Commercial Temperature Solutions</v>
          </cell>
          <cell r="F1018" t="str">
            <v>Subcontractor</v>
          </cell>
          <cell r="G1018" t="str">
            <v/>
          </cell>
          <cell r="H1018" t="str">
            <v/>
          </cell>
          <cell r="I1018" t="str">
            <v/>
          </cell>
          <cell r="J1018">
            <v>160</v>
          </cell>
          <cell r="K1018">
            <v>32</v>
          </cell>
          <cell r="L1018">
            <v>160</v>
          </cell>
          <cell r="M1018" t="str">
            <v/>
          </cell>
          <cell r="N1018">
            <v>0</v>
          </cell>
        </row>
        <row r="1019">
          <cell r="A1019">
            <v>18067</v>
          </cell>
          <cell r="B1019" t="str">
            <v>13/01/2020</v>
          </cell>
          <cell r="C1019" t="str">
            <v>CALLOUT</v>
          </cell>
          <cell r="D1019" t="str">
            <v>install dble sckt in kitchen</v>
          </cell>
          <cell r="E1019" t="str">
            <v>Key Integrated Services North West Ltd</v>
          </cell>
          <cell r="F1019" t="str">
            <v>Subcontractor</v>
          </cell>
          <cell r="G1019" t="str">
            <v/>
          </cell>
          <cell r="H1019" t="str">
            <v>Part</v>
          </cell>
          <cell r="I1019" t="str">
            <v/>
          </cell>
          <cell r="J1019">
            <v>299.10000000000002</v>
          </cell>
          <cell r="K1019">
            <v>59.82</v>
          </cell>
          <cell r="L1019">
            <v>299.10000000000002</v>
          </cell>
          <cell r="M1019" t="str">
            <v/>
          </cell>
          <cell r="N1019">
            <v>0</v>
          </cell>
        </row>
        <row r="1020">
          <cell r="A1020">
            <v>18066</v>
          </cell>
          <cell r="B1020" t="str">
            <v>13/01/2020</v>
          </cell>
          <cell r="C1020" t="str">
            <v>CALLOUT</v>
          </cell>
          <cell r="D1020" t="str">
            <v>-	Attend site and replace damaged floor socket cover, spares</v>
          </cell>
          <cell r="E1020" t="str">
            <v>Key Integrated Services North West Ltd</v>
          </cell>
          <cell r="F1020" t="str">
            <v>Subcontractor</v>
          </cell>
          <cell r="G1020" t="str">
            <v/>
          </cell>
          <cell r="H1020" t="str">
            <v>Part</v>
          </cell>
          <cell r="I1020" t="str">
            <v/>
          </cell>
          <cell r="J1020">
            <v>222.22</v>
          </cell>
          <cell r="K1020">
            <v>44.44</v>
          </cell>
          <cell r="L1020">
            <v>222.22</v>
          </cell>
          <cell r="M1020" t="str">
            <v/>
          </cell>
          <cell r="N1020">
            <v>0</v>
          </cell>
        </row>
        <row r="1021">
          <cell r="A1021">
            <v>18054</v>
          </cell>
          <cell r="B1021" t="str">
            <v>10/01/2020</v>
          </cell>
          <cell r="C1021" t="str">
            <v>C1604</v>
          </cell>
          <cell r="D1021" t="str">
            <v>DC Enercy monitoring</v>
          </cell>
          <cell r="E1021" t="str">
            <v>Key Integrated Services (Electrical) Ltd</v>
          </cell>
          <cell r="F1021" t="str">
            <v>Subcontractor</v>
          </cell>
          <cell r="G1021" t="str">
            <v/>
          </cell>
          <cell r="H1021" t="str">
            <v>Complete</v>
          </cell>
          <cell r="I1021" t="str">
            <v/>
          </cell>
          <cell r="J1021">
            <v>0</v>
          </cell>
          <cell r="K1021">
            <v>0</v>
          </cell>
          <cell r="L1021">
            <v>0</v>
          </cell>
          <cell r="M1021" t="str">
            <v/>
          </cell>
          <cell r="N1021">
            <v>0</v>
          </cell>
        </row>
        <row r="1022">
          <cell r="A1022">
            <v>18051</v>
          </cell>
          <cell r="B1022" t="str">
            <v>09/01/2020</v>
          </cell>
          <cell r="C1022" t="str">
            <v>C1654</v>
          </cell>
          <cell r="D1022" t="str">
            <v>Thermal Insulation to boiler room as per quote ref: 3309</v>
          </cell>
          <cell r="E1022" t="str">
            <v>Thermal Insulation Covers Ltd</v>
          </cell>
          <cell r="F1022" t="str">
            <v>Subcontractor</v>
          </cell>
          <cell r="G1022" t="str">
            <v>17/02/2020</v>
          </cell>
          <cell r="H1022" t="str">
            <v/>
          </cell>
          <cell r="I1022" t="str">
            <v/>
          </cell>
          <cell r="J1022">
            <v>1340</v>
          </cell>
          <cell r="K1022">
            <v>268</v>
          </cell>
          <cell r="L1022">
            <v>1340</v>
          </cell>
          <cell r="M1022" t="str">
            <v/>
          </cell>
          <cell r="N1022">
            <v>0</v>
          </cell>
        </row>
        <row r="1023">
          <cell r="A1023">
            <v>18050</v>
          </cell>
          <cell r="B1023" t="str">
            <v>09/01/2020</v>
          </cell>
          <cell r="C1023" t="str">
            <v>C1654</v>
          </cell>
          <cell r="D1023" t="str">
            <v>Supply &amp; Installation of flues as per quote ref: 42760</v>
          </cell>
          <cell r="E1023" t="str">
            <v>Sigram Flue Systems</v>
          </cell>
          <cell r="F1023" t="str">
            <v>Subcontractor</v>
          </cell>
          <cell r="G1023" t="str">
            <v>11/02/2020</v>
          </cell>
          <cell r="H1023" t="str">
            <v/>
          </cell>
          <cell r="I1023" t="str">
            <v/>
          </cell>
          <cell r="J1023">
            <v>2579</v>
          </cell>
          <cell r="K1023">
            <v>515.79999999999995</v>
          </cell>
          <cell r="L1023">
            <v>2579</v>
          </cell>
          <cell r="M1023" t="str">
            <v/>
          </cell>
          <cell r="N1023">
            <v>0</v>
          </cell>
        </row>
        <row r="1024">
          <cell r="A1024">
            <v>18049</v>
          </cell>
          <cell r="B1024" t="str">
            <v>09/01/2020</v>
          </cell>
          <cell r="C1024" t="str">
            <v>QUOTED</v>
          </cell>
          <cell r="D1024" t="str">
            <v>Repairs to roof where ac removed as per quote</v>
          </cell>
          <cell r="E1024" t="str">
            <v>Roofing Consultants Ltd</v>
          </cell>
          <cell r="F1024" t="str">
            <v>Subcontractor</v>
          </cell>
          <cell r="G1024" t="str">
            <v/>
          </cell>
          <cell r="H1024" t="str">
            <v/>
          </cell>
          <cell r="I1024" t="str">
            <v/>
          </cell>
          <cell r="J1024">
            <v>1266</v>
          </cell>
          <cell r="K1024">
            <v>253.2</v>
          </cell>
          <cell r="L1024">
            <v>1266</v>
          </cell>
          <cell r="M1024" t="str">
            <v/>
          </cell>
          <cell r="N1024">
            <v>0</v>
          </cell>
        </row>
        <row r="1025">
          <cell r="A1025">
            <v>18037</v>
          </cell>
          <cell r="B1025" t="str">
            <v>09/01/2020</v>
          </cell>
          <cell r="C1025" t="str">
            <v>CALLOUT</v>
          </cell>
          <cell r="D1025" t="str">
            <v>-	Attend site and replace various light tubes around the off</v>
          </cell>
          <cell r="E1025" t="str">
            <v>Barrie Beard Ltd</v>
          </cell>
          <cell r="F1025" t="str">
            <v>Subcontractor</v>
          </cell>
          <cell r="G1025" t="str">
            <v/>
          </cell>
          <cell r="H1025" t="str">
            <v>Part</v>
          </cell>
          <cell r="I1025" t="str">
            <v/>
          </cell>
          <cell r="J1025">
            <v>100</v>
          </cell>
          <cell r="K1025">
            <v>20</v>
          </cell>
          <cell r="L1025">
            <v>100</v>
          </cell>
          <cell r="M1025" t="str">
            <v/>
          </cell>
          <cell r="N1025">
            <v>0</v>
          </cell>
        </row>
        <row r="1026">
          <cell r="A1026">
            <v>18036</v>
          </cell>
          <cell r="B1026" t="str">
            <v>09/01/2020</v>
          </cell>
          <cell r="C1026" t="str">
            <v>C1670</v>
          </cell>
          <cell r="D1026" t="str">
            <v>Instalation of ductwork project Oakfield Cheadle</v>
          </cell>
          <cell r="E1026" t="str">
            <v>JTC Ductwork Solutions Limited</v>
          </cell>
          <cell r="F1026" t="str">
            <v>Subcontractor</v>
          </cell>
          <cell r="G1026" t="str">
            <v>20/01/2020</v>
          </cell>
          <cell r="H1026" t="str">
            <v/>
          </cell>
          <cell r="I1026" t="str">
            <v/>
          </cell>
          <cell r="J1026">
            <v>19591.25</v>
          </cell>
          <cell r="K1026">
            <v>3918.25</v>
          </cell>
          <cell r="L1026">
            <v>20084.5</v>
          </cell>
          <cell r="M1026" t="str">
            <v/>
          </cell>
          <cell r="N1026">
            <v>-493.25</v>
          </cell>
        </row>
        <row r="1027">
          <cell r="A1027">
            <v>18033</v>
          </cell>
          <cell r="B1027" t="str">
            <v>08/01/2020</v>
          </cell>
          <cell r="C1027" t="str">
            <v>CALLOUT</v>
          </cell>
          <cell r="D1027" t="str">
            <v>LED spotlight not working LPG gas refilling area - KEYNW</v>
          </cell>
          <cell r="E1027" t="str">
            <v>Key Integrated Services North West Ltd</v>
          </cell>
          <cell r="F1027" t="str">
            <v>Subcontractor</v>
          </cell>
          <cell r="G1027" t="str">
            <v/>
          </cell>
          <cell r="H1027" t="str">
            <v>Part</v>
          </cell>
          <cell r="I1027" t="str">
            <v/>
          </cell>
          <cell r="J1027">
            <v>165</v>
          </cell>
          <cell r="K1027">
            <v>33</v>
          </cell>
          <cell r="L1027">
            <v>165</v>
          </cell>
          <cell r="M1027" t="str">
            <v/>
          </cell>
          <cell r="N1027">
            <v>0</v>
          </cell>
        </row>
        <row r="1028">
          <cell r="A1028">
            <v>18031</v>
          </cell>
          <cell r="B1028" t="str">
            <v>08/01/2020</v>
          </cell>
          <cell r="C1028" t="str">
            <v>SERVICE</v>
          </cell>
          <cell r="D1028" t="str">
            <v>Carry out Annual EML Test - Tuesday 04.02.2020</v>
          </cell>
          <cell r="E1028" t="str">
            <v>Lantei Ltd</v>
          </cell>
          <cell r="F1028" t="str">
            <v>Subcontractor</v>
          </cell>
          <cell r="G1028" t="str">
            <v/>
          </cell>
          <cell r="H1028" t="str">
            <v/>
          </cell>
          <cell r="I1028" t="str">
            <v/>
          </cell>
          <cell r="J1028">
            <v>300</v>
          </cell>
          <cell r="K1028">
            <v>60</v>
          </cell>
          <cell r="L1028">
            <v>300</v>
          </cell>
          <cell r="M1028" t="str">
            <v/>
          </cell>
          <cell r="N1028">
            <v>0</v>
          </cell>
        </row>
        <row r="1029">
          <cell r="A1029">
            <v>18030</v>
          </cell>
          <cell r="B1029" t="str">
            <v>08/01/2020</v>
          </cell>
          <cell r="C1029" t="str">
            <v>CALLOUT</v>
          </cell>
          <cell r="D1029" t="str">
            <v>LED 600x600 panel not working in shift managers office</v>
          </cell>
          <cell r="E1029" t="str">
            <v>Key Integrated Services North West Ltd</v>
          </cell>
          <cell r="F1029" t="str">
            <v>Subcontractor</v>
          </cell>
          <cell r="G1029" t="str">
            <v/>
          </cell>
          <cell r="H1029" t="str">
            <v>Part</v>
          </cell>
          <cell r="I1029" t="str">
            <v/>
          </cell>
          <cell r="J1029">
            <v>122</v>
          </cell>
          <cell r="K1029">
            <v>24.4</v>
          </cell>
          <cell r="L1029">
            <v>122</v>
          </cell>
          <cell r="M1029" t="str">
            <v/>
          </cell>
          <cell r="N1029">
            <v>0</v>
          </cell>
        </row>
        <row r="1030">
          <cell r="A1030">
            <v>18029</v>
          </cell>
          <cell r="B1030" t="str">
            <v>08/01/2020</v>
          </cell>
          <cell r="C1030" t="str">
            <v>CALLOUT</v>
          </cell>
          <cell r="D1030" t="str">
            <v>replace 6 x tubes and 1 x emerg tube</v>
          </cell>
          <cell r="E1030" t="str">
            <v>Key Integrated Services North West Ltd</v>
          </cell>
          <cell r="F1030" t="str">
            <v>Subcontractor</v>
          </cell>
          <cell r="G1030" t="str">
            <v/>
          </cell>
          <cell r="H1030" t="str">
            <v>Part</v>
          </cell>
          <cell r="I1030" t="str">
            <v/>
          </cell>
          <cell r="J1030">
            <v>191.2</v>
          </cell>
          <cell r="K1030">
            <v>38.24</v>
          </cell>
          <cell r="L1030">
            <v>191.2</v>
          </cell>
          <cell r="M1030" t="str">
            <v/>
          </cell>
          <cell r="N1030">
            <v>0</v>
          </cell>
        </row>
        <row r="1031">
          <cell r="A1031">
            <v>18016</v>
          </cell>
          <cell r="B1031" t="str">
            <v>07/01/2020</v>
          </cell>
          <cell r="C1031" t="str">
            <v>CALLOUT</v>
          </cell>
          <cell r="D1031" t="str">
            <v>Replace LED fttg</v>
          </cell>
          <cell r="E1031" t="str">
            <v>Key Integrated Services North West Ltd</v>
          </cell>
          <cell r="F1031" t="str">
            <v>Subcontractor</v>
          </cell>
          <cell r="G1031" t="str">
            <v/>
          </cell>
          <cell r="H1031" t="str">
            <v/>
          </cell>
          <cell r="I1031" t="str">
            <v/>
          </cell>
          <cell r="J1031">
            <v>326.26</v>
          </cell>
          <cell r="K1031">
            <v>65.25</v>
          </cell>
          <cell r="L1031">
            <v>325.26</v>
          </cell>
          <cell r="M1031" t="str">
            <v/>
          </cell>
          <cell r="N1031">
            <v>1</v>
          </cell>
        </row>
        <row r="1032">
          <cell r="A1032">
            <v>18015</v>
          </cell>
          <cell r="B1032" t="str">
            <v>07/01/2020</v>
          </cell>
          <cell r="C1032" t="str">
            <v>SERVICE</v>
          </cell>
          <cell r="D1032" t="str">
            <v>2 Yearly Schematic update</v>
          </cell>
          <cell r="E1032" t="str">
            <v>Hydraclean Ltd</v>
          </cell>
          <cell r="F1032" t="str">
            <v>Subcontractor</v>
          </cell>
          <cell r="G1032" t="str">
            <v/>
          </cell>
          <cell r="H1032" t="str">
            <v/>
          </cell>
          <cell r="I1032" t="str">
            <v/>
          </cell>
          <cell r="J1032">
            <v>100</v>
          </cell>
          <cell r="K1032">
            <v>20</v>
          </cell>
          <cell r="L1032">
            <v>0</v>
          </cell>
          <cell r="M1032" t="str">
            <v/>
          </cell>
          <cell r="N1032">
            <v>100</v>
          </cell>
        </row>
        <row r="1033">
          <cell r="A1033">
            <v>18014</v>
          </cell>
          <cell r="B1033" t="str">
            <v>07/01/2020</v>
          </cell>
          <cell r="C1033" t="str">
            <v>SERVICE</v>
          </cell>
          <cell r="D1033" t="str">
            <v>2 year schematic update</v>
          </cell>
          <cell r="E1033" t="str">
            <v>Hydraclean Ltd</v>
          </cell>
          <cell r="F1033" t="str">
            <v>Subcontractor</v>
          </cell>
          <cell r="G1033" t="str">
            <v/>
          </cell>
          <cell r="H1033" t="str">
            <v/>
          </cell>
          <cell r="I1033" t="str">
            <v/>
          </cell>
          <cell r="J1033">
            <v>80</v>
          </cell>
          <cell r="K1033">
            <v>16</v>
          </cell>
          <cell r="L1033">
            <v>0</v>
          </cell>
          <cell r="M1033" t="str">
            <v/>
          </cell>
          <cell r="N1033">
            <v>80</v>
          </cell>
        </row>
        <row r="1034">
          <cell r="A1034">
            <v>18013</v>
          </cell>
          <cell r="B1034" t="str">
            <v>07/01/2020</v>
          </cell>
          <cell r="C1034" t="str">
            <v>CALLOUT</v>
          </cell>
          <cell r="D1034" t="str">
            <v>car park lights staying on during the dat</v>
          </cell>
          <cell r="E1034" t="str">
            <v>Barrie Beard Ltd</v>
          </cell>
          <cell r="F1034" t="str">
            <v>Subcontractor</v>
          </cell>
          <cell r="G1034" t="str">
            <v/>
          </cell>
          <cell r="H1034" t="str">
            <v>Part</v>
          </cell>
          <cell r="I1034" t="str">
            <v/>
          </cell>
          <cell r="J1034">
            <v>175</v>
          </cell>
          <cell r="K1034">
            <v>35</v>
          </cell>
          <cell r="L1034">
            <v>175</v>
          </cell>
          <cell r="M1034" t="str">
            <v/>
          </cell>
          <cell r="N1034">
            <v>0</v>
          </cell>
        </row>
        <row r="1035">
          <cell r="A1035">
            <v>18272</v>
          </cell>
          <cell r="B1035" t="str">
            <v>06/01/2020</v>
          </cell>
          <cell r="C1035" t="str">
            <v>C1662</v>
          </cell>
          <cell r="D1035" t="str">
            <v>Steelwork 1B</v>
          </cell>
          <cell r="E1035" t="str">
            <v>JTC Ductwork Solutions Limited</v>
          </cell>
          <cell r="F1035" t="str">
            <v>Subcontractor</v>
          </cell>
          <cell r="G1035" t="str">
            <v/>
          </cell>
          <cell r="H1035" t="str">
            <v/>
          </cell>
          <cell r="I1035" t="str">
            <v/>
          </cell>
          <cell r="J1035">
            <v>1500</v>
          </cell>
          <cell r="K1035">
            <v>300</v>
          </cell>
          <cell r="L1035">
            <v>1500</v>
          </cell>
          <cell r="M1035" t="str">
            <v/>
          </cell>
          <cell r="N1035">
            <v>0</v>
          </cell>
        </row>
        <row r="1036">
          <cell r="A1036">
            <v>18271</v>
          </cell>
          <cell r="B1036" t="str">
            <v>06/01/2020</v>
          </cell>
          <cell r="C1036" t="str">
            <v>C1662</v>
          </cell>
          <cell r="D1036" t="str">
            <v>Steelwork 1A</v>
          </cell>
          <cell r="E1036" t="str">
            <v>JTC Ductwork Solutions Limited</v>
          </cell>
          <cell r="F1036" t="str">
            <v>Subcontractor</v>
          </cell>
          <cell r="G1036" t="str">
            <v/>
          </cell>
          <cell r="H1036" t="str">
            <v/>
          </cell>
          <cell r="I1036" t="str">
            <v/>
          </cell>
          <cell r="J1036">
            <v>5000</v>
          </cell>
          <cell r="K1036">
            <v>1000</v>
          </cell>
          <cell r="L1036">
            <v>5000</v>
          </cell>
          <cell r="M1036" t="str">
            <v/>
          </cell>
          <cell r="N1036">
            <v>0</v>
          </cell>
        </row>
        <row r="1037">
          <cell r="A1037">
            <v>18001</v>
          </cell>
          <cell r="B1037" t="str">
            <v>03/01/2020</v>
          </cell>
          <cell r="C1037" t="str">
            <v>CALLOUT</v>
          </cell>
          <cell r="D1037" t="str">
            <v>light switch faulty</v>
          </cell>
          <cell r="E1037" t="str">
            <v>Key Integrated Services North West Ltd</v>
          </cell>
          <cell r="F1037" t="str">
            <v>Subcontractor</v>
          </cell>
          <cell r="G1037" t="str">
            <v/>
          </cell>
          <cell r="H1037" t="str">
            <v>Part</v>
          </cell>
          <cell r="I1037" t="str">
            <v/>
          </cell>
          <cell r="J1037">
            <v>139.56</v>
          </cell>
          <cell r="K1037">
            <v>27.91</v>
          </cell>
          <cell r="L1037">
            <v>139.56</v>
          </cell>
          <cell r="M1037" t="str">
            <v/>
          </cell>
          <cell r="N1037">
            <v>0</v>
          </cell>
        </row>
        <row r="1038">
          <cell r="A1038">
            <v>18000</v>
          </cell>
          <cell r="B1038" t="str">
            <v>03/01/2020</v>
          </cell>
          <cell r="C1038" t="str">
            <v>CALLOUT</v>
          </cell>
          <cell r="D1038" t="str">
            <v>light tubes to be removed/fitted in various locations</v>
          </cell>
          <cell r="E1038" t="str">
            <v>Key Integrated Services North West Ltd</v>
          </cell>
          <cell r="F1038" t="str">
            <v>Subcontractor</v>
          </cell>
          <cell r="G1038" t="str">
            <v/>
          </cell>
          <cell r="H1038" t="str">
            <v>Part</v>
          </cell>
          <cell r="I1038" t="str">
            <v/>
          </cell>
          <cell r="J1038">
            <v>100</v>
          </cell>
          <cell r="K1038">
            <v>20</v>
          </cell>
          <cell r="L1038">
            <v>100</v>
          </cell>
          <cell r="M1038" t="str">
            <v/>
          </cell>
          <cell r="N1038">
            <v>0</v>
          </cell>
        </row>
        <row r="1039">
          <cell r="A1039">
            <v>17989</v>
          </cell>
          <cell r="B1039" t="str">
            <v>19/12/2019</v>
          </cell>
          <cell r="C1039" t="str">
            <v>SERVICE</v>
          </cell>
          <cell r="D1039" t="str">
            <v>fire detection maintenance Jan + July 2020</v>
          </cell>
          <cell r="E1039" t="str">
            <v>Marlowe Fire &amp; Security Limited</v>
          </cell>
          <cell r="F1039" t="str">
            <v>Subcontractor</v>
          </cell>
          <cell r="G1039" t="str">
            <v/>
          </cell>
          <cell r="H1039" t="str">
            <v/>
          </cell>
          <cell r="I1039" t="str">
            <v/>
          </cell>
          <cell r="J1039">
            <v>172.99</v>
          </cell>
          <cell r="K1039">
            <v>34.6</v>
          </cell>
          <cell r="L1039">
            <v>93.49</v>
          </cell>
          <cell r="M1039" t="str">
            <v/>
          </cell>
          <cell r="N1039">
            <v>79.5</v>
          </cell>
        </row>
        <row r="1040">
          <cell r="A1040">
            <v>17988</v>
          </cell>
          <cell r="B1040" t="str">
            <v>19/12/2019</v>
          </cell>
          <cell r="C1040" t="str">
            <v>SERVICE</v>
          </cell>
          <cell r="D1040" t="str">
            <v>Fire detection maintenance Jan + July 2020</v>
          </cell>
          <cell r="E1040" t="str">
            <v>Marlowe Fire &amp; Security Limited</v>
          </cell>
          <cell r="F1040" t="str">
            <v>Subcontractor</v>
          </cell>
          <cell r="G1040" t="str">
            <v/>
          </cell>
          <cell r="H1040" t="str">
            <v/>
          </cell>
          <cell r="I1040" t="str">
            <v/>
          </cell>
          <cell r="J1040">
            <v>204.48</v>
          </cell>
          <cell r="K1040">
            <v>40.9</v>
          </cell>
          <cell r="L1040">
            <v>204.48</v>
          </cell>
          <cell r="M1040" t="str">
            <v/>
          </cell>
          <cell r="N1040">
            <v>0</v>
          </cell>
        </row>
        <row r="1041">
          <cell r="A1041">
            <v>17987</v>
          </cell>
          <cell r="B1041" t="str">
            <v>19/12/2019</v>
          </cell>
          <cell r="C1041" t="str">
            <v>SERVICE</v>
          </cell>
          <cell r="D1041" t="str">
            <v>Fire detection maintenance Jan + July 2020</v>
          </cell>
          <cell r="E1041" t="str">
            <v>Marlowe Fire &amp; Security Limited</v>
          </cell>
          <cell r="F1041" t="str">
            <v>Subcontractor</v>
          </cell>
          <cell r="G1041" t="str">
            <v/>
          </cell>
          <cell r="H1041" t="str">
            <v/>
          </cell>
          <cell r="I1041" t="str">
            <v/>
          </cell>
          <cell r="J1041">
            <v>172.98</v>
          </cell>
          <cell r="K1041">
            <v>34.6</v>
          </cell>
          <cell r="L1041">
            <v>172.98</v>
          </cell>
          <cell r="M1041" t="str">
            <v/>
          </cell>
          <cell r="N1041">
            <v>0</v>
          </cell>
        </row>
        <row r="1042">
          <cell r="A1042">
            <v>17986</v>
          </cell>
          <cell r="B1042" t="str">
            <v>19/12/2019</v>
          </cell>
          <cell r="C1042" t="str">
            <v>SERVICE</v>
          </cell>
          <cell r="D1042" t="str">
            <v>fire detection maintenance Jan + July 2020</v>
          </cell>
          <cell r="E1042" t="str">
            <v>Marlowe Fire &amp; Security Limited</v>
          </cell>
          <cell r="F1042" t="str">
            <v>Subcontractor</v>
          </cell>
          <cell r="G1042" t="str">
            <v/>
          </cell>
          <cell r="H1042" t="str">
            <v/>
          </cell>
          <cell r="I1042" t="str">
            <v/>
          </cell>
          <cell r="J1042">
            <v>171.5</v>
          </cell>
          <cell r="K1042">
            <v>34.299999999999997</v>
          </cell>
          <cell r="L1042">
            <v>98</v>
          </cell>
          <cell r="M1042" t="str">
            <v/>
          </cell>
          <cell r="N1042">
            <v>73.5</v>
          </cell>
        </row>
        <row r="1043">
          <cell r="A1043">
            <v>17985</v>
          </cell>
          <cell r="B1043" t="str">
            <v>19/12/2019</v>
          </cell>
          <cell r="C1043" t="str">
            <v>SERVICE</v>
          </cell>
          <cell r="D1043" t="str">
            <v>fire detection maintenance Jan + July 2020</v>
          </cell>
          <cell r="E1043" t="str">
            <v>Marlowe Fire &amp; Security Limited</v>
          </cell>
          <cell r="F1043" t="str">
            <v>Subcontractor</v>
          </cell>
          <cell r="G1043" t="str">
            <v/>
          </cell>
          <cell r="H1043" t="str">
            <v/>
          </cell>
          <cell r="I1043" t="str">
            <v/>
          </cell>
          <cell r="J1043">
            <v>178.5</v>
          </cell>
          <cell r="K1043">
            <v>35.700000000000003</v>
          </cell>
          <cell r="L1043">
            <v>178.5</v>
          </cell>
          <cell r="M1043" t="str">
            <v/>
          </cell>
          <cell r="N1043">
            <v>0</v>
          </cell>
        </row>
        <row r="1044">
          <cell r="A1044">
            <v>17984</v>
          </cell>
          <cell r="B1044" t="str">
            <v>19/12/2019</v>
          </cell>
          <cell r="C1044" t="str">
            <v>SERVICE</v>
          </cell>
          <cell r="D1044" t="str">
            <v>Fire detection maintenance Jan + July 2020</v>
          </cell>
          <cell r="E1044" t="str">
            <v>Marlowe Fire &amp; Security Limited</v>
          </cell>
          <cell r="F1044" t="str">
            <v>Subcontractor</v>
          </cell>
          <cell r="G1044" t="str">
            <v/>
          </cell>
          <cell r="H1044" t="str">
            <v/>
          </cell>
          <cell r="I1044" t="str">
            <v/>
          </cell>
          <cell r="J1044">
            <v>194</v>
          </cell>
          <cell r="K1044">
            <v>38.799999999999997</v>
          </cell>
          <cell r="L1044">
            <v>100.5</v>
          </cell>
          <cell r="M1044" t="str">
            <v/>
          </cell>
          <cell r="N1044">
            <v>93.5</v>
          </cell>
        </row>
        <row r="1045">
          <cell r="A1045">
            <v>17983</v>
          </cell>
          <cell r="B1045" t="str">
            <v>19/12/2019</v>
          </cell>
          <cell r="C1045" t="str">
            <v>SERVICE</v>
          </cell>
          <cell r="D1045" t="str">
            <v>Fire detection maintenance to be carried out Jan and July 20</v>
          </cell>
          <cell r="E1045" t="str">
            <v>Marlowe Fire &amp; Security Limited</v>
          </cell>
          <cell r="F1045" t="str">
            <v>Subcontractor</v>
          </cell>
          <cell r="G1045" t="str">
            <v/>
          </cell>
          <cell r="H1045" t="str">
            <v>Part</v>
          </cell>
          <cell r="I1045" t="str">
            <v/>
          </cell>
          <cell r="J1045">
            <v>204.5</v>
          </cell>
          <cell r="K1045">
            <v>40.9</v>
          </cell>
          <cell r="L1045">
            <v>204.5</v>
          </cell>
          <cell r="M1045" t="str">
            <v/>
          </cell>
          <cell r="N1045">
            <v>0</v>
          </cell>
        </row>
        <row r="1046">
          <cell r="A1046">
            <v>17982</v>
          </cell>
          <cell r="B1046" t="str">
            <v>19/12/2019</v>
          </cell>
          <cell r="C1046" t="str">
            <v>SERVICE</v>
          </cell>
          <cell r="D1046" t="str">
            <v>Comprehensive Maintenance agreement 6 visit per annum</v>
          </cell>
          <cell r="E1046" t="str">
            <v>Ansa Elevators Limited</v>
          </cell>
          <cell r="F1046" t="str">
            <v>Subcontractor</v>
          </cell>
          <cell r="G1046" t="str">
            <v/>
          </cell>
          <cell r="H1046" t="str">
            <v/>
          </cell>
          <cell r="I1046" t="str">
            <v/>
          </cell>
          <cell r="J1046">
            <v>1560</v>
          </cell>
          <cell r="K1046">
            <v>312</v>
          </cell>
          <cell r="L1046">
            <v>1560</v>
          </cell>
          <cell r="M1046" t="str">
            <v/>
          </cell>
          <cell r="N1046">
            <v>0</v>
          </cell>
        </row>
        <row r="1047">
          <cell r="A1047">
            <v>17981</v>
          </cell>
          <cell r="B1047" t="str">
            <v>19/12/2019</v>
          </cell>
          <cell r="C1047" t="str">
            <v>SERVICE</v>
          </cell>
          <cell r="D1047" t="str">
            <v>Comprehensive Maintenance Agreement 6visit per annum</v>
          </cell>
          <cell r="E1047" t="str">
            <v>Ansa Elevators Limited</v>
          </cell>
          <cell r="F1047" t="str">
            <v>Subcontractor</v>
          </cell>
          <cell r="G1047" t="str">
            <v/>
          </cell>
          <cell r="H1047" t="str">
            <v>Part</v>
          </cell>
          <cell r="I1047" t="str">
            <v/>
          </cell>
          <cell r="J1047">
            <v>780</v>
          </cell>
          <cell r="K1047">
            <v>156</v>
          </cell>
          <cell r="L1047">
            <v>520</v>
          </cell>
          <cell r="M1047" t="str">
            <v/>
          </cell>
          <cell r="N1047">
            <v>260</v>
          </cell>
        </row>
        <row r="1048">
          <cell r="A1048">
            <v>17980</v>
          </cell>
          <cell r="B1048" t="str">
            <v>19/12/2019</v>
          </cell>
          <cell r="C1048" t="str">
            <v>SERVICE</v>
          </cell>
          <cell r="D1048" t="str">
            <v>Comprenhensive Maintenance agreement 6 visits per annum</v>
          </cell>
          <cell r="E1048" t="str">
            <v>Ansa Elevators Limited</v>
          </cell>
          <cell r="F1048" t="str">
            <v>Subcontractor</v>
          </cell>
          <cell r="G1048" t="str">
            <v/>
          </cell>
          <cell r="H1048" t="str">
            <v>Part</v>
          </cell>
          <cell r="I1048" t="str">
            <v/>
          </cell>
          <cell r="J1048">
            <v>780</v>
          </cell>
          <cell r="K1048">
            <v>156</v>
          </cell>
          <cell r="L1048">
            <v>644.22</v>
          </cell>
          <cell r="M1048" t="str">
            <v/>
          </cell>
          <cell r="N1048">
            <v>135.78</v>
          </cell>
        </row>
        <row r="1049">
          <cell r="A1049">
            <v>17976</v>
          </cell>
          <cell r="B1049" t="str">
            <v>18/12/2019</v>
          </cell>
          <cell r="C1049" t="str">
            <v>CALLOUT</v>
          </cell>
          <cell r="D1049" t="str">
            <v>Replace bulkhead in lobeel follwing NO EML</v>
          </cell>
          <cell r="E1049" t="str">
            <v>Key Integrated Services North West Ltd</v>
          </cell>
          <cell r="F1049" t="str">
            <v>Subcontractor</v>
          </cell>
          <cell r="G1049" t="str">
            <v/>
          </cell>
          <cell r="H1049" t="str">
            <v/>
          </cell>
          <cell r="I1049" t="str">
            <v/>
          </cell>
          <cell r="J1049">
            <v>107.86</v>
          </cell>
          <cell r="K1049">
            <v>21.57</v>
          </cell>
          <cell r="L1049">
            <v>107.86</v>
          </cell>
          <cell r="M1049" t="str">
            <v/>
          </cell>
          <cell r="N1049">
            <v>0</v>
          </cell>
        </row>
        <row r="1050">
          <cell r="A1050">
            <v>17973</v>
          </cell>
          <cell r="B1050" t="str">
            <v>18/12/2019</v>
          </cell>
          <cell r="C1050" t="str">
            <v>SERVICE</v>
          </cell>
          <cell r="D1050" t="str">
            <v>Interim \service due March 2020</v>
          </cell>
          <cell r="E1050" t="str">
            <v>Woodlands Generators</v>
          </cell>
          <cell r="F1050" t="str">
            <v>Subcontractor</v>
          </cell>
          <cell r="G1050" t="str">
            <v/>
          </cell>
          <cell r="H1050" t="str">
            <v>Complete</v>
          </cell>
          <cell r="I1050" t="str">
            <v/>
          </cell>
          <cell r="J1050">
            <v>0</v>
          </cell>
          <cell r="K1050">
            <v>0</v>
          </cell>
          <cell r="L1050">
            <v>0</v>
          </cell>
          <cell r="M1050" t="str">
            <v/>
          </cell>
          <cell r="N1050">
            <v>0</v>
          </cell>
        </row>
        <row r="1051">
          <cell r="A1051">
            <v>17971</v>
          </cell>
          <cell r="B1051" t="str">
            <v>17/12/2019</v>
          </cell>
          <cell r="C1051" t="str">
            <v>QUOTED</v>
          </cell>
          <cell r="D1051" t="str">
            <v>install additional socket as per quote</v>
          </cell>
          <cell r="E1051" t="str">
            <v>Barrie Beard Ltd</v>
          </cell>
          <cell r="F1051" t="str">
            <v>Subcontractor</v>
          </cell>
          <cell r="G1051" t="str">
            <v/>
          </cell>
          <cell r="H1051" t="str">
            <v/>
          </cell>
          <cell r="I1051" t="str">
            <v/>
          </cell>
          <cell r="J1051">
            <v>875</v>
          </cell>
          <cell r="K1051">
            <v>175</v>
          </cell>
          <cell r="L1051">
            <v>875</v>
          </cell>
          <cell r="M1051" t="str">
            <v/>
          </cell>
          <cell r="N1051">
            <v>0</v>
          </cell>
        </row>
        <row r="1052">
          <cell r="A1052">
            <v>17967</v>
          </cell>
          <cell r="B1052" t="str">
            <v>17/12/2019</v>
          </cell>
          <cell r="C1052" t="str">
            <v>C1654</v>
          </cell>
          <cell r="D1052" t="str">
            <v>BMS controls &amp; electrical Installation as per quote ref: P39</v>
          </cell>
          <cell r="E1052" t="str">
            <v>Nyke Energy Services Ltd</v>
          </cell>
          <cell r="F1052" t="str">
            <v>Subcontractor</v>
          </cell>
          <cell r="G1052" t="str">
            <v>06/01/2020</v>
          </cell>
          <cell r="H1052" t="str">
            <v>Part</v>
          </cell>
          <cell r="I1052" t="str">
            <v/>
          </cell>
          <cell r="J1052">
            <v>21041.5</v>
          </cell>
          <cell r="K1052">
            <v>4208.3</v>
          </cell>
          <cell r="L1052">
            <v>21545.040000000001</v>
          </cell>
          <cell r="M1052" t="str">
            <v/>
          </cell>
          <cell r="N1052">
            <v>-503.54</v>
          </cell>
        </row>
        <row r="1053">
          <cell r="A1053">
            <v>17959</v>
          </cell>
          <cell r="B1053" t="str">
            <v>17/12/2019</v>
          </cell>
          <cell r="C1053" t="str">
            <v>QUOTED</v>
          </cell>
          <cell r="D1053" t="str">
            <v>Replace EML keyswitches as per quote</v>
          </cell>
          <cell r="E1053" t="str">
            <v>Barrie Beard Ltd</v>
          </cell>
          <cell r="F1053" t="str">
            <v>Subcontractor</v>
          </cell>
          <cell r="G1053" t="str">
            <v/>
          </cell>
          <cell r="H1053" t="str">
            <v/>
          </cell>
          <cell r="I1053" t="str">
            <v/>
          </cell>
          <cell r="J1053">
            <v>740.55</v>
          </cell>
          <cell r="K1053">
            <v>148.11000000000001</v>
          </cell>
          <cell r="L1053">
            <v>740.55</v>
          </cell>
          <cell r="M1053" t="str">
            <v/>
          </cell>
          <cell r="N1053">
            <v>0</v>
          </cell>
        </row>
        <row r="1054">
          <cell r="A1054">
            <v>17942</v>
          </cell>
          <cell r="B1054" t="str">
            <v>12/12/2019</v>
          </cell>
          <cell r="C1054" t="str">
            <v>CALLOUT</v>
          </cell>
          <cell r="D1054" t="str">
            <v>3 x optical sounders</v>
          </cell>
          <cell r="E1054" t="str">
            <v>Hoyles Fire + Safety Ltd</v>
          </cell>
          <cell r="F1054" t="str">
            <v>Subcontractor</v>
          </cell>
          <cell r="G1054" t="str">
            <v/>
          </cell>
          <cell r="H1054" t="str">
            <v/>
          </cell>
          <cell r="I1054" t="str">
            <v/>
          </cell>
          <cell r="J1054">
            <v>322.75</v>
          </cell>
          <cell r="K1054">
            <v>64.55</v>
          </cell>
          <cell r="L1054">
            <v>322.75</v>
          </cell>
          <cell r="M1054" t="str">
            <v/>
          </cell>
          <cell r="N1054">
            <v>0</v>
          </cell>
        </row>
        <row r="1055">
          <cell r="A1055">
            <v>17931</v>
          </cell>
          <cell r="B1055" t="str">
            <v>10/12/2019</v>
          </cell>
          <cell r="C1055" t="str">
            <v>CALLOUT</v>
          </cell>
          <cell r="D1055" t="str">
            <v>faire alarm fault and isolate a zonw for function</v>
          </cell>
          <cell r="E1055" t="str">
            <v>Marlowe Fire &amp; Security Limited</v>
          </cell>
          <cell r="F1055" t="str">
            <v>Subcontractor</v>
          </cell>
          <cell r="G1055" t="str">
            <v/>
          </cell>
          <cell r="H1055" t="str">
            <v/>
          </cell>
          <cell r="I1055" t="str">
            <v/>
          </cell>
          <cell r="J1055">
            <v>140</v>
          </cell>
          <cell r="K1055">
            <v>28</v>
          </cell>
          <cell r="L1055">
            <v>140</v>
          </cell>
          <cell r="M1055" t="str">
            <v/>
          </cell>
          <cell r="N1055">
            <v>0</v>
          </cell>
        </row>
        <row r="1056">
          <cell r="A1056">
            <v>17927</v>
          </cell>
          <cell r="B1056" t="str">
            <v>09/12/2019</v>
          </cell>
          <cell r="C1056" t="str">
            <v>C1582</v>
          </cell>
          <cell r="D1056" t="str">
            <v>Installation of HRU and ductwork. Finish off Fire Rated duct</v>
          </cell>
          <cell r="E1056" t="str">
            <v>JTC Ductwork Solutions Limited</v>
          </cell>
          <cell r="F1056" t="str">
            <v>Subcontractor</v>
          </cell>
          <cell r="G1056" t="str">
            <v>16/12/2019</v>
          </cell>
          <cell r="H1056" t="str">
            <v/>
          </cell>
          <cell r="I1056" t="str">
            <v/>
          </cell>
          <cell r="J1056">
            <v>6465.5</v>
          </cell>
          <cell r="K1056">
            <v>1293.0999999999999</v>
          </cell>
          <cell r="L1056">
            <v>6465.5</v>
          </cell>
          <cell r="M1056" t="str">
            <v/>
          </cell>
          <cell r="N1056">
            <v>0</v>
          </cell>
        </row>
        <row r="1057">
          <cell r="A1057">
            <v>17923</v>
          </cell>
          <cell r="B1057" t="str">
            <v>09/12/2019</v>
          </cell>
          <cell r="C1057" t="str">
            <v>CALLOUT</v>
          </cell>
          <cell r="D1057" t="str">
            <v>Exteral lights out at rear of building</v>
          </cell>
          <cell r="E1057" t="str">
            <v>Barrie Beard Ltd</v>
          </cell>
          <cell r="F1057" t="str">
            <v>Subcontractor</v>
          </cell>
          <cell r="G1057" t="str">
            <v/>
          </cell>
          <cell r="H1057" t="str">
            <v>Part</v>
          </cell>
          <cell r="I1057" t="str">
            <v/>
          </cell>
          <cell r="J1057">
            <v>130</v>
          </cell>
          <cell r="K1057">
            <v>26</v>
          </cell>
          <cell r="L1057">
            <v>0</v>
          </cell>
          <cell r="M1057" t="str">
            <v/>
          </cell>
          <cell r="N1057">
            <v>130</v>
          </cell>
        </row>
        <row r="1058">
          <cell r="A1058">
            <v>17920</v>
          </cell>
          <cell r="B1058" t="str">
            <v>09/12/2019</v>
          </cell>
          <cell r="C1058" t="str">
            <v>CALLOUT</v>
          </cell>
          <cell r="D1058" t="str">
            <v>Attended site toinvestigate issue main disabled door</v>
          </cell>
          <cell r="E1058" t="str">
            <v>Security and Fire Experts Ltd</v>
          </cell>
          <cell r="F1058" t="str">
            <v>Subcontractor</v>
          </cell>
          <cell r="G1058" t="str">
            <v/>
          </cell>
          <cell r="H1058" t="str">
            <v/>
          </cell>
          <cell r="I1058" t="str">
            <v/>
          </cell>
          <cell r="J1058">
            <v>113.75</v>
          </cell>
          <cell r="K1058">
            <v>22.75</v>
          </cell>
          <cell r="L1058">
            <v>113.75</v>
          </cell>
          <cell r="M1058" t="str">
            <v/>
          </cell>
          <cell r="N1058">
            <v>0</v>
          </cell>
        </row>
        <row r="1059">
          <cell r="A1059">
            <v>17919</v>
          </cell>
          <cell r="B1059" t="str">
            <v>09/12/2019</v>
          </cell>
          <cell r="C1059" t="str">
            <v>C1604</v>
          </cell>
          <cell r="D1059" t="str">
            <v>CCTV Cabling</v>
          </cell>
          <cell r="E1059" t="str">
            <v>Key Integrated Services (Electrical) Ltd</v>
          </cell>
          <cell r="F1059" t="str">
            <v>Subcontractor</v>
          </cell>
          <cell r="G1059" t="str">
            <v/>
          </cell>
          <cell r="H1059" t="str">
            <v/>
          </cell>
          <cell r="I1059" t="str">
            <v/>
          </cell>
          <cell r="J1059">
            <v>44252</v>
          </cell>
          <cell r="K1059">
            <v>8850.4</v>
          </cell>
          <cell r="L1059">
            <v>44252</v>
          </cell>
          <cell r="M1059" t="str">
            <v/>
          </cell>
          <cell r="N1059">
            <v>0</v>
          </cell>
        </row>
        <row r="1060">
          <cell r="A1060">
            <v>17918</v>
          </cell>
          <cell r="B1060" t="str">
            <v>09/12/2019</v>
          </cell>
          <cell r="C1060" t="str">
            <v>C1604</v>
          </cell>
          <cell r="D1060" t="str">
            <v>RCD unit tripping front offices</v>
          </cell>
          <cell r="E1060" t="str">
            <v>Key Integrated Services (Electrical) Ltd</v>
          </cell>
          <cell r="F1060" t="str">
            <v>Subcontractor</v>
          </cell>
          <cell r="G1060" t="str">
            <v/>
          </cell>
          <cell r="H1060" t="str">
            <v>Complete</v>
          </cell>
          <cell r="I1060" t="str">
            <v/>
          </cell>
          <cell r="J1060">
            <v>0</v>
          </cell>
          <cell r="K1060">
            <v>0</v>
          </cell>
          <cell r="L1060">
            <v>0</v>
          </cell>
          <cell r="M1060" t="str">
            <v/>
          </cell>
          <cell r="N1060">
            <v>0</v>
          </cell>
        </row>
        <row r="1061">
          <cell r="A1061">
            <v>17917</v>
          </cell>
          <cell r="B1061" t="str">
            <v>09/12/2019</v>
          </cell>
          <cell r="C1061" t="str">
            <v>C1604</v>
          </cell>
          <cell r="D1061" t="str">
            <v>Server room DB</v>
          </cell>
          <cell r="E1061" t="str">
            <v>Key Integrated Services (Electrical) Ltd</v>
          </cell>
          <cell r="F1061" t="str">
            <v>Subcontractor</v>
          </cell>
          <cell r="G1061" t="str">
            <v/>
          </cell>
          <cell r="H1061" t="str">
            <v/>
          </cell>
          <cell r="I1061" t="str">
            <v/>
          </cell>
          <cell r="J1061">
            <v>1418</v>
          </cell>
          <cell r="K1061">
            <v>283.60000000000002</v>
          </cell>
          <cell r="L1061">
            <v>1443.5</v>
          </cell>
          <cell r="M1061" t="str">
            <v/>
          </cell>
          <cell r="N1061">
            <v>-25.5</v>
          </cell>
        </row>
        <row r="1062">
          <cell r="A1062">
            <v>17908</v>
          </cell>
          <cell r="B1062" t="str">
            <v>06/12/2019</v>
          </cell>
          <cell r="C1062" t="str">
            <v>SERVICE</v>
          </cell>
          <cell r="D1062" t="str">
            <v>AC maintenance</v>
          </cell>
          <cell r="E1062" t="str">
            <v>Commercial Temperature Solutions</v>
          </cell>
          <cell r="F1062" t="str">
            <v>Subcontractor</v>
          </cell>
          <cell r="G1062" t="str">
            <v/>
          </cell>
          <cell r="H1062" t="str">
            <v/>
          </cell>
          <cell r="I1062" t="str">
            <v/>
          </cell>
          <cell r="J1062">
            <v>150</v>
          </cell>
          <cell r="K1062">
            <v>30</v>
          </cell>
          <cell r="L1062">
            <v>125</v>
          </cell>
          <cell r="M1062" t="str">
            <v/>
          </cell>
          <cell r="N1062">
            <v>25</v>
          </cell>
        </row>
        <row r="1063">
          <cell r="A1063">
            <v>17907</v>
          </cell>
          <cell r="B1063" t="str">
            <v>06/12/2019</v>
          </cell>
          <cell r="C1063" t="str">
            <v>SERVICE</v>
          </cell>
          <cell r="D1063" t="str">
            <v>L8 monthly Dec 2019</v>
          </cell>
          <cell r="E1063" t="str">
            <v>Commercial Temperature Solutions</v>
          </cell>
          <cell r="F1063" t="str">
            <v>Subcontractor</v>
          </cell>
          <cell r="G1063" t="str">
            <v/>
          </cell>
          <cell r="H1063" t="str">
            <v/>
          </cell>
          <cell r="I1063" t="str">
            <v/>
          </cell>
          <cell r="J1063">
            <v>100</v>
          </cell>
          <cell r="K1063">
            <v>20</v>
          </cell>
          <cell r="L1063">
            <v>0</v>
          </cell>
          <cell r="M1063" t="str">
            <v/>
          </cell>
          <cell r="N1063">
            <v>100</v>
          </cell>
        </row>
        <row r="1064">
          <cell r="A1064">
            <v>17906</v>
          </cell>
          <cell r="B1064" t="str">
            <v>06/12/2019</v>
          </cell>
          <cell r="C1064" t="str">
            <v>SERVICE</v>
          </cell>
          <cell r="D1064" t="str">
            <v>AC Maintenance</v>
          </cell>
          <cell r="E1064" t="str">
            <v>Commercial Temperature Solutions</v>
          </cell>
          <cell r="F1064" t="str">
            <v>Subcontractor</v>
          </cell>
          <cell r="G1064" t="str">
            <v/>
          </cell>
          <cell r="H1064" t="str">
            <v/>
          </cell>
          <cell r="I1064" t="str">
            <v/>
          </cell>
          <cell r="J1064">
            <v>140</v>
          </cell>
          <cell r="K1064">
            <v>28</v>
          </cell>
          <cell r="L1064">
            <v>140</v>
          </cell>
          <cell r="M1064" t="str">
            <v/>
          </cell>
          <cell r="N1064">
            <v>0</v>
          </cell>
        </row>
        <row r="1065">
          <cell r="A1065">
            <v>17905</v>
          </cell>
          <cell r="B1065" t="str">
            <v>06/12/2019</v>
          </cell>
          <cell r="C1065" t="str">
            <v>C1648</v>
          </cell>
          <cell r="D1065" t="str">
            <v/>
          </cell>
          <cell r="E1065" t="str">
            <v>Westside Fabrications Limited</v>
          </cell>
          <cell r="F1065" t="str">
            <v>Subcontractor</v>
          </cell>
          <cell r="G1065" t="str">
            <v>11/12/2019</v>
          </cell>
          <cell r="H1065" t="str">
            <v/>
          </cell>
          <cell r="I1065" t="str">
            <v/>
          </cell>
          <cell r="J1065">
            <v>850</v>
          </cell>
          <cell r="K1065">
            <v>170</v>
          </cell>
          <cell r="L1065">
            <v>850</v>
          </cell>
          <cell r="M1065" t="str">
            <v/>
          </cell>
          <cell r="N1065">
            <v>0</v>
          </cell>
        </row>
        <row r="1066">
          <cell r="A1066">
            <v>17900</v>
          </cell>
          <cell r="B1066" t="str">
            <v>05/12/2019</v>
          </cell>
          <cell r="C1066" t="str">
            <v>C1573</v>
          </cell>
          <cell r="D1066" t="str">
            <v>Water sample costs</v>
          </cell>
          <cell r="E1066" t="str">
            <v>MSB Hygiene Ltd</v>
          </cell>
          <cell r="F1066" t="str">
            <v>Subcontractor</v>
          </cell>
          <cell r="G1066" t="str">
            <v/>
          </cell>
          <cell r="H1066" t="str">
            <v/>
          </cell>
          <cell r="I1066" t="str">
            <v/>
          </cell>
          <cell r="J1066">
            <v>150</v>
          </cell>
          <cell r="K1066">
            <v>30</v>
          </cell>
          <cell r="L1066">
            <v>150</v>
          </cell>
          <cell r="M1066" t="str">
            <v/>
          </cell>
          <cell r="N1066">
            <v>0</v>
          </cell>
        </row>
        <row r="1067">
          <cell r="A1067">
            <v>17899</v>
          </cell>
          <cell r="B1067" t="str">
            <v>05/12/2019</v>
          </cell>
          <cell r="C1067" t="str">
            <v>C1616</v>
          </cell>
          <cell r="D1067" t="str">
            <v>Pipework flushing as Quotation</v>
          </cell>
          <cell r="E1067" t="str">
            <v>MSB Hygiene Ltd</v>
          </cell>
          <cell r="F1067" t="str">
            <v>Subcontractor</v>
          </cell>
          <cell r="G1067" t="str">
            <v>06/12/2019</v>
          </cell>
          <cell r="H1067" t="str">
            <v>Part</v>
          </cell>
          <cell r="I1067" t="str">
            <v/>
          </cell>
          <cell r="J1067">
            <v>1100</v>
          </cell>
          <cell r="K1067">
            <v>220</v>
          </cell>
          <cell r="L1067">
            <v>1100</v>
          </cell>
          <cell r="M1067" t="str">
            <v/>
          </cell>
          <cell r="N1067">
            <v>0</v>
          </cell>
        </row>
        <row r="1068">
          <cell r="A1068">
            <v>17895</v>
          </cell>
          <cell r="B1068" t="str">
            <v>04/12/2019</v>
          </cell>
          <cell r="C1068" t="str">
            <v>CALLOUT</v>
          </cell>
          <cell r="D1068" t="str">
            <v>CAll out 4.12.2019 AC System not Working 1st Floor</v>
          </cell>
          <cell r="E1068" t="str">
            <v>Pole to Pole Climate Control Ltd</v>
          </cell>
          <cell r="F1068" t="str">
            <v>Subcontractor</v>
          </cell>
          <cell r="G1068" t="str">
            <v/>
          </cell>
          <cell r="H1068" t="str">
            <v/>
          </cell>
          <cell r="I1068" t="str">
            <v/>
          </cell>
          <cell r="J1068">
            <v>90</v>
          </cell>
          <cell r="K1068">
            <v>18</v>
          </cell>
          <cell r="L1068">
            <v>90</v>
          </cell>
          <cell r="M1068" t="str">
            <v/>
          </cell>
          <cell r="N1068">
            <v>0</v>
          </cell>
        </row>
        <row r="1069">
          <cell r="A1069">
            <v>17887</v>
          </cell>
          <cell r="B1069" t="str">
            <v>03/12/2019</v>
          </cell>
          <cell r="C1069" t="str">
            <v>CALLOUT</v>
          </cell>
          <cell r="D1069" t="str">
            <v>wooden doors need attention</v>
          </cell>
          <cell r="E1069" t="str">
            <v>Derek Austin Heating Limited</v>
          </cell>
          <cell r="F1069" t="str">
            <v>Subcontractor</v>
          </cell>
          <cell r="G1069" t="str">
            <v/>
          </cell>
          <cell r="H1069" t="str">
            <v>Part</v>
          </cell>
          <cell r="I1069" t="str">
            <v/>
          </cell>
          <cell r="J1069">
            <v>90</v>
          </cell>
          <cell r="K1069">
            <v>18</v>
          </cell>
          <cell r="L1069">
            <v>90</v>
          </cell>
          <cell r="M1069" t="str">
            <v/>
          </cell>
          <cell r="N1069">
            <v>0</v>
          </cell>
        </row>
        <row r="1070">
          <cell r="A1070">
            <v>17886</v>
          </cell>
          <cell r="B1070" t="str">
            <v>03/12/2019</v>
          </cell>
          <cell r="C1070" t="str">
            <v>CALLOUT</v>
          </cell>
          <cell r="D1070" t="str">
            <v>ac showing ewrror message</v>
          </cell>
          <cell r="E1070" t="str">
            <v>Pole to Pole Climate Control Ltd</v>
          </cell>
          <cell r="F1070" t="str">
            <v>Subcontractor</v>
          </cell>
          <cell r="G1070" t="str">
            <v/>
          </cell>
          <cell r="H1070" t="str">
            <v>Complete</v>
          </cell>
          <cell r="I1070" t="str">
            <v/>
          </cell>
          <cell r="J1070">
            <v>0</v>
          </cell>
          <cell r="K1070">
            <v>0</v>
          </cell>
          <cell r="L1070">
            <v>0</v>
          </cell>
          <cell r="M1070" t="str">
            <v/>
          </cell>
          <cell r="N1070">
            <v>0</v>
          </cell>
        </row>
        <row r="1071">
          <cell r="A1071">
            <v>17885</v>
          </cell>
          <cell r="B1071" t="str">
            <v>03/12/2019</v>
          </cell>
          <cell r="C1071" t="str">
            <v>CALLOUT</v>
          </cell>
          <cell r="D1071" t="str">
            <v>sckt for xmas tree quote</v>
          </cell>
          <cell r="E1071" t="str">
            <v>Barrie Beard Ltd</v>
          </cell>
          <cell r="F1071" t="str">
            <v>Subcontractor</v>
          </cell>
          <cell r="G1071" t="str">
            <v/>
          </cell>
          <cell r="H1071" t="str">
            <v>Part</v>
          </cell>
          <cell r="I1071" t="str">
            <v/>
          </cell>
          <cell r="J1071">
            <v>135</v>
          </cell>
          <cell r="K1071">
            <v>27</v>
          </cell>
          <cell r="L1071">
            <v>135</v>
          </cell>
          <cell r="M1071" t="str">
            <v/>
          </cell>
          <cell r="N1071">
            <v>0</v>
          </cell>
        </row>
        <row r="1072">
          <cell r="A1072">
            <v>17883</v>
          </cell>
          <cell r="B1072" t="str">
            <v>03/12/2019</v>
          </cell>
          <cell r="C1072" t="str">
            <v>C1480</v>
          </cell>
          <cell r="D1072" t="str">
            <v>Possible design checks</v>
          </cell>
          <cell r="E1072" t="str">
            <v>Couch Perry &amp; Wilkes Environmental LLP</v>
          </cell>
          <cell r="F1072" t="str">
            <v>Subcontractor</v>
          </cell>
          <cell r="G1072" t="str">
            <v/>
          </cell>
          <cell r="H1072" t="str">
            <v/>
          </cell>
          <cell r="I1072" t="str">
            <v/>
          </cell>
          <cell r="J1072">
            <v>5000</v>
          </cell>
          <cell r="K1072">
            <v>1000</v>
          </cell>
          <cell r="L1072">
            <v>0</v>
          </cell>
          <cell r="M1072" t="str">
            <v/>
          </cell>
          <cell r="N1072">
            <v>5000</v>
          </cell>
        </row>
        <row r="1073">
          <cell r="A1073">
            <v>17879</v>
          </cell>
          <cell r="B1073" t="str">
            <v>03/12/2019</v>
          </cell>
          <cell r="C1073" t="str">
            <v>CALLOUT</v>
          </cell>
          <cell r="D1073" t="str">
            <v>disbaled wc on grd floor</v>
          </cell>
          <cell r="E1073" t="str">
            <v>Viabl Ltd T/A Able</v>
          </cell>
          <cell r="F1073" t="str">
            <v>Subcontractor</v>
          </cell>
          <cell r="G1073" t="str">
            <v/>
          </cell>
          <cell r="H1073" t="str">
            <v>Part</v>
          </cell>
          <cell r="I1073" t="str">
            <v/>
          </cell>
          <cell r="J1073">
            <v>135</v>
          </cell>
          <cell r="K1073">
            <v>27</v>
          </cell>
          <cell r="L1073">
            <v>135</v>
          </cell>
          <cell r="M1073" t="str">
            <v/>
          </cell>
          <cell r="N1073">
            <v>0</v>
          </cell>
        </row>
        <row r="1074">
          <cell r="A1074">
            <v>17878</v>
          </cell>
          <cell r="B1074" t="str">
            <v>02/12/2019</v>
          </cell>
          <cell r="C1074" t="str">
            <v>CALLOUT</v>
          </cell>
          <cell r="D1074" t="str">
            <v>emerg lights</v>
          </cell>
          <cell r="E1074" t="str">
            <v>Barrie Beard Ltd</v>
          </cell>
          <cell r="F1074" t="str">
            <v>Subcontractor</v>
          </cell>
          <cell r="G1074" t="str">
            <v/>
          </cell>
          <cell r="H1074" t="str">
            <v/>
          </cell>
          <cell r="I1074" t="str">
            <v/>
          </cell>
          <cell r="J1074">
            <v>70</v>
          </cell>
          <cell r="K1074">
            <v>14</v>
          </cell>
          <cell r="L1074">
            <v>70</v>
          </cell>
          <cell r="M1074" t="str">
            <v/>
          </cell>
          <cell r="N1074">
            <v>0</v>
          </cell>
        </row>
        <row r="1075">
          <cell r="A1075">
            <v>17876</v>
          </cell>
          <cell r="B1075" t="str">
            <v>02/12/2019</v>
          </cell>
          <cell r="C1075" t="str">
            <v>CALLOUT</v>
          </cell>
          <cell r="D1075" t="str">
            <v>no heat from AC</v>
          </cell>
          <cell r="E1075" t="str">
            <v>Pole to Pole Climate Control Ltd</v>
          </cell>
          <cell r="F1075" t="str">
            <v>Subcontractor</v>
          </cell>
          <cell r="G1075" t="str">
            <v/>
          </cell>
          <cell r="H1075" t="str">
            <v>Part</v>
          </cell>
          <cell r="I1075" t="str">
            <v/>
          </cell>
          <cell r="J1075">
            <v>140</v>
          </cell>
          <cell r="K1075">
            <v>28</v>
          </cell>
          <cell r="L1075">
            <v>140</v>
          </cell>
          <cell r="M1075" t="str">
            <v/>
          </cell>
          <cell r="N1075">
            <v>0</v>
          </cell>
        </row>
        <row r="1076">
          <cell r="A1076">
            <v>17871</v>
          </cell>
          <cell r="B1076" t="str">
            <v>29/11/2019</v>
          </cell>
          <cell r="C1076" t="str">
            <v>CALLOUT</v>
          </cell>
          <cell r="D1076" t="str">
            <v>plumber for various jobs</v>
          </cell>
          <cell r="E1076" t="str">
            <v>Viabl Ltd T/A Able</v>
          </cell>
          <cell r="F1076" t="str">
            <v>Subcontractor</v>
          </cell>
          <cell r="G1076" t="str">
            <v/>
          </cell>
          <cell r="H1076" t="str">
            <v>Part</v>
          </cell>
          <cell r="I1076" t="str">
            <v/>
          </cell>
          <cell r="J1076">
            <v>291</v>
          </cell>
          <cell r="K1076">
            <v>58.2</v>
          </cell>
          <cell r="L1076">
            <v>291</v>
          </cell>
          <cell r="M1076" t="str">
            <v/>
          </cell>
          <cell r="N1076">
            <v>0</v>
          </cell>
        </row>
        <row r="1077">
          <cell r="A1077">
            <v>17870</v>
          </cell>
          <cell r="B1077" t="str">
            <v>29/11/2019</v>
          </cell>
          <cell r="C1077" t="str">
            <v>CALLOUT</v>
          </cell>
          <cell r="D1077" t="str">
            <v>Some emergency lights and floods lights not working. Investi</v>
          </cell>
          <cell r="E1077" t="str">
            <v>Key Integrated Services North West Ltd</v>
          </cell>
          <cell r="F1077" t="str">
            <v>Subcontractor</v>
          </cell>
          <cell r="G1077" t="str">
            <v/>
          </cell>
          <cell r="H1077" t="str">
            <v>Part</v>
          </cell>
          <cell r="I1077" t="str">
            <v/>
          </cell>
          <cell r="J1077">
            <v>76.400000000000006</v>
          </cell>
          <cell r="K1077">
            <v>15.28</v>
          </cell>
          <cell r="L1077">
            <v>0</v>
          </cell>
          <cell r="M1077" t="str">
            <v/>
          </cell>
          <cell r="N1077">
            <v>76.400000000000006</v>
          </cell>
        </row>
        <row r="1078">
          <cell r="A1078">
            <v>17869</v>
          </cell>
          <cell r="B1078" t="str">
            <v>29/11/2019</v>
          </cell>
          <cell r="C1078" t="str">
            <v>CALLOUT</v>
          </cell>
          <cell r="D1078" t="str">
            <v>check each individual external light to hopefully correct on</v>
          </cell>
          <cell r="E1078" t="str">
            <v>Key Integrated Services North West Ltd</v>
          </cell>
          <cell r="F1078" t="str">
            <v>Subcontractor</v>
          </cell>
          <cell r="G1078" t="str">
            <v/>
          </cell>
          <cell r="H1078" t="str">
            <v/>
          </cell>
          <cell r="I1078" t="str">
            <v/>
          </cell>
          <cell r="J1078">
            <v>111.76</v>
          </cell>
          <cell r="K1078">
            <v>22.35</v>
          </cell>
          <cell r="L1078">
            <v>111.76</v>
          </cell>
          <cell r="M1078" t="str">
            <v/>
          </cell>
          <cell r="N1078">
            <v>0</v>
          </cell>
        </row>
        <row r="1079">
          <cell r="A1079">
            <v>17853</v>
          </cell>
          <cell r="B1079" t="str">
            <v>26/11/2019</v>
          </cell>
          <cell r="C1079" t="str">
            <v>CALLOUT</v>
          </cell>
          <cell r="D1079" t="str">
            <v>no sounders on fire alarm test</v>
          </cell>
          <cell r="E1079" t="str">
            <v>Abel Alarm Company Limited</v>
          </cell>
          <cell r="F1079" t="str">
            <v>Subcontractor</v>
          </cell>
          <cell r="G1079" t="str">
            <v/>
          </cell>
          <cell r="H1079" t="str">
            <v>Part</v>
          </cell>
          <cell r="I1079" t="str">
            <v/>
          </cell>
          <cell r="J1079">
            <v>103</v>
          </cell>
          <cell r="K1079">
            <v>20.6</v>
          </cell>
          <cell r="L1079">
            <v>103</v>
          </cell>
          <cell r="M1079" t="str">
            <v/>
          </cell>
          <cell r="N1079">
            <v>0</v>
          </cell>
        </row>
        <row r="1080">
          <cell r="A1080">
            <v>17852</v>
          </cell>
          <cell r="B1080" t="str">
            <v>26/11/2019</v>
          </cell>
          <cell r="C1080" t="str">
            <v>CALLOUT</v>
          </cell>
          <cell r="D1080" t="str">
            <v>1st floor gents urinals not lfushing</v>
          </cell>
          <cell r="E1080" t="str">
            <v>Viabl Ltd T/A Able</v>
          </cell>
          <cell r="F1080" t="str">
            <v>Subcontractor</v>
          </cell>
          <cell r="G1080" t="str">
            <v/>
          </cell>
          <cell r="H1080" t="str">
            <v>Part</v>
          </cell>
          <cell r="I1080" t="str">
            <v/>
          </cell>
          <cell r="J1080">
            <v>50</v>
          </cell>
          <cell r="K1080">
            <v>10</v>
          </cell>
          <cell r="L1080">
            <v>50</v>
          </cell>
          <cell r="M1080" t="str">
            <v/>
          </cell>
          <cell r="N1080">
            <v>0</v>
          </cell>
        </row>
        <row r="1081">
          <cell r="A1081">
            <v>17827</v>
          </cell>
          <cell r="B1081" t="str">
            <v>21/11/2019</v>
          </cell>
          <cell r="C1081" t="str">
            <v>C1663</v>
          </cell>
          <cell r="D1081" t="str">
            <v>Installation of all ductwork, first and second fix</v>
          </cell>
          <cell r="E1081" t="str">
            <v>JTC Ductwork Solutions Limited</v>
          </cell>
          <cell r="F1081" t="str">
            <v>Subcontractor</v>
          </cell>
          <cell r="G1081" t="str">
            <v/>
          </cell>
          <cell r="H1081" t="str">
            <v/>
          </cell>
          <cell r="I1081" t="str">
            <v/>
          </cell>
          <cell r="J1081">
            <v>51827</v>
          </cell>
          <cell r="K1081">
            <v>10365.4</v>
          </cell>
          <cell r="L1081">
            <v>68000.509999999995</v>
          </cell>
          <cell r="M1081" t="str">
            <v/>
          </cell>
          <cell r="N1081">
            <v>-16173.51</v>
          </cell>
        </row>
        <row r="1082">
          <cell r="A1082">
            <v>17826</v>
          </cell>
          <cell r="B1082" t="str">
            <v>21/11/2019</v>
          </cell>
          <cell r="C1082" t="str">
            <v>C1662</v>
          </cell>
          <cell r="D1082" t="str">
            <v>Installation of steelwork</v>
          </cell>
          <cell r="E1082" t="str">
            <v>JTC Ductwork Solutions Limited</v>
          </cell>
          <cell r="F1082" t="str">
            <v>Subcontractor</v>
          </cell>
          <cell r="G1082" t="str">
            <v/>
          </cell>
          <cell r="H1082" t="str">
            <v>Complete</v>
          </cell>
          <cell r="I1082" t="str">
            <v/>
          </cell>
          <cell r="J1082">
            <v>0</v>
          </cell>
          <cell r="K1082">
            <v>0</v>
          </cell>
          <cell r="L1082">
            <v>0</v>
          </cell>
          <cell r="M1082" t="str">
            <v/>
          </cell>
          <cell r="N1082">
            <v>0</v>
          </cell>
        </row>
        <row r="1083">
          <cell r="A1083">
            <v>17825</v>
          </cell>
          <cell r="B1083" t="str">
            <v>21/11/2019</v>
          </cell>
          <cell r="C1083" t="str">
            <v>CALLOUT</v>
          </cell>
          <cell r="D1083" t="str">
            <v>disconnect light fttg above desk</v>
          </cell>
          <cell r="E1083" t="str">
            <v>Barrie Beard Ltd</v>
          </cell>
          <cell r="F1083" t="str">
            <v>Subcontractor</v>
          </cell>
          <cell r="G1083" t="str">
            <v/>
          </cell>
          <cell r="H1083" t="str">
            <v>Part</v>
          </cell>
          <cell r="I1083" t="str">
            <v/>
          </cell>
          <cell r="J1083">
            <v>50</v>
          </cell>
          <cell r="K1083">
            <v>10</v>
          </cell>
          <cell r="L1083">
            <v>50</v>
          </cell>
          <cell r="M1083" t="str">
            <v/>
          </cell>
          <cell r="N1083">
            <v>0</v>
          </cell>
        </row>
        <row r="1084">
          <cell r="A1084">
            <v>17822</v>
          </cell>
          <cell r="B1084" t="str">
            <v>21/11/2019</v>
          </cell>
          <cell r="C1084" t="str">
            <v>CALLOUT</v>
          </cell>
          <cell r="D1084" t="str">
            <v>boiler leaking</v>
          </cell>
          <cell r="E1084" t="str">
            <v>Pole to Pole Climate Control Ltd</v>
          </cell>
          <cell r="F1084" t="str">
            <v>Subcontractor</v>
          </cell>
          <cell r="G1084" t="str">
            <v/>
          </cell>
          <cell r="H1084" t="str">
            <v/>
          </cell>
          <cell r="I1084" t="str">
            <v/>
          </cell>
          <cell r="J1084">
            <v>100</v>
          </cell>
          <cell r="K1084">
            <v>20</v>
          </cell>
          <cell r="L1084">
            <v>100</v>
          </cell>
          <cell r="M1084" t="str">
            <v/>
          </cell>
          <cell r="N1084">
            <v>0</v>
          </cell>
        </row>
        <row r="1085">
          <cell r="A1085">
            <v>17820</v>
          </cell>
          <cell r="B1085" t="str">
            <v>21/11/2019</v>
          </cell>
          <cell r="C1085" t="str">
            <v>SERVICE</v>
          </cell>
          <cell r="D1085" t="str">
            <v>L8 jan 2020</v>
          </cell>
          <cell r="E1085" t="str">
            <v>Commercial Temperature Solutions</v>
          </cell>
          <cell r="F1085" t="str">
            <v>Subcontractor</v>
          </cell>
          <cell r="G1085" t="str">
            <v/>
          </cell>
          <cell r="H1085" t="str">
            <v/>
          </cell>
          <cell r="I1085" t="str">
            <v/>
          </cell>
          <cell r="J1085">
            <v>100</v>
          </cell>
          <cell r="K1085">
            <v>20</v>
          </cell>
          <cell r="L1085">
            <v>0</v>
          </cell>
          <cell r="M1085" t="str">
            <v/>
          </cell>
          <cell r="N1085">
            <v>100</v>
          </cell>
        </row>
        <row r="1086">
          <cell r="A1086">
            <v>17819</v>
          </cell>
          <cell r="B1086" t="str">
            <v>21/11/2019</v>
          </cell>
          <cell r="C1086" t="str">
            <v>SERVICE</v>
          </cell>
          <cell r="D1086" t="str">
            <v>L8 for December</v>
          </cell>
          <cell r="E1086" t="str">
            <v>Commercial Temperature Solutions</v>
          </cell>
          <cell r="F1086" t="str">
            <v>Subcontractor</v>
          </cell>
          <cell r="G1086" t="str">
            <v/>
          </cell>
          <cell r="H1086" t="str">
            <v/>
          </cell>
          <cell r="I1086" t="str">
            <v/>
          </cell>
          <cell r="J1086">
            <v>100</v>
          </cell>
          <cell r="K1086">
            <v>20</v>
          </cell>
          <cell r="L1086">
            <v>100</v>
          </cell>
          <cell r="M1086" t="str">
            <v/>
          </cell>
          <cell r="N1086">
            <v>0</v>
          </cell>
        </row>
        <row r="1087">
          <cell r="A1087">
            <v>17818</v>
          </cell>
          <cell r="B1087" t="str">
            <v>21/11/2019</v>
          </cell>
          <cell r="C1087" t="str">
            <v>SERVICE</v>
          </cell>
          <cell r="D1087" t="str">
            <v>L8's for Nov</v>
          </cell>
          <cell r="E1087" t="str">
            <v>Commercial Temperature Solutions</v>
          </cell>
          <cell r="F1087" t="str">
            <v>Subcontractor</v>
          </cell>
          <cell r="G1087" t="str">
            <v/>
          </cell>
          <cell r="H1087" t="str">
            <v/>
          </cell>
          <cell r="I1087" t="str">
            <v/>
          </cell>
          <cell r="J1087">
            <v>100</v>
          </cell>
          <cell r="K1087">
            <v>20</v>
          </cell>
          <cell r="L1087">
            <v>100</v>
          </cell>
          <cell r="M1087" t="str">
            <v/>
          </cell>
          <cell r="N1087">
            <v>0</v>
          </cell>
        </row>
        <row r="1088">
          <cell r="A1088">
            <v>17808</v>
          </cell>
          <cell r="B1088" t="str">
            <v>20/11/2019</v>
          </cell>
          <cell r="C1088" t="str">
            <v>SERVICE</v>
          </cell>
          <cell r="D1088" t="str">
            <v>Aborted Visit - Wednesday 13.11.2019</v>
          </cell>
          <cell r="E1088" t="str">
            <v>Key Integrated Services North West Ltd</v>
          </cell>
          <cell r="F1088" t="str">
            <v>Subcontractor</v>
          </cell>
          <cell r="G1088" t="str">
            <v/>
          </cell>
          <cell r="H1088" t="str">
            <v/>
          </cell>
          <cell r="I1088" t="str">
            <v/>
          </cell>
          <cell r="J1088">
            <v>206</v>
          </cell>
          <cell r="K1088">
            <v>41.2</v>
          </cell>
          <cell r="L1088">
            <v>206</v>
          </cell>
          <cell r="M1088" t="str">
            <v/>
          </cell>
          <cell r="N1088">
            <v>0</v>
          </cell>
        </row>
        <row r="1089">
          <cell r="A1089">
            <v>17798</v>
          </cell>
          <cell r="B1089" t="str">
            <v>19/11/2019</v>
          </cell>
          <cell r="C1089" t="str">
            <v>C1617</v>
          </cell>
          <cell r="D1089" t="str">
            <v>Electrical Design &amp; Installation, CAPA College Wakefield</v>
          </cell>
          <cell r="E1089" t="str">
            <v>Key Integrated Services North West Ltd</v>
          </cell>
          <cell r="F1089" t="str">
            <v>Subcontractor</v>
          </cell>
          <cell r="G1089" t="str">
            <v/>
          </cell>
          <cell r="H1089" t="str">
            <v/>
          </cell>
          <cell r="I1089" t="str">
            <v/>
          </cell>
          <cell r="J1089">
            <v>749702</v>
          </cell>
          <cell r="K1089">
            <v>149940.4</v>
          </cell>
          <cell r="L1089">
            <v>0</v>
          </cell>
          <cell r="M1089" t="str">
            <v/>
          </cell>
          <cell r="N1089">
            <v>749702</v>
          </cell>
        </row>
        <row r="1090">
          <cell r="A1090">
            <v>17790</v>
          </cell>
          <cell r="B1090" t="str">
            <v>18/11/2019</v>
          </cell>
          <cell r="C1090" t="str">
            <v>C1665</v>
          </cell>
          <cell r="D1090" t="str">
            <v>Supply , delivery and Commissioning of Grundfos Booster Set</v>
          </cell>
          <cell r="E1090" t="str">
            <v>Harroquip Pump Systems</v>
          </cell>
          <cell r="F1090" t="str">
            <v>Subcontractor</v>
          </cell>
          <cell r="G1090" t="str">
            <v>03/12/2019</v>
          </cell>
          <cell r="H1090" t="str">
            <v/>
          </cell>
          <cell r="I1090" t="str">
            <v/>
          </cell>
          <cell r="J1090">
            <v>9000</v>
          </cell>
          <cell r="K1090">
            <v>1800</v>
          </cell>
          <cell r="L1090">
            <v>9000</v>
          </cell>
          <cell r="M1090" t="str">
            <v/>
          </cell>
          <cell r="N1090">
            <v>0</v>
          </cell>
        </row>
        <row r="1091">
          <cell r="A1091">
            <v>17783</v>
          </cell>
          <cell r="B1091" t="str">
            <v>15/11/2019</v>
          </cell>
          <cell r="C1091" t="str">
            <v>CALLOUT</v>
          </cell>
          <cell r="D1091" t="str">
            <v>replace 3no lights in lift shat</v>
          </cell>
          <cell r="E1091" t="str">
            <v>Key Integrated Services North West Ltd</v>
          </cell>
          <cell r="F1091" t="str">
            <v>Subcontractor</v>
          </cell>
          <cell r="G1091" t="str">
            <v/>
          </cell>
          <cell r="H1091" t="str">
            <v/>
          </cell>
          <cell r="I1091" t="str">
            <v/>
          </cell>
          <cell r="J1091">
            <v>668</v>
          </cell>
          <cell r="K1091">
            <v>133.6</v>
          </cell>
          <cell r="L1091">
            <v>668</v>
          </cell>
          <cell r="M1091" t="str">
            <v/>
          </cell>
          <cell r="N1091">
            <v>0</v>
          </cell>
        </row>
        <row r="1092">
          <cell r="A1092">
            <v>17773</v>
          </cell>
          <cell r="B1092" t="str">
            <v>14/11/2019</v>
          </cell>
          <cell r="C1092" t="str">
            <v>SERVICE</v>
          </cell>
          <cell r="D1092" t="str">
            <v>Fire extinguisher maintenance Feb 2020</v>
          </cell>
          <cell r="E1092" t="str">
            <v>Hoyles Fire + Safety Ltd</v>
          </cell>
          <cell r="F1092" t="str">
            <v>Subcontractor</v>
          </cell>
          <cell r="G1092" t="str">
            <v/>
          </cell>
          <cell r="H1092" t="str">
            <v/>
          </cell>
          <cell r="I1092" t="str">
            <v/>
          </cell>
          <cell r="J1092">
            <v>170.94</v>
          </cell>
          <cell r="K1092">
            <v>34.19</v>
          </cell>
          <cell r="L1092">
            <v>170.94</v>
          </cell>
          <cell r="M1092" t="str">
            <v/>
          </cell>
          <cell r="N1092">
            <v>0</v>
          </cell>
        </row>
        <row r="1093">
          <cell r="A1093">
            <v>17772</v>
          </cell>
          <cell r="B1093" t="str">
            <v>14/11/2019</v>
          </cell>
          <cell r="C1093" t="str">
            <v>SERVICE</v>
          </cell>
          <cell r="D1093" t="str">
            <v>Fire alarm service 2 visits per year</v>
          </cell>
          <cell r="E1093" t="str">
            <v>Hoyles Fire + Safety Ltd</v>
          </cell>
          <cell r="F1093" t="str">
            <v>Subcontractor</v>
          </cell>
          <cell r="G1093" t="str">
            <v/>
          </cell>
          <cell r="H1093" t="str">
            <v/>
          </cell>
          <cell r="I1093" t="str">
            <v/>
          </cell>
          <cell r="J1093">
            <v>131.84</v>
          </cell>
          <cell r="K1093">
            <v>26.37</v>
          </cell>
          <cell r="L1093">
            <v>131.84</v>
          </cell>
          <cell r="M1093" t="str">
            <v/>
          </cell>
          <cell r="N1093">
            <v>0</v>
          </cell>
        </row>
        <row r="1094">
          <cell r="A1094">
            <v>17766</v>
          </cell>
          <cell r="B1094" t="str">
            <v>13/11/2019</v>
          </cell>
          <cell r="C1094" t="str">
            <v>CALLOUT</v>
          </cell>
          <cell r="D1094" t="str">
            <v>replace lock on cleaners cupboard</v>
          </cell>
          <cell r="E1094" t="str">
            <v>Viabl Ltd T/A Able</v>
          </cell>
          <cell r="F1094" t="str">
            <v>Subcontractor</v>
          </cell>
          <cell r="G1094" t="str">
            <v/>
          </cell>
          <cell r="H1094" t="str">
            <v>Part</v>
          </cell>
          <cell r="I1094" t="str">
            <v/>
          </cell>
          <cell r="J1094">
            <v>110</v>
          </cell>
          <cell r="K1094">
            <v>22</v>
          </cell>
          <cell r="L1094">
            <v>110</v>
          </cell>
          <cell r="M1094" t="str">
            <v/>
          </cell>
          <cell r="N1094">
            <v>0</v>
          </cell>
        </row>
        <row r="1095">
          <cell r="A1095">
            <v>17765</v>
          </cell>
          <cell r="B1095" t="str">
            <v>13/11/2019</v>
          </cell>
          <cell r="C1095" t="str">
            <v>C1597</v>
          </cell>
          <cell r="D1095" t="str">
            <v>LPHW balancing works</v>
          </cell>
          <cell r="E1095" t="str">
            <v>New Era Commissioning Specialists Ltd</v>
          </cell>
          <cell r="F1095" t="str">
            <v>Subcontractor</v>
          </cell>
          <cell r="G1095" t="str">
            <v>27/11/2019</v>
          </cell>
          <cell r="H1095" t="str">
            <v/>
          </cell>
          <cell r="I1095" t="str">
            <v/>
          </cell>
          <cell r="J1095">
            <v>350</v>
          </cell>
          <cell r="K1095">
            <v>70</v>
          </cell>
          <cell r="L1095">
            <v>350</v>
          </cell>
          <cell r="M1095" t="str">
            <v/>
          </cell>
          <cell r="N1095">
            <v>0</v>
          </cell>
        </row>
        <row r="1096">
          <cell r="A1096">
            <v>17764</v>
          </cell>
          <cell r="B1096" t="str">
            <v>13/11/2019</v>
          </cell>
          <cell r="C1096" t="str">
            <v>C1639</v>
          </cell>
          <cell r="D1096" t="str">
            <v>Provide all necessary certified lift and shift equipment and</v>
          </cell>
          <cell r="E1096" t="str">
            <v>Hird Ltd</v>
          </cell>
          <cell r="F1096" t="str">
            <v>Subcontractor</v>
          </cell>
          <cell r="G1096" t="str">
            <v>21/11/2019</v>
          </cell>
          <cell r="H1096" t="str">
            <v/>
          </cell>
          <cell r="I1096" t="str">
            <v/>
          </cell>
          <cell r="J1096">
            <v>3060</v>
          </cell>
          <cell r="K1096">
            <v>612</v>
          </cell>
          <cell r="L1096">
            <v>3060</v>
          </cell>
          <cell r="M1096" t="str">
            <v/>
          </cell>
          <cell r="N1096">
            <v>0</v>
          </cell>
        </row>
        <row r="1097">
          <cell r="A1097">
            <v>17763</v>
          </cell>
          <cell r="B1097" t="str">
            <v>13/11/2019</v>
          </cell>
          <cell r="C1097" t="str">
            <v>CALLOUT</v>
          </cell>
          <cell r="D1097" t="str">
            <v>faulty smoke detector</v>
          </cell>
          <cell r="E1097" t="str">
            <v>Hoyles Fire + Safety Ltd</v>
          </cell>
          <cell r="F1097" t="str">
            <v>Subcontractor</v>
          </cell>
          <cell r="G1097" t="str">
            <v/>
          </cell>
          <cell r="H1097" t="str">
            <v>Part</v>
          </cell>
          <cell r="I1097" t="str">
            <v/>
          </cell>
          <cell r="J1097">
            <v>92.7</v>
          </cell>
          <cell r="K1097">
            <v>18.54</v>
          </cell>
          <cell r="L1097">
            <v>92.7</v>
          </cell>
          <cell r="M1097" t="str">
            <v/>
          </cell>
          <cell r="N1097">
            <v>0</v>
          </cell>
        </row>
        <row r="1098">
          <cell r="A1098">
            <v>17747</v>
          </cell>
          <cell r="B1098" t="str">
            <v>11/11/2019</v>
          </cell>
          <cell r="C1098" t="str">
            <v>C1654</v>
          </cell>
          <cell r="D1098" t="str">
            <v>Valves/fittings</v>
          </cell>
          <cell r="E1098" t="str">
            <v>North West Renewables Ltd</v>
          </cell>
          <cell r="F1098" t="str">
            <v>Subcontractor</v>
          </cell>
          <cell r="G1098" t="str">
            <v>29/11/2019</v>
          </cell>
          <cell r="H1098" t="str">
            <v/>
          </cell>
          <cell r="I1098" t="str">
            <v/>
          </cell>
          <cell r="J1098">
            <v>6460</v>
          </cell>
          <cell r="K1098">
            <v>1292</v>
          </cell>
          <cell r="L1098">
            <v>6460</v>
          </cell>
          <cell r="M1098" t="str">
            <v/>
          </cell>
          <cell r="N1098">
            <v>0</v>
          </cell>
        </row>
        <row r="1099">
          <cell r="A1099">
            <v>17743</v>
          </cell>
          <cell r="B1099" t="str">
            <v>11/11/2019</v>
          </cell>
          <cell r="C1099" t="str">
            <v>C1597</v>
          </cell>
          <cell r="D1099" t="str">
            <v>BMS/electrical shortfall works as per quote</v>
          </cell>
          <cell r="E1099" t="str">
            <v>JBC Controls Systems Ltd</v>
          </cell>
          <cell r="F1099" t="str">
            <v>Subcontractor</v>
          </cell>
          <cell r="G1099" t="str">
            <v>18/11/2019</v>
          </cell>
          <cell r="H1099" t="str">
            <v>Part</v>
          </cell>
          <cell r="I1099" t="str">
            <v/>
          </cell>
          <cell r="J1099">
            <v>5184</v>
          </cell>
          <cell r="K1099">
            <v>1036.8</v>
          </cell>
          <cell r="L1099">
            <v>5184</v>
          </cell>
          <cell r="M1099" t="str">
            <v/>
          </cell>
          <cell r="N1099">
            <v>0</v>
          </cell>
        </row>
        <row r="1100">
          <cell r="A1100">
            <v>17741</v>
          </cell>
          <cell r="B1100" t="str">
            <v>11/11/2019</v>
          </cell>
          <cell r="C1100" t="str">
            <v>C1518</v>
          </cell>
          <cell r="D1100" t="str">
            <v>not used</v>
          </cell>
          <cell r="E1100" t="str">
            <v>Key Integrated Services (Electrical) Ltd</v>
          </cell>
          <cell r="F1100" t="str">
            <v>Subcontractor</v>
          </cell>
          <cell r="G1100" t="str">
            <v/>
          </cell>
          <cell r="H1100" t="str">
            <v>Part</v>
          </cell>
          <cell r="I1100" t="str">
            <v/>
          </cell>
          <cell r="J1100">
            <v>4880</v>
          </cell>
          <cell r="K1100">
            <v>976</v>
          </cell>
          <cell r="L1100">
            <v>4880</v>
          </cell>
          <cell r="M1100" t="str">
            <v/>
          </cell>
          <cell r="N1100">
            <v>0</v>
          </cell>
        </row>
        <row r="1101">
          <cell r="A1101">
            <v>17740</v>
          </cell>
          <cell r="B1101" t="str">
            <v>11/11/2019</v>
          </cell>
          <cell r="C1101" t="str">
            <v>C1604</v>
          </cell>
          <cell r="D1101" t="str">
            <v>Enfield AHU strip out works</v>
          </cell>
          <cell r="E1101" t="str">
            <v>Key Integrated Services (Electrical) Ltd</v>
          </cell>
          <cell r="F1101" t="str">
            <v>Subcontractor</v>
          </cell>
          <cell r="G1101" t="str">
            <v/>
          </cell>
          <cell r="H1101" t="str">
            <v/>
          </cell>
          <cell r="I1101" t="str">
            <v/>
          </cell>
          <cell r="J1101">
            <v>5280</v>
          </cell>
          <cell r="K1101">
            <v>1056</v>
          </cell>
          <cell r="L1101">
            <v>5280</v>
          </cell>
          <cell r="M1101" t="str">
            <v/>
          </cell>
          <cell r="N1101">
            <v>0</v>
          </cell>
        </row>
        <row r="1102">
          <cell r="A1102">
            <v>17739</v>
          </cell>
          <cell r="B1102" t="str">
            <v>11/11/2019</v>
          </cell>
          <cell r="C1102" t="str">
            <v>C1604</v>
          </cell>
          <cell r="D1102" t="str">
            <v>Enfield removing light fittings</v>
          </cell>
          <cell r="E1102" t="str">
            <v>Key Integrated Services (Electrical) Ltd</v>
          </cell>
          <cell r="F1102" t="str">
            <v>Subcontractor</v>
          </cell>
          <cell r="G1102" t="str">
            <v/>
          </cell>
          <cell r="H1102" t="str">
            <v/>
          </cell>
          <cell r="I1102" t="str">
            <v/>
          </cell>
          <cell r="J1102">
            <v>636</v>
          </cell>
          <cell r="K1102">
            <v>127.2</v>
          </cell>
          <cell r="L1102">
            <v>636</v>
          </cell>
          <cell r="M1102" t="str">
            <v/>
          </cell>
          <cell r="N1102">
            <v>0</v>
          </cell>
        </row>
        <row r="1103">
          <cell r="A1103">
            <v>17738</v>
          </cell>
          <cell r="B1103" t="str">
            <v>11/11/2019</v>
          </cell>
          <cell r="C1103" t="str">
            <v>C1604</v>
          </cell>
          <cell r="D1103" t="str">
            <v>Enfield dayworks</v>
          </cell>
          <cell r="E1103" t="str">
            <v>Key Integrated Services (Electrical) Ltd</v>
          </cell>
          <cell r="F1103" t="str">
            <v>Subcontractor</v>
          </cell>
          <cell r="G1103" t="str">
            <v/>
          </cell>
          <cell r="H1103" t="str">
            <v/>
          </cell>
          <cell r="I1103" t="str">
            <v/>
          </cell>
          <cell r="J1103">
            <v>1536</v>
          </cell>
          <cell r="K1103">
            <v>307.2</v>
          </cell>
          <cell r="L1103">
            <v>1536</v>
          </cell>
          <cell r="M1103" t="str">
            <v/>
          </cell>
          <cell r="N1103">
            <v>0</v>
          </cell>
        </row>
        <row r="1104">
          <cell r="A1104">
            <v>17737</v>
          </cell>
          <cell r="B1104" t="str">
            <v>11/11/2019</v>
          </cell>
          <cell r="C1104" t="str">
            <v>C1604</v>
          </cell>
          <cell r="D1104" t="str">
            <v>Enfield packing hall fire alarm</v>
          </cell>
          <cell r="E1104" t="str">
            <v>Key Integrated Services (Electrical) Ltd</v>
          </cell>
          <cell r="F1104" t="str">
            <v>Subcontractor</v>
          </cell>
          <cell r="G1104" t="str">
            <v/>
          </cell>
          <cell r="H1104" t="str">
            <v/>
          </cell>
          <cell r="I1104" t="str">
            <v/>
          </cell>
          <cell r="J1104">
            <v>984.5</v>
          </cell>
          <cell r="K1104">
            <v>196.9</v>
          </cell>
          <cell r="L1104">
            <v>984.5</v>
          </cell>
          <cell r="M1104" t="str">
            <v/>
          </cell>
          <cell r="N1104">
            <v>0</v>
          </cell>
        </row>
        <row r="1105">
          <cell r="A1105">
            <v>17735</v>
          </cell>
          <cell r="B1105" t="str">
            <v>11/11/2019</v>
          </cell>
          <cell r="C1105" t="str">
            <v>C1604</v>
          </cell>
          <cell r="D1105" t="str">
            <v>Enfield cream room install</v>
          </cell>
          <cell r="E1105" t="str">
            <v>Key Integrated Services (Electrical) Ltd</v>
          </cell>
          <cell r="F1105" t="str">
            <v>Subcontractor</v>
          </cell>
          <cell r="G1105" t="str">
            <v/>
          </cell>
          <cell r="H1105" t="str">
            <v/>
          </cell>
          <cell r="I1105" t="str">
            <v/>
          </cell>
          <cell r="J1105">
            <v>8512</v>
          </cell>
          <cell r="K1105">
            <v>1702.4</v>
          </cell>
          <cell r="L1105">
            <v>8512</v>
          </cell>
          <cell r="M1105" t="str">
            <v/>
          </cell>
          <cell r="N1105">
            <v>0</v>
          </cell>
        </row>
        <row r="1106">
          <cell r="A1106">
            <v>17754</v>
          </cell>
          <cell r="B1106" t="str">
            <v>08/11/2019</v>
          </cell>
          <cell r="C1106" t="str">
            <v>CALLOUT</v>
          </cell>
          <cell r="D1106" t="str">
            <v>replace the mixer tap on the first floor kitchen sink</v>
          </cell>
          <cell r="E1106" t="str">
            <v>Viabl Ltd T/A Able</v>
          </cell>
          <cell r="F1106" t="str">
            <v>Subcontractor</v>
          </cell>
          <cell r="G1106" t="str">
            <v/>
          </cell>
          <cell r="H1106" t="str">
            <v>Part</v>
          </cell>
          <cell r="I1106" t="str">
            <v/>
          </cell>
          <cell r="J1106">
            <v>200</v>
          </cell>
          <cell r="K1106">
            <v>40</v>
          </cell>
          <cell r="L1106">
            <v>200</v>
          </cell>
          <cell r="M1106" t="str">
            <v/>
          </cell>
          <cell r="N1106">
            <v>0</v>
          </cell>
        </row>
        <row r="1107">
          <cell r="A1107">
            <v>17713</v>
          </cell>
          <cell r="B1107" t="str">
            <v>06/11/2019</v>
          </cell>
          <cell r="C1107" t="str">
            <v>C1651</v>
          </cell>
          <cell r="D1107" t="str">
            <v>Supply and Installation of insualtion to steam and condensat</v>
          </cell>
          <cell r="E1107" t="str">
            <v>Grangewood Insulation Services Ltd</v>
          </cell>
          <cell r="F1107" t="str">
            <v>Subcontractor</v>
          </cell>
          <cell r="G1107" t="str">
            <v>14/11/2019</v>
          </cell>
          <cell r="H1107" t="str">
            <v/>
          </cell>
          <cell r="I1107" t="str">
            <v/>
          </cell>
          <cell r="J1107">
            <v>450</v>
          </cell>
          <cell r="K1107">
            <v>90</v>
          </cell>
          <cell r="L1107">
            <v>450</v>
          </cell>
          <cell r="M1107" t="str">
            <v/>
          </cell>
          <cell r="N1107">
            <v>0</v>
          </cell>
        </row>
        <row r="1108">
          <cell r="A1108">
            <v>17704</v>
          </cell>
          <cell r="B1108" t="str">
            <v>05/11/2019</v>
          </cell>
          <cell r="C1108" t="str">
            <v>SERVICE</v>
          </cell>
          <cell r="D1108" t="str">
            <v>Annual Emergency Light Testing</v>
          </cell>
          <cell r="E1108" t="str">
            <v>Key Integrated Services North West Ltd</v>
          </cell>
          <cell r="F1108" t="str">
            <v>Subcontractor</v>
          </cell>
          <cell r="G1108" t="str">
            <v/>
          </cell>
          <cell r="H1108" t="str">
            <v/>
          </cell>
          <cell r="I1108" t="str">
            <v/>
          </cell>
          <cell r="J1108">
            <v>225</v>
          </cell>
          <cell r="K1108">
            <v>45</v>
          </cell>
          <cell r="L1108">
            <v>225</v>
          </cell>
          <cell r="M1108" t="str">
            <v/>
          </cell>
          <cell r="N1108">
            <v>0</v>
          </cell>
        </row>
        <row r="1109">
          <cell r="A1109">
            <v>17703</v>
          </cell>
          <cell r="B1109" t="str">
            <v>05/11/2019</v>
          </cell>
          <cell r="C1109" t="str">
            <v>SERVICE</v>
          </cell>
          <cell r="D1109" t="str">
            <v>Annual Emergency Light Testing</v>
          </cell>
          <cell r="E1109" t="str">
            <v>Key Integrated Services North West Ltd</v>
          </cell>
          <cell r="F1109" t="str">
            <v>Subcontractor</v>
          </cell>
          <cell r="G1109" t="str">
            <v/>
          </cell>
          <cell r="H1109" t="str">
            <v>Complete</v>
          </cell>
          <cell r="I1109" t="str">
            <v/>
          </cell>
          <cell r="J1109">
            <v>0</v>
          </cell>
          <cell r="K1109">
            <v>0</v>
          </cell>
          <cell r="L1109">
            <v>0</v>
          </cell>
          <cell r="M1109" t="str">
            <v/>
          </cell>
          <cell r="N1109">
            <v>0</v>
          </cell>
        </row>
        <row r="1110">
          <cell r="A1110">
            <v>17702</v>
          </cell>
          <cell r="B1110" t="str">
            <v>05/11/2019</v>
          </cell>
          <cell r="C1110" t="str">
            <v>SERVICE</v>
          </cell>
          <cell r="D1110" t="str">
            <v>Annual Emergency Lighting &amp; Distribution Board Testing</v>
          </cell>
          <cell r="E1110" t="str">
            <v>Key Integrated Services North West Ltd</v>
          </cell>
          <cell r="F1110" t="str">
            <v>Subcontractor</v>
          </cell>
          <cell r="G1110" t="str">
            <v/>
          </cell>
          <cell r="H1110" t="str">
            <v>Complete</v>
          </cell>
          <cell r="I1110" t="str">
            <v/>
          </cell>
          <cell r="J1110">
            <v>0</v>
          </cell>
          <cell r="K1110">
            <v>0</v>
          </cell>
          <cell r="L1110">
            <v>0</v>
          </cell>
          <cell r="M1110" t="str">
            <v/>
          </cell>
          <cell r="N1110">
            <v>0</v>
          </cell>
        </row>
        <row r="1111">
          <cell r="A1111">
            <v>17701</v>
          </cell>
          <cell r="B1111" t="str">
            <v>05/11/2019</v>
          </cell>
          <cell r="C1111" t="str">
            <v>SERVICE</v>
          </cell>
          <cell r="D1111" t="str">
            <v>Annual Emergency Lighting Testing</v>
          </cell>
          <cell r="E1111" t="str">
            <v>Key Integrated Services North West Ltd</v>
          </cell>
          <cell r="F1111" t="str">
            <v>Subcontractor</v>
          </cell>
          <cell r="G1111" t="str">
            <v/>
          </cell>
          <cell r="H1111" t="str">
            <v>Complete</v>
          </cell>
          <cell r="I1111" t="str">
            <v/>
          </cell>
          <cell r="J1111">
            <v>0</v>
          </cell>
          <cell r="K1111">
            <v>0</v>
          </cell>
          <cell r="L1111">
            <v>0</v>
          </cell>
          <cell r="M1111" t="str">
            <v/>
          </cell>
          <cell r="N1111">
            <v>0</v>
          </cell>
        </row>
        <row r="1112">
          <cell r="A1112">
            <v>17700</v>
          </cell>
          <cell r="B1112" t="str">
            <v>05/11/2019</v>
          </cell>
          <cell r="C1112" t="str">
            <v>SERVICE</v>
          </cell>
          <cell r="D1112" t="str">
            <v>Annual Emergency Light &amp; Distribution Board Testing</v>
          </cell>
          <cell r="E1112" t="str">
            <v>Key Integrated Services North West Ltd</v>
          </cell>
          <cell r="F1112" t="str">
            <v>Subcontractor</v>
          </cell>
          <cell r="G1112" t="str">
            <v/>
          </cell>
          <cell r="H1112" t="str">
            <v>Complete</v>
          </cell>
          <cell r="I1112" t="str">
            <v/>
          </cell>
          <cell r="J1112">
            <v>0</v>
          </cell>
          <cell r="K1112">
            <v>0</v>
          </cell>
          <cell r="L1112">
            <v>0</v>
          </cell>
          <cell r="M1112" t="str">
            <v/>
          </cell>
          <cell r="N1112">
            <v>0</v>
          </cell>
        </row>
        <row r="1113">
          <cell r="A1113">
            <v>17699</v>
          </cell>
          <cell r="B1113" t="str">
            <v>05/11/2019</v>
          </cell>
          <cell r="C1113" t="str">
            <v>SERVICE</v>
          </cell>
          <cell r="D1113" t="str">
            <v>Carry out Annual Emergency Light Testing &amp; Distribution Boar</v>
          </cell>
          <cell r="E1113" t="str">
            <v>Key Integrated Services North West Ltd</v>
          </cell>
          <cell r="F1113" t="str">
            <v>Subcontractor</v>
          </cell>
          <cell r="G1113" t="str">
            <v/>
          </cell>
          <cell r="H1113" t="str">
            <v>Complete</v>
          </cell>
          <cell r="I1113" t="str">
            <v/>
          </cell>
          <cell r="J1113">
            <v>0</v>
          </cell>
          <cell r="K1113">
            <v>0</v>
          </cell>
          <cell r="L1113">
            <v>0</v>
          </cell>
          <cell r="M1113" t="str">
            <v/>
          </cell>
          <cell r="N1113">
            <v>0</v>
          </cell>
        </row>
        <row r="1114">
          <cell r="A1114">
            <v>17698</v>
          </cell>
          <cell r="B1114" t="str">
            <v>05/11/2019</v>
          </cell>
          <cell r="C1114" t="str">
            <v>CALLOUT</v>
          </cell>
          <cell r="D1114" t="str">
            <v>1 x floor box to be checked over as its not suppluying any p</v>
          </cell>
          <cell r="E1114" t="str">
            <v>Barrie Beard Ltd</v>
          </cell>
          <cell r="F1114" t="str">
            <v>Subcontractor</v>
          </cell>
          <cell r="G1114" t="str">
            <v/>
          </cell>
          <cell r="H1114" t="str">
            <v>Part</v>
          </cell>
          <cell r="I1114" t="str">
            <v/>
          </cell>
          <cell r="J1114">
            <v>115</v>
          </cell>
          <cell r="K1114">
            <v>23</v>
          </cell>
          <cell r="L1114">
            <v>115</v>
          </cell>
          <cell r="M1114" t="str">
            <v/>
          </cell>
          <cell r="N1114">
            <v>0</v>
          </cell>
        </row>
        <row r="1115">
          <cell r="A1115">
            <v>17697</v>
          </cell>
          <cell r="B1115" t="str">
            <v>05/11/2019</v>
          </cell>
          <cell r="C1115" t="str">
            <v>CALLOUT</v>
          </cell>
          <cell r="D1115" t="str">
            <v>leak grd floor ceiling</v>
          </cell>
          <cell r="E1115" t="str">
            <v>Viabl Ltd T/A Able</v>
          </cell>
          <cell r="F1115" t="str">
            <v>Subcontractor</v>
          </cell>
          <cell r="G1115" t="str">
            <v/>
          </cell>
          <cell r="H1115" t="str">
            <v>Part</v>
          </cell>
          <cell r="I1115" t="str">
            <v/>
          </cell>
          <cell r="J1115">
            <v>65</v>
          </cell>
          <cell r="K1115">
            <v>13</v>
          </cell>
          <cell r="L1115">
            <v>65</v>
          </cell>
          <cell r="M1115" t="str">
            <v/>
          </cell>
          <cell r="N1115">
            <v>0</v>
          </cell>
        </row>
        <row r="1116">
          <cell r="A1116">
            <v>17691</v>
          </cell>
          <cell r="B1116" t="str">
            <v>04/11/2019</v>
          </cell>
          <cell r="C1116" t="str">
            <v>CALLOUT</v>
          </cell>
          <cell r="D1116" t="str">
            <v>2 x h/level lights out in car park</v>
          </cell>
          <cell r="E1116" t="str">
            <v>Barrie Beard Ltd</v>
          </cell>
          <cell r="F1116" t="str">
            <v>Subcontractor</v>
          </cell>
          <cell r="G1116" t="str">
            <v/>
          </cell>
          <cell r="H1116" t="str">
            <v>Part</v>
          </cell>
          <cell r="I1116" t="str">
            <v/>
          </cell>
          <cell r="J1116">
            <v>255</v>
          </cell>
          <cell r="K1116">
            <v>51</v>
          </cell>
          <cell r="L1116">
            <v>255</v>
          </cell>
          <cell r="M1116" t="str">
            <v/>
          </cell>
          <cell r="N1116">
            <v>0</v>
          </cell>
        </row>
        <row r="1117">
          <cell r="A1117">
            <v>17678</v>
          </cell>
          <cell r="B1117" t="str">
            <v>01/11/2019</v>
          </cell>
          <cell r="C1117" t="str">
            <v>CALLOUT</v>
          </cell>
          <cell r="D1117" t="str">
            <v>replace taps</v>
          </cell>
          <cell r="E1117" t="str">
            <v>Viabl Ltd T/A Able</v>
          </cell>
          <cell r="F1117" t="str">
            <v>Subcontractor</v>
          </cell>
          <cell r="G1117" t="str">
            <v/>
          </cell>
          <cell r="H1117" t="str">
            <v/>
          </cell>
          <cell r="I1117" t="str">
            <v/>
          </cell>
          <cell r="J1117">
            <v>509.48</v>
          </cell>
          <cell r="K1117">
            <v>101.9</v>
          </cell>
          <cell r="L1117">
            <v>509.48</v>
          </cell>
          <cell r="M1117" t="str">
            <v/>
          </cell>
          <cell r="N1117">
            <v>0</v>
          </cell>
        </row>
        <row r="1118">
          <cell r="A1118">
            <v>17677</v>
          </cell>
          <cell r="B1118" t="str">
            <v>01/11/2019</v>
          </cell>
          <cell r="C1118" t="str">
            <v>C1660</v>
          </cell>
          <cell r="D1118" t="str">
            <v>Trace heating</v>
          </cell>
          <cell r="E1118" t="str">
            <v>Thermal Insulation Covers Ltd</v>
          </cell>
          <cell r="F1118" t="str">
            <v>Subcontractor</v>
          </cell>
          <cell r="G1118" t="str">
            <v/>
          </cell>
          <cell r="H1118" t="str">
            <v>Part</v>
          </cell>
          <cell r="I1118" t="str">
            <v/>
          </cell>
          <cell r="J1118">
            <v>13535</v>
          </cell>
          <cell r="K1118">
            <v>2707</v>
          </cell>
          <cell r="L1118">
            <v>13535</v>
          </cell>
          <cell r="M1118" t="str">
            <v/>
          </cell>
          <cell r="N1118">
            <v>0</v>
          </cell>
        </row>
        <row r="1119">
          <cell r="A1119">
            <v>17676</v>
          </cell>
          <cell r="B1119" t="str">
            <v>01/11/2019</v>
          </cell>
          <cell r="C1119" t="str">
            <v>C1660</v>
          </cell>
          <cell r="D1119" t="str">
            <v>Hydrant diversion</v>
          </cell>
          <cell r="E1119" t="str">
            <v>Technical Utilities Services UK Ltd</v>
          </cell>
          <cell r="F1119" t="str">
            <v>Subcontractor</v>
          </cell>
          <cell r="G1119" t="str">
            <v/>
          </cell>
          <cell r="H1119" t="str">
            <v/>
          </cell>
          <cell r="I1119" t="str">
            <v/>
          </cell>
          <cell r="J1119">
            <v>20864.03</v>
          </cell>
          <cell r="K1119">
            <v>4082.82</v>
          </cell>
          <cell r="L1119">
            <v>20414.03</v>
          </cell>
          <cell r="M1119" t="str">
            <v/>
          </cell>
          <cell r="N1119">
            <v>0</v>
          </cell>
        </row>
        <row r="1120">
          <cell r="A1120">
            <v>17675</v>
          </cell>
          <cell r="B1120" t="str">
            <v>31/10/2019</v>
          </cell>
          <cell r="C1120" t="str">
            <v>CALLOUT</v>
          </cell>
          <cell r="D1120" t="str">
            <v>supply and fit pirs</v>
          </cell>
          <cell r="E1120" t="str">
            <v>Key Integrated Services North West Ltd</v>
          </cell>
          <cell r="F1120" t="str">
            <v>Subcontractor</v>
          </cell>
          <cell r="G1120" t="str">
            <v/>
          </cell>
          <cell r="H1120" t="str">
            <v>Part</v>
          </cell>
          <cell r="I1120" t="str">
            <v/>
          </cell>
          <cell r="J1120">
            <v>76.400000000000006</v>
          </cell>
          <cell r="K1120">
            <v>15.28</v>
          </cell>
          <cell r="L1120">
            <v>76.400000000000006</v>
          </cell>
          <cell r="M1120" t="str">
            <v/>
          </cell>
          <cell r="N1120">
            <v>0</v>
          </cell>
        </row>
        <row r="1121">
          <cell r="A1121">
            <v>17661</v>
          </cell>
          <cell r="B1121" t="str">
            <v>30/10/2019</v>
          </cell>
          <cell r="C1121" t="str">
            <v>C1597</v>
          </cell>
          <cell r="D1121" t="str">
            <v>Plantroom LPHW flushing as per quote ref: 19294</v>
          </cell>
          <cell r="E1121" t="str">
            <v>MSB Hygiene Ltd</v>
          </cell>
          <cell r="F1121" t="str">
            <v>Subcontractor</v>
          </cell>
          <cell r="G1121" t="str">
            <v>04/11/2019</v>
          </cell>
          <cell r="H1121" t="str">
            <v/>
          </cell>
          <cell r="I1121" t="str">
            <v/>
          </cell>
          <cell r="J1121">
            <v>1100</v>
          </cell>
          <cell r="K1121">
            <v>220</v>
          </cell>
          <cell r="L1121">
            <v>1100</v>
          </cell>
          <cell r="M1121" t="str">
            <v/>
          </cell>
          <cell r="N1121">
            <v>0</v>
          </cell>
        </row>
        <row r="1122">
          <cell r="A1122">
            <v>17652</v>
          </cell>
          <cell r="B1122" t="str">
            <v>29/10/2019</v>
          </cell>
          <cell r="C1122" t="str">
            <v>C1639</v>
          </cell>
          <cell r="D1122" t="str">
            <v>Attend Site and De-commission A/C system in Gatehouse</v>
          </cell>
          <cell r="E1122" t="str">
            <v>4 Way Refrigeration Ltd</v>
          </cell>
          <cell r="F1122" t="str">
            <v>Subcontractor</v>
          </cell>
          <cell r="G1122" t="str">
            <v>30/10/2019</v>
          </cell>
          <cell r="H1122" t="str">
            <v/>
          </cell>
          <cell r="I1122" t="str">
            <v/>
          </cell>
          <cell r="J1122">
            <v>480</v>
          </cell>
          <cell r="K1122">
            <v>96</v>
          </cell>
          <cell r="L1122">
            <v>480</v>
          </cell>
          <cell r="M1122" t="str">
            <v/>
          </cell>
          <cell r="N1122">
            <v>0</v>
          </cell>
        </row>
        <row r="1123">
          <cell r="A1123">
            <v>17651</v>
          </cell>
          <cell r="B1123" t="str">
            <v>29/10/2019</v>
          </cell>
          <cell r="C1123" t="str">
            <v>C1651</v>
          </cell>
          <cell r="D1123" t="str">
            <v>Supply &amp; Install Small Control Panel and field wiring to Mon</v>
          </cell>
          <cell r="E1123" t="str">
            <v>Key Integrated Services (Electrical) Ltd</v>
          </cell>
          <cell r="F1123" t="str">
            <v>Subcontractor</v>
          </cell>
          <cell r="G1123" t="str">
            <v>31/10/2019</v>
          </cell>
          <cell r="H1123" t="str">
            <v/>
          </cell>
          <cell r="I1123" t="str">
            <v/>
          </cell>
          <cell r="J1123">
            <v>2282</v>
          </cell>
          <cell r="K1123">
            <v>456.4</v>
          </cell>
          <cell r="L1123">
            <v>2282</v>
          </cell>
          <cell r="M1123" t="str">
            <v/>
          </cell>
          <cell r="N1123">
            <v>0</v>
          </cell>
        </row>
        <row r="1124">
          <cell r="A1124">
            <v>17644</v>
          </cell>
          <cell r="B1124" t="str">
            <v>29/10/2019</v>
          </cell>
          <cell r="C1124" t="str">
            <v>SERVICE</v>
          </cell>
          <cell r="D1124" t="str">
            <v>fire alarm batteries changed durin gPPM visit</v>
          </cell>
          <cell r="E1124" t="str">
            <v>Marlowe Fire &amp; Security Limited</v>
          </cell>
          <cell r="F1124" t="str">
            <v>Subcontractor</v>
          </cell>
          <cell r="G1124" t="str">
            <v/>
          </cell>
          <cell r="H1124" t="str">
            <v/>
          </cell>
          <cell r="I1124" t="str">
            <v/>
          </cell>
          <cell r="J1124">
            <v>143.78</v>
          </cell>
          <cell r="K1124">
            <v>28.76</v>
          </cell>
          <cell r="L1124">
            <v>119.82</v>
          </cell>
          <cell r="M1124" t="str">
            <v/>
          </cell>
          <cell r="N1124">
            <v>23.96</v>
          </cell>
        </row>
        <row r="1125">
          <cell r="A1125">
            <v>17640</v>
          </cell>
          <cell r="B1125" t="str">
            <v>28/10/2019</v>
          </cell>
          <cell r="C1125" t="str">
            <v>CALLOUT</v>
          </cell>
          <cell r="D1125" t="str">
            <v>remedials to boiler as per quote</v>
          </cell>
          <cell r="E1125" t="str">
            <v>Derek Austin Heating Limited</v>
          </cell>
          <cell r="F1125" t="str">
            <v>Subcontractor</v>
          </cell>
          <cell r="G1125" t="str">
            <v/>
          </cell>
          <cell r="H1125" t="str">
            <v/>
          </cell>
          <cell r="I1125" t="str">
            <v/>
          </cell>
          <cell r="J1125">
            <v>291.60000000000002</v>
          </cell>
          <cell r="K1125">
            <v>58.32</v>
          </cell>
          <cell r="L1125">
            <v>291.60000000000002</v>
          </cell>
          <cell r="M1125" t="str">
            <v/>
          </cell>
          <cell r="N1125">
            <v>0</v>
          </cell>
        </row>
        <row r="1126">
          <cell r="A1126">
            <v>17637</v>
          </cell>
          <cell r="B1126" t="str">
            <v>28/10/2019</v>
          </cell>
          <cell r="C1126" t="str">
            <v>C1632</v>
          </cell>
          <cell r="D1126" t="str">
            <v>Carpet and Vinyl flooring</v>
          </cell>
          <cell r="E1126" t="str">
            <v>Quay Carpets LLP</v>
          </cell>
          <cell r="F1126" t="str">
            <v>Subcontractor</v>
          </cell>
          <cell r="G1126" t="str">
            <v>28/10/2019</v>
          </cell>
          <cell r="H1126" t="str">
            <v/>
          </cell>
          <cell r="I1126" t="str">
            <v/>
          </cell>
          <cell r="J1126">
            <v>17687</v>
          </cell>
          <cell r="K1126">
            <v>3537.4</v>
          </cell>
          <cell r="L1126">
            <v>10543</v>
          </cell>
          <cell r="M1126" t="str">
            <v/>
          </cell>
          <cell r="N1126">
            <v>7144</v>
          </cell>
        </row>
        <row r="1127">
          <cell r="A1127">
            <v>17636</v>
          </cell>
          <cell r="B1127" t="str">
            <v>25/10/2019</v>
          </cell>
          <cell r="C1127" t="str">
            <v>C1632</v>
          </cell>
          <cell r="D1127" t="str">
            <v>Preparation &amp; Painting Works</v>
          </cell>
          <cell r="E1127" t="str">
            <v>M &amp; R Painting Contractors Limited</v>
          </cell>
          <cell r="F1127" t="str">
            <v>Subcontractor</v>
          </cell>
          <cell r="G1127" t="str">
            <v>28/10/2019</v>
          </cell>
          <cell r="H1127" t="str">
            <v/>
          </cell>
          <cell r="I1127" t="str">
            <v/>
          </cell>
          <cell r="J1127">
            <v>21660</v>
          </cell>
          <cell r="K1127">
            <v>4332</v>
          </cell>
          <cell r="L1127">
            <v>16850</v>
          </cell>
          <cell r="M1127" t="str">
            <v/>
          </cell>
          <cell r="N1127">
            <v>4810</v>
          </cell>
        </row>
        <row r="1128">
          <cell r="A1128">
            <v>17632</v>
          </cell>
          <cell r="B1128" t="str">
            <v>25/10/2019</v>
          </cell>
          <cell r="C1128" t="str">
            <v>C1648</v>
          </cell>
          <cell r="D1128" t="str">
            <v>Order for the supply intall and commission of electrical ser</v>
          </cell>
          <cell r="E1128" t="str">
            <v>Key Integrated Services (Electrical) Ltd</v>
          </cell>
          <cell r="F1128" t="str">
            <v>Subcontractor</v>
          </cell>
          <cell r="G1128" t="str">
            <v/>
          </cell>
          <cell r="H1128" t="str">
            <v>Part</v>
          </cell>
          <cell r="I1128" t="str">
            <v>Posted</v>
          </cell>
          <cell r="J1128">
            <v>517314.77</v>
          </cell>
          <cell r="K1128">
            <v>103462.95</v>
          </cell>
          <cell r="L1128">
            <v>513975.77</v>
          </cell>
          <cell r="M1128" t="str">
            <v/>
          </cell>
          <cell r="N1128">
            <v>3339</v>
          </cell>
        </row>
        <row r="1129">
          <cell r="A1129">
            <v>17629</v>
          </cell>
          <cell r="B1129" t="str">
            <v>25/10/2019</v>
          </cell>
          <cell r="C1129" t="str">
            <v>SERVICE</v>
          </cell>
          <cell r="D1129" t="str">
            <v>AC Maintenance due November 2019</v>
          </cell>
          <cell r="E1129" t="str">
            <v>Amroc Heating Supplies</v>
          </cell>
          <cell r="F1129" t="str">
            <v>Subcontractor</v>
          </cell>
          <cell r="G1129" t="str">
            <v/>
          </cell>
          <cell r="H1129" t="str">
            <v/>
          </cell>
          <cell r="I1129" t="str">
            <v/>
          </cell>
          <cell r="J1129">
            <v>210</v>
          </cell>
          <cell r="K1129">
            <v>42</v>
          </cell>
          <cell r="L1129">
            <v>0</v>
          </cell>
          <cell r="M1129" t="str">
            <v/>
          </cell>
          <cell r="N1129">
            <v>210</v>
          </cell>
        </row>
        <row r="1130">
          <cell r="A1130">
            <v>17628</v>
          </cell>
          <cell r="B1130" t="str">
            <v>25/10/2019</v>
          </cell>
          <cell r="C1130" t="str">
            <v>SERVICE</v>
          </cell>
          <cell r="D1130" t="str">
            <v>AC Maintenance due Nov 2019</v>
          </cell>
          <cell r="E1130" t="str">
            <v>Pole to Pole Climate Control Ltd</v>
          </cell>
          <cell r="F1130" t="str">
            <v>Subcontractor</v>
          </cell>
          <cell r="G1130" t="str">
            <v/>
          </cell>
          <cell r="H1130" t="str">
            <v/>
          </cell>
          <cell r="I1130" t="str">
            <v/>
          </cell>
          <cell r="J1130">
            <v>180</v>
          </cell>
          <cell r="K1130">
            <v>36</v>
          </cell>
          <cell r="L1130">
            <v>180</v>
          </cell>
          <cell r="M1130" t="str">
            <v/>
          </cell>
          <cell r="N1130">
            <v>0</v>
          </cell>
        </row>
        <row r="1131">
          <cell r="A1131">
            <v>17627</v>
          </cell>
          <cell r="B1131" t="str">
            <v>25/10/2019</v>
          </cell>
          <cell r="C1131" t="str">
            <v>SERVICE</v>
          </cell>
          <cell r="D1131" t="str">
            <v>PPM Maintenance Oct 2019 - Sept 2020</v>
          </cell>
          <cell r="E1131" t="str">
            <v>Hydraclean Ltd</v>
          </cell>
          <cell r="F1131" t="str">
            <v>Subcontractor</v>
          </cell>
          <cell r="G1131" t="str">
            <v/>
          </cell>
          <cell r="H1131" t="str">
            <v/>
          </cell>
          <cell r="I1131" t="str">
            <v/>
          </cell>
          <cell r="J1131">
            <v>762</v>
          </cell>
          <cell r="K1131">
            <v>152.4</v>
          </cell>
          <cell r="L1131">
            <v>762</v>
          </cell>
          <cell r="M1131" t="str">
            <v/>
          </cell>
          <cell r="N1131">
            <v>0</v>
          </cell>
        </row>
        <row r="1132">
          <cell r="A1132">
            <v>17622</v>
          </cell>
          <cell r="B1132" t="str">
            <v>24/10/2019</v>
          </cell>
          <cell r="C1132" t="str">
            <v>C1632</v>
          </cell>
          <cell r="D1132" t="str">
            <v>Teacher Wall &amp; Classroom Kitchens x 9 no</v>
          </cell>
          <cell r="E1132" t="str">
            <v>Capper Group Limited</v>
          </cell>
          <cell r="F1132" t="str">
            <v>Subcontractor</v>
          </cell>
          <cell r="G1132" t="str">
            <v>28/10/2019</v>
          </cell>
          <cell r="H1132" t="str">
            <v/>
          </cell>
          <cell r="I1132" t="str">
            <v/>
          </cell>
          <cell r="J1132">
            <v>35330</v>
          </cell>
          <cell r="K1132">
            <v>7066</v>
          </cell>
          <cell r="L1132">
            <v>35550</v>
          </cell>
          <cell r="M1132" t="str">
            <v/>
          </cell>
          <cell r="N1132">
            <v>-220</v>
          </cell>
        </row>
        <row r="1133">
          <cell r="A1133">
            <v>17620</v>
          </cell>
          <cell r="B1133" t="str">
            <v>24/10/2019</v>
          </cell>
          <cell r="C1133" t="str">
            <v>CALLOUT</v>
          </cell>
          <cell r="D1133" t="str">
            <v>callout emerg alarm been going off</v>
          </cell>
          <cell r="E1133" t="str">
            <v>Abel Alarm Company Limited</v>
          </cell>
          <cell r="F1133" t="str">
            <v>Subcontractor</v>
          </cell>
          <cell r="G1133" t="str">
            <v/>
          </cell>
          <cell r="H1133" t="str">
            <v>Part</v>
          </cell>
          <cell r="I1133" t="str">
            <v/>
          </cell>
          <cell r="J1133">
            <v>103</v>
          </cell>
          <cell r="K1133">
            <v>20.6</v>
          </cell>
          <cell r="L1133">
            <v>103</v>
          </cell>
          <cell r="M1133" t="str">
            <v/>
          </cell>
          <cell r="N1133">
            <v>0</v>
          </cell>
        </row>
        <row r="1134">
          <cell r="A1134">
            <v>17604</v>
          </cell>
          <cell r="B1134" t="str">
            <v>23/10/2019</v>
          </cell>
          <cell r="C1134" t="str">
            <v>C1518</v>
          </cell>
          <cell r="D1134" t="str">
            <v>Drain, clean and descale 3 x Lochinvar charger water heaters</v>
          </cell>
          <cell r="E1134" t="str">
            <v>Hydraclean Ltd</v>
          </cell>
          <cell r="F1134" t="str">
            <v>Subcontractor</v>
          </cell>
          <cell r="G1134" t="str">
            <v/>
          </cell>
          <cell r="H1134" t="str">
            <v/>
          </cell>
          <cell r="I1134" t="str">
            <v/>
          </cell>
          <cell r="J1134">
            <v>1595</v>
          </cell>
          <cell r="K1134">
            <v>319</v>
          </cell>
          <cell r="L1134">
            <v>1595</v>
          </cell>
          <cell r="M1134" t="str">
            <v/>
          </cell>
          <cell r="N1134">
            <v>0</v>
          </cell>
        </row>
        <row r="1135">
          <cell r="A1135">
            <v>17597</v>
          </cell>
          <cell r="B1135" t="str">
            <v>22/10/2019</v>
          </cell>
          <cell r="C1135" t="str">
            <v>CALLOUT</v>
          </cell>
          <cell r="D1135" t="str">
            <v>flush handle broken 1st floor gents</v>
          </cell>
          <cell r="E1135" t="str">
            <v>Viabl Ltd T/A Able</v>
          </cell>
          <cell r="F1135" t="str">
            <v>Subcontractor</v>
          </cell>
          <cell r="G1135" t="str">
            <v/>
          </cell>
          <cell r="H1135" t="str">
            <v>Part</v>
          </cell>
          <cell r="I1135" t="str">
            <v/>
          </cell>
          <cell r="J1135">
            <v>235.08</v>
          </cell>
          <cell r="K1135">
            <v>47.02</v>
          </cell>
          <cell r="L1135">
            <v>235.8</v>
          </cell>
          <cell r="M1135" t="str">
            <v/>
          </cell>
          <cell r="N1135">
            <v>-0.72</v>
          </cell>
        </row>
        <row r="1136">
          <cell r="A1136">
            <v>17588</v>
          </cell>
          <cell r="B1136" t="str">
            <v>22/10/2019</v>
          </cell>
          <cell r="C1136" t="str">
            <v>C1658</v>
          </cell>
          <cell r="D1136" t="str">
            <v>Electrical disconnection works</v>
          </cell>
          <cell r="E1136" t="str">
            <v>Key Integrated Services (Electrical) Ltd</v>
          </cell>
          <cell r="F1136" t="str">
            <v>Subcontractor</v>
          </cell>
          <cell r="G1136" t="str">
            <v>18/10/2019</v>
          </cell>
          <cell r="H1136" t="str">
            <v>Complete</v>
          </cell>
          <cell r="I1136" t="str">
            <v/>
          </cell>
          <cell r="J1136">
            <v>0</v>
          </cell>
          <cell r="K1136">
            <v>0</v>
          </cell>
          <cell r="L1136">
            <v>0</v>
          </cell>
          <cell r="M1136" t="str">
            <v/>
          </cell>
          <cell r="N1136">
            <v>0</v>
          </cell>
        </row>
        <row r="1137">
          <cell r="A1137">
            <v>17586</v>
          </cell>
          <cell r="B1137" t="str">
            <v>21/10/2019</v>
          </cell>
          <cell r="C1137" t="str">
            <v>SERVICE</v>
          </cell>
          <cell r="D1137" t="str">
            <v>AC maintenance October 2019</v>
          </cell>
          <cell r="E1137" t="str">
            <v>Derek Austin Heating Limited</v>
          </cell>
          <cell r="F1137" t="str">
            <v>Subcontractor</v>
          </cell>
          <cell r="G1137" t="str">
            <v/>
          </cell>
          <cell r="H1137" t="str">
            <v/>
          </cell>
          <cell r="I1137" t="str">
            <v/>
          </cell>
          <cell r="J1137">
            <v>70</v>
          </cell>
          <cell r="K1137">
            <v>14</v>
          </cell>
          <cell r="L1137">
            <v>70</v>
          </cell>
          <cell r="M1137" t="str">
            <v/>
          </cell>
          <cell r="N1137">
            <v>0</v>
          </cell>
        </row>
        <row r="1138">
          <cell r="A1138">
            <v>17575</v>
          </cell>
          <cell r="B1138" t="str">
            <v>18/10/2019</v>
          </cell>
          <cell r="C1138" t="str">
            <v>CALLOUT</v>
          </cell>
          <cell r="D1138" t="str">
            <v>replace heater as per quote</v>
          </cell>
          <cell r="E1138" t="str">
            <v>AEP (NE) LLP</v>
          </cell>
          <cell r="F1138" t="str">
            <v>Subcontractor</v>
          </cell>
          <cell r="G1138" t="str">
            <v/>
          </cell>
          <cell r="H1138" t="str">
            <v/>
          </cell>
          <cell r="I1138" t="str">
            <v/>
          </cell>
          <cell r="J1138">
            <v>77.5</v>
          </cell>
          <cell r="K1138">
            <v>15.5</v>
          </cell>
          <cell r="L1138">
            <v>77.5</v>
          </cell>
          <cell r="M1138" t="str">
            <v/>
          </cell>
          <cell r="N1138">
            <v>0</v>
          </cell>
        </row>
        <row r="1139">
          <cell r="A1139">
            <v>17574</v>
          </cell>
          <cell r="B1139" t="str">
            <v>18/10/2019</v>
          </cell>
          <cell r="C1139" t="str">
            <v>QUOTED</v>
          </cell>
          <cell r="D1139" t="str">
            <v>Abel and Gent specialist to attend and investigate faults on</v>
          </cell>
          <cell r="E1139" t="str">
            <v>Abel Alarm Company Limited</v>
          </cell>
          <cell r="F1139" t="str">
            <v>Subcontractor</v>
          </cell>
          <cell r="G1139" t="str">
            <v/>
          </cell>
          <cell r="H1139" t="str">
            <v/>
          </cell>
          <cell r="I1139" t="str">
            <v/>
          </cell>
          <cell r="J1139">
            <v>1345</v>
          </cell>
          <cell r="K1139">
            <v>269</v>
          </cell>
          <cell r="L1139">
            <v>1345</v>
          </cell>
          <cell r="M1139" t="str">
            <v/>
          </cell>
          <cell r="N1139">
            <v>0</v>
          </cell>
        </row>
        <row r="1140">
          <cell r="A1140">
            <v>17570</v>
          </cell>
          <cell r="B1140" t="str">
            <v>17/10/2019</v>
          </cell>
          <cell r="C1140" t="str">
            <v>C1650</v>
          </cell>
          <cell r="D1140" t="str">
            <v>chlorination</v>
          </cell>
          <cell r="E1140" t="str">
            <v>MSB Hygiene Ltd</v>
          </cell>
          <cell r="F1140" t="str">
            <v>Subcontractor</v>
          </cell>
          <cell r="G1140" t="str">
            <v>17/10/2019</v>
          </cell>
          <cell r="H1140" t="str">
            <v>Complete</v>
          </cell>
          <cell r="I1140" t="str">
            <v/>
          </cell>
          <cell r="J1140">
            <v>0</v>
          </cell>
          <cell r="K1140">
            <v>0</v>
          </cell>
          <cell r="L1140">
            <v>0</v>
          </cell>
          <cell r="M1140" t="str">
            <v/>
          </cell>
          <cell r="N1140">
            <v>0</v>
          </cell>
        </row>
        <row r="1141">
          <cell r="A1141">
            <v>17561</v>
          </cell>
          <cell r="B1141" t="str">
            <v>17/10/2019</v>
          </cell>
          <cell r="C1141" t="str">
            <v>C1616</v>
          </cell>
          <cell r="D1141" t="str">
            <v>Thermal Insulation As Quotation 3202 Rev B</v>
          </cell>
          <cell r="E1141" t="str">
            <v>Thermal Insulation Covers Ltd</v>
          </cell>
          <cell r="F1141" t="str">
            <v>Subcontractor</v>
          </cell>
          <cell r="G1141" t="str">
            <v>23/10/2019</v>
          </cell>
          <cell r="H1141" t="str">
            <v>Complete</v>
          </cell>
          <cell r="I1141" t="str">
            <v/>
          </cell>
          <cell r="J1141">
            <v>44675</v>
          </cell>
          <cell r="K1141">
            <v>8935</v>
          </cell>
          <cell r="L1141">
            <v>44675</v>
          </cell>
          <cell r="M1141" t="str">
            <v/>
          </cell>
          <cell r="N1141">
            <v>0</v>
          </cell>
        </row>
        <row r="1142">
          <cell r="A1142">
            <v>17557</v>
          </cell>
          <cell r="B1142" t="str">
            <v>16/10/2019</v>
          </cell>
          <cell r="C1142" t="str">
            <v>C1651</v>
          </cell>
          <cell r="D1142" t="str">
            <v>Provide all necessary materials, plant and labour to carry o</v>
          </cell>
          <cell r="E1142" t="str">
            <v>Entech Services UK Ltd</v>
          </cell>
          <cell r="F1142" t="str">
            <v>Subcontractor</v>
          </cell>
          <cell r="G1142" t="str">
            <v>28/10/2019</v>
          </cell>
          <cell r="H1142" t="str">
            <v/>
          </cell>
          <cell r="I1142" t="str">
            <v/>
          </cell>
          <cell r="J1142">
            <v>3740</v>
          </cell>
          <cell r="K1142">
            <v>748</v>
          </cell>
          <cell r="L1142">
            <v>3740</v>
          </cell>
          <cell r="M1142" t="str">
            <v/>
          </cell>
          <cell r="N1142">
            <v>0</v>
          </cell>
        </row>
        <row r="1143">
          <cell r="A1143">
            <v>17551</v>
          </cell>
          <cell r="B1143" t="str">
            <v>16/10/2019</v>
          </cell>
          <cell r="C1143" t="str">
            <v>SERVICE</v>
          </cell>
          <cell r="D1143" t="str">
            <v>Carry out AC Maintenance</v>
          </cell>
          <cell r="E1143" t="str">
            <v>Pole to Pole Climate Control Ltd</v>
          </cell>
          <cell r="F1143" t="str">
            <v>Subcontractor</v>
          </cell>
          <cell r="G1143" t="str">
            <v/>
          </cell>
          <cell r="H1143" t="str">
            <v/>
          </cell>
          <cell r="I1143" t="str">
            <v/>
          </cell>
          <cell r="J1143">
            <v>108</v>
          </cell>
          <cell r="K1143">
            <v>21.6</v>
          </cell>
          <cell r="L1143">
            <v>108</v>
          </cell>
          <cell r="M1143" t="str">
            <v/>
          </cell>
          <cell r="N1143">
            <v>0</v>
          </cell>
        </row>
        <row r="1144">
          <cell r="A1144">
            <v>17550</v>
          </cell>
          <cell r="B1144" t="str">
            <v>16/10/2019</v>
          </cell>
          <cell r="C1144" t="str">
            <v>SERVICE</v>
          </cell>
          <cell r="D1144" t="str">
            <v>Carry out Boiler Maintenance</v>
          </cell>
          <cell r="E1144" t="str">
            <v>Pole to Pole Climate Control Ltd</v>
          </cell>
          <cell r="F1144" t="str">
            <v>Subcontractor</v>
          </cell>
          <cell r="G1144" t="str">
            <v/>
          </cell>
          <cell r="H1144" t="str">
            <v/>
          </cell>
          <cell r="I1144" t="str">
            <v/>
          </cell>
          <cell r="J1144">
            <v>275</v>
          </cell>
          <cell r="K1144">
            <v>55</v>
          </cell>
          <cell r="L1144">
            <v>275</v>
          </cell>
          <cell r="M1144" t="str">
            <v/>
          </cell>
          <cell r="N1144">
            <v>0</v>
          </cell>
        </row>
        <row r="1145">
          <cell r="A1145">
            <v>17549</v>
          </cell>
          <cell r="B1145" t="str">
            <v>16/10/2019</v>
          </cell>
          <cell r="C1145" t="str">
            <v>SERVICE</v>
          </cell>
          <cell r="D1145" t="str">
            <v>AC Maintenance October 2019</v>
          </cell>
          <cell r="E1145" t="str">
            <v>Commercial Temperature Solutions</v>
          </cell>
          <cell r="F1145" t="str">
            <v>Subcontractor</v>
          </cell>
          <cell r="G1145" t="str">
            <v/>
          </cell>
          <cell r="H1145" t="str">
            <v/>
          </cell>
          <cell r="I1145" t="str">
            <v/>
          </cell>
          <cell r="J1145">
            <v>330</v>
          </cell>
          <cell r="K1145">
            <v>66</v>
          </cell>
          <cell r="L1145">
            <v>330</v>
          </cell>
          <cell r="M1145" t="str">
            <v/>
          </cell>
          <cell r="N1145">
            <v>0</v>
          </cell>
        </row>
        <row r="1146">
          <cell r="A1146">
            <v>17548</v>
          </cell>
          <cell r="B1146" t="str">
            <v>16/10/2019</v>
          </cell>
          <cell r="C1146" t="str">
            <v>SERVICE</v>
          </cell>
          <cell r="D1146" t="str">
            <v>AC Maintenance October 2019</v>
          </cell>
          <cell r="E1146" t="str">
            <v>Commercial Temperature Solutions</v>
          </cell>
          <cell r="F1146" t="str">
            <v>Subcontractor</v>
          </cell>
          <cell r="G1146" t="str">
            <v/>
          </cell>
          <cell r="H1146" t="str">
            <v/>
          </cell>
          <cell r="I1146" t="str">
            <v/>
          </cell>
          <cell r="J1146">
            <v>130</v>
          </cell>
          <cell r="K1146">
            <v>26</v>
          </cell>
          <cell r="L1146">
            <v>130</v>
          </cell>
          <cell r="M1146" t="str">
            <v/>
          </cell>
          <cell r="N1146">
            <v>0</v>
          </cell>
        </row>
        <row r="1147">
          <cell r="A1147">
            <v>17546</v>
          </cell>
          <cell r="B1147" t="str">
            <v>16/10/2019</v>
          </cell>
          <cell r="C1147" t="str">
            <v>C1597</v>
          </cell>
          <cell r="D1147" t="str">
            <v>Thermal Insulation works as per quote ref: 3214</v>
          </cell>
          <cell r="E1147" t="str">
            <v>Thermal Insulation Covers Ltd</v>
          </cell>
          <cell r="F1147" t="str">
            <v>Subcontractor</v>
          </cell>
          <cell r="G1147" t="str">
            <v>04/11/2019</v>
          </cell>
          <cell r="H1147" t="str">
            <v/>
          </cell>
          <cell r="I1147" t="str">
            <v/>
          </cell>
          <cell r="J1147">
            <v>3222.72</v>
          </cell>
          <cell r="K1147">
            <v>644.54</v>
          </cell>
          <cell r="L1147">
            <v>3222.72</v>
          </cell>
          <cell r="M1147" t="str">
            <v/>
          </cell>
          <cell r="N1147">
            <v>0</v>
          </cell>
        </row>
        <row r="1148">
          <cell r="A1148">
            <v>17545</v>
          </cell>
          <cell r="B1148" t="str">
            <v>16/10/2019</v>
          </cell>
          <cell r="C1148" t="str">
            <v>SERVICE</v>
          </cell>
          <cell r="D1148" t="str">
            <v>Lift maintenance Nov 2019 - Spet</v>
          </cell>
          <cell r="E1148" t="str">
            <v>Ansa Elevators Limited</v>
          </cell>
          <cell r="F1148" t="str">
            <v>Subcontractor</v>
          </cell>
          <cell r="G1148" t="str">
            <v/>
          </cell>
          <cell r="H1148" t="str">
            <v/>
          </cell>
          <cell r="I1148" t="str">
            <v/>
          </cell>
          <cell r="J1148">
            <v>820</v>
          </cell>
          <cell r="K1148">
            <v>164</v>
          </cell>
          <cell r="L1148">
            <v>820</v>
          </cell>
          <cell r="M1148" t="str">
            <v/>
          </cell>
          <cell r="N1148">
            <v>0</v>
          </cell>
        </row>
        <row r="1149">
          <cell r="A1149">
            <v>17539</v>
          </cell>
          <cell r="B1149" t="str">
            <v>14/10/2019</v>
          </cell>
          <cell r="C1149" t="str">
            <v>CALLOUT</v>
          </cell>
          <cell r="D1149" t="str">
            <v>labour only</v>
          </cell>
          <cell r="E1149" t="str">
            <v>Commercial Temperature Solutions</v>
          </cell>
          <cell r="F1149" t="str">
            <v>Subcontractor</v>
          </cell>
          <cell r="G1149" t="str">
            <v/>
          </cell>
          <cell r="H1149" t="str">
            <v/>
          </cell>
          <cell r="I1149" t="str">
            <v/>
          </cell>
          <cell r="J1149">
            <v>180</v>
          </cell>
          <cell r="K1149">
            <v>36</v>
          </cell>
          <cell r="L1149">
            <v>180</v>
          </cell>
          <cell r="M1149" t="str">
            <v/>
          </cell>
          <cell r="N1149">
            <v>0</v>
          </cell>
        </row>
        <row r="1150">
          <cell r="A1150">
            <v>17538</v>
          </cell>
          <cell r="B1150" t="str">
            <v>14/10/2019</v>
          </cell>
          <cell r="C1150" t="str">
            <v>SERVICE</v>
          </cell>
          <cell r="D1150" t="str">
            <v>October L8's</v>
          </cell>
          <cell r="E1150" t="str">
            <v>Commercial Temperature Solutions</v>
          </cell>
          <cell r="F1150" t="str">
            <v>Subcontractor</v>
          </cell>
          <cell r="G1150" t="str">
            <v/>
          </cell>
          <cell r="H1150" t="str">
            <v/>
          </cell>
          <cell r="I1150" t="str">
            <v/>
          </cell>
          <cell r="J1150">
            <v>100</v>
          </cell>
          <cell r="K1150">
            <v>20</v>
          </cell>
          <cell r="L1150">
            <v>100</v>
          </cell>
          <cell r="M1150" t="str">
            <v/>
          </cell>
          <cell r="N1150">
            <v>0</v>
          </cell>
        </row>
        <row r="1151">
          <cell r="A1151">
            <v>17536</v>
          </cell>
          <cell r="B1151" t="str">
            <v>14/10/2019</v>
          </cell>
          <cell r="C1151" t="str">
            <v>QUOTED</v>
          </cell>
          <cell r="D1151" t="str">
            <v>reposition h/l radiant heater as per quote</v>
          </cell>
          <cell r="E1151" t="str">
            <v>J &amp; K Mechanical Limited</v>
          </cell>
          <cell r="F1151" t="str">
            <v>Subcontractor</v>
          </cell>
          <cell r="G1151" t="str">
            <v/>
          </cell>
          <cell r="H1151" t="str">
            <v/>
          </cell>
          <cell r="I1151" t="str">
            <v/>
          </cell>
          <cell r="J1151">
            <v>2885</v>
          </cell>
          <cell r="K1151">
            <v>577</v>
          </cell>
          <cell r="L1151">
            <v>535</v>
          </cell>
          <cell r="M1151" t="str">
            <v/>
          </cell>
          <cell r="N1151">
            <v>2350</v>
          </cell>
        </row>
        <row r="1152">
          <cell r="A1152">
            <v>17532</v>
          </cell>
          <cell r="B1152" t="str">
            <v>14/10/2019</v>
          </cell>
          <cell r="C1152" t="str">
            <v>C1632</v>
          </cell>
          <cell r="D1152" t="str">
            <v>Area of old demountable building</v>
          </cell>
          <cell r="E1152" t="str">
            <v>Asset Surfacing and Construction Limited</v>
          </cell>
          <cell r="F1152" t="str">
            <v>Subcontractor</v>
          </cell>
          <cell r="G1152" t="str">
            <v>28/10/2019</v>
          </cell>
          <cell r="H1152" t="str">
            <v>Complete</v>
          </cell>
          <cell r="I1152" t="str">
            <v/>
          </cell>
          <cell r="J1152">
            <v>31270</v>
          </cell>
          <cell r="K1152">
            <v>6254</v>
          </cell>
          <cell r="L1152">
            <v>50038.96</v>
          </cell>
          <cell r="M1152" t="str">
            <v/>
          </cell>
          <cell r="N1152">
            <v>-18768.96</v>
          </cell>
        </row>
        <row r="1153">
          <cell r="A1153">
            <v>17530</v>
          </cell>
          <cell r="B1153" t="str">
            <v>11/10/2019</v>
          </cell>
          <cell r="C1153" t="str">
            <v>CALLOUT</v>
          </cell>
          <cell r="D1153" t="str">
            <v>clicking nise on heating</v>
          </cell>
          <cell r="E1153" t="str">
            <v>Commercial Temperature Solutions</v>
          </cell>
          <cell r="F1153" t="str">
            <v>Subcontractor</v>
          </cell>
          <cell r="G1153" t="str">
            <v/>
          </cell>
          <cell r="H1153" t="str">
            <v>Part</v>
          </cell>
          <cell r="I1153" t="str">
            <v/>
          </cell>
          <cell r="J1153">
            <v>88</v>
          </cell>
          <cell r="K1153">
            <v>17.600000000000001</v>
          </cell>
          <cell r="L1153">
            <v>88</v>
          </cell>
          <cell r="M1153" t="str">
            <v/>
          </cell>
          <cell r="N1153">
            <v>0</v>
          </cell>
        </row>
        <row r="1154">
          <cell r="A1154">
            <v>17528</v>
          </cell>
          <cell r="B1154" t="str">
            <v>11/10/2019</v>
          </cell>
          <cell r="C1154" t="str">
            <v>CALLOUT</v>
          </cell>
          <cell r="D1154" t="str">
            <v>Supply and replace ballasts as per quote</v>
          </cell>
          <cell r="E1154" t="str">
            <v>Barrie Beard Ltd</v>
          </cell>
          <cell r="F1154" t="str">
            <v>Subcontractor</v>
          </cell>
          <cell r="G1154" t="str">
            <v/>
          </cell>
          <cell r="H1154" t="str">
            <v/>
          </cell>
          <cell r="I1154" t="str">
            <v/>
          </cell>
          <cell r="J1154">
            <v>425</v>
          </cell>
          <cell r="K1154">
            <v>85</v>
          </cell>
          <cell r="L1154">
            <v>425</v>
          </cell>
          <cell r="M1154" t="str">
            <v/>
          </cell>
          <cell r="N1154">
            <v>0</v>
          </cell>
        </row>
        <row r="1155">
          <cell r="A1155">
            <v>17527</v>
          </cell>
          <cell r="B1155" t="str">
            <v>11/10/2019</v>
          </cell>
          <cell r="C1155" t="str">
            <v>CALLOUT</v>
          </cell>
          <cell r="D1155" t="str">
            <v>check elecs to coffee maine</v>
          </cell>
          <cell r="E1155" t="str">
            <v>Key Integrated Services North West Ltd</v>
          </cell>
          <cell r="F1155" t="str">
            <v>Subcontractor</v>
          </cell>
          <cell r="G1155" t="str">
            <v/>
          </cell>
          <cell r="H1155" t="str">
            <v/>
          </cell>
          <cell r="I1155" t="str">
            <v/>
          </cell>
          <cell r="J1155">
            <v>109.9</v>
          </cell>
          <cell r="K1155">
            <v>21.98</v>
          </cell>
          <cell r="L1155">
            <v>109.9</v>
          </cell>
          <cell r="M1155" t="str">
            <v/>
          </cell>
          <cell r="N1155">
            <v>0</v>
          </cell>
        </row>
        <row r="1156">
          <cell r="A1156">
            <v>17524</v>
          </cell>
          <cell r="B1156" t="str">
            <v>10/10/2019</v>
          </cell>
          <cell r="C1156" t="str">
            <v>C1655</v>
          </cell>
          <cell r="D1156" t="str">
            <v>Water sampling to two heating systems as per quote ref: 1926</v>
          </cell>
          <cell r="E1156" t="str">
            <v>MSB Hygiene Ltd</v>
          </cell>
          <cell r="F1156" t="str">
            <v>Subcontractor</v>
          </cell>
          <cell r="G1156" t="str">
            <v>17/10/2019</v>
          </cell>
          <cell r="H1156" t="str">
            <v/>
          </cell>
          <cell r="I1156" t="str">
            <v/>
          </cell>
          <cell r="J1156">
            <v>950</v>
          </cell>
          <cell r="K1156">
            <v>190</v>
          </cell>
          <cell r="L1156">
            <v>950</v>
          </cell>
          <cell r="M1156" t="str">
            <v/>
          </cell>
          <cell r="N1156">
            <v>0</v>
          </cell>
        </row>
        <row r="1157">
          <cell r="A1157">
            <v>17522</v>
          </cell>
          <cell r="B1157" t="str">
            <v>09/10/2019</v>
          </cell>
          <cell r="C1157" t="str">
            <v>CALLOUT</v>
          </cell>
          <cell r="D1157" t="str">
            <v>broken sink tap</v>
          </cell>
          <cell r="E1157" t="str">
            <v>Viabl Ltd T/A Able</v>
          </cell>
          <cell r="F1157" t="str">
            <v>Subcontractor</v>
          </cell>
          <cell r="G1157" t="str">
            <v/>
          </cell>
          <cell r="H1157" t="str">
            <v>Part</v>
          </cell>
          <cell r="I1157" t="str">
            <v/>
          </cell>
          <cell r="J1157">
            <v>189.87</v>
          </cell>
          <cell r="K1157">
            <v>37.97</v>
          </cell>
          <cell r="L1157">
            <v>189.87</v>
          </cell>
          <cell r="M1157" t="str">
            <v/>
          </cell>
          <cell r="N1157">
            <v>0</v>
          </cell>
        </row>
        <row r="1158">
          <cell r="A1158">
            <v>17520</v>
          </cell>
          <cell r="B1158" t="str">
            <v>09/10/2019</v>
          </cell>
          <cell r="C1158" t="str">
            <v>CALLOUT</v>
          </cell>
          <cell r="D1158" t="str">
            <v>replace flood lights</v>
          </cell>
          <cell r="E1158" t="str">
            <v>Key Integrated Services North West Ltd</v>
          </cell>
          <cell r="F1158" t="str">
            <v>Subcontractor</v>
          </cell>
          <cell r="G1158" t="str">
            <v/>
          </cell>
          <cell r="H1158" t="str">
            <v/>
          </cell>
          <cell r="I1158" t="str">
            <v/>
          </cell>
          <cell r="J1158">
            <v>553.48</v>
          </cell>
          <cell r="K1158">
            <v>110.7</v>
          </cell>
          <cell r="L1158">
            <v>553.48</v>
          </cell>
          <cell r="M1158" t="str">
            <v/>
          </cell>
          <cell r="N1158">
            <v>0</v>
          </cell>
        </row>
        <row r="1159">
          <cell r="A1159">
            <v>17519</v>
          </cell>
          <cell r="B1159" t="str">
            <v>09/10/2019</v>
          </cell>
          <cell r="C1159" t="str">
            <v>C1616</v>
          </cell>
          <cell r="D1159" t="str">
            <v>Flushing LTHW Pipework at Coca Cola as per Quotation</v>
          </cell>
          <cell r="E1159" t="str">
            <v>MSB Hygiene Ltd</v>
          </cell>
          <cell r="F1159" t="str">
            <v>Subcontractor</v>
          </cell>
          <cell r="G1159" t="str">
            <v/>
          </cell>
          <cell r="H1159" t="str">
            <v>Complete</v>
          </cell>
          <cell r="I1159" t="str">
            <v/>
          </cell>
          <cell r="J1159">
            <v>0</v>
          </cell>
          <cell r="K1159">
            <v>0</v>
          </cell>
          <cell r="L1159">
            <v>0</v>
          </cell>
          <cell r="M1159" t="str">
            <v/>
          </cell>
          <cell r="N1159">
            <v>0</v>
          </cell>
        </row>
        <row r="1160">
          <cell r="A1160">
            <v>17516</v>
          </cell>
          <cell r="B1160" t="str">
            <v>09/10/2019</v>
          </cell>
          <cell r="C1160" t="str">
            <v>CALLOUT</v>
          </cell>
          <cell r="D1160" t="str">
            <v>lady trapped in lift</v>
          </cell>
          <cell r="E1160" t="str">
            <v>Kone PLC</v>
          </cell>
          <cell r="F1160" t="str">
            <v>Subcontractor</v>
          </cell>
          <cell r="G1160" t="str">
            <v/>
          </cell>
          <cell r="H1160" t="str">
            <v>Complete</v>
          </cell>
          <cell r="I1160" t="str">
            <v/>
          </cell>
          <cell r="J1160">
            <v>0</v>
          </cell>
          <cell r="K1160">
            <v>0</v>
          </cell>
          <cell r="L1160">
            <v>0</v>
          </cell>
          <cell r="M1160" t="str">
            <v/>
          </cell>
          <cell r="N1160">
            <v>0</v>
          </cell>
        </row>
        <row r="1161">
          <cell r="A1161">
            <v>17514</v>
          </cell>
          <cell r="B1161" t="str">
            <v>09/10/2019</v>
          </cell>
          <cell r="C1161" t="str">
            <v>C1652</v>
          </cell>
          <cell r="D1161" t="str">
            <v>Installation of Electrical Servises As per IssuedTender draw</v>
          </cell>
          <cell r="E1161" t="str">
            <v>Key Integrated Services (Electrical) Ltd</v>
          </cell>
          <cell r="F1161" t="str">
            <v>Subcontractor</v>
          </cell>
          <cell r="G1161" t="str">
            <v/>
          </cell>
          <cell r="H1161" t="str">
            <v>Part</v>
          </cell>
          <cell r="I1161" t="str">
            <v>Posted</v>
          </cell>
          <cell r="J1161">
            <v>85295.96</v>
          </cell>
          <cell r="K1161">
            <v>17059.189999999999</v>
          </cell>
          <cell r="L1161">
            <v>83665.11</v>
          </cell>
          <cell r="M1161" t="str">
            <v/>
          </cell>
          <cell r="N1161">
            <v>1630.85</v>
          </cell>
        </row>
        <row r="1162">
          <cell r="A1162">
            <v>17513</v>
          </cell>
          <cell r="B1162" t="str">
            <v>09/10/2019</v>
          </cell>
          <cell r="C1162" t="str">
            <v>C1653</v>
          </cell>
          <cell r="D1162" t="str">
            <v>Strip out of Electrical Services as emailed Quotation</v>
          </cell>
          <cell r="E1162" t="str">
            <v>Key Integrated Services (Electrical) Ltd</v>
          </cell>
          <cell r="F1162" t="str">
            <v>Subcontractor</v>
          </cell>
          <cell r="G1162" t="str">
            <v>09/10/2019</v>
          </cell>
          <cell r="H1162" t="str">
            <v>Part</v>
          </cell>
          <cell r="I1162" t="str">
            <v/>
          </cell>
          <cell r="J1162">
            <v>12875</v>
          </cell>
          <cell r="K1162">
            <v>2575</v>
          </cell>
          <cell r="L1162">
            <v>12875</v>
          </cell>
          <cell r="M1162" t="str">
            <v/>
          </cell>
          <cell r="N1162">
            <v>0</v>
          </cell>
        </row>
        <row r="1163">
          <cell r="A1163">
            <v>17506</v>
          </cell>
          <cell r="B1163" t="str">
            <v>08/10/2019</v>
          </cell>
          <cell r="C1163" t="str">
            <v>CALLOUT</v>
          </cell>
          <cell r="D1163" t="str">
            <v>turn heating on to all floors</v>
          </cell>
          <cell r="E1163" t="str">
            <v>K Gammon Plumbing &amp; Heating Ltd</v>
          </cell>
          <cell r="F1163" t="str">
            <v>Subcontractor</v>
          </cell>
          <cell r="G1163" t="str">
            <v/>
          </cell>
          <cell r="H1163" t="str">
            <v>Part</v>
          </cell>
          <cell r="I1163" t="str">
            <v/>
          </cell>
          <cell r="J1163">
            <v>56</v>
          </cell>
          <cell r="K1163">
            <v>11.2</v>
          </cell>
          <cell r="L1163">
            <v>56</v>
          </cell>
          <cell r="M1163" t="str">
            <v/>
          </cell>
          <cell r="N1163">
            <v>0</v>
          </cell>
        </row>
        <row r="1164">
          <cell r="A1164">
            <v>17500</v>
          </cell>
          <cell r="B1164" t="str">
            <v>07/10/2019</v>
          </cell>
          <cell r="C1164" t="str">
            <v>C1653</v>
          </cell>
          <cell r="D1164" t="str">
            <v>Ductwork strip out</v>
          </cell>
          <cell r="E1164" t="str">
            <v>Firth Sheet Metal Limited</v>
          </cell>
          <cell r="F1164" t="str">
            <v>Subcontractor</v>
          </cell>
          <cell r="G1164" t="str">
            <v/>
          </cell>
          <cell r="H1164" t="str">
            <v>Complete</v>
          </cell>
          <cell r="I1164" t="str">
            <v/>
          </cell>
          <cell r="J1164">
            <v>0</v>
          </cell>
          <cell r="K1164">
            <v>0</v>
          </cell>
          <cell r="L1164">
            <v>0</v>
          </cell>
          <cell r="M1164" t="str">
            <v/>
          </cell>
          <cell r="N1164">
            <v>0</v>
          </cell>
        </row>
        <row r="1165">
          <cell r="A1165">
            <v>17496</v>
          </cell>
          <cell r="B1165" t="str">
            <v>07/10/2019</v>
          </cell>
          <cell r="C1165" t="str">
            <v>C1604</v>
          </cell>
          <cell r="D1165" t="str">
            <v>Pallet store</v>
          </cell>
          <cell r="E1165" t="str">
            <v>Key Integrated Services (Electrical) Ltd</v>
          </cell>
          <cell r="F1165" t="str">
            <v>Subcontractor</v>
          </cell>
          <cell r="G1165" t="str">
            <v/>
          </cell>
          <cell r="H1165" t="str">
            <v/>
          </cell>
          <cell r="I1165" t="str">
            <v/>
          </cell>
          <cell r="J1165">
            <v>992</v>
          </cell>
          <cell r="K1165">
            <v>198.4</v>
          </cell>
          <cell r="L1165">
            <v>992</v>
          </cell>
          <cell r="M1165" t="str">
            <v/>
          </cell>
          <cell r="N1165">
            <v>0</v>
          </cell>
        </row>
        <row r="1166">
          <cell r="A1166">
            <v>17494</v>
          </cell>
          <cell r="B1166" t="str">
            <v>04/10/2019</v>
          </cell>
          <cell r="C1166" t="str">
            <v>CALLOUT</v>
          </cell>
          <cell r="D1166" t="str">
            <v>2 x light bulbs reqd</v>
          </cell>
          <cell r="E1166" t="str">
            <v>Key Integrated Services North West Ltd</v>
          </cell>
          <cell r="F1166" t="str">
            <v>Subcontractor</v>
          </cell>
          <cell r="G1166" t="str">
            <v/>
          </cell>
          <cell r="H1166" t="str">
            <v>Part</v>
          </cell>
          <cell r="I1166" t="str">
            <v/>
          </cell>
          <cell r="J1166">
            <v>153</v>
          </cell>
          <cell r="K1166">
            <v>30.6</v>
          </cell>
          <cell r="L1166">
            <v>0</v>
          </cell>
          <cell r="M1166" t="str">
            <v/>
          </cell>
          <cell r="N1166">
            <v>153</v>
          </cell>
        </row>
        <row r="1167">
          <cell r="A1167">
            <v>17489</v>
          </cell>
          <cell r="B1167" t="str">
            <v>04/10/2019</v>
          </cell>
          <cell r="C1167" t="str">
            <v>C1644</v>
          </cell>
          <cell r="D1167" t="str">
            <v>System Balancing- Out of Hours</v>
          </cell>
          <cell r="E1167" t="str">
            <v>New Era Commissioning Specialists Ltd</v>
          </cell>
          <cell r="F1167" t="str">
            <v>Subcontractor</v>
          </cell>
          <cell r="G1167" t="str">
            <v/>
          </cell>
          <cell r="H1167" t="str">
            <v/>
          </cell>
          <cell r="I1167" t="str">
            <v/>
          </cell>
          <cell r="J1167">
            <v>500</v>
          </cell>
          <cell r="K1167">
            <v>100</v>
          </cell>
          <cell r="L1167">
            <v>500</v>
          </cell>
          <cell r="M1167" t="str">
            <v/>
          </cell>
          <cell r="N1167">
            <v>0</v>
          </cell>
        </row>
        <row r="1168">
          <cell r="A1168">
            <v>17485</v>
          </cell>
          <cell r="B1168" t="str">
            <v>03/10/2019</v>
          </cell>
          <cell r="C1168" t="str">
            <v>CALLOUT</v>
          </cell>
          <cell r="D1168" t="str">
            <v>convert fuse spur to single socket</v>
          </cell>
          <cell r="E1168" t="str">
            <v>Key Integrated Services North West Ltd</v>
          </cell>
          <cell r="F1168" t="str">
            <v>Subcontractor</v>
          </cell>
          <cell r="G1168" t="str">
            <v/>
          </cell>
          <cell r="H1168" t="str">
            <v>Part</v>
          </cell>
          <cell r="I1168" t="str">
            <v/>
          </cell>
          <cell r="J1168">
            <v>170.7</v>
          </cell>
          <cell r="K1168">
            <v>34.14</v>
          </cell>
          <cell r="L1168">
            <v>170.7</v>
          </cell>
          <cell r="M1168" t="str">
            <v/>
          </cell>
          <cell r="N1168">
            <v>0</v>
          </cell>
        </row>
        <row r="1169">
          <cell r="A1169">
            <v>17479</v>
          </cell>
          <cell r="B1169" t="str">
            <v>02/10/2019</v>
          </cell>
          <cell r="C1169" t="str">
            <v>C1635</v>
          </cell>
          <cell r="D1169" t="str">
            <v/>
          </cell>
          <cell r="E1169" t="str">
            <v>Westside Fabrications Limited</v>
          </cell>
          <cell r="F1169" t="str">
            <v>Subcontractor</v>
          </cell>
          <cell r="G1169" t="str">
            <v>06/10/2019</v>
          </cell>
          <cell r="H1169" t="str">
            <v>Part</v>
          </cell>
          <cell r="I1169" t="str">
            <v/>
          </cell>
          <cell r="J1169">
            <v>16365</v>
          </cell>
          <cell r="K1169">
            <v>3273</v>
          </cell>
          <cell r="L1169">
            <v>16584</v>
          </cell>
          <cell r="M1169" t="str">
            <v/>
          </cell>
          <cell r="N1169">
            <v>-219</v>
          </cell>
        </row>
        <row r="1170">
          <cell r="A1170">
            <v>17478</v>
          </cell>
          <cell r="B1170" t="str">
            <v>02/10/2019</v>
          </cell>
          <cell r="C1170" t="str">
            <v>CALLOUT</v>
          </cell>
          <cell r="D1170" t="str">
            <v>odours from pipe</v>
          </cell>
          <cell r="E1170" t="str">
            <v>Viabl Ltd T/A Able</v>
          </cell>
          <cell r="F1170" t="str">
            <v>Subcontractor</v>
          </cell>
          <cell r="G1170" t="str">
            <v/>
          </cell>
          <cell r="H1170" t="str">
            <v>Part</v>
          </cell>
          <cell r="I1170" t="str">
            <v/>
          </cell>
          <cell r="J1170">
            <v>150</v>
          </cell>
          <cell r="K1170">
            <v>30</v>
          </cell>
          <cell r="L1170">
            <v>150</v>
          </cell>
          <cell r="M1170" t="str">
            <v/>
          </cell>
          <cell r="N1170">
            <v>0</v>
          </cell>
        </row>
        <row r="1171">
          <cell r="A1171">
            <v>17475</v>
          </cell>
          <cell r="B1171" t="str">
            <v>02/10/2019</v>
          </cell>
          <cell r="C1171" t="str">
            <v>C1635</v>
          </cell>
          <cell r="D1171" t="str">
            <v/>
          </cell>
          <cell r="E1171" t="str">
            <v>L &amp; M Ventilation Limited</v>
          </cell>
          <cell r="F1171" t="str">
            <v>Subcontractor</v>
          </cell>
          <cell r="G1171" t="str">
            <v>04/10/2019</v>
          </cell>
          <cell r="H1171" t="str">
            <v/>
          </cell>
          <cell r="I1171" t="str">
            <v/>
          </cell>
          <cell r="J1171">
            <v>600</v>
          </cell>
          <cell r="K1171">
            <v>120</v>
          </cell>
          <cell r="L1171">
            <v>600</v>
          </cell>
          <cell r="M1171" t="str">
            <v/>
          </cell>
          <cell r="N1171">
            <v>0</v>
          </cell>
        </row>
        <row r="1172">
          <cell r="A1172">
            <v>17471</v>
          </cell>
          <cell r="B1172" t="str">
            <v>02/10/2019</v>
          </cell>
          <cell r="C1172" t="str">
            <v>QUOTED</v>
          </cell>
          <cell r="D1172" t="str">
            <v>dismantle pipework and fit new pipes as per quote</v>
          </cell>
          <cell r="E1172" t="str">
            <v>AEP (NE) LLP</v>
          </cell>
          <cell r="F1172" t="str">
            <v>Subcontractor</v>
          </cell>
          <cell r="G1172" t="str">
            <v/>
          </cell>
          <cell r="H1172" t="str">
            <v/>
          </cell>
          <cell r="I1172" t="str">
            <v/>
          </cell>
          <cell r="J1172">
            <v>1040.17</v>
          </cell>
          <cell r="K1172">
            <v>208.03</v>
          </cell>
          <cell r="L1172">
            <v>1040.17</v>
          </cell>
          <cell r="M1172" t="str">
            <v/>
          </cell>
          <cell r="N1172">
            <v>0</v>
          </cell>
        </row>
        <row r="1173">
          <cell r="A1173">
            <v>17463</v>
          </cell>
          <cell r="B1173" t="str">
            <v>30/09/2019</v>
          </cell>
          <cell r="C1173" t="str">
            <v>C1604</v>
          </cell>
          <cell r="D1173" t="str">
            <v>New AHU supplies</v>
          </cell>
          <cell r="E1173" t="str">
            <v>Key Integrated Services (Electrical) Ltd</v>
          </cell>
          <cell r="F1173" t="str">
            <v>Subcontractor</v>
          </cell>
          <cell r="G1173" t="str">
            <v/>
          </cell>
          <cell r="H1173" t="str">
            <v/>
          </cell>
          <cell r="I1173" t="str">
            <v/>
          </cell>
          <cell r="J1173">
            <v>6932</v>
          </cell>
          <cell r="K1173">
            <v>1386.4</v>
          </cell>
          <cell r="L1173">
            <v>6932</v>
          </cell>
          <cell r="M1173" t="str">
            <v/>
          </cell>
          <cell r="N1173">
            <v>0</v>
          </cell>
        </row>
        <row r="1174">
          <cell r="A1174">
            <v>17462</v>
          </cell>
          <cell r="B1174" t="str">
            <v>30/09/2019</v>
          </cell>
          <cell r="C1174" t="str">
            <v>C1641</v>
          </cell>
          <cell r="D1174" t="str">
            <v>thermal insulation as per emailed quotation</v>
          </cell>
          <cell r="E1174" t="str">
            <v>Thermal Insulation Covers Ltd</v>
          </cell>
          <cell r="F1174" t="str">
            <v>Subcontractor</v>
          </cell>
          <cell r="G1174" t="str">
            <v>01/10/2019</v>
          </cell>
          <cell r="H1174" t="str">
            <v/>
          </cell>
          <cell r="I1174" t="str">
            <v/>
          </cell>
          <cell r="J1174">
            <v>4513</v>
          </cell>
          <cell r="K1174">
            <v>902.6</v>
          </cell>
          <cell r="L1174">
            <v>4513</v>
          </cell>
          <cell r="M1174" t="str">
            <v/>
          </cell>
          <cell r="N1174">
            <v>0</v>
          </cell>
        </row>
        <row r="1175">
          <cell r="A1175">
            <v>17459</v>
          </cell>
          <cell r="B1175" t="str">
            <v>27/09/2019</v>
          </cell>
          <cell r="C1175" t="str">
            <v>C1625</v>
          </cell>
          <cell r="D1175" t="str">
            <v/>
          </cell>
          <cell r="E1175" t="str">
            <v>Impact Control Systems Ltd</v>
          </cell>
          <cell r="F1175" t="str">
            <v>Subcontractor</v>
          </cell>
          <cell r="G1175" t="str">
            <v>02/10/2019</v>
          </cell>
          <cell r="H1175" t="str">
            <v>Part</v>
          </cell>
          <cell r="I1175" t="str">
            <v/>
          </cell>
          <cell r="J1175">
            <v>450</v>
          </cell>
          <cell r="K1175">
            <v>90</v>
          </cell>
          <cell r="L1175">
            <v>450</v>
          </cell>
          <cell r="M1175" t="str">
            <v/>
          </cell>
          <cell r="N1175">
            <v>0</v>
          </cell>
        </row>
        <row r="1176">
          <cell r="A1176">
            <v>17458</v>
          </cell>
          <cell r="B1176" t="str">
            <v>27/09/2019</v>
          </cell>
          <cell r="C1176" t="str">
            <v>SERVICE</v>
          </cell>
          <cell r="D1176" t="str">
            <v>TAP TEMPS FOR sEPT 2019</v>
          </cell>
          <cell r="E1176" t="str">
            <v>Commercial Temperature Solutions</v>
          </cell>
          <cell r="F1176" t="str">
            <v>Subcontractor</v>
          </cell>
          <cell r="G1176" t="str">
            <v/>
          </cell>
          <cell r="H1176" t="str">
            <v/>
          </cell>
          <cell r="I1176" t="str">
            <v/>
          </cell>
          <cell r="J1176">
            <v>100</v>
          </cell>
          <cell r="K1176">
            <v>20</v>
          </cell>
          <cell r="L1176">
            <v>100</v>
          </cell>
          <cell r="M1176" t="str">
            <v/>
          </cell>
          <cell r="N1176">
            <v>0</v>
          </cell>
        </row>
        <row r="1177">
          <cell r="A1177">
            <v>17457</v>
          </cell>
          <cell r="B1177" t="str">
            <v>27/09/2019</v>
          </cell>
          <cell r="C1177" t="str">
            <v>CALLOUT</v>
          </cell>
          <cell r="D1177" t="str">
            <v>change filter labur only filter onsite</v>
          </cell>
          <cell r="E1177" t="str">
            <v>Commercial Temperature Solutions</v>
          </cell>
          <cell r="F1177" t="str">
            <v>Subcontractor</v>
          </cell>
          <cell r="G1177" t="str">
            <v/>
          </cell>
          <cell r="H1177" t="str">
            <v/>
          </cell>
          <cell r="I1177" t="str">
            <v/>
          </cell>
          <cell r="J1177">
            <v>50</v>
          </cell>
          <cell r="K1177">
            <v>10</v>
          </cell>
          <cell r="L1177">
            <v>50</v>
          </cell>
          <cell r="M1177" t="str">
            <v/>
          </cell>
          <cell r="N1177">
            <v>0</v>
          </cell>
        </row>
        <row r="1178">
          <cell r="A1178">
            <v>17455</v>
          </cell>
          <cell r="B1178" t="str">
            <v>27/09/2019</v>
          </cell>
          <cell r="C1178" t="str">
            <v>C1644</v>
          </cell>
          <cell r="D1178" t="str">
            <v>Insulate supply ductwork to first floor roof void and 1 No e</v>
          </cell>
          <cell r="E1178" t="str">
            <v>Grangewood Insulation Services Ltd</v>
          </cell>
          <cell r="F1178" t="str">
            <v>Subcontractor</v>
          </cell>
          <cell r="G1178" t="str">
            <v/>
          </cell>
          <cell r="H1178" t="str">
            <v/>
          </cell>
          <cell r="I1178" t="str">
            <v/>
          </cell>
          <cell r="J1178">
            <v>1648</v>
          </cell>
          <cell r="K1178">
            <v>329.6</v>
          </cell>
          <cell r="L1178">
            <v>1648</v>
          </cell>
          <cell r="M1178" t="str">
            <v/>
          </cell>
          <cell r="N1178">
            <v>0</v>
          </cell>
        </row>
        <row r="1179">
          <cell r="A1179">
            <v>17454</v>
          </cell>
          <cell r="B1179" t="str">
            <v>27/09/2019</v>
          </cell>
          <cell r="C1179" t="str">
            <v>CALLOUT</v>
          </cell>
          <cell r="D1179" t="str">
            <v>gutering leaking</v>
          </cell>
          <cell r="E1179" t="str">
            <v>Derek Austin Heating Limited</v>
          </cell>
          <cell r="F1179" t="str">
            <v>Subcontractor</v>
          </cell>
          <cell r="G1179" t="str">
            <v/>
          </cell>
          <cell r="H1179" t="str">
            <v>Part</v>
          </cell>
          <cell r="I1179" t="str">
            <v/>
          </cell>
          <cell r="J1179">
            <v>67.5</v>
          </cell>
          <cell r="K1179">
            <v>13.5</v>
          </cell>
          <cell r="L1179">
            <v>67.5</v>
          </cell>
          <cell r="M1179" t="str">
            <v/>
          </cell>
          <cell r="N1179">
            <v>0</v>
          </cell>
        </row>
        <row r="1180">
          <cell r="A1180">
            <v>17453</v>
          </cell>
          <cell r="B1180" t="str">
            <v>27/09/2019</v>
          </cell>
          <cell r="C1180" t="str">
            <v>CALLOUT</v>
          </cell>
          <cell r="D1180" t="str">
            <v>electrical handyman job as per list</v>
          </cell>
          <cell r="E1180" t="str">
            <v>Barrie Beard Ltd</v>
          </cell>
          <cell r="F1180" t="str">
            <v>Subcontractor</v>
          </cell>
          <cell r="G1180" t="str">
            <v/>
          </cell>
          <cell r="H1180" t="str">
            <v>Part</v>
          </cell>
          <cell r="I1180" t="str">
            <v/>
          </cell>
          <cell r="J1180">
            <v>145</v>
          </cell>
          <cell r="K1180">
            <v>29</v>
          </cell>
          <cell r="L1180">
            <v>145</v>
          </cell>
          <cell r="M1180" t="str">
            <v/>
          </cell>
          <cell r="N1180">
            <v>0</v>
          </cell>
        </row>
        <row r="1181">
          <cell r="A1181">
            <v>17452</v>
          </cell>
          <cell r="B1181" t="str">
            <v>27/09/2019</v>
          </cell>
          <cell r="C1181" t="str">
            <v>CALLOUT</v>
          </cell>
          <cell r="D1181" t="str">
            <v>2 x strip lights to be repalced</v>
          </cell>
          <cell r="E1181" t="str">
            <v>Key Integrated Services North West Ltd</v>
          </cell>
          <cell r="F1181" t="str">
            <v>Subcontractor</v>
          </cell>
          <cell r="G1181" t="str">
            <v/>
          </cell>
          <cell r="H1181" t="str">
            <v>Part</v>
          </cell>
          <cell r="I1181" t="str">
            <v/>
          </cell>
          <cell r="J1181">
            <v>168.63</v>
          </cell>
          <cell r="K1181">
            <v>33.729999999999997</v>
          </cell>
          <cell r="L1181">
            <v>168.63</v>
          </cell>
          <cell r="M1181" t="str">
            <v/>
          </cell>
          <cell r="N1181">
            <v>0</v>
          </cell>
        </row>
        <row r="1182">
          <cell r="A1182">
            <v>17451</v>
          </cell>
          <cell r="B1182" t="str">
            <v>27/09/2019</v>
          </cell>
          <cell r="C1182" t="str">
            <v>CALLOUT</v>
          </cell>
          <cell r="D1182" t="str">
            <v>s+f taps as per quote</v>
          </cell>
          <cell r="E1182" t="str">
            <v>Viabl Ltd T/A Able</v>
          </cell>
          <cell r="F1182" t="str">
            <v>Subcontractor</v>
          </cell>
          <cell r="G1182" t="str">
            <v/>
          </cell>
          <cell r="H1182" t="str">
            <v/>
          </cell>
          <cell r="I1182" t="str">
            <v/>
          </cell>
          <cell r="J1182">
            <v>210</v>
          </cell>
          <cell r="K1182">
            <v>42</v>
          </cell>
          <cell r="L1182">
            <v>210</v>
          </cell>
          <cell r="M1182" t="str">
            <v/>
          </cell>
          <cell r="N1182">
            <v>0</v>
          </cell>
        </row>
        <row r="1183">
          <cell r="A1183">
            <v>17445</v>
          </cell>
          <cell r="B1183" t="str">
            <v>26/09/2019</v>
          </cell>
          <cell r="C1183" t="str">
            <v>CALLOUT</v>
          </cell>
          <cell r="D1183" t="str">
            <v>repalce isolator to kiln as per quote to be done w/c 28.10.1</v>
          </cell>
          <cell r="E1183" t="str">
            <v>Key Integrated Services North West Ltd</v>
          </cell>
          <cell r="F1183" t="str">
            <v>Subcontractor</v>
          </cell>
          <cell r="G1183" t="str">
            <v/>
          </cell>
          <cell r="H1183" t="str">
            <v/>
          </cell>
          <cell r="I1183" t="str">
            <v/>
          </cell>
          <cell r="J1183">
            <v>144.88</v>
          </cell>
          <cell r="K1183">
            <v>28.98</v>
          </cell>
          <cell r="L1183">
            <v>144.88</v>
          </cell>
          <cell r="M1183" t="str">
            <v/>
          </cell>
          <cell r="N1183">
            <v>0</v>
          </cell>
        </row>
        <row r="1184">
          <cell r="A1184">
            <v>17443</v>
          </cell>
          <cell r="B1184" t="str">
            <v>25/09/2019</v>
          </cell>
          <cell r="C1184" t="str">
            <v>CALLOUT</v>
          </cell>
          <cell r="D1184" t="str">
            <v>issue with boiler</v>
          </cell>
          <cell r="E1184" t="str">
            <v>Commercial Temperature Solutions</v>
          </cell>
          <cell r="F1184" t="str">
            <v>Subcontractor</v>
          </cell>
          <cell r="G1184" t="str">
            <v/>
          </cell>
          <cell r="H1184" t="str">
            <v>Part</v>
          </cell>
          <cell r="I1184" t="str">
            <v/>
          </cell>
          <cell r="J1184">
            <v>131.1</v>
          </cell>
          <cell r="K1184">
            <v>26.22</v>
          </cell>
          <cell r="L1184">
            <v>131.1</v>
          </cell>
          <cell r="M1184" t="str">
            <v/>
          </cell>
          <cell r="N1184">
            <v>0</v>
          </cell>
        </row>
        <row r="1185">
          <cell r="A1185">
            <v>17442</v>
          </cell>
          <cell r="B1185" t="str">
            <v>25/09/2019</v>
          </cell>
          <cell r="C1185" t="str">
            <v>QUOTED</v>
          </cell>
          <cell r="D1185" t="str">
            <v>install flue for new Vokera boilers x 2</v>
          </cell>
          <cell r="E1185" t="str">
            <v>Jeremias UK Ltd</v>
          </cell>
          <cell r="F1185" t="str">
            <v>Subcontractor</v>
          </cell>
          <cell r="G1185" t="str">
            <v/>
          </cell>
          <cell r="H1185" t="str">
            <v/>
          </cell>
          <cell r="I1185" t="str">
            <v/>
          </cell>
          <cell r="J1185">
            <v>2675</v>
          </cell>
          <cell r="K1185">
            <v>535</v>
          </cell>
          <cell r="L1185">
            <v>2675</v>
          </cell>
          <cell r="M1185" t="str">
            <v/>
          </cell>
          <cell r="N1185">
            <v>0</v>
          </cell>
        </row>
        <row r="1186">
          <cell r="A1186">
            <v>17441</v>
          </cell>
          <cell r="B1186" t="str">
            <v>25/09/2019</v>
          </cell>
          <cell r="C1186" t="str">
            <v>SERVICE</v>
          </cell>
          <cell r="D1186" t="str">
            <v>Planned Maintenance for Oct 2019-Sept 2020</v>
          </cell>
          <cell r="E1186" t="str">
            <v>Automated Building &amp; Energy Controls Ltd</v>
          </cell>
          <cell r="F1186" t="str">
            <v>Subcontractor</v>
          </cell>
          <cell r="G1186" t="str">
            <v/>
          </cell>
          <cell r="H1186" t="str">
            <v/>
          </cell>
          <cell r="I1186" t="str">
            <v/>
          </cell>
          <cell r="J1186">
            <v>450</v>
          </cell>
          <cell r="K1186">
            <v>90</v>
          </cell>
          <cell r="L1186">
            <v>450</v>
          </cell>
          <cell r="M1186" t="str">
            <v/>
          </cell>
          <cell r="N1186">
            <v>0</v>
          </cell>
        </row>
        <row r="1187">
          <cell r="A1187">
            <v>17434</v>
          </cell>
          <cell r="B1187" t="str">
            <v>24/09/2019</v>
          </cell>
          <cell r="C1187" t="str">
            <v>C1604</v>
          </cell>
          <cell r="D1187" t="str">
            <v>Wshoom entrance refurb</v>
          </cell>
          <cell r="E1187" t="str">
            <v>Key Integrated Services (Electrical) Ltd</v>
          </cell>
          <cell r="F1187" t="str">
            <v>Subcontractor</v>
          </cell>
          <cell r="G1187" t="str">
            <v/>
          </cell>
          <cell r="H1187" t="str">
            <v/>
          </cell>
          <cell r="I1187" t="str">
            <v/>
          </cell>
          <cell r="J1187">
            <v>1863.2</v>
          </cell>
          <cell r="K1187">
            <v>372.64</v>
          </cell>
          <cell r="L1187">
            <v>1863.2</v>
          </cell>
          <cell r="M1187" t="str">
            <v/>
          </cell>
          <cell r="N1187">
            <v>0</v>
          </cell>
        </row>
        <row r="1188">
          <cell r="A1188">
            <v>17433</v>
          </cell>
          <cell r="B1188" t="str">
            <v>24/09/2019</v>
          </cell>
          <cell r="C1188" t="str">
            <v>C1604</v>
          </cell>
          <cell r="D1188" t="str">
            <v>4 double sockets</v>
          </cell>
          <cell r="E1188" t="str">
            <v>Key Integrated Services (Electrical) Ltd</v>
          </cell>
          <cell r="F1188" t="str">
            <v>Subcontractor</v>
          </cell>
          <cell r="G1188" t="str">
            <v/>
          </cell>
          <cell r="H1188" t="str">
            <v/>
          </cell>
          <cell r="I1188" t="str">
            <v/>
          </cell>
          <cell r="J1188">
            <v>1750</v>
          </cell>
          <cell r="K1188">
            <v>350</v>
          </cell>
          <cell r="L1188">
            <v>1750</v>
          </cell>
          <cell r="M1188" t="str">
            <v/>
          </cell>
          <cell r="N1188">
            <v>0</v>
          </cell>
        </row>
        <row r="1189">
          <cell r="A1189">
            <v>17431</v>
          </cell>
          <cell r="B1189" t="str">
            <v>24/09/2019</v>
          </cell>
          <cell r="C1189" t="str">
            <v>C1604</v>
          </cell>
          <cell r="D1189" t="str">
            <v>Compressor elec supply</v>
          </cell>
          <cell r="E1189" t="str">
            <v>Key Integrated Services (Electrical) Ltd</v>
          </cell>
          <cell r="F1189" t="str">
            <v>Subcontractor</v>
          </cell>
          <cell r="G1189" t="str">
            <v/>
          </cell>
          <cell r="H1189" t="str">
            <v/>
          </cell>
          <cell r="I1189" t="str">
            <v/>
          </cell>
          <cell r="J1189">
            <v>2090</v>
          </cell>
          <cell r="K1189">
            <v>418</v>
          </cell>
          <cell r="L1189">
            <v>2090</v>
          </cell>
          <cell r="M1189" t="str">
            <v/>
          </cell>
          <cell r="N1189">
            <v>0</v>
          </cell>
        </row>
        <row r="1190">
          <cell r="A1190">
            <v>17427</v>
          </cell>
          <cell r="B1190" t="str">
            <v>24/09/2019</v>
          </cell>
          <cell r="C1190" t="str">
            <v>CALLOUT</v>
          </cell>
          <cell r="D1190" t="str">
            <v>1st floor md office lights faulty</v>
          </cell>
          <cell r="E1190" t="str">
            <v>Derek Austin Heating Limited</v>
          </cell>
          <cell r="F1190" t="str">
            <v>Subcontractor</v>
          </cell>
          <cell r="G1190" t="str">
            <v/>
          </cell>
          <cell r="H1190" t="str">
            <v>Part</v>
          </cell>
          <cell r="I1190" t="str">
            <v/>
          </cell>
          <cell r="J1190">
            <v>140</v>
          </cell>
          <cell r="K1190">
            <v>28</v>
          </cell>
          <cell r="L1190">
            <v>140</v>
          </cell>
          <cell r="M1190" t="str">
            <v/>
          </cell>
          <cell r="N1190">
            <v>0</v>
          </cell>
        </row>
        <row r="1191">
          <cell r="A1191">
            <v>17426</v>
          </cell>
          <cell r="B1191" t="str">
            <v>24/09/2019</v>
          </cell>
          <cell r="C1191" t="str">
            <v>CALLOUT</v>
          </cell>
          <cell r="D1191" t="str">
            <v>replace exp vessel</v>
          </cell>
          <cell r="E1191" t="str">
            <v>K Gammon Plumbing &amp; Heating Ltd</v>
          </cell>
          <cell r="F1191" t="str">
            <v>Subcontractor</v>
          </cell>
          <cell r="G1191" t="str">
            <v/>
          </cell>
          <cell r="H1191" t="str">
            <v/>
          </cell>
          <cell r="I1191" t="str">
            <v/>
          </cell>
          <cell r="J1191">
            <v>438.12</v>
          </cell>
          <cell r="K1191">
            <v>87.62</v>
          </cell>
          <cell r="L1191">
            <v>438.12</v>
          </cell>
          <cell r="M1191" t="str">
            <v/>
          </cell>
          <cell r="N1191">
            <v>0</v>
          </cell>
        </row>
        <row r="1192">
          <cell r="A1192">
            <v>17425</v>
          </cell>
          <cell r="B1192" t="str">
            <v>24/09/2019</v>
          </cell>
          <cell r="C1192" t="str">
            <v>CALLOUT</v>
          </cell>
          <cell r="D1192" t="str">
            <v>urinal in gents toilet leaking</v>
          </cell>
          <cell r="E1192" t="str">
            <v>K Gammon Plumbing &amp; Heating Ltd</v>
          </cell>
          <cell r="F1192" t="str">
            <v>Subcontractor</v>
          </cell>
          <cell r="G1192" t="str">
            <v/>
          </cell>
          <cell r="H1192" t="str">
            <v>Part</v>
          </cell>
          <cell r="I1192" t="str">
            <v/>
          </cell>
          <cell r="J1192">
            <v>59.5</v>
          </cell>
          <cell r="K1192">
            <v>11.9</v>
          </cell>
          <cell r="L1192">
            <v>59.5</v>
          </cell>
          <cell r="M1192" t="str">
            <v/>
          </cell>
          <cell r="N1192">
            <v>0</v>
          </cell>
        </row>
        <row r="1193">
          <cell r="A1193">
            <v>17422</v>
          </cell>
          <cell r="B1193" t="str">
            <v>23/09/2019</v>
          </cell>
          <cell r="C1193" t="str">
            <v>CALLOUT</v>
          </cell>
          <cell r="D1193" t="str">
            <v>Replace various light bulbs</v>
          </cell>
          <cell r="E1193" t="str">
            <v>Barrie Beard Ltd</v>
          </cell>
          <cell r="F1193" t="str">
            <v>Subcontractor</v>
          </cell>
          <cell r="G1193" t="str">
            <v/>
          </cell>
          <cell r="H1193" t="str">
            <v>Part</v>
          </cell>
          <cell r="I1193" t="str">
            <v/>
          </cell>
          <cell r="J1193">
            <v>325</v>
          </cell>
          <cell r="K1193">
            <v>65</v>
          </cell>
          <cell r="L1193">
            <v>325</v>
          </cell>
          <cell r="M1193" t="str">
            <v/>
          </cell>
          <cell r="N1193">
            <v>0</v>
          </cell>
        </row>
        <row r="1194">
          <cell r="A1194">
            <v>17418</v>
          </cell>
          <cell r="B1194" t="str">
            <v>20/09/2019</v>
          </cell>
          <cell r="C1194" t="str">
            <v>CALLOUT</v>
          </cell>
          <cell r="D1194" t="str">
            <v>replace disbaled wc as epr quote</v>
          </cell>
          <cell r="E1194" t="str">
            <v>Viabl Ltd T/A Able</v>
          </cell>
          <cell r="F1194" t="str">
            <v>Subcontractor</v>
          </cell>
          <cell r="G1194" t="str">
            <v/>
          </cell>
          <cell r="H1194" t="str">
            <v/>
          </cell>
          <cell r="I1194" t="str">
            <v/>
          </cell>
          <cell r="J1194">
            <v>649.98</v>
          </cell>
          <cell r="K1194">
            <v>130</v>
          </cell>
          <cell r="L1194">
            <v>649.98</v>
          </cell>
          <cell r="M1194" t="str">
            <v/>
          </cell>
          <cell r="N1194">
            <v>0</v>
          </cell>
        </row>
        <row r="1195">
          <cell r="A1195">
            <v>17407</v>
          </cell>
          <cell r="B1195" t="str">
            <v>19/09/2019</v>
          </cell>
          <cell r="C1195" t="str">
            <v>CALLOUT</v>
          </cell>
          <cell r="D1195" t="str">
            <v>investiagate boiler</v>
          </cell>
          <cell r="E1195" t="str">
            <v>K Gammon Plumbing &amp; Heating Ltd</v>
          </cell>
          <cell r="F1195" t="str">
            <v>Subcontractor</v>
          </cell>
          <cell r="G1195" t="str">
            <v/>
          </cell>
          <cell r="H1195" t="str">
            <v>Part</v>
          </cell>
          <cell r="I1195" t="str">
            <v/>
          </cell>
          <cell r="J1195">
            <v>111.5</v>
          </cell>
          <cell r="K1195">
            <v>22.3</v>
          </cell>
          <cell r="L1195">
            <v>111.5</v>
          </cell>
          <cell r="M1195" t="str">
            <v/>
          </cell>
          <cell r="N1195">
            <v>0</v>
          </cell>
        </row>
        <row r="1196">
          <cell r="A1196">
            <v>17404</v>
          </cell>
          <cell r="B1196" t="str">
            <v>19/09/2019</v>
          </cell>
          <cell r="C1196" t="str">
            <v>C1568</v>
          </cell>
          <cell r="D1196" t="str">
            <v>Make Good External Openings</v>
          </cell>
          <cell r="E1196" t="str">
            <v>Cleveland Construction Northern Ltd</v>
          </cell>
          <cell r="F1196" t="str">
            <v>Subcontractor</v>
          </cell>
          <cell r="G1196" t="str">
            <v/>
          </cell>
          <cell r="H1196" t="str">
            <v/>
          </cell>
          <cell r="I1196" t="str">
            <v/>
          </cell>
          <cell r="J1196">
            <v>1170</v>
          </cell>
          <cell r="K1196">
            <v>234</v>
          </cell>
          <cell r="L1196">
            <v>1170</v>
          </cell>
          <cell r="M1196" t="str">
            <v/>
          </cell>
          <cell r="N1196">
            <v>0</v>
          </cell>
        </row>
        <row r="1197">
          <cell r="A1197">
            <v>17392</v>
          </cell>
          <cell r="B1197" t="str">
            <v>18/09/2019</v>
          </cell>
          <cell r="C1197" t="str">
            <v>C1518</v>
          </cell>
          <cell r="D1197" t="str">
            <v>Wire and connect heater in traywash</v>
          </cell>
          <cell r="E1197" t="str">
            <v>Key Integrated Services (Electrical) Ltd</v>
          </cell>
          <cell r="F1197" t="str">
            <v>Subcontractor</v>
          </cell>
          <cell r="G1197" t="str">
            <v/>
          </cell>
          <cell r="H1197" t="str">
            <v/>
          </cell>
          <cell r="I1197" t="str">
            <v/>
          </cell>
          <cell r="J1197">
            <v>320</v>
          </cell>
          <cell r="K1197">
            <v>64</v>
          </cell>
          <cell r="L1197">
            <v>320</v>
          </cell>
          <cell r="M1197" t="str">
            <v/>
          </cell>
          <cell r="N1197">
            <v>0</v>
          </cell>
        </row>
        <row r="1198">
          <cell r="A1198">
            <v>17390</v>
          </cell>
          <cell r="B1198" t="str">
            <v>18/09/2019</v>
          </cell>
          <cell r="C1198" t="str">
            <v>C1518</v>
          </cell>
          <cell r="D1198" t="str">
            <v>Fit Dado trunking into meeting room, wire &amp; patch in data po</v>
          </cell>
          <cell r="E1198" t="str">
            <v>Key Integrated Services (Electrical) Ltd</v>
          </cell>
          <cell r="F1198" t="str">
            <v>Subcontractor</v>
          </cell>
          <cell r="G1198" t="str">
            <v/>
          </cell>
          <cell r="H1198" t="str">
            <v/>
          </cell>
          <cell r="I1198" t="str">
            <v/>
          </cell>
          <cell r="J1198">
            <v>2365</v>
          </cell>
          <cell r="K1198">
            <v>473</v>
          </cell>
          <cell r="L1198">
            <v>2365</v>
          </cell>
          <cell r="M1198" t="str">
            <v/>
          </cell>
          <cell r="N1198">
            <v>0</v>
          </cell>
        </row>
        <row r="1199">
          <cell r="A1199">
            <v>17389</v>
          </cell>
          <cell r="B1199" t="str">
            <v>18/09/2019</v>
          </cell>
          <cell r="C1199" t="str">
            <v>C1518</v>
          </cell>
          <cell r="D1199" t="str">
            <v>Wire and connect 3 phase fork lift charger</v>
          </cell>
          <cell r="E1199" t="str">
            <v>Key Integrated Services (Electrical) Ltd</v>
          </cell>
          <cell r="F1199" t="str">
            <v>Subcontractor</v>
          </cell>
          <cell r="G1199" t="str">
            <v/>
          </cell>
          <cell r="H1199" t="str">
            <v/>
          </cell>
          <cell r="I1199" t="str">
            <v/>
          </cell>
          <cell r="J1199">
            <v>790</v>
          </cell>
          <cell r="K1199">
            <v>158</v>
          </cell>
          <cell r="L1199">
            <v>790</v>
          </cell>
          <cell r="M1199" t="str">
            <v/>
          </cell>
          <cell r="N1199">
            <v>0</v>
          </cell>
        </row>
        <row r="1200">
          <cell r="A1200">
            <v>17386</v>
          </cell>
          <cell r="B1200" t="str">
            <v>18/09/2019</v>
          </cell>
          <cell r="C1200" t="str">
            <v>CALLOUT</v>
          </cell>
          <cell r="D1200" t="str">
            <v>lift faulty sth building doors not meeting on 1st floor</v>
          </cell>
          <cell r="E1200" t="str">
            <v>Ansa Elevators Limited</v>
          </cell>
          <cell r="F1200" t="str">
            <v>Subcontractor</v>
          </cell>
          <cell r="G1200" t="str">
            <v/>
          </cell>
          <cell r="H1200" t="str">
            <v>Complete</v>
          </cell>
          <cell r="I1200" t="str">
            <v/>
          </cell>
          <cell r="J1200">
            <v>0</v>
          </cell>
          <cell r="K1200">
            <v>0</v>
          </cell>
          <cell r="L1200">
            <v>0</v>
          </cell>
          <cell r="M1200" t="str">
            <v/>
          </cell>
          <cell r="N1200">
            <v>0</v>
          </cell>
        </row>
        <row r="1201">
          <cell r="A1201">
            <v>17385</v>
          </cell>
          <cell r="B1201" t="str">
            <v>17/09/2019</v>
          </cell>
          <cell r="C1201" t="str">
            <v>C1622</v>
          </cell>
          <cell r="D1201" t="str">
            <v>Commissioning</v>
          </cell>
          <cell r="E1201" t="str">
            <v>New Era Commissioning Specialists Ltd</v>
          </cell>
          <cell r="F1201" t="str">
            <v>Subcontractor</v>
          </cell>
          <cell r="G1201" t="str">
            <v/>
          </cell>
          <cell r="H1201" t="str">
            <v>Part</v>
          </cell>
          <cell r="I1201" t="str">
            <v/>
          </cell>
          <cell r="J1201">
            <v>1780</v>
          </cell>
          <cell r="K1201">
            <v>356</v>
          </cell>
          <cell r="L1201">
            <v>1780</v>
          </cell>
          <cell r="M1201" t="str">
            <v/>
          </cell>
          <cell r="N1201">
            <v>0</v>
          </cell>
        </row>
        <row r="1202">
          <cell r="A1202">
            <v>17381</v>
          </cell>
          <cell r="B1202" t="str">
            <v>17/09/2019</v>
          </cell>
          <cell r="C1202" t="str">
            <v>CALLOUT</v>
          </cell>
          <cell r="D1202" t="str">
            <v>Plumber required for 2 issues</v>
          </cell>
          <cell r="E1202" t="str">
            <v>Viabl Ltd T/A Able</v>
          </cell>
          <cell r="F1202" t="str">
            <v>Subcontractor</v>
          </cell>
          <cell r="G1202" t="str">
            <v/>
          </cell>
          <cell r="H1202" t="str">
            <v>Part</v>
          </cell>
          <cell r="I1202" t="str">
            <v/>
          </cell>
          <cell r="J1202">
            <v>165</v>
          </cell>
          <cell r="K1202">
            <v>33</v>
          </cell>
          <cell r="L1202">
            <v>165</v>
          </cell>
          <cell r="M1202" t="str">
            <v/>
          </cell>
          <cell r="N1202">
            <v>0</v>
          </cell>
        </row>
        <row r="1203">
          <cell r="A1203">
            <v>17377</v>
          </cell>
          <cell r="B1203" t="str">
            <v>17/09/2019</v>
          </cell>
          <cell r="C1203" t="str">
            <v>C1518</v>
          </cell>
          <cell r="D1203" t="str">
            <v>PBL Electrical installation</v>
          </cell>
          <cell r="E1203" t="str">
            <v>Key Integrated Services (Electrical) Ltd</v>
          </cell>
          <cell r="F1203" t="str">
            <v>Subcontractor</v>
          </cell>
          <cell r="G1203" t="str">
            <v/>
          </cell>
          <cell r="H1203" t="str">
            <v>Complete</v>
          </cell>
          <cell r="I1203" t="str">
            <v/>
          </cell>
          <cell r="J1203">
            <v>0</v>
          </cell>
          <cell r="K1203">
            <v>0</v>
          </cell>
          <cell r="L1203">
            <v>0</v>
          </cell>
          <cell r="M1203" t="str">
            <v/>
          </cell>
          <cell r="N1203">
            <v>0</v>
          </cell>
        </row>
        <row r="1204">
          <cell r="A1204">
            <v>17367</v>
          </cell>
          <cell r="B1204" t="str">
            <v>16/09/2019</v>
          </cell>
          <cell r="C1204" t="str">
            <v>C1634</v>
          </cell>
          <cell r="D1204" t="str">
            <v>Boiler room ventilation works</v>
          </cell>
          <cell r="E1204" t="str">
            <v>Cougar Mechanical Solutions Limited</v>
          </cell>
          <cell r="F1204" t="str">
            <v>Subcontractor</v>
          </cell>
          <cell r="G1204" t="str">
            <v>09/09/2019</v>
          </cell>
          <cell r="H1204" t="str">
            <v/>
          </cell>
          <cell r="I1204" t="str">
            <v/>
          </cell>
          <cell r="J1204">
            <v>900</v>
          </cell>
          <cell r="K1204">
            <v>180</v>
          </cell>
          <cell r="L1204">
            <v>900</v>
          </cell>
          <cell r="M1204" t="str">
            <v/>
          </cell>
          <cell r="N1204">
            <v>0</v>
          </cell>
        </row>
        <row r="1205">
          <cell r="A1205">
            <v>17362</v>
          </cell>
          <cell r="B1205" t="str">
            <v>13/09/2019</v>
          </cell>
          <cell r="C1205" t="str">
            <v>C1639</v>
          </cell>
          <cell r="D1205" t="str">
            <v>Design, manufacture and install 1No 300mm S/S flue as per qu</v>
          </cell>
          <cell r="E1205" t="str">
            <v>A1 Flue Systems</v>
          </cell>
          <cell r="F1205" t="str">
            <v>Subcontractor</v>
          </cell>
          <cell r="G1205" t="str">
            <v>30/09/2019</v>
          </cell>
          <cell r="H1205" t="str">
            <v/>
          </cell>
          <cell r="I1205" t="str">
            <v/>
          </cell>
          <cell r="J1205">
            <v>8755</v>
          </cell>
          <cell r="K1205">
            <v>1751</v>
          </cell>
          <cell r="L1205">
            <v>8755</v>
          </cell>
          <cell r="M1205" t="str">
            <v/>
          </cell>
          <cell r="N1205">
            <v>0</v>
          </cell>
        </row>
        <row r="1206">
          <cell r="A1206">
            <v>17361</v>
          </cell>
          <cell r="B1206" t="str">
            <v>13/09/2019</v>
          </cell>
          <cell r="C1206" t="str">
            <v>C1573</v>
          </cell>
          <cell r="D1206" t="str">
            <v>Installation work as quotation 2018/KIS/003</v>
          </cell>
          <cell r="E1206" t="str">
            <v>JTL Engineering Ltd</v>
          </cell>
          <cell r="F1206" t="str">
            <v>Subcontractor</v>
          </cell>
          <cell r="G1206" t="str">
            <v>19/09/2019</v>
          </cell>
          <cell r="H1206" t="str">
            <v>Complete</v>
          </cell>
          <cell r="I1206" t="str">
            <v/>
          </cell>
          <cell r="J1206">
            <v>0</v>
          </cell>
          <cell r="K1206">
            <v>0</v>
          </cell>
          <cell r="L1206">
            <v>0</v>
          </cell>
          <cell r="M1206" t="str">
            <v/>
          </cell>
          <cell r="N1206">
            <v>0</v>
          </cell>
        </row>
        <row r="1207">
          <cell r="A1207">
            <v>17360</v>
          </cell>
          <cell r="B1207" t="str">
            <v>13/09/2019</v>
          </cell>
          <cell r="C1207" t="str">
            <v>CALLOUT</v>
          </cell>
          <cell r="D1207" t="str">
            <v>Annual EML test mon 16.9.19</v>
          </cell>
          <cell r="E1207" t="str">
            <v>Key Integrated Services North West Ltd</v>
          </cell>
          <cell r="F1207" t="str">
            <v>Subcontractor</v>
          </cell>
          <cell r="G1207" t="str">
            <v/>
          </cell>
          <cell r="H1207" t="str">
            <v>Part</v>
          </cell>
          <cell r="I1207" t="str">
            <v/>
          </cell>
          <cell r="J1207">
            <v>166.3</v>
          </cell>
          <cell r="K1207">
            <v>33.26</v>
          </cell>
          <cell r="L1207">
            <v>166.3</v>
          </cell>
          <cell r="M1207" t="str">
            <v/>
          </cell>
          <cell r="N1207">
            <v>0</v>
          </cell>
        </row>
        <row r="1208">
          <cell r="A1208">
            <v>17359</v>
          </cell>
          <cell r="B1208" t="str">
            <v>13/09/2019</v>
          </cell>
          <cell r="C1208" t="str">
            <v>CALLOUT</v>
          </cell>
          <cell r="D1208" t="str">
            <v>Fixed wire testing min 15</v>
          </cell>
          <cell r="E1208" t="str">
            <v>Key Integrated Services North West Ltd</v>
          </cell>
          <cell r="F1208" t="str">
            <v>Subcontractor</v>
          </cell>
          <cell r="G1208" t="str">
            <v/>
          </cell>
          <cell r="H1208" t="str">
            <v/>
          </cell>
          <cell r="I1208" t="str">
            <v/>
          </cell>
          <cell r="J1208">
            <v>90</v>
          </cell>
          <cell r="K1208">
            <v>18</v>
          </cell>
          <cell r="L1208">
            <v>90</v>
          </cell>
          <cell r="M1208" t="str">
            <v/>
          </cell>
          <cell r="N1208">
            <v>0</v>
          </cell>
        </row>
        <row r="1209">
          <cell r="A1209">
            <v>17355</v>
          </cell>
          <cell r="B1209" t="str">
            <v>13/09/2019</v>
          </cell>
          <cell r="C1209" t="str">
            <v>C1597</v>
          </cell>
          <cell r="D1209" t="str">
            <v>Prefabricated LLH</v>
          </cell>
          <cell r="E1209" t="str">
            <v>Buckley Plumbing &amp; Mechanical Services</v>
          </cell>
          <cell r="F1209" t="str">
            <v>Subcontractor</v>
          </cell>
          <cell r="G1209" t="str">
            <v>16/09/2019</v>
          </cell>
          <cell r="H1209" t="str">
            <v/>
          </cell>
          <cell r="I1209" t="str">
            <v/>
          </cell>
          <cell r="J1209">
            <v>7841.43</v>
          </cell>
          <cell r="K1209">
            <v>1568.29</v>
          </cell>
          <cell r="L1209">
            <v>7841.43</v>
          </cell>
          <cell r="M1209" t="str">
            <v/>
          </cell>
          <cell r="N1209">
            <v>0</v>
          </cell>
        </row>
        <row r="1210">
          <cell r="A1210">
            <v>17353</v>
          </cell>
          <cell r="B1210" t="str">
            <v>12/09/2019</v>
          </cell>
          <cell r="C1210" t="str">
            <v>CALLOUT</v>
          </cell>
          <cell r="D1210" t="str">
            <v>2nd floor shower light faulty</v>
          </cell>
          <cell r="E1210" t="str">
            <v>Key Integrated Services North West Ltd</v>
          </cell>
          <cell r="F1210" t="str">
            <v>Subcontractor</v>
          </cell>
          <cell r="G1210" t="str">
            <v/>
          </cell>
          <cell r="H1210" t="str">
            <v>Part</v>
          </cell>
          <cell r="I1210" t="str">
            <v/>
          </cell>
          <cell r="J1210">
            <v>166.85</v>
          </cell>
          <cell r="K1210">
            <v>33.369999999999997</v>
          </cell>
          <cell r="L1210">
            <v>166.85</v>
          </cell>
          <cell r="M1210" t="str">
            <v/>
          </cell>
          <cell r="N1210">
            <v>0</v>
          </cell>
        </row>
        <row r="1211">
          <cell r="A1211">
            <v>17352</v>
          </cell>
          <cell r="B1211" t="str">
            <v>12/09/2019</v>
          </cell>
          <cell r="C1211" t="str">
            <v>CALLOUT</v>
          </cell>
          <cell r="D1211" t="str">
            <v>3 hour EML test</v>
          </cell>
          <cell r="E1211" t="str">
            <v>Key Integrated Services North West Ltd</v>
          </cell>
          <cell r="F1211" t="str">
            <v>Subcontractor</v>
          </cell>
          <cell r="G1211" t="str">
            <v/>
          </cell>
          <cell r="H1211" t="str">
            <v>Part</v>
          </cell>
          <cell r="I1211" t="str">
            <v/>
          </cell>
          <cell r="J1211">
            <v>182.55</v>
          </cell>
          <cell r="K1211">
            <v>36.51</v>
          </cell>
          <cell r="L1211">
            <v>182.55</v>
          </cell>
          <cell r="M1211" t="str">
            <v/>
          </cell>
          <cell r="N1211">
            <v>0</v>
          </cell>
        </row>
        <row r="1212">
          <cell r="A1212">
            <v>17351</v>
          </cell>
          <cell r="B1212" t="str">
            <v>12/09/2019</v>
          </cell>
          <cell r="C1212" t="str">
            <v>CALLOUT</v>
          </cell>
          <cell r="D1212" t="str">
            <v>3hr EML test</v>
          </cell>
          <cell r="E1212" t="str">
            <v>Key Integrated Services North West Ltd</v>
          </cell>
          <cell r="F1212" t="str">
            <v>Subcontractor</v>
          </cell>
          <cell r="G1212" t="str">
            <v/>
          </cell>
          <cell r="H1212" t="str">
            <v>Part</v>
          </cell>
          <cell r="I1212" t="str">
            <v/>
          </cell>
          <cell r="J1212">
            <v>292.5</v>
          </cell>
          <cell r="K1212">
            <v>58.5</v>
          </cell>
          <cell r="L1212">
            <v>292.5</v>
          </cell>
          <cell r="M1212" t="str">
            <v/>
          </cell>
          <cell r="N1212">
            <v>0</v>
          </cell>
        </row>
        <row r="1213">
          <cell r="A1213">
            <v>17347</v>
          </cell>
          <cell r="B1213" t="str">
            <v>11/09/2019</v>
          </cell>
          <cell r="C1213" t="str">
            <v>CALLOUT</v>
          </cell>
          <cell r="D1213" t="str">
            <v>Carry out quoted works ref your email dated 05.09.2019</v>
          </cell>
          <cell r="E1213" t="str">
            <v>Key Integrated Services North West Ltd</v>
          </cell>
          <cell r="F1213" t="str">
            <v>Subcontractor</v>
          </cell>
          <cell r="G1213" t="str">
            <v/>
          </cell>
          <cell r="H1213" t="str">
            <v/>
          </cell>
          <cell r="I1213" t="str">
            <v/>
          </cell>
          <cell r="J1213">
            <v>388.8</v>
          </cell>
          <cell r="K1213">
            <v>77.760000000000005</v>
          </cell>
          <cell r="L1213">
            <v>388.8</v>
          </cell>
          <cell r="M1213" t="str">
            <v/>
          </cell>
          <cell r="N1213">
            <v>0</v>
          </cell>
        </row>
        <row r="1214">
          <cell r="A1214">
            <v>17342</v>
          </cell>
          <cell r="B1214" t="str">
            <v>11/09/2019</v>
          </cell>
          <cell r="C1214" t="str">
            <v>C1616</v>
          </cell>
          <cell r="D1214" t="str">
            <v>Thermal Insulation to pipework at Coca Cola</v>
          </cell>
          <cell r="E1214" t="str">
            <v>Thermal Insulation Covers Ltd</v>
          </cell>
          <cell r="F1214" t="str">
            <v>Subcontractor</v>
          </cell>
          <cell r="G1214" t="str">
            <v>16/09/2019</v>
          </cell>
          <cell r="H1214" t="str">
            <v>Part</v>
          </cell>
          <cell r="I1214" t="str">
            <v/>
          </cell>
          <cell r="J1214">
            <v>1215.1400000000001</v>
          </cell>
          <cell r="K1214">
            <v>243.03</v>
          </cell>
          <cell r="L1214">
            <v>1215.1400000000001</v>
          </cell>
          <cell r="M1214" t="str">
            <v/>
          </cell>
          <cell r="N1214">
            <v>0</v>
          </cell>
        </row>
        <row r="1215">
          <cell r="A1215">
            <v>17340</v>
          </cell>
          <cell r="B1215" t="str">
            <v>11/09/2019</v>
          </cell>
          <cell r="C1215" t="str">
            <v>SERVICE</v>
          </cell>
          <cell r="D1215" t="str">
            <v>Fire alarm maintenance 25.6.19 to 24.6.2020 inclusive</v>
          </cell>
          <cell r="E1215" t="str">
            <v>Abel Alarm Company Limited</v>
          </cell>
          <cell r="F1215" t="str">
            <v>Subcontractor</v>
          </cell>
          <cell r="G1215" t="str">
            <v/>
          </cell>
          <cell r="H1215" t="str">
            <v/>
          </cell>
          <cell r="I1215" t="str">
            <v/>
          </cell>
          <cell r="J1215">
            <v>976</v>
          </cell>
          <cell r="K1215">
            <v>195.2</v>
          </cell>
          <cell r="L1215">
            <v>976</v>
          </cell>
          <cell r="M1215" t="str">
            <v/>
          </cell>
          <cell r="N1215">
            <v>0</v>
          </cell>
        </row>
        <row r="1216">
          <cell r="A1216">
            <v>17339</v>
          </cell>
          <cell r="B1216" t="str">
            <v>11/09/2019</v>
          </cell>
          <cell r="C1216" t="str">
            <v>SERVICE</v>
          </cell>
          <cell r="D1216" t="str">
            <v>Fire alarm maintenance 25.6.19 - 24.6.2020 inclusive</v>
          </cell>
          <cell r="E1216" t="str">
            <v>Abel Alarm Company Limited</v>
          </cell>
          <cell r="F1216" t="str">
            <v>Subcontractor</v>
          </cell>
          <cell r="G1216" t="str">
            <v/>
          </cell>
          <cell r="H1216" t="str">
            <v/>
          </cell>
          <cell r="I1216" t="str">
            <v/>
          </cell>
          <cell r="J1216">
            <v>976</v>
          </cell>
          <cell r="K1216">
            <v>195.2</v>
          </cell>
          <cell r="L1216">
            <v>976</v>
          </cell>
          <cell r="M1216" t="str">
            <v/>
          </cell>
          <cell r="N1216">
            <v>0</v>
          </cell>
        </row>
        <row r="1217">
          <cell r="A1217">
            <v>17338</v>
          </cell>
          <cell r="B1217" t="str">
            <v>10/09/2019</v>
          </cell>
          <cell r="C1217" t="str">
            <v>C1593</v>
          </cell>
          <cell r="D1217" t="str">
            <v>Water Chlorination at Len Wright salads</v>
          </cell>
          <cell r="E1217" t="str">
            <v>MSB Hygiene Ltd</v>
          </cell>
          <cell r="F1217" t="str">
            <v>Subcontractor</v>
          </cell>
          <cell r="G1217" t="str">
            <v/>
          </cell>
          <cell r="H1217" t="str">
            <v>Complete</v>
          </cell>
          <cell r="I1217" t="str">
            <v/>
          </cell>
          <cell r="J1217">
            <v>0</v>
          </cell>
          <cell r="K1217">
            <v>0</v>
          </cell>
          <cell r="L1217">
            <v>0</v>
          </cell>
          <cell r="M1217" t="str">
            <v/>
          </cell>
          <cell r="N1217">
            <v>0</v>
          </cell>
        </row>
        <row r="1218">
          <cell r="A1218">
            <v>17336</v>
          </cell>
          <cell r="B1218" t="str">
            <v>10/09/2019</v>
          </cell>
          <cell r="C1218" t="str">
            <v>C1635</v>
          </cell>
          <cell r="D1218" t="str">
            <v>Quotation Reference: E577 Rev 1</v>
          </cell>
          <cell r="E1218" t="str">
            <v>Southern Insulation Solutions Ltd</v>
          </cell>
          <cell r="F1218" t="str">
            <v>Subcontractor</v>
          </cell>
          <cell r="G1218" t="str">
            <v/>
          </cell>
          <cell r="H1218" t="str">
            <v>Part</v>
          </cell>
          <cell r="I1218" t="str">
            <v/>
          </cell>
          <cell r="J1218">
            <v>10140.219999999999</v>
          </cell>
          <cell r="K1218">
            <v>2028.04</v>
          </cell>
          <cell r="L1218">
            <v>10140.219999999999</v>
          </cell>
          <cell r="M1218" t="str">
            <v/>
          </cell>
          <cell r="N1218">
            <v>0</v>
          </cell>
        </row>
        <row r="1219">
          <cell r="A1219">
            <v>17335</v>
          </cell>
          <cell r="B1219" t="str">
            <v>10/09/2019</v>
          </cell>
          <cell r="C1219" t="str">
            <v>CALLOUT</v>
          </cell>
          <cell r="D1219" t="str">
            <v>Replace 2no light fttgs</v>
          </cell>
          <cell r="E1219" t="str">
            <v>Key Integrated Services North West Ltd</v>
          </cell>
          <cell r="F1219" t="str">
            <v>Subcontractor</v>
          </cell>
          <cell r="G1219" t="str">
            <v/>
          </cell>
          <cell r="H1219" t="str">
            <v/>
          </cell>
          <cell r="I1219" t="str">
            <v/>
          </cell>
          <cell r="J1219">
            <v>125.02</v>
          </cell>
          <cell r="K1219">
            <v>25</v>
          </cell>
          <cell r="L1219">
            <v>125.02</v>
          </cell>
          <cell r="M1219" t="str">
            <v/>
          </cell>
          <cell r="N1219">
            <v>0</v>
          </cell>
        </row>
        <row r="1220">
          <cell r="A1220">
            <v>17333</v>
          </cell>
          <cell r="B1220" t="str">
            <v>10/09/2019</v>
          </cell>
          <cell r="C1220" t="str">
            <v>C1644</v>
          </cell>
          <cell r="D1220" t="str">
            <v>Supply labour and all necessary plant tools and equipment to</v>
          </cell>
          <cell r="E1220" t="str">
            <v>Eamonn Reilly</v>
          </cell>
          <cell r="F1220" t="str">
            <v>Subcontractor</v>
          </cell>
          <cell r="G1220" t="str">
            <v>11/09/2019</v>
          </cell>
          <cell r="H1220" t="str">
            <v>Part</v>
          </cell>
          <cell r="I1220" t="str">
            <v/>
          </cell>
          <cell r="J1220">
            <v>1894</v>
          </cell>
          <cell r="K1220">
            <v>378.8</v>
          </cell>
          <cell r="L1220">
            <v>1894</v>
          </cell>
          <cell r="M1220" t="str">
            <v/>
          </cell>
          <cell r="N1220">
            <v>0</v>
          </cell>
        </row>
        <row r="1221">
          <cell r="A1221">
            <v>17332</v>
          </cell>
          <cell r="B1221" t="str">
            <v>10/09/2019</v>
          </cell>
          <cell r="C1221" t="str">
            <v>CALLOUT</v>
          </cell>
          <cell r="D1221" t="str">
            <v>2 x taps to be looked at</v>
          </cell>
          <cell r="E1221" t="str">
            <v>Viabl Ltd T/A Able</v>
          </cell>
          <cell r="F1221" t="str">
            <v>Subcontractor</v>
          </cell>
          <cell r="G1221" t="str">
            <v/>
          </cell>
          <cell r="H1221" t="str">
            <v>Part</v>
          </cell>
          <cell r="I1221" t="str">
            <v/>
          </cell>
          <cell r="J1221">
            <v>376.25</v>
          </cell>
          <cell r="K1221">
            <v>75.25</v>
          </cell>
          <cell r="L1221">
            <v>376.25</v>
          </cell>
          <cell r="M1221" t="str">
            <v/>
          </cell>
          <cell r="N1221">
            <v>0</v>
          </cell>
        </row>
        <row r="1222">
          <cell r="A1222">
            <v>17327</v>
          </cell>
          <cell r="B1222" t="str">
            <v>09/09/2019</v>
          </cell>
          <cell r="C1222" t="str">
            <v>C1632</v>
          </cell>
          <cell r="D1222" t="str">
            <v>Commissioning of Heating Systems</v>
          </cell>
          <cell r="E1222" t="str">
            <v>New Era Commissioning Specialists Ltd</v>
          </cell>
          <cell r="F1222" t="str">
            <v>Subcontractor</v>
          </cell>
          <cell r="G1222" t="str">
            <v/>
          </cell>
          <cell r="H1222" t="str">
            <v/>
          </cell>
          <cell r="I1222" t="str">
            <v/>
          </cell>
          <cell r="J1222">
            <v>450</v>
          </cell>
          <cell r="K1222">
            <v>90</v>
          </cell>
          <cell r="L1222">
            <v>450</v>
          </cell>
          <cell r="M1222" t="str">
            <v/>
          </cell>
          <cell r="N1222">
            <v>0</v>
          </cell>
        </row>
        <row r="1223">
          <cell r="A1223">
            <v>17326</v>
          </cell>
          <cell r="B1223" t="str">
            <v>09/09/2019</v>
          </cell>
          <cell r="C1223" t="str">
            <v>C1568</v>
          </cell>
          <cell r="D1223" t="str">
            <v>supplying all galvanised ductwork and all bracketry and inst</v>
          </cell>
          <cell r="E1223" t="str">
            <v>Cougar Mechanical Solutions Limited</v>
          </cell>
          <cell r="F1223" t="str">
            <v>Subcontractor</v>
          </cell>
          <cell r="G1223" t="str">
            <v/>
          </cell>
          <cell r="H1223" t="str">
            <v/>
          </cell>
          <cell r="I1223" t="str">
            <v/>
          </cell>
          <cell r="J1223">
            <v>1250</v>
          </cell>
          <cell r="K1223">
            <v>250</v>
          </cell>
          <cell r="L1223">
            <v>1250</v>
          </cell>
          <cell r="M1223" t="str">
            <v/>
          </cell>
          <cell r="N1223">
            <v>0</v>
          </cell>
        </row>
        <row r="1224">
          <cell r="A1224">
            <v>17324</v>
          </cell>
          <cell r="B1224" t="str">
            <v>09/09/2019</v>
          </cell>
          <cell r="C1224" t="str">
            <v>C1568</v>
          </cell>
          <cell r="D1224" t="str">
            <v>carrying out commissioning on Wednesday 11th September</v>
          </cell>
          <cell r="E1224" t="str">
            <v>New Era Commissioning Specialists Ltd</v>
          </cell>
          <cell r="F1224" t="str">
            <v>Subcontractor</v>
          </cell>
          <cell r="G1224" t="str">
            <v/>
          </cell>
          <cell r="H1224" t="str">
            <v/>
          </cell>
          <cell r="I1224" t="str">
            <v/>
          </cell>
          <cell r="J1224">
            <v>350</v>
          </cell>
          <cell r="K1224">
            <v>70</v>
          </cell>
          <cell r="L1224">
            <v>350</v>
          </cell>
          <cell r="M1224" t="str">
            <v/>
          </cell>
          <cell r="N1224">
            <v>0</v>
          </cell>
        </row>
        <row r="1225">
          <cell r="A1225">
            <v>17323</v>
          </cell>
          <cell r="B1225" t="str">
            <v>09/09/2019</v>
          </cell>
          <cell r="C1225" t="str">
            <v>CALLOUT</v>
          </cell>
          <cell r="D1225" t="str">
            <v>Attend site toi investigate to blocked toilets</v>
          </cell>
          <cell r="E1225" t="str">
            <v>Viabl Ltd T/A Able</v>
          </cell>
          <cell r="F1225" t="str">
            <v>Subcontractor</v>
          </cell>
          <cell r="G1225" t="str">
            <v/>
          </cell>
          <cell r="H1225" t="str">
            <v/>
          </cell>
          <cell r="I1225" t="str">
            <v/>
          </cell>
          <cell r="J1225">
            <v>153</v>
          </cell>
          <cell r="K1225">
            <v>30.6</v>
          </cell>
          <cell r="L1225">
            <v>153</v>
          </cell>
          <cell r="M1225" t="str">
            <v/>
          </cell>
          <cell r="N1225">
            <v>0</v>
          </cell>
        </row>
        <row r="1226">
          <cell r="A1226">
            <v>17321</v>
          </cell>
          <cell r="B1226" t="str">
            <v>09/09/2019</v>
          </cell>
          <cell r="C1226" t="str">
            <v>C1604</v>
          </cell>
          <cell r="D1226" t="str">
            <v>LED lighting tray wash upstairs</v>
          </cell>
          <cell r="E1226" t="str">
            <v>Key Integrated Services (Electrical) Ltd</v>
          </cell>
          <cell r="F1226" t="str">
            <v>Subcontractor</v>
          </cell>
          <cell r="G1226" t="str">
            <v/>
          </cell>
          <cell r="H1226" t="str">
            <v/>
          </cell>
          <cell r="I1226" t="str">
            <v/>
          </cell>
          <cell r="J1226">
            <v>21140</v>
          </cell>
          <cell r="K1226">
            <v>4228</v>
          </cell>
          <cell r="L1226">
            <v>21140</v>
          </cell>
          <cell r="M1226" t="str">
            <v/>
          </cell>
          <cell r="N1226">
            <v>0</v>
          </cell>
        </row>
        <row r="1227">
          <cell r="A1227">
            <v>17320</v>
          </cell>
          <cell r="B1227" t="str">
            <v>09/09/2019</v>
          </cell>
          <cell r="C1227" t="str">
            <v>C1604</v>
          </cell>
          <cell r="D1227" t="str">
            <v>32A socket to wash room</v>
          </cell>
          <cell r="E1227" t="str">
            <v>Key Integrated Services (Electrical) Ltd</v>
          </cell>
          <cell r="F1227" t="str">
            <v>Subcontractor</v>
          </cell>
          <cell r="G1227" t="str">
            <v/>
          </cell>
          <cell r="H1227" t="str">
            <v/>
          </cell>
          <cell r="I1227" t="str">
            <v/>
          </cell>
          <cell r="J1227">
            <v>1241</v>
          </cell>
          <cell r="K1227">
            <v>248.2</v>
          </cell>
          <cell r="L1227">
            <v>1241</v>
          </cell>
          <cell r="M1227" t="str">
            <v/>
          </cell>
          <cell r="N1227">
            <v>0</v>
          </cell>
        </row>
        <row r="1228">
          <cell r="A1228">
            <v>17311</v>
          </cell>
          <cell r="B1228" t="str">
            <v>06/09/2019</v>
          </cell>
          <cell r="C1228" t="str">
            <v>C1532</v>
          </cell>
          <cell r="D1228" t="str">
            <v>Ductwork modifications as per INV 1061</v>
          </cell>
          <cell r="E1228" t="str">
            <v>Cougar Mechanical Solutions Limited</v>
          </cell>
          <cell r="F1228" t="str">
            <v>Subcontractor</v>
          </cell>
          <cell r="G1228" t="str">
            <v>24/06/2019</v>
          </cell>
          <cell r="H1228" t="str">
            <v>Complete</v>
          </cell>
          <cell r="I1228" t="str">
            <v/>
          </cell>
          <cell r="J1228">
            <v>0</v>
          </cell>
          <cell r="K1228">
            <v>0</v>
          </cell>
          <cell r="L1228">
            <v>0</v>
          </cell>
          <cell r="M1228" t="str">
            <v/>
          </cell>
          <cell r="N1228">
            <v>0</v>
          </cell>
        </row>
        <row r="1229">
          <cell r="A1229">
            <v>17309</v>
          </cell>
          <cell r="B1229" t="str">
            <v>06/09/2019</v>
          </cell>
          <cell r="C1229" t="str">
            <v>C1518</v>
          </cell>
          <cell r="D1229" t="str">
            <v>Traywash lighting upgrades</v>
          </cell>
          <cell r="E1229" t="str">
            <v>Key Integrated Services (Electrical) Ltd</v>
          </cell>
          <cell r="F1229" t="str">
            <v>Subcontractor</v>
          </cell>
          <cell r="G1229" t="str">
            <v/>
          </cell>
          <cell r="H1229" t="str">
            <v/>
          </cell>
          <cell r="I1229" t="str">
            <v/>
          </cell>
          <cell r="J1229">
            <v>11164</v>
          </cell>
          <cell r="K1229">
            <v>2232.8000000000002</v>
          </cell>
          <cell r="L1229">
            <v>11164</v>
          </cell>
          <cell r="M1229" t="str">
            <v/>
          </cell>
          <cell r="N1229">
            <v>0</v>
          </cell>
        </row>
        <row r="1230">
          <cell r="A1230">
            <v>17308</v>
          </cell>
          <cell r="B1230" t="str">
            <v>06/09/2019</v>
          </cell>
          <cell r="C1230" t="str">
            <v>C1518</v>
          </cell>
          <cell r="D1230" t="str">
            <v>Palletisation PC network connection</v>
          </cell>
          <cell r="E1230" t="str">
            <v>Key Integrated Services (Electrical) Ltd</v>
          </cell>
          <cell r="F1230" t="str">
            <v>Subcontractor</v>
          </cell>
          <cell r="G1230" t="str">
            <v/>
          </cell>
          <cell r="H1230" t="str">
            <v/>
          </cell>
          <cell r="I1230" t="str">
            <v/>
          </cell>
          <cell r="J1230">
            <v>1540</v>
          </cell>
          <cell r="K1230">
            <v>308</v>
          </cell>
          <cell r="L1230">
            <v>1540</v>
          </cell>
          <cell r="M1230" t="str">
            <v/>
          </cell>
          <cell r="N1230">
            <v>0</v>
          </cell>
        </row>
        <row r="1231">
          <cell r="A1231">
            <v>17307</v>
          </cell>
          <cell r="B1231" t="str">
            <v>06/09/2019</v>
          </cell>
          <cell r="C1231" t="str">
            <v>C1518</v>
          </cell>
          <cell r="D1231" t="str">
            <v>OS work post removal of boiler</v>
          </cell>
          <cell r="E1231" t="str">
            <v>MSB Hygiene Ltd</v>
          </cell>
          <cell r="F1231" t="str">
            <v>Subcontractor</v>
          </cell>
          <cell r="G1231" t="str">
            <v/>
          </cell>
          <cell r="H1231" t="str">
            <v>Complete</v>
          </cell>
          <cell r="I1231" t="str">
            <v/>
          </cell>
          <cell r="J1231">
            <v>0</v>
          </cell>
          <cell r="K1231">
            <v>0</v>
          </cell>
          <cell r="L1231">
            <v>0</v>
          </cell>
          <cell r="M1231" t="str">
            <v/>
          </cell>
          <cell r="N1231">
            <v>0</v>
          </cell>
        </row>
        <row r="1232">
          <cell r="A1232">
            <v>17306</v>
          </cell>
          <cell r="B1232" t="str">
            <v>06/09/2019</v>
          </cell>
          <cell r="C1232" t="str">
            <v>C1518</v>
          </cell>
          <cell r="D1232" t="str">
            <v>Electrical installation works</v>
          </cell>
          <cell r="E1232" t="str">
            <v>Key Integrated Services (Electrical) Ltd</v>
          </cell>
          <cell r="F1232" t="str">
            <v>Subcontractor</v>
          </cell>
          <cell r="G1232" t="str">
            <v/>
          </cell>
          <cell r="H1232" t="str">
            <v/>
          </cell>
          <cell r="I1232" t="str">
            <v/>
          </cell>
          <cell r="J1232">
            <v>1530</v>
          </cell>
          <cell r="K1232">
            <v>306</v>
          </cell>
          <cell r="L1232">
            <v>1530</v>
          </cell>
          <cell r="M1232" t="str">
            <v/>
          </cell>
          <cell r="N1232">
            <v>0</v>
          </cell>
        </row>
        <row r="1233">
          <cell r="A1233">
            <v>17305</v>
          </cell>
          <cell r="B1233" t="str">
            <v>06/09/2019</v>
          </cell>
          <cell r="C1233" t="str">
            <v>C1518</v>
          </cell>
          <cell r="D1233" t="str">
            <v>Removal of non compliant electrics</v>
          </cell>
          <cell r="E1233" t="str">
            <v>Key Integrated Services (Electrical) Ltd</v>
          </cell>
          <cell r="F1233" t="str">
            <v>Subcontractor</v>
          </cell>
          <cell r="G1233" t="str">
            <v/>
          </cell>
          <cell r="H1233" t="str">
            <v/>
          </cell>
          <cell r="I1233" t="str">
            <v/>
          </cell>
          <cell r="J1233">
            <v>4820</v>
          </cell>
          <cell r="K1233">
            <v>964</v>
          </cell>
          <cell r="L1233">
            <v>4820</v>
          </cell>
          <cell r="M1233" t="str">
            <v/>
          </cell>
          <cell r="N1233">
            <v>0</v>
          </cell>
        </row>
        <row r="1234">
          <cell r="A1234">
            <v>17302</v>
          </cell>
          <cell r="B1234" t="str">
            <v>05/09/2019</v>
          </cell>
          <cell r="C1234" t="str">
            <v>SERVICE</v>
          </cell>
          <cell r="D1234" t="str">
            <v>12 Months PPM (Contract Start Date: Sept 19 to Aug 20)</v>
          </cell>
          <cell r="E1234" t="str">
            <v>Commercial Temperature Solutions</v>
          </cell>
          <cell r="F1234" t="str">
            <v>Subcontractor</v>
          </cell>
          <cell r="G1234" t="str">
            <v/>
          </cell>
          <cell r="H1234" t="str">
            <v/>
          </cell>
          <cell r="I1234" t="str">
            <v/>
          </cell>
          <cell r="J1234">
            <v>2184</v>
          </cell>
          <cell r="K1234">
            <v>436.8</v>
          </cell>
          <cell r="L1234">
            <v>2002</v>
          </cell>
          <cell r="M1234" t="str">
            <v/>
          </cell>
          <cell r="N1234">
            <v>182</v>
          </cell>
        </row>
        <row r="1235">
          <cell r="A1235">
            <v>17301</v>
          </cell>
          <cell r="B1235" t="str">
            <v>05/09/2019</v>
          </cell>
          <cell r="C1235" t="str">
            <v>MC2110</v>
          </cell>
          <cell r="D1235" t="str">
            <v>Carry out 12 Months PPM</v>
          </cell>
          <cell r="E1235" t="str">
            <v>Commercial Temperature Solutions</v>
          </cell>
          <cell r="F1235" t="str">
            <v>Subcontractor</v>
          </cell>
          <cell r="G1235" t="str">
            <v/>
          </cell>
          <cell r="H1235" t="str">
            <v>Part</v>
          </cell>
          <cell r="I1235" t="str">
            <v/>
          </cell>
          <cell r="J1235">
            <v>1700</v>
          </cell>
          <cell r="K1235">
            <v>0</v>
          </cell>
          <cell r="L1235">
            <v>1700</v>
          </cell>
          <cell r="M1235" t="str">
            <v/>
          </cell>
          <cell r="N1235">
            <v>0</v>
          </cell>
        </row>
        <row r="1236">
          <cell r="A1236">
            <v>17292</v>
          </cell>
          <cell r="B1236" t="str">
            <v>04/09/2019</v>
          </cell>
          <cell r="C1236" t="str">
            <v>C1644</v>
          </cell>
          <cell r="D1236" t="str">
            <v>Build and Supply Controls Eclosure c/w inverter drive, IQVIE</v>
          </cell>
          <cell r="E1236" t="str">
            <v>Impact Control Systems Ltd</v>
          </cell>
          <cell r="F1236" t="str">
            <v>Subcontractor</v>
          </cell>
          <cell r="G1236" t="str">
            <v>27/08/2019</v>
          </cell>
          <cell r="H1236" t="str">
            <v>Complete</v>
          </cell>
          <cell r="I1236" t="str">
            <v/>
          </cell>
          <cell r="J1236">
            <v>7794</v>
          </cell>
          <cell r="K1236">
            <v>1558.8</v>
          </cell>
          <cell r="L1236">
            <v>7794</v>
          </cell>
          <cell r="M1236" t="str">
            <v/>
          </cell>
          <cell r="N1236">
            <v>0</v>
          </cell>
        </row>
        <row r="1237">
          <cell r="A1237">
            <v>17290</v>
          </cell>
          <cell r="B1237" t="str">
            <v>04/09/2019</v>
          </cell>
          <cell r="C1237" t="str">
            <v>C1597</v>
          </cell>
          <cell r="D1237" t="str">
            <v>Electrical isolation/disconnections to boiler plant</v>
          </cell>
          <cell r="E1237" t="str">
            <v>Key Integrated Services North West Ltd</v>
          </cell>
          <cell r="F1237" t="str">
            <v>Subcontractor</v>
          </cell>
          <cell r="G1237" t="str">
            <v>05/09/2019</v>
          </cell>
          <cell r="H1237" t="str">
            <v>Part</v>
          </cell>
          <cell r="I1237" t="str">
            <v/>
          </cell>
          <cell r="J1237">
            <v>400</v>
          </cell>
          <cell r="K1237">
            <v>80</v>
          </cell>
          <cell r="L1237">
            <v>400</v>
          </cell>
          <cell r="M1237" t="str">
            <v/>
          </cell>
          <cell r="N1237">
            <v>0</v>
          </cell>
        </row>
        <row r="1238">
          <cell r="A1238">
            <v>17288</v>
          </cell>
          <cell r="B1238" t="str">
            <v>04/09/2019</v>
          </cell>
          <cell r="C1238" t="str">
            <v>CALLOUT</v>
          </cell>
          <cell r="D1238" t="str">
            <v>Carried out Quote Works</v>
          </cell>
          <cell r="E1238" t="str">
            <v>Key Integrated Services North West Ltd</v>
          </cell>
          <cell r="F1238" t="str">
            <v>Subcontractor</v>
          </cell>
          <cell r="G1238" t="str">
            <v/>
          </cell>
          <cell r="H1238" t="str">
            <v/>
          </cell>
          <cell r="I1238" t="str">
            <v/>
          </cell>
          <cell r="J1238">
            <v>332.44</v>
          </cell>
          <cell r="K1238">
            <v>66.489999999999995</v>
          </cell>
          <cell r="L1238">
            <v>332.44</v>
          </cell>
          <cell r="M1238" t="str">
            <v/>
          </cell>
          <cell r="N1238">
            <v>0</v>
          </cell>
        </row>
        <row r="1239">
          <cell r="A1239">
            <v>17278</v>
          </cell>
          <cell r="B1239" t="str">
            <v>03/09/2019</v>
          </cell>
          <cell r="C1239" t="str">
            <v>QUOTED</v>
          </cell>
          <cell r="D1239" t="str">
            <v>Carry out repairs and reseal problematic coping stones your</v>
          </cell>
          <cell r="E1239" t="str">
            <v>Roofing Consultants Ltd</v>
          </cell>
          <cell r="F1239" t="str">
            <v>Subcontractor</v>
          </cell>
          <cell r="G1239" t="str">
            <v/>
          </cell>
          <cell r="H1239" t="str">
            <v/>
          </cell>
          <cell r="I1239" t="str">
            <v/>
          </cell>
          <cell r="J1239">
            <v>5580</v>
          </cell>
          <cell r="K1239">
            <v>1116</v>
          </cell>
          <cell r="L1239">
            <v>5580</v>
          </cell>
          <cell r="M1239" t="str">
            <v/>
          </cell>
          <cell r="N1239">
            <v>0</v>
          </cell>
        </row>
        <row r="1240">
          <cell r="A1240">
            <v>17266</v>
          </cell>
          <cell r="B1240" t="str">
            <v>03/09/2019</v>
          </cell>
          <cell r="C1240" t="str">
            <v>C1634</v>
          </cell>
          <cell r="D1240" t="str">
            <v>LPHW balancing works</v>
          </cell>
          <cell r="E1240" t="str">
            <v>New Era Commissioning Specialists Ltd</v>
          </cell>
          <cell r="F1240" t="str">
            <v>Subcontractor</v>
          </cell>
          <cell r="G1240" t="str">
            <v>24/09/2019</v>
          </cell>
          <cell r="H1240" t="str">
            <v>Complete</v>
          </cell>
          <cell r="I1240" t="str">
            <v/>
          </cell>
          <cell r="J1240">
            <v>0</v>
          </cell>
          <cell r="K1240">
            <v>0</v>
          </cell>
          <cell r="L1240">
            <v>0</v>
          </cell>
          <cell r="M1240" t="str">
            <v/>
          </cell>
          <cell r="N1240">
            <v>0</v>
          </cell>
        </row>
        <row r="1241">
          <cell r="A1241">
            <v>17242</v>
          </cell>
          <cell r="B1241" t="str">
            <v>02/09/2019</v>
          </cell>
          <cell r="C1241" t="str">
            <v>CALLOUT</v>
          </cell>
          <cell r="D1241" t="str">
            <v>Carry out quoted quoted works ref email dated 29.08.2019</v>
          </cell>
          <cell r="E1241" t="str">
            <v>Viabl Ltd T/A Able</v>
          </cell>
          <cell r="F1241" t="str">
            <v>Subcontractor</v>
          </cell>
          <cell r="G1241" t="str">
            <v/>
          </cell>
          <cell r="H1241" t="str">
            <v/>
          </cell>
          <cell r="I1241" t="str">
            <v/>
          </cell>
          <cell r="J1241">
            <v>429.56</v>
          </cell>
          <cell r="K1241">
            <v>85.91</v>
          </cell>
          <cell r="L1241">
            <v>429.56</v>
          </cell>
          <cell r="M1241" t="str">
            <v/>
          </cell>
          <cell r="N1241">
            <v>0</v>
          </cell>
        </row>
        <row r="1242">
          <cell r="A1242">
            <v>17236</v>
          </cell>
          <cell r="B1242" t="str">
            <v>30/08/2019</v>
          </cell>
          <cell r="C1242" t="str">
            <v>SERVICE</v>
          </cell>
          <cell r="D1242" t="str">
            <v>Upgrade 1st Year Maintenance on 5no Lifts</v>
          </cell>
          <cell r="E1242" t="str">
            <v>Kone PLC</v>
          </cell>
          <cell r="F1242" t="str">
            <v>Subcontractor</v>
          </cell>
          <cell r="G1242" t="str">
            <v/>
          </cell>
          <cell r="H1242" t="str">
            <v/>
          </cell>
          <cell r="I1242" t="str">
            <v/>
          </cell>
          <cell r="J1242">
            <v>2000</v>
          </cell>
          <cell r="K1242">
            <v>400</v>
          </cell>
          <cell r="L1242">
            <v>0</v>
          </cell>
          <cell r="M1242" t="str">
            <v/>
          </cell>
          <cell r="N1242">
            <v>2000</v>
          </cell>
        </row>
        <row r="1243">
          <cell r="A1243">
            <v>17223</v>
          </cell>
          <cell r="B1243" t="str">
            <v>29/08/2019</v>
          </cell>
          <cell r="C1243" t="str">
            <v>CALLOUT</v>
          </cell>
          <cell r="D1243" t="str">
            <v>Replace 1no Twin RCD socket within the kitchen</v>
          </cell>
          <cell r="E1243" t="str">
            <v>Key Integrated Services North West Ltd</v>
          </cell>
          <cell r="F1243" t="str">
            <v>Subcontractor</v>
          </cell>
          <cell r="G1243" t="str">
            <v/>
          </cell>
          <cell r="H1243" t="str">
            <v/>
          </cell>
          <cell r="I1243" t="str">
            <v/>
          </cell>
          <cell r="J1243">
            <v>96.8</v>
          </cell>
          <cell r="K1243">
            <v>19.36</v>
          </cell>
          <cell r="L1243">
            <v>96.8</v>
          </cell>
          <cell r="M1243" t="str">
            <v/>
          </cell>
          <cell r="N1243">
            <v>0</v>
          </cell>
        </row>
        <row r="1244">
          <cell r="A1244">
            <v>17219</v>
          </cell>
          <cell r="B1244" t="str">
            <v>28/08/2019</v>
          </cell>
          <cell r="C1244" t="str">
            <v>CALLOUT</v>
          </cell>
          <cell r="D1244" t="str">
            <v>Issue defective doors &amp; program system for additonal users</v>
          </cell>
          <cell r="E1244" t="str">
            <v>Security and Fire Experts Ltd</v>
          </cell>
          <cell r="F1244" t="str">
            <v>Subcontractor</v>
          </cell>
          <cell r="G1244" t="str">
            <v/>
          </cell>
          <cell r="H1244" t="str">
            <v/>
          </cell>
          <cell r="I1244" t="str">
            <v/>
          </cell>
          <cell r="J1244">
            <v>95</v>
          </cell>
          <cell r="K1244">
            <v>19</v>
          </cell>
          <cell r="L1244">
            <v>95</v>
          </cell>
          <cell r="M1244" t="str">
            <v/>
          </cell>
          <cell r="N1244">
            <v>0</v>
          </cell>
        </row>
        <row r="1245">
          <cell r="A1245">
            <v>17213</v>
          </cell>
          <cell r="B1245" t="str">
            <v>28/08/2019</v>
          </cell>
          <cell r="C1245" t="str">
            <v>C1632</v>
          </cell>
          <cell r="D1245" t="str">
            <v>Order</v>
          </cell>
          <cell r="E1245" t="str">
            <v>CK Construction Ltd</v>
          </cell>
          <cell r="F1245" t="str">
            <v>Subcontractor</v>
          </cell>
          <cell r="G1245" t="str">
            <v/>
          </cell>
          <cell r="H1245" t="str">
            <v>Part</v>
          </cell>
          <cell r="I1245" t="str">
            <v/>
          </cell>
          <cell r="J1245">
            <v>2614.88</v>
          </cell>
          <cell r="K1245">
            <v>522.98</v>
          </cell>
          <cell r="L1245">
            <v>2614.88</v>
          </cell>
          <cell r="M1245" t="str">
            <v/>
          </cell>
          <cell r="N1245">
            <v>0</v>
          </cell>
        </row>
        <row r="1246">
          <cell r="A1246">
            <v>17212</v>
          </cell>
          <cell r="B1246" t="str">
            <v>28/08/2019</v>
          </cell>
          <cell r="C1246" t="str">
            <v>SERVICE</v>
          </cell>
          <cell r="D1246" t="str">
            <v>fire extinguisher maintenance (£4.07each) based on 15</v>
          </cell>
          <cell r="E1246" t="str">
            <v>Hoyles Fire + Safety Ltd</v>
          </cell>
          <cell r="F1246" t="str">
            <v>Subcontractor</v>
          </cell>
          <cell r="G1246" t="str">
            <v/>
          </cell>
          <cell r="H1246" t="str">
            <v/>
          </cell>
          <cell r="I1246" t="str">
            <v/>
          </cell>
          <cell r="J1246">
            <v>61.05</v>
          </cell>
          <cell r="K1246">
            <v>12.21</v>
          </cell>
          <cell r="L1246">
            <v>0</v>
          </cell>
          <cell r="M1246" t="str">
            <v/>
          </cell>
          <cell r="N1246">
            <v>61.05</v>
          </cell>
        </row>
        <row r="1247">
          <cell r="A1247">
            <v>17211</v>
          </cell>
          <cell r="B1247" t="str">
            <v>28/08/2019</v>
          </cell>
          <cell r="C1247" t="str">
            <v>SERVICE</v>
          </cell>
          <cell r="D1247" t="str">
            <v>lift maintenance 160.00 per visit x 4</v>
          </cell>
          <cell r="E1247" t="str">
            <v>Ansa Elevators Limited</v>
          </cell>
          <cell r="F1247" t="str">
            <v>Subcontractor</v>
          </cell>
          <cell r="G1247" t="str">
            <v/>
          </cell>
          <cell r="H1247" t="str">
            <v/>
          </cell>
          <cell r="I1247" t="str">
            <v/>
          </cell>
          <cell r="J1247">
            <v>640</v>
          </cell>
          <cell r="K1247">
            <v>128</v>
          </cell>
          <cell r="L1247">
            <v>160</v>
          </cell>
          <cell r="M1247" t="str">
            <v/>
          </cell>
          <cell r="N1247">
            <v>480</v>
          </cell>
        </row>
        <row r="1248">
          <cell r="A1248">
            <v>17210</v>
          </cell>
          <cell r="B1248" t="str">
            <v>28/08/2019</v>
          </cell>
          <cell r="C1248" t="str">
            <v>CALLOUT</v>
          </cell>
          <cell r="D1248" t="str">
            <v>basement resi carpark replace break glass</v>
          </cell>
          <cell r="E1248" t="str">
            <v>Abel Alarm Company Limited</v>
          </cell>
          <cell r="F1248" t="str">
            <v>Subcontractor</v>
          </cell>
          <cell r="G1248" t="str">
            <v/>
          </cell>
          <cell r="H1248" t="str">
            <v/>
          </cell>
          <cell r="I1248" t="str">
            <v/>
          </cell>
          <cell r="J1248">
            <v>103</v>
          </cell>
          <cell r="K1248">
            <v>20.6</v>
          </cell>
          <cell r="L1248">
            <v>103</v>
          </cell>
          <cell r="M1248" t="str">
            <v/>
          </cell>
          <cell r="N1248">
            <v>0</v>
          </cell>
        </row>
        <row r="1249">
          <cell r="A1249">
            <v>17206</v>
          </cell>
          <cell r="B1249" t="str">
            <v>27/08/2019</v>
          </cell>
          <cell r="C1249" t="str">
            <v>SERVICE</v>
          </cell>
          <cell r="D1249" t="str">
            <v>12 Months Maintenance Contract</v>
          </cell>
          <cell r="E1249" t="str">
            <v>Derek Austin Heating Limited</v>
          </cell>
          <cell r="F1249" t="str">
            <v>Subcontractor</v>
          </cell>
          <cell r="G1249" t="str">
            <v/>
          </cell>
          <cell r="H1249" t="str">
            <v/>
          </cell>
          <cell r="I1249" t="str">
            <v/>
          </cell>
          <cell r="J1249">
            <v>1642.5</v>
          </cell>
          <cell r="K1249">
            <v>328.5</v>
          </cell>
          <cell r="L1249">
            <v>120</v>
          </cell>
          <cell r="M1249" t="str">
            <v/>
          </cell>
          <cell r="N1249">
            <v>1522.5</v>
          </cell>
        </row>
        <row r="1250">
          <cell r="A1250">
            <v>17201</v>
          </cell>
          <cell r="B1250" t="str">
            <v>27/08/2019</v>
          </cell>
          <cell r="C1250" t="str">
            <v>SERVICE</v>
          </cell>
          <cell r="D1250" t="str">
            <v>ac maintenance</v>
          </cell>
          <cell r="E1250" t="str">
            <v>Commercial Temperature Solutions</v>
          </cell>
          <cell r="F1250" t="str">
            <v>Subcontractor</v>
          </cell>
          <cell r="G1250" t="str">
            <v/>
          </cell>
          <cell r="H1250" t="str">
            <v/>
          </cell>
          <cell r="I1250" t="str">
            <v/>
          </cell>
          <cell r="J1250">
            <v>175</v>
          </cell>
          <cell r="K1250">
            <v>35</v>
          </cell>
          <cell r="L1250">
            <v>175</v>
          </cell>
          <cell r="M1250" t="str">
            <v/>
          </cell>
          <cell r="N1250">
            <v>0</v>
          </cell>
        </row>
        <row r="1251">
          <cell r="A1251">
            <v>17200</v>
          </cell>
          <cell r="B1251" t="str">
            <v>27/08/2019</v>
          </cell>
          <cell r="C1251" t="str">
            <v>SERVICE</v>
          </cell>
          <cell r="D1251" t="str">
            <v>ac maintenance aug 2019 2 units</v>
          </cell>
          <cell r="E1251" t="str">
            <v>Commercial Temperature Solutions</v>
          </cell>
          <cell r="F1251" t="str">
            <v>Subcontractor</v>
          </cell>
          <cell r="G1251" t="str">
            <v/>
          </cell>
          <cell r="H1251" t="str">
            <v/>
          </cell>
          <cell r="I1251" t="str">
            <v/>
          </cell>
          <cell r="J1251">
            <v>50</v>
          </cell>
          <cell r="K1251">
            <v>10</v>
          </cell>
          <cell r="L1251">
            <v>50</v>
          </cell>
          <cell r="M1251" t="str">
            <v/>
          </cell>
          <cell r="N1251">
            <v>0</v>
          </cell>
        </row>
        <row r="1252">
          <cell r="A1252">
            <v>17191</v>
          </cell>
          <cell r="B1252" t="str">
            <v>27/08/2019</v>
          </cell>
          <cell r="C1252" t="str">
            <v>C1632</v>
          </cell>
          <cell r="D1252" t="str">
            <v>Fixed Access Scaffolding to Chimney</v>
          </cell>
          <cell r="E1252" t="str">
            <v>Climax Scaffolding Limited</v>
          </cell>
          <cell r="F1252" t="str">
            <v>Subcontractor</v>
          </cell>
          <cell r="G1252" t="str">
            <v/>
          </cell>
          <cell r="H1252" t="str">
            <v/>
          </cell>
          <cell r="I1252" t="str">
            <v/>
          </cell>
          <cell r="J1252">
            <v>1286</v>
          </cell>
          <cell r="K1252">
            <v>257.2</v>
          </cell>
          <cell r="L1252">
            <v>1286</v>
          </cell>
          <cell r="M1252" t="str">
            <v/>
          </cell>
          <cell r="N1252">
            <v>0</v>
          </cell>
        </row>
        <row r="1253">
          <cell r="A1253">
            <v>17190</v>
          </cell>
          <cell r="B1253" t="str">
            <v>27/08/2019</v>
          </cell>
          <cell r="C1253" t="str">
            <v>SERVICE</v>
          </cell>
          <cell r="D1253" t="str">
            <v>Investigate issue CCTV</v>
          </cell>
          <cell r="E1253" t="str">
            <v>Security and Fire Experts Ltd</v>
          </cell>
          <cell r="F1253" t="str">
            <v>Subcontractor</v>
          </cell>
          <cell r="G1253" t="str">
            <v/>
          </cell>
          <cell r="H1253" t="str">
            <v>Complete</v>
          </cell>
          <cell r="I1253" t="str">
            <v/>
          </cell>
          <cell r="J1253">
            <v>0</v>
          </cell>
          <cell r="K1253">
            <v>0</v>
          </cell>
          <cell r="L1253">
            <v>0</v>
          </cell>
          <cell r="M1253" t="str">
            <v/>
          </cell>
          <cell r="N1253">
            <v>0</v>
          </cell>
        </row>
        <row r="1254">
          <cell r="A1254">
            <v>17182</v>
          </cell>
          <cell r="B1254" t="str">
            <v>22/08/2019</v>
          </cell>
          <cell r="C1254" t="str">
            <v>CALLOUT</v>
          </cell>
          <cell r="D1254" t="str">
            <v>5 x light bulbs/tubes to be replaced</v>
          </cell>
          <cell r="E1254" t="str">
            <v>Viabl Ltd T/A Able</v>
          </cell>
          <cell r="F1254" t="str">
            <v>Subcontractor</v>
          </cell>
          <cell r="G1254" t="str">
            <v/>
          </cell>
          <cell r="H1254" t="str">
            <v>Part</v>
          </cell>
          <cell r="I1254" t="str">
            <v/>
          </cell>
          <cell r="J1254">
            <v>117</v>
          </cell>
          <cell r="K1254">
            <v>23.4</v>
          </cell>
          <cell r="L1254">
            <v>117</v>
          </cell>
          <cell r="M1254" t="str">
            <v/>
          </cell>
          <cell r="N1254">
            <v>0</v>
          </cell>
        </row>
        <row r="1255">
          <cell r="A1255">
            <v>17181</v>
          </cell>
          <cell r="B1255" t="str">
            <v>22/08/2019</v>
          </cell>
          <cell r="C1255" t="str">
            <v>SERVICE</v>
          </cell>
          <cell r="D1255" t="str">
            <v>montly L8 4th floor only</v>
          </cell>
          <cell r="E1255" t="str">
            <v>Commercial Temperature Solutions</v>
          </cell>
          <cell r="F1255" t="str">
            <v>Subcontractor</v>
          </cell>
          <cell r="G1255" t="str">
            <v/>
          </cell>
          <cell r="H1255" t="str">
            <v/>
          </cell>
          <cell r="I1255" t="str">
            <v/>
          </cell>
          <cell r="J1255">
            <v>100</v>
          </cell>
          <cell r="K1255">
            <v>20</v>
          </cell>
          <cell r="L1255">
            <v>100</v>
          </cell>
          <cell r="M1255" t="str">
            <v/>
          </cell>
          <cell r="N1255">
            <v>0</v>
          </cell>
        </row>
        <row r="1256">
          <cell r="A1256">
            <v>17178</v>
          </cell>
          <cell r="B1256" t="str">
            <v>22/08/2019</v>
          </cell>
          <cell r="C1256" t="str">
            <v>SERVICE</v>
          </cell>
          <cell r="D1256" t="str">
            <v>CHW Samples - Strength &amp; % Glycol in system/Type of inhibito</v>
          </cell>
          <cell r="E1256" t="str">
            <v>Switchsafe Environmental</v>
          </cell>
          <cell r="F1256" t="str">
            <v>Subcontractor</v>
          </cell>
          <cell r="G1256" t="str">
            <v/>
          </cell>
          <cell r="H1256" t="str">
            <v/>
          </cell>
          <cell r="I1256" t="str">
            <v/>
          </cell>
          <cell r="J1256">
            <v>200</v>
          </cell>
          <cell r="K1256">
            <v>40</v>
          </cell>
          <cell r="L1256">
            <v>200</v>
          </cell>
          <cell r="M1256" t="str">
            <v/>
          </cell>
          <cell r="N1256">
            <v>0</v>
          </cell>
        </row>
        <row r="1257">
          <cell r="A1257">
            <v>17175</v>
          </cell>
          <cell r="B1257" t="str">
            <v>22/08/2019</v>
          </cell>
          <cell r="C1257" t="str">
            <v>SERVICE</v>
          </cell>
          <cell r="D1257" t="str">
            <v>AC Maintenance AUG 2019</v>
          </cell>
          <cell r="E1257" t="str">
            <v>Commercial Temperature Solutions</v>
          </cell>
          <cell r="F1257" t="str">
            <v>Subcontractor</v>
          </cell>
          <cell r="G1257" t="str">
            <v/>
          </cell>
          <cell r="H1257" t="str">
            <v/>
          </cell>
          <cell r="I1257" t="str">
            <v/>
          </cell>
          <cell r="J1257">
            <v>150</v>
          </cell>
          <cell r="K1257">
            <v>30</v>
          </cell>
          <cell r="L1257">
            <v>150</v>
          </cell>
          <cell r="M1257" t="str">
            <v/>
          </cell>
          <cell r="N1257">
            <v>0</v>
          </cell>
        </row>
        <row r="1258">
          <cell r="A1258">
            <v>17174</v>
          </cell>
          <cell r="B1258" t="str">
            <v>22/08/2019</v>
          </cell>
          <cell r="C1258" t="str">
            <v>SERVICE</v>
          </cell>
          <cell r="D1258" t="str">
            <v>AC Maintenance Aug 2019</v>
          </cell>
          <cell r="E1258" t="str">
            <v>Commercial Temperature Solutions</v>
          </cell>
          <cell r="F1258" t="str">
            <v>Subcontractor</v>
          </cell>
          <cell r="G1258" t="str">
            <v/>
          </cell>
          <cell r="H1258" t="str">
            <v/>
          </cell>
          <cell r="I1258" t="str">
            <v/>
          </cell>
          <cell r="J1258">
            <v>25</v>
          </cell>
          <cell r="K1258">
            <v>5</v>
          </cell>
          <cell r="L1258">
            <v>25</v>
          </cell>
          <cell r="M1258" t="str">
            <v/>
          </cell>
          <cell r="N1258">
            <v>0</v>
          </cell>
        </row>
        <row r="1259">
          <cell r="A1259">
            <v>17173</v>
          </cell>
          <cell r="B1259" t="str">
            <v>22/08/2019</v>
          </cell>
          <cell r="C1259" t="str">
            <v>SERVICE</v>
          </cell>
          <cell r="D1259" t="str">
            <v>AC Maintenance Aug 2019</v>
          </cell>
          <cell r="E1259" t="str">
            <v>Commercial Temperature Solutions</v>
          </cell>
          <cell r="F1259" t="str">
            <v>Subcontractor</v>
          </cell>
          <cell r="G1259" t="str">
            <v/>
          </cell>
          <cell r="H1259" t="str">
            <v/>
          </cell>
          <cell r="I1259" t="str">
            <v/>
          </cell>
          <cell r="J1259">
            <v>25</v>
          </cell>
          <cell r="K1259">
            <v>5</v>
          </cell>
          <cell r="L1259">
            <v>25</v>
          </cell>
          <cell r="M1259" t="str">
            <v/>
          </cell>
          <cell r="N1259">
            <v>0</v>
          </cell>
        </row>
        <row r="1260">
          <cell r="A1260">
            <v>17172</v>
          </cell>
          <cell r="B1260" t="str">
            <v>22/08/2019</v>
          </cell>
          <cell r="C1260" t="str">
            <v>QUOTED</v>
          </cell>
          <cell r="D1260" t="str">
            <v>replace 4 x keyswitches as per quote</v>
          </cell>
          <cell r="E1260" t="str">
            <v>Barrie Beard Ltd</v>
          </cell>
          <cell r="F1260" t="str">
            <v>Subcontractor</v>
          </cell>
          <cell r="G1260" t="str">
            <v/>
          </cell>
          <cell r="H1260" t="str">
            <v/>
          </cell>
          <cell r="I1260" t="str">
            <v/>
          </cell>
          <cell r="J1260">
            <v>183.5</v>
          </cell>
          <cell r="K1260">
            <v>36.700000000000003</v>
          </cell>
          <cell r="L1260">
            <v>183.5</v>
          </cell>
          <cell r="M1260" t="str">
            <v/>
          </cell>
          <cell r="N1260">
            <v>0</v>
          </cell>
        </row>
        <row r="1261">
          <cell r="A1261">
            <v>17169</v>
          </cell>
          <cell r="B1261" t="str">
            <v>22/08/2019</v>
          </cell>
          <cell r="C1261" t="str">
            <v>QUOTED</v>
          </cell>
          <cell r="D1261" t="str">
            <v>EML remedial works</v>
          </cell>
          <cell r="E1261" t="str">
            <v>Barrie Beard Ltd</v>
          </cell>
          <cell r="F1261" t="str">
            <v>Subcontractor</v>
          </cell>
          <cell r="G1261" t="str">
            <v/>
          </cell>
          <cell r="H1261" t="str">
            <v/>
          </cell>
          <cell r="I1261" t="str">
            <v/>
          </cell>
          <cell r="J1261">
            <v>3874.8</v>
          </cell>
          <cell r="K1261">
            <v>774.96</v>
          </cell>
          <cell r="L1261">
            <v>3874.8</v>
          </cell>
          <cell r="M1261" t="str">
            <v/>
          </cell>
          <cell r="N1261">
            <v>0</v>
          </cell>
        </row>
        <row r="1262">
          <cell r="A1262">
            <v>17168</v>
          </cell>
          <cell r="B1262" t="str">
            <v>21/08/2019</v>
          </cell>
          <cell r="C1262" t="str">
            <v>C1635</v>
          </cell>
          <cell r="D1262" t="str">
            <v/>
          </cell>
          <cell r="E1262" t="str">
            <v>L &amp; M Ventilation Limited</v>
          </cell>
          <cell r="F1262" t="str">
            <v>Subcontractor</v>
          </cell>
          <cell r="G1262" t="str">
            <v>26/08/2019</v>
          </cell>
          <cell r="H1262" t="str">
            <v/>
          </cell>
          <cell r="I1262" t="str">
            <v/>
          </cell>
          <cell r="J1262">
            <v>9190</v>
          </cell>
          <cell r="K1262">
            <v>1838</v>
          </cell>
          <cell r="L1262">
            <v>9190</v>
          </cell>
          <cell r="M1262" t="str">
            <v/>
          </cell>
          <cell r="N1262">
            <v>0</v>
          </cell>
        </row>
        <row r="1263">
          <cell r="A1263">
            <v>17167</v>
          </cell>
          <cell r="B1263" t="str">
            <v>21/08/2019</v>
          </cell>
          <cell r="C1263" t="str">
            <v>C1608</v>
          </cell>
          <cell r="D1263" t="str">
            <v/>
          </cell>
          <cell r="E1263" t="str">
            <v>L &amp; M Ventilation Limited</v>
          </cell>
          <cell r="F1263" t="str">
            <v>Subcontractor</v>
          </cell>
          <cell r="G1263" t="str">
            <v>26/08/2019</v>
          </cell>
          <cell r="H1263" t="str">
            <v>Part</v>
          </cell>
          <cell r="I1263" t="str">
            <v/>
          </cell>
          <cell r="J1263">
            <v>6070</v>
          </cell>
          <cell r="K1263">
            <v>1214</v>
          </cell>
          <cell r="L1263">
            <v>6070</v>
          </cell>
          <cell r="M1263" t="str">
            <v/>
          </cell>
          <cell r="N1263">
            <v>0</v>
          </cell>
        </row>
        <row r="1264">
          <cell r="A1264">
            <v>17157</v>
          </cell>
          <cell r="B1264" t="str">
            <v>21/08/2019</v>
          </cell>
          <cell r="C1264" t="str">
            <v>C1634</v>
          </cell>
          <cell r="D1264" t="str">
            <v>Water treatment works as per quote ref: 19208</v>
          </cell>
          <cell r="E1264" t="str">
            <v>MSB Hygiene Ltd</v>
          </cell>
          <cell r="F1264" t="str">
            <v>Subcontractor</v>
          </cell>
          <cell r="G1264" t="str">
            <v>21/08/2019</v>
          </cell>
          <cell r="H1264" t="str">
            <v/>
          </cell>
          <cell r="I1264" t="str">
            <v/>
          </cell>
          <cell r="J1264">
            <v>2375</v>
          </cell>
          <cell r="K1264">
            <v>475</v>
          </cell>
          <cell r="L1264">
            <v>2375</v>
          </cell>
          <cell r="M1264" t="str">
            <v/>
          </cell>
          <cell r="N1264">
            <v>0</v>
          </cell>
        </row>
        <row r="1265">
          <cell r="A1265">
            <v>17147</v>
          </cell>
          <cell r="B1265" t="str">
            <v>20/08/2019</v>
          </cell>
          <cell r="C1265" t="str">
            <v>C1632</v>
          </cell>
          <cell r="D1265" t="str">
            <v/>
          </cell>
          <cell r="E1265" t="str">
            <v>Primary Water Treatments</v>
          </cell>
          <cell r="F1265" t="str">
            <v>Subcontractor</v>
          </cell>
          <cell r="G1265" t="str">
            <v>29/08/2019</v>
          </cell>
          <cell r="H1265" t="str">
            <v/>
          </cell>
          <cell r="I1265" t="str">
            <v>Posted</v>
          </cell>
          <cell r="J1265">
            <v>3125</v>
          </cell>
          <cell r="K1265">
            <v>625</v>
          </cell>
          <cell r="L1265">
            <v>2585</v>
          </cell>
          <cell r="M1265" t="str">
            <v/>
          </cell>
          <cell r="N1265">
            <v>540</v>
          </cell>
        </row>
        <row r="1266">
          <cell r="A1266">
            <v>17144</v>
          </cell>
          <cell r="B1266" t="str">
            <v>20/08/2019</v>
          </cell>
          <cell r="C1266" t="str">
            <v>C1632</v>
          </cell>
          <cell r="D1266" t="str">
            <v>To carry out boxing of pipework cost to be agreed</v>
          </cell>
          <cell r="E1266" t="str">
            <v>Bow Construction Limited</v>
          </cell>
          <cell r="F1266" t="str">
            <v>Subcontractor</v>
          </cell>
          <cell r="G1266" t="str">
            <v>20/08/2019</v>
          </cell>
          <cell r="H1266" t="str">
            <v>Part</v>
          </cell>
          <cell r="I1266" t="str">
            <v/>
          </cell>
          <cell r="J1266">
            <v>9042</v>
          </cell>
          <cell r="K1266">
            <v>1808.4</v>
          </cell>
          <cell r="L1266">
            <v>17399.73</v>
          </cell>
          <cell r="M1266" t="str">
            <v/>
          </cell>
          <cell r="N1266">
            <v>-8357.73</v>
          </cell>
        </row>
        <row r="1267">
          <cell r="A1267">
            <v>17125</v>
          </cell>
          <cell r="B1267" t="str">
            <v>19/08/2019</v>
          </cell>
          <cell r="C1267" t="str">
            <v>C1642</v>
          </cell>
          <cell r="D1267" t="str">
            <v>Work as per Quotation</v>
          </cell>
          <cell r="E1267" t="str">
            <v>Impact Control Systems Ltd</v>
          </cell>
          <cell r="F1267" t="str">
            <v>Subcontractor</v>
          </cell>
          <cell r="G1267" t="str">
            <v/>
          </cell>
          <cell r="H1267" t="str">
            <v/>
          </cell>
          <cell r="I1267" t="str">
            <v/>
          </cell>
          <cell r="J1267">
            <v>1517</v>
          </cell>
          <cell r="K1267">
            <v>303.39999999999998</v>
          </cell>
          <cell r="L1267">
            <v>1517</v>
          </cell>
          <cell r="M1267" t="str">
            <v/>
          </cell>
          <cell r="N1267">
            <v>0</v>
          </cell>
        </row>
        <row r="1268">
          <cell r="A1268">
            <v>17122</v>
          </cell>
          <cell r="B1268" t="str">
            <v>16/08/2019</v>
          </cell>
          <cell r="C1268" t="str">
            <v>C1597</v>
          </cell>
          <cell r="D1268" t="str">
            <v>Flue Installation</v>
          </cell>
          <cell r="E1268" t="str">
            <v>Sigram Flue Systems</v>
          </cell>
          <cell r="F1268" t="str">
            <v>Subcontractor</v>
          </cell>
          <cell r="G1268" t="str">
            <v>16/09/2019</v>
          </cell>
          <cell r="H1268" t="str">
            <v/>
          </cell>
          <cell r="I1268" t="str">
            <v/>
          </cell>
          <cell r="J1268">
            <v>8720</v>
          </cell>
          <cell r="K1268">
            <v>1744</v>
          </cell>
          <cell r="L1268">
            <v>8720</v>
          </cell>
          <cell r="M1268" t="str">
            <v/>
          </cell>
          <cell r="N1268">
            <v>0</v>
          </cell>
        </row>
        <row r="1269">
          <cell r="A1269">
            <v>17115</v>
          </cell>
          <cell r="B1269" t="str">
            <v>16/08/2019</v>
          </cell>
          <cell r="C1269" t="str">
            <v>CALLOUT</v>
          </cell>
          <cell r="D1269" t="str">
            <v>Fire damper booked 24.8.19</v>
          </cell>
          <cell r="E1269" t="str">
            <v>Cougar Mechanical Solutions Limited</v>
          </cell>
          <cell r="F1269" t="str">
            <v>Subcontractor</v>
          </cell>
          <cell r="G1269" t="str">
            <v/>
          </cell>
          <cell r="H1269" t="str">
            <v/>
          </cell>
          <cell r="I1269" t="str">
            <v/>
          </cell>
          <cell r="J1269">
            <v>300</v>
          </cell>
          <cell r="K1269">
            <v>60</v>
          </cell>
          <cell r="L1269">
            <v>300</v>
          </cell>
          <cell r="M1269" t="str">
            <v/>
          </cell>
          <cell r="N1269">
            <v>0</v>
          </cell>
        </row>
        <row r="1270">
          <cell r="A1270">
            <v>17113</v>
          </cell>
          <cell r="B1270" t="str">
            <v>15/08/2019</v>
          </cell>
          <cell r="C1270" t="str">
            <v>C1604</v>
          </cell>
          <cell r="D1270" t="str">
            <v>Corridor supplies</v>
          </cell>
          <cell r="E1270" t="str">
            <v>Key Integrated Services (Electrical) Ltd</v>
          </cell>
          <cell r="F1270" t="str">
            <v>Subcontractor</v>
          </cell>
          <cell r="G1270" t="str">
            <v/>
          </cell>
          <cell r="H1270" t="str">
            <v/>
          </cell>
          <cell r="I1270" t="str">
            <v/>
          </cell>
          <cell r="J1270">
            <v>996.2</v>
          </cell>
          <cell r="K1270">
            <v>199.24</v>
          </cell>
          <cell r="L1270">
            <v>996.2</v>
          </cell>
          <cell r="M1270" t="str">
            <v/>
          </cell>
          <cell r="N1270">
            <v>0</v>
          </cell>
        </row>
        <row r="1271">
          <cell r="A1271">
            <v>17110</v>
          </cell>
          <cell r="B1271" t="str">
            <v>15/08/2019</v>
          </cell>
          <cell r="C1271" t="str">
            <v>C1518</v>
          </cell>
          <cell r="D1271" t="str">
            <v>Comas BMS connection</v>
          </cell>
          <cell r="E1271" t="str">
            <v>Key Integrated Services (Electrical) Ltd</v>
          </cell>
          <cell r="F1271" t="str">
            <v>Subcontractor</v>
          </cell>
          <cell r="G1271" t="str">
            <v/>
          </cell>
          <cell r="H1271" t="str">
            <v/>
          </cell>
          <cell r="I1271" t="str">
            <v/>
          </cell>
          <cell r="J1271">
            <v>336</v>
          </cell>
          <cell r="K1271">
            <v>67.2</v>
          </cell>
          <cell r="L1271">
            <v>336</v>
          </cell>
          <cell r="M1271" t="str">
            <v/>
          </cell>
          <cell r="N1271">
            <v>0</v>
          </cell>
        </row>
        <row r="1272">
          <cell r="A1272">
            <v>17109</v>
          </cell>
          <cell r="B1272" t="str">
            <v>15/08/2019</v>
          </cell>
          <cell r="C1272" t="str">
            <v>C1604</v>
          </cell>
          <cell r="D1272" t="str">
            <v>Additional FA sounders</v>
          </cell>
          <cell r="E1272" t="str">
            <v>Key Integrated Services (Electrical) Ltd</v>
          </cell>
          <cell r="F1272" t="str">
            <v>Subcontractor</v>
          </cell>
          <cell r="G1272" t="str">
            <v/>
          </cell>
          <cell r="H1272" t="str">
            <v/>
          </cell>
          <cell r="I1272" t="str">
            <v/>
          </cell>
          <cell r="J1272">
            <v>2325</v>
          </cell>
          <cell r="K1272">
            <v>465</v>
          </cell>
          <cell r="L1272">
            <v>2325</v>
          </cell>
          <cell r="M1272" t="str">
            <v/>
          </cell>
          <cell r="N1272">
            <v>0</v>
          </cell>
        </row>
        <row r="1273">
          <cell r="A1273">
            <v>17108</v>
          </cell>
          <cell r="B1273" t="str">
            <v>15/08/2019</v>
          </cell>
          <cell r="C1273" t="str">
            <v>C1604</v>
          </cell>
          <cell r="D1273" t="str">
            <v>240v sockets</v>
          </cell>
          <cell r="E1273" t="str">
            <v>Key Integrated Services (Electrical) Ltd</v>
          </cell>
          <cell r="F1273" t="str">
            <v>Subcontractor</v>
          </cell>
          <cell r="G1273" t="str">
            <v/>
          </cell>
          <cell r="H1273" t="str">
            <v/>
          </cell>
          <cell r="I1273" t="str">
            <v/>
          </cell>
          <cell r="J1273">
            <v>2934</v>
          </cell>
          <cell r="K1273">
            <v>586.79999999999995</v>
          </cell>
          <cell r="L1273">
            <v>2934</v>
          </cell>
          <cell r="M1273" t="str">
            <v/>
          </cell>
          <cell r="N1273">
            <v>0</v>
          </cell>
        </row>
        <row r="1274">
          <cell r="A1274">
            <v>17107</v>
          </cell>
          <cell r="B1274" t="str">
            <v>15/08/2019</v>
          </cell>
          <cell r="C1274" t="str">
            <v>C1635</v>
          </cell>
          <cell r="D1274" t="str">
            <v/>
          </cell>
          <cell r="E1274" t="str">
            <v>Westside Fabrications Limited</v>
          </cell>
          <cell r="F1274" t="str">
            <v>Subcontractor</v>
          </cell>
          <cell r="G1274" t="str">
            <v>15/08/2019</v>
          </cell>
          <cell r="H1274" t="str">
            <v/>
          </cell>
          <cell r="I1274" t="str">
            <v/>
          </cell>
          <cell r="J1274">
            <v>3650</v>
          </cell>
          <cell r="K1274">
            <v>730</v>
          </cell>
          <cell r="L1274">
            <v>3650</v>
          </cell>
          <cell r="M1274" t="str">
            <v/>
          </cell>
          <cell r="N1274">
            <v>0</v>
          </cell>
        </row>
        <row r="1275">
          <cell r="A1275">
            <v>17095</v>
          </cell>
          <cell r="B1275" t="str">
            <v>13/08/2019</v>
          </cell>
          <cell r="C1275" t="str">
            <v>C1558</v>
          </cell>
          <cell r="D1275" t="str">
            <v>Attend site to monitor and record HVAC system performance at</v>
          </cell>
          <cell r="E1275" t="str">
            <v>New Era Commissioning Specialists Ltd</v>
          </cell>
          <cell r="F1275" t="str">
            <v>Subcontractor</v>
          </cell>
          <cell r="G1275" t="str">
            <v/>
          </cell>
          <cell r="H1275" t="str">
            <v>Part</v>
          </cell>
          <cell r="I1275" t="str">
            <v/>
          </cell>
          <cell r="J1275">
            <v>560</v>
          </cell>
          <cell r="K1275">
            <v>112</v>
          </cell>
          <cell r="L1275">
            <v>560</v>
          </cell>
          <cell r="M1275" t="str">
            <v/>
          </cell>
          <cell r="N1275">
            <v>0</v>
          </cell>
        </row>
        <row r="1276">
          <cell r="A1276">
            <v>17094</v>
          </cell>
          <cell r="B1276" t="str">
            <v>13/08/2019</v>
          </cell>
          <cell r="C1276" t="str">
            <v>C1632</v>
          </cell>
          <cell r="D1276" t="str">
            <v>To supply and install flue as quote 42170/a</v>
          </cell>
          <cell r="E1276" t="str">
            <v>Sigram Flue Systems</v>
          </cell>
          <cell r="F1276" t="str">
            <v>Subcontractor</v>
          </cell>
          <cell r="G1276" t="str">
            <v>20/08/2019</v>
          </cell>
          <cell r="H1276" t="str">
            <v/>
          </cell>
          <cell r="I1276" t="str">
            <v/>
          </cell>
          <cell r="J1276">
            <v>5382</v>
          </cell>
          <cell r="K1276">
            <v>1076.4000000000001</v>
          </cell>
          <cell r="L1276">
            <v>5967</v>
          </cell>
          <cell r="M1276" t="str">
            <v/>
          </cell>
          <cell r="N1276">
            <v>-585</v>
          </cell>
        </row>
        <row r="1277">
          <cell r="A1277">
            <v>17093</v>
          </cell>
          <cell r="B1277" t="str">
            <v>13/08/2019</v>
          </cell>
          <cell r="C1277" t="str">
            <v>C1625</v>
          </cell>
          <cell r="D1277" t="str">
            <v>Supply and installation of insulation at Freshcut Foods Nott</v>
          </cell>
          <cell r="E1277" t="str">
            <v>Grangewood Insulation Services Ltd</v>
          </cell>
          <cell r="F1277" t="str">
            <v>Subcontractor</v>
          </cell>
          <cell r="G1277" t="str">
            <v>14/08/2019</v>
          </cell>
          <cell r="H1277" t="str">
            <v>Part</v>
          </cell>
          <cell r="I1277" t="str">
            <v/>
          </cell>
          <cell r="J1277">
            <v>5000</v>
          </cell>
          <cell r="K1277">
            <v>1000</v>
          </cell>
          <cell r="L1277">
            <v>5000</v>
          </cell>
          <cell r="M1277" t="str">
            <v/>
          </cell>
          <cell r="N1277">
            <v>0</v>
          </cell>
        </row>
        <row r="1278">
          <cell r="A1278">
            <v>17091</v>
          </cell>
          <cell r="B1278" t="str">
            <v>13/08/2019</v>
          </cell>
          <cell r="C1278" t="str">
            <v>C1642</v>
          </cell>
          <cell r="D1278" t="str">
            <v>Installing the remote stop start panel as your quote 13/8/19</v>
          </cell>
          <cell r="E1278" t="str">
            <v>Key Integrated Services North West Ltd</v>
          </cell>
          <cell r="F1278" t="str">
            <v>Subcontractor</v>
          </cell>
          <cell r="G1278" t="str">
            <v/>
          </cell>
          <cell r="H1278" t="str">
            <v/>
          </cell>
          <cell r="I1278" t="str">
            <v/>
          </cell>
          <cell r="J1278">
            <v>4122</v>
          </cell>
          <cell r="K1278">
            <v>824.4</v>
          </cell>
          <cell r="L1278">
            <v>4122</v>
          </cell>
          <cell r="M1278" t="str">
            <v/>
          </cell>
          <cell r="N1278">
            <v>0</v>
          </cell>
        </row>
        <row r="1279">
          <cell r="A1279">
            <v>17090</v>
          </cell>
          <cell r="B1279" t="str">
            <v>13/08/2019</v>
          </cell>
          <cell r="C1279" t="str">
            <v>C1633</v>
          </cell>
          <cell r="D1279" t="str">
            <v>To Provide new flue installation as per quote ref 42108/B op</v>
          </cell>
          <cell r="E1279" t="str">
            <v>Sigram Flue Systems</v>
          </cell>
          <cell r="F1279" t="str">
            <v>Subcontractor</v>
          </cell>
          <cell r="G1279" t="str">
            <v>19/08/2019</v>
          </cell>
          <cell r="H1279" t="str">
            <v/>
          </cell>
          <cell r="I1279" t="str">
            <v/>
          </cell>
          <cell r="J1279">
            <v>2424</v>
          </cell>
          <cell r="K1279">
            <v>484.8</v>
          </cell>
          <cell r="L1279">
            <v>2424</v>
          </cell>
          <cell r="M1279" t="str">
            <v/>
          </cell>
          <cell r="N1279">
            <v>0</v>
          </cell>
        </row>
        <row r="1280">
          <cell r="A1280">
            <v>17087</v>
          </cell>
          <cell r="B1280" t="str">
            <v>13/08/2019</v>
          </cell>
          <cell r="C1280" t="str">
            <v>SERVICE</v>
          </cell>
          <cell r="D1280" t="str">
            <v>Annual boiler service August 2019</v>
          </cell>
          <cell r="E1280" t="str">
            <v>Pole to Pole Climate Control Ltd</v>
          </cell>
          <cell r="F1280" t="str">
            <v>Subcontractor</v>
          </cell>
          <cell r="G1280" t="str">
            <v/>
          </cell>
          <cell r="H1280" t="str">
            <v/>
          </cell>
          <cell r="I1280" t="str">
            <v/>
          </cell>
          <cell r="J1280">
            <v>228</v>
          </cell>
          <cell r="K1280">
            <v>45.6</v>
          </cell>
          <cell r="L1280">
            <v>228</v>
          </cell>
          <cell r="M1280" t="str">
            <v/>
          </cell>
          <cell r="N1280">
            <v>0</v>
          </cell>
        </row>
        <row r="1281">
          <cell r="A1281">
            <v>17086</v>
          </cell>
          <cell r="B1281" t="str">
            <v>13/08/2019</v>
          </cell>
          <cell r="C1281" t="str">
            <v>CALLOUT</v>
          </cell>
          <cell r="D1281" t="str">
            <v>lighting repairs</v>
          </cell>
          <cell r="E1281" t="str">
            <v>Viabl Ltd T/A Able</v>
          </cell>
          <cell r="F1281" t="str">
            <v>Subcontractor</v>
          </cell>
          <cell r="G1281" t="str">
            <v/>
          </cell>
          <cell r="H1281" t="str">
            <v>Part</v>
          </cell>
          <cell r="I1281" t="str">
            <v/>
          </cell>
          <cell r="J1281">
            <v>130</v>
          </cell>
          <cell r="K1281">
            <v>26</v>
          </cell>
          <cell r="L1281">
            <v>130</v>
          </cell>
          <cell r="M1281" t="str">
            <v/>
          </cell>
          <cell r="N1281">
            <v>0</v>
          </cell>
        </row>
        <row r="1282">
          <cell r="A1282">
            <v>17085</v>
          </cell>
          <cell r="B1282" t="str">
            <v>13/08/2019</v>
          </cell>
          <cell r="C1282" t="str">
            <v>C1625</v>
          </cell>
          <cell r="D1282" t="str">
            <v>Attend site to balance, measure and record ventilation plant</v>
          </cell>
          <cell r="E1282" t="str">
            <v>New Era Commissioning Specialists Ltd</v>
          </cell>
          <cell r="F1282" t="str">
            <v>Subcontractor</v>
          </cell>
          <cell r="G1282" t="str">
            <v>14/08/2019</v>
          </cell>
          <cell r="H1282" t="str">
            <v>Part</v>
          </cell>
          <cell r="I1282" t="str">
            <v/>
          </cell>
          <cell r="J1282">
            <v>560</v>
          </cell>
          <cell r="K1282">
            <v>112</v>
          </cell>
          <cell r="L1282">
            <v>560</v>
          </cell>
          <cell r="M1282" t="str">
            <v/>
          </cell>
          <cell r="N1282">
            <v>0</v>
          </cell>
        </row>
        <row r="1283">
          <cell r="A1283">
            <v>17083</v>
          </cell>
          <cell r="B1283" t="str">
            <v>13/08/2019</v>
          </cell>
          <cell r="C1283" t="str">
            <v>C1632</v>
          </cell>
          <cell r="D1283" t="str">
            <v>Demolition of Existing Building</v>
          </cell>
          <cell r="E1283" t="str">
            <v>RVC Demolition Ltd</v>
          </cell>
          <cell r="F1283" t="str">
            <v>Subcontractor</v>
          </cell>
          <cell r="G1283" t="str">
            <v>19/08/2019</v>
          </cell>
          <cell r="H1283" t="str">
            <v/>
          </cell>
          <cell r="I1283" t="str">
            <v/>
          </cell>
          <cell r="J1283">
            <v>10750</v>
          </cell>
          <cell r="K1283">
            <v>2150</v>
          </cell>
          <cell r="L1283">
            <v>11750</v>
          </cell>
          <cell r="M1283" t="str">
            <v/>
          </cell>
          <cell r="N1283">
            <v>-1000</v>
          </cell>
        </row>
        <row r="1284">
          <cell r="A1284">
            <v>17080</v>
          </cell>
          <cell r="B1284" t="str">
            <v>13/08/2019</v>
          </cell>
          <cell r="C1284" t="str">
            <v>C1632</v>
          </cell>
          <cell r="D1284" t="str">
            <v>Removal of Asbestos at Ellesmere Primary School</v>
          </cell>
          <cell r="E1284" t="str">
            <v>Hird Environmental Contracts</v>
          </cell>
          <cell r="F1284" t="str">
            <v>Subcontractor</v>
          </cell>
          <cell r="G1284" t="str">
            <v>05/08/2019</v>
          </cell>
          <cell r="H1284" t="str">
            <v/>
          </cell>
          <cell r="I1284" t="str">
            <v/>
          </cell>
          <cell r="J1284">
            <v>9025</v>
          </cell>
          <cell r="K1284">
            <v>1805</v>
          </cell>
          <cell r="L1284">
            <v>9025</v>
          </cell>
          <cell r="M1284" t="str">
            <v/>
          </cell>
          <cell r="N1284">
            <v>0</v>
          </cell>
        </row>
        <row r="1285">
          <cell r="A1285">
            <v>17077</v>
          </cell>
          <cell r="B1285" t="str">
            <v>12/08/2019</v>
          </cell>
          <cell r="C1285" t="str">
            <v>CALLOUT</v>
          </cell>
          <cell r="D1285" t="str">
            <v>Install 15mm elbow to remove deadleg. Decommission cold wate</v>
          </cell>
          <cell r="E1285" t="str">
            <v>Hydraclean Ltd</v>
          </cell>
          <cell r="F1285" t="str">
            <v>Subcontractor</v>
          </cell>
          <cell r="G1285" t="str">
            <v/>
          </cell>
          <cell r="H1285" t="str">
            <v/>
          </cell>
          <cell r="I1285" t="str">
            <v/>
          </cell>
          <cell r="J1285">
            <v>295</v>
          </cell>
          <cell r="K1285">
            <v>59</v>
          </cell>
          <cell r="L1285">
            <v>295</v>
          </cell>
          <cell r="M1285" t="str">
            <v/>
          </cell>
          <cell r="N1285">
            <v>0</v>
          </cell>
        </row>
        <row r="1286">
          <cell r="A1286">
            <v>17068</v>
          </cell>
          <cell r="B1286" t="str">
            <v>09/08/2019</v>
          </cell>
          <cell r="C1286" t="str">
            <v>C1518</v>
          </cell>
          <cell r="D1286" t="str">
            <v>Hours Labour</v>
          </cell>
          <cell r="E1286" t="str">
            <v>Key Integrated Services (Electrical) Ltd</v>
          </cell>
          <cell r="F1286" t="str">
            <v>Subcontractor</v>
          </cell>
          <cell r="G1286" t="str">
            <v/>
          </cell>
          <cell r="H1286" t="str">
            <v/>
          </cell>
          <cell r="I1286" t="str">
            <v/>
          </cell>
          <cell r="J1286">
            <v>220</v>
          </cell>
          <cell r="K1286">
            <v>44</v>
          </cell>
          <cell r="L1286">
            <v>220</v>
          </cell>
          <cell r="M1286" t="str">
            <v/>
          </cell>
          <cell r="N1286">
            <v>0</v>
          </cell>
        </row>
        <row r="1287">
          <cell r="A1287">
            <v>17067</v>
          </cell>
          <cell r="B1287" t="str">
            <v>09/08/2019</v>
          </cell>
          <cell r="C1287" t="str">
            <v>C1637</v>
          </cell>
          <cell r="D1287" t="str">
            <v>To Install Hygiene system at Whitby seafoods</v>
          </cell>
          <cell r="E1287" t="str">
            <v>Entech Services UK Ltd</v>
          </cell>
          <cell r="F1287" t="str">
            <v>Subcontractor</v>
          </cell>
          <cell r="G1287" t="str">
            <v>13/08/2019</v>
          </cell>
          <cell r="H1287" t="str">
            <v/>
          </cell>
          <cell r="I1287" t="str">
            <v/>
          </cell>
          <cell r="J1287">
            <v>38410</v>
          </cell>
          <cell r="K1287">
            <v>7682</v>
          </cell>
          <cell r="L1287">
            <v>38410</v>
          </cell>
          <cell r="M1287" t="str">
            <v/>
          </cell>
          <cell r="N1287">
            <v>0</v>
          </cell>
        </row>
        <row r="1288">
          <cell r="A1288">
            <v>17065</v>
          </cell>
          <cell r="B1288" t="str">
            <v>09/08/2019</v>
          </cell>
          <cell r="C1288" t="str">
            <v>C1604</v>
          </cell>
          <cell r="D1288" t="str">
            <v>CCTV Repair</v>
          </cell>
          <cell r="E1288" t="str">
            <v>Key Integrated Services (Electrical) Ltd</v>
          </cell>
          <cell r="F1288" t="str">
            <v>Subcontractor</v>
          </cell>
          <cell r="G1288" t="str">
            <v/>
          </cell>
          <cell r="H1288" t="str">
            <v/>
          </cell>
          <cell r="I1288" t="str">
            <v/>
          </cell>
          <cell r="J1288">
            <v>1074</v>
          </cell>
          <cell r="K1288">
            <v>214.8</v>
          </cell>
          <cell r="L1288">
            <v>1074</v>
          </cell>
          <cell r="M1288" t="str">
            <v/>
          </cell>
          <cell r="N1288">
            <v>0</v>
          </cell>
        </row>
        <row r="1289">
          <cell r="A1289">
            <v>17064</v>
          </cell>
          <cell r="B1289" t="str">
            <v>09/08/2019</v>
          </cell>
          <cell r="C1289" t="str">
            <v>C1604</v>
          </cell>
          <cell r="D1289" t="str">
            <v>Cream room strip out</v>
          </cell>
          <cell r="E1289" t="str">
            <v>Key Integrated Services (Electrical) Ltd</v>
          </cell>
          <cell r="F1289" t="str">
            <v>Subcontractor</v>
          </cell>
          <cell r="G1289" t="str">
            <v/>
          </cell>
          <cell r="H1289" t="str">
            <v/>
          </cell>
          <cell r="I1289" t="str">
            <v/>
          </cell>
          <cell r="J1289">
            <v>2460</v>
          </cell>
          <cell r="K1289">
            <v>492</v>
          </cell>
          <cell r="L1289">
            <v>2460</v>
          </cell>
          <cell r="M1289" t="str">
            <v/>
          </cell>
          <cell r="N1289">
            <v>0</v>
          </cell>
        </row>
        <row r="1290">
          <cell r="A1290">
            <v>17057</v>
          </cell>
          <cell r="B1290" t="str">
            <v>09/08/2019</v>
          </cell>
          <cell r="C1290" t="str">
            <v>C1608</v>
          </cell>
          <cell r="D1290" t="str">
            <v/>
          </cell>
          <cell r="E1290" t="str">
            <v>Speedrite NE Ltd</v>
          </cell>
          <cell r="F1290" t="str">
            <v>Subcontractor</v>
          </cell>
          <cell r="G1290" t="str">
            <v>12/08/2019</v>
          </cell>
          <cell r="H1290" t="str">
            <v/>
          </cell>
          <cell r="I1290" t="str">
            <v/>
          </cell>
          <cell r="J1290">
            <v>2695</v>
          </cell>
          <cell r="K1290">
            <v>539</v>
          </cell>
          <cell r="L1290">
            <v>2695</v>
          </cell>
          <cell r="M1290" t="str">
            <v/>
          </cell>
          <cell r="N1290">
            <v>0</v>
          </cell>
        </row>
        <row r="1291">
          <cell r="A1291">
            <v>17056</v>
          </cell>
          <cell r="B1291" t="str">
            <v>09/08/2019</v>
          </cell>
          <cell r="C1291" t="str">
            <v>CALLOUT</v>
          </cell>
          <cell r="D1291" t="str">
            <v>handyman works</v>
          </cell>
          <cell r="E1291" t="str">
            <v>K Gammon Plumbing &amp; Heating Ltd</v>
          </cell>
          <cell r="F1291" t="str">
            <v>Subcontractor</v>
          </cell>
          <cell r="G1291" t="str">
            <v/>
          </cell>
          <cell r="H1291" t="str">
            <v>Part</v>
          </cell>
          <cell r="I1291" t="str">
            <v/>
          </cell>
          <cell r="J1291">
            <v>189.75</v>
          </cell>
          <cell r="K1291">
            <v>37.950000000000003</v>
          </cell>
          <cell r="L1291">
            <v>140</v>
          </cell>
          <cell r="M1291" t="str">
            <v/>
          </cell>
          <cell r="N1291">
            <v>49.75</v>
          </cell>
        </row>
        <row r="1292">
          <cell r="A1292">
            <v>17055</v>
          </cell>
          <cell r="B1292" t="str">
            <v>09/08/2019</v>
          </cell>
          <cell r="C1292" t="str">
            <v>C1634</v>
          </cell>
          <cell r="D1292" t="str">
            <v>Replacement of lighting serving areas as per light fitting s</v>
          </cell>
          <cell r="E1292" t="str">
            <v>Key Integrated Services North West Ltd</v>
          </cell>
          <cell r="F1292" t="str">
            <v>Subcontractor</v>
          </cell>
          <cell r="G1292" t="str">
            <v>14/08/2019</v>
          </cell>
          <cell r="H1292" t="str">
            <v>Part</v>
          </cell>
          <cell r="I1292" t="str">
            <v/>
          </cell>
          <cell r="J1292">
            <v>16329.06</v>
          </cell>
          <cell r="K1292">
            <v>3265.82</v>
          </cell>
          <cell r="L1292">
            <v>16329.06</v>
          </cell>
          <cell r="M1292" t="str">
            <v/>
          </cell>
          <cell r="N1292">
            <v>0</v>
          </cell>
        </row>
        <row r="1293">
          <cell r="A1293">
            <v>17051</v>
          </cell>
          <cell r="B1293" t="str">
            <v>08/08/2019</v>
          </cell>
          <cell r="C1293" t="str">
            <v>SERVICE</v>
          </cell>
          <cell r="D1293" t="str">
            <v>service water boiler etc</v>
          </cell>
          <cell r="E1293" t="str">
            <v>Commercial Temperature Solutions</v>
          </cell>
          <cell r="F1293" t="str">
            <v>Subcontractor</v>
          </cell>
          <cell r="G1293" t="str">
            <v/>
          </cell>
          <cell r="H1293" t="str">
            <v/>
          </cell>
          <cell r="I1293" t="str">
            <v/>
          </cell>
          <cell r="J1293">
            <v>200</v>
          </cell>
          <cell r="K1293">
            <v>40</v>
          </cell>
          <cell r="L1293">
            <v>200</v>
          </cell>
          <cell r="M1293" t="str">
            <v/>
          </cell>
          <cell r="N1293">
            <v>0</v>
          </cell>
        </row>
        <row r="1294">
          <cell r="A1294">
            <v>17047</v>
          </cell>
          <cell r="B1294" t="str">
            <v>08/08/2019</v>
          </cell>
          <cell r="C1294" t="str">
            <v>C1634</v>
          </cell>
          <cell r="D1294" t="str">
            <v>Fixed scaffold works as per quote ref:</v>
          </cell>
          <cell r="E1294" t="str">
            <v>Brand Energy &amp; Infastructure Services UK Ltd</v>
          </cell>
          <cell r="F1294" t="str">
            <v>Subcontractor</v>
          </cell>
          <cell r="G1294" t="str">
            <v>13/08/2019</v>
          </cell>
          <cell r="H1294" t="str">
            <v>Complete</v>
          </cell>
          <cell r="I1294" t="str">
            <v/>
          </cell>
          <cell r="J1294">
            <v>0</v>
          </cell>
          <cell r="K1294">
            <v>0</v>
          </cell>
          <cell r="L1294">
            <v>0</v>
          </cell>
          <cell r="M1294" t="str">
            <v/>
          </cell>
          <cell r="N1294">
            <v>0</v>
          </cell>
        </row>
        <row r="1295">
          <cell r="A1295">
            <v>17040</v>
          </cell>
          <cell r="B1295" t="str">
            <v>08/08/2019</v>
          </cell>
          <cell r="C1295" t="str">
            <v>CALLOUT</v>
          </cell>
          <cell r="D1295" t="str">
            <v>grd floor gents wc</v>
          </cell>
          <cell r="E1295" t="str">
            <v>Barrie Beard Ltd</v>
          </cell>
          <cell r="F1295" t="str">
            <v>Subcontractor</v>
          </cell>
          <cell r="G1295" t="str">
            <v/>
          </cell>
          <cell r="H1295" t="str">
            <v>Part</v>
          </cell>
          <cell r="I1295" t="str">
            <v/>
          </cell>
          <cell r="J1295">
            <v>195</v>
          </cell>
          <cell r="K1295">
            <v>39</v>
          </cell>
          <cell r="L1295">
            <v>195</v>
          </cell>
          <cell r="M1295" t="str">
            <v/>
          </cell>
          <cell r="N1295">
            <v>0</v>
          </cell>
        </row>
        <row r="1296">
          <cell r="A1296">
            <v>17020</v>
          </cell>
          <cell r="B1296" t="str">
            <v>05/08/2019</v>
          </cell>
          <cell r="C1296" t="str">
            <v>C1633</v>
          </cell>
          <cell r="D1296" t="str">
            <v>Civil works as per sub contract</v>
          </cell>
          <cell r="E1296" t="str">
            <v>HCIP Ltd</v>
          </cell>
          <cell r="F1296" t="str">
            <v>Subcontractor</v>
          </cell>
          <cell r="G1296" t="str">
            <v/>
          </cell>
          <cell r="H1296" t="str">
            <v/>
          </cell>
          <cell r="I1296" t="str">
            <v/>
          </cell>
          <cell r="J1296">
            <v>9600</v>
          </cell>
          <cell r="K1296">
            <v>1920</v>
          </cell>
          <cell r="L1296">
            <v>12750</v>
          </cell>
          <cell r="M1296" t="str">
            <v/>
          </cell>
          <cell r="N1296">
            <v>-3150</v>
          </cell>
        </row>
        <row r="1297">
          <cell r="A1297">
            <v>17018</v>
          </cell>
          <cell r="B1297" t="str">
            <v>05/08/2019</v>
          </cell>
          <cell r="C1297" t="str">
            <v>CALLOUT</v>
          </cell>
          <cell r="D1297" t="str">
            <v>abortive call - K gammon works done by Joe</v>
          </cell>
          <cell r="E1297" t="str">
            <v>K Gammon Plumbing &amp; Heating Ltd</v>
          </cell>
          <cell r="F1297" t="str">
            <v>Subcontractor</v>
          </cell>
          <cell r="G1297" t="str">
            <v/>
          </cell>
          <cell r="H1297" t="str">
            <v/>
          </cell>
          <cell r="I1297" t="str">
            <v/>
          </cell>
          <cell r="J1297">
            <v>84</v>
          </cell>
          <cell r="K1297">
            <v>16.8</v>
          </cell>
          <cell r="L1297">
            <v>84</v>
          </cell>
          <cell r="M1297" t="str">
            <v/>
          </cell>
          <cell r="N1297">
            <v>0</v>
          </cell>
        </row>
        <row r="1298">
          <cell r="A1298">
            <v>17011</v>
          </cell>
          <cell r="B1298" t="str">
            <v>02/08/2019</v>
          </cell>
          <cell r="C1298" t="str">
            <v>C1635</v>
          </cell>
          <cell r="D1298" t="str">
            <v/>
          </cell>
          <cell r="E1298" t="str">
            <v>Key Integrated Services (Electrical) Ltd</v>
          </cell>
          <cell r="F1298" t="str">
            <v>Subcontractor</v>
          </cell>
          <cell r="G1298" t="str">
            <v>05/08/2019</v>
          </cell>
          <cell r="H1298" t="str">
            <v>Part</v>
          </cell>
          <cell r="I1298" t="str">
            <v/>
          </cell>
          <cell r="J1298">
            <v>53814.49</v>
          </cell>
          <cell r="K1298">
            <v>10762.9</v>
          </cell>
          <cell r="L1298">
            <v>53814.49</v>
          </cell>
          <cell r="M1298" t="str">
            <v/>
          </cell>
          <cell r="N1298">
            <v>0</v>
          </cell>
        </row>
        <row r="1299">
          <cell r="A1299">
            <v>17005</v>
          </cell>
          <cell r="B1299" t="str">
            <v>02/08/2019</v>
          </cell>
          <cell r="C1299" t="str">
            <v>CALLOUT</v>
          </cell>
          <cell r="D1299" t="str">
            <v>close vent on ac on 1st floor</v>
          </cell>
          <cell r="E1299" t="str">
            <v>Commercial Temperature Solutions</v>
          </cell>
          <cell r="F1299" t="str">
            <v>Subcontractor</v>
          </cell>
          <cell r="G1299" t="str">
            <v/>
          </cell>
          <cell r="H1299" t="str">
            <v>Part</v>
          </cell>
          <cell r="I1299" t="str">
            <v/>
          </cell>
          <cell r="J1299">
            <v>115.4</v>
          </cell>
          <cell r="K1299">
            <v>23.08</v>
          </cell>
          <cell r="L1299">
            <v>115.4</v>
          </cell>
          <cell r="M1299" t="str">
            <v/>
          </cell>
          <cell r="N1299">
            <v>0</v>
          </cell>
        </row>
        <row r="1300">
          <cell r="A1300">
            <v>17004</v>
          </cell>
          <cell r="B1300" t="str">
            <v>02/08/2019</v>
          </cell>
          <cell r="C1300" t="str">
            <v>CALLOUT</v>
          </cell>
          <cell r="D1300" t="str">
            <v>works to sounders/detectors as per quote</v>
          </cell>
          <cell r="E1300" t="str">
            <v>Hoyles Fire + Safety Ltd</v>
          </cell>
          <cell r="F1300" t="str">
            <v>Subcontractor</v>
          </cell>
          <cell r="G1300" t="str">
            <v/>
          </cell>
          <cell r="H1300" t="str">
            <v/>
          </cell>
          <cell r="I1300" t="str">
            <v/>
          </cell>
          <cell r="J1300">
            <v>995</v>
          </cell>
          <cell r="K1300">
            <v>199</v>
          </cell>
          <cell r="L1300">
            <v>995</v>
          </cell>
          <cell r="M1300" t="str">
            <v/>
          </cell>
          <cell r="N1300">
            <v>0</v>
          </cell>
        </row>
        <row r="1301">
          <cell r="A1301">
            <v>16989</v>
          </cell>
          <cell r="B1301" t="str">
            <v>01/08/2019</v>
          </cell>
          <cell r="C1301" t="str">
            <v>SERVICE</v>
          </cell>
          <cell r="D1301" t="str">
            <v>Lightning Protection Maintenance</v>
          </cell>
          <cell r="E1301" t="str">
            <v>Lightning Protection UK Ltd</v>
          </cell>
          <cell r="F1301" t="str">
            <v>Subcontractor</v>
          </cell>
          <cell r="G1301" t="str">
            <v/>
          </cell>
          <cell r="H1301" t="str">
            <v/>
          </cell>
          <cell r="I1301" t="str">
            <v/>
          </cell>
          <cell r="J1301">
            <v>140</v>
          </cell>
          <cell r="K1301">
            <v>28</v>
          </cell>
          <cell r="L1301">
            <v>140</v>
          </cell>
          <cell r="M1301" t="str">
            <v/>
          </cell>
          <cell r="N1301">
            <v>0</v>
          </cell>
        </row>
        <row r="1302">
          <cell r="A1302">
            <v>16973</v>
          </cell>
          <cell r="B1302" t="str">
            <v>30/07/2019</v>
          </cell>
          <cell r="C1302" t="str">
            <v>C1634</v>
          </cell>
          <cell r="D1302" t="str">
            <v>Boiler Installation</v>
          </cell>
          <cell r="E1302" t="str">
            <v>Buckley Plumbing &amp; Mechanical Services</v>
          </cell>
          <cell r="F1302" t="str">
            <v>Subcontractor</v>
          </cell>
          <cell r="G1302" t="str">
            <v>05/08/2019</v>
          </cell>
          <cell r="H1302" t="str">
            <v/>
          </cell>
          <cell r="I1302" t="str">
            <v/>
          </cell>
          <cell r="J1302">
            <v>19071.52</v>
          </cell>
          <cell r="K1302">
            <v>3814.3</v>
          </cell>
          <cell r="L1302">
            <v>19071.52</v>
          </cell>
          <cell r="M1302" t="str">
            <v/>
          </cell>
          <cell r="N1302">
            <v>0</v>
          </cell>
        </row>
        <row r="1303">
          <cell r="A1303">
            <v>16968</v>
          </cell>
          <cell r="B1303" t="str">
            <v>30/07/2019</v>
          </cell>
          <cell r="C1303" t="str">
            <v>C1518</v>
          </cell>
          <cell r="D1303" t="str">
            <v>LED Lighting upgrade</v>
          </cell>
          <cell r="E1303" t="str">
            <v>Key Integrated Services (Electrical) Ltd</v>
          </cell>
          <cell r="F1303" t="str">
            <v>Subcontractor</v>
          </cell>
          <cell r="G1303" t="str">
            <v/>
          </cell>
          <cell r="H1303" t="str">
            <v>Complete</v>
          </cell>
          <cell r="I1303" t="str">
            <v/>
          </cell>
          <cell r="J1303">
            <v>0</v>
          </cell>
          <cell r="K1303">
            <v>0</v>
          </cell>
          <cell r="L1303">
            <v>0</v>
          </cell>
          <cell r="M1303" t="str">
            <v/>
          </cell>
          <cell r="N1303">
            <v>0</v>
          </cell>
        </row>
        <row r="1304">
          <cell r="A1304">
            <v>16962</v>
          </cell>
          <cell r="B1304" t="str">
            <v>30/07/2019</v>
          </cell>
          <cell r="C1304" t="str">
            <v>C1642</v>
          </cell>
          <cell r="D1304" t="str">
            <v>Strip out of ductwork</v>
          </cell>
          <cell r="E1304" t="str">
            <v>Cougar Mechanical Solutions Limited</v>
          </cell>
          <cell r="F1304" t="str">
            <v>Subcontractor</v>
          </cell>
          <cell r="G1304" t="str">
            <v/>
          </cell>
          <cell r="H1304" t="str">
            <v/>
          </cell>
          <cell r="I1304" t="str">
            <v/>
          </cell>
          <cell r="J1304">
            <v>11440</v>
          </cell>
          <cell r="K1304">
            <v>2288</v>
          </cell>
          <cell r="L1304">
            <v>11440</v>
          </cell>
          <cell r="M1304" t="str">
            <v/>
          </cell>
          <cell r="N1304">
            <v>0</v>
          </cell>
        </row>
        <row r="1305">
          <cell r="A1305">
            <v>16961</v>
          </cell>
          <cell r="B1305" t="str">
            <v>30/07/2019</v>
          </cell>
          <cell r="C1305" t="str">
            <v>CALLOUT</v>
          </cell>
          <cell r="D1305" t="str">
            <v>ac not working</v>
          </cell>
          <cell r="E1305" t="str">
            <v>Commercial Temperature Solutions</v>
          </cell>
          <cell r="F1305" t="str">
            <v>Subcontractor</v>
          </cell>
          <cell r="G1305" t="str">
            <v/>
          </cell>
          <cell r="H1305" t="str">
            <v>Part</v>
          </cell>
          <cell r="I1305" t="str">
            <v/>
          </cell>
          <cell r="J1305">
            <v>165.4</v>
          </cell>
          <cell r="K1305">
            <v>33.08</v>
          </cell>
          <cell r="L1305">
            <v>165.4</v>
          </cell>
          <cell r="M1305" t="str">
            <v/>
          </cell>
          <cell r="N1305">
            <v>0</v>
          </cell>
        </row>
        <row r="1306">
          <cell r="A1306">
            <v>16959</v>
          </cell>
          <cell r="B1306" t="str">
            <v>30/07/2019</v>
          </cell>
          <cell r="C1306" t="str">
            <v>SERVICE</v>
          </cell>
          <cell r="D1306" t="str">
            <v>Attend site to carry out inspection of Atlas Copco Kit</v>
          </cell>
          <cell r="E1306" t="str">
            <v>Atlas copco Ltd</v>
          </cell>
          <cell r="F1306" t="str">
            <v>Subcontractor</v>
          </cell>
          <cell r="G1306" t="str">
            <v/>
          </cell>
          <cell r="H1306" t="str">
            <v/>
          </cell>
          <cell r="I1306" t="str">
            <v/>
          </cell>
          <cell r="J1306">
            <v>837.9</v>
          </cell>
          <cell r="K1306">
            <v>167.58</v>
          </cell>
          <cell r="L1306">
            <v>837.9</v>
          </cell>
          <cell r="M1306" t="str">
            <v/>
          </cell>
          <cell r="N1306">
            <v>0</v>
          </cell>
        </row>
        <row r="1307">
          <cell r="A1307">
            <v>16949</v>
          </cell>
          <cell r="B1307" t="str">
            <v>29/07/2019</v>
          </cell>
          <cell r="C1307" t="str">
            <v>C1547</v>
          </cell>
          <cell r="D1307" t="str">
            <v>Uprate cables to N11 / N12 refrigeration equipment</v>
          </cell>
          <cell r="E1307" t="str">
            <v>Eamonn Reilly</v>
          </cell>
          <cell r="F1307" t="str">
            <v>Subcontractor</v>
          </cell>
          <cell r="G1307" t="str">
            <v>31/07/2019</v>
          </cell>
          <cell r="H1307" t="str">
            <v>Part</v>
          </cell>
          <cell r="I1307" t="str">
            <v/>
          </cell>
          <cell r="J1307">
            <v>951.44</v>
          </cell>
          <cell r="K1307">
            <v>190.29</v>
          </cell>
          <cell r="L1307">
            <v>951.44</v>
          </cell>
          <cell r="M1307" t="str">
            <v/>
          </cell>
          <cell r="N1307">
            <v>0</v>
          </cell>
        </row>
        <row r="1308">
          <cell r="A1308">
            <v>16946</v>
          </cell>
          <cell r="B1308" t="str">
            <v>29/07/2019</v>
          </cell>
          <cell r="C1308" t="str">
            <v>CALLOUT</v>
          </cell>
          <cell r="D1308" t="str">
            <v>fire alarm remedials</v>
          </cell>
          <cell r="E1308" t="str">
            <v>Hoyles Fire + Safety Ltd</v>
          </cell>
          <cell r="F1308" t="str">
            <v>Subcontractor</v>
          </cell>
          <cell r="G1308" t="str">
            <v/>
          </cell>
          <cell r="H1308" t="str">
            <v/>
          </cell>
          <cell r="I1308" t="str">
            <v/>
          </cell>
          <cell r="J1308">
            <v>254.93</v>
          </cell>
          <cell r="K1308">
            <v>50.99</v>
          </cell>
          <cell r="L1308">
            <v>254.93</v>
          </cell>
          <cell r="M1308" t="str">
            <v/>
          </cell>
          <cell r="N1308">
            <v>0</v>
          </cell>
        </row>
        <row r="1309">
          <cell r="A1309">
            <v>16942</v>
          </cell>
          <cell r="B1309" t="str">
            <v>29/07/2019</v>
          </cell>
          <cell r="C1309" t="str">
            <v>CALLOUT</v>
          </cell>
          <cell r="D1309" t="str">
            <v>no power to sockets</v>
          </cell>
          <cell r="E1309" t="str">
            <v>Viabl Ltd T/A Able</v>
          </cell>
          <cell r="F1309" t="str">
            <v>Subcontractor</v>
          </cell>
          <cell r="G1309" t="str">
            <v/>
          </cell>
          <cell r="H1309" t="str">
            <v>Part</v>
          </cell>
          <cell r="I1309" t="str">
            <v/>
          </cell>
          <cell r="J1309">
            <v>130</v>
          </cell>
          <cell r="K1309">
            <v>26</v>
          </cell>
          <cell r="L1309">
            <v>130</v>
          </cell>
          <cell r="M1309" t="str">
            <v/>
          </cell>
          <cell r="N1309">
            <v>0</v>
          </cell>
        </row>
        <row r="1310">
          <cell r="A1310">
            <v>16940</v>
          </cell>
          <cell r="B1310" t="str">
            <v>29/07/2019</v>
          </cell>
          <cell r="C1310" t="str">
            <v>C1597</v>
          </cell>
          <cell r="D1310" t="str">
            <v>Asbestos removal, clean &amp; testing</v>
          </cell>
          <cell r="E1310" t="str">
            <v>Northern Insulation Contractors (UK) Limited</v>
          </cell>
          <cell r="F1310" t="str">
            <v>Subcontractor</v>
          </cell>
          <cell r="G1310" t="str">
            <v>12/08/2019</v>
          </cell>
          <cell r="H1310" t="str">
            <v/>
          </cell>
          <cell r="I1310" t="str">
            <v/>
          </cell>
          <cell r="J1310">
            <v>7578.8</v>
          </cell>
          <cell r="K1310">
            <v>1515.76</v>
          </cell>
          <cell r="L1310">
            <v>7578.8</v>
          </cell>
          <cell r="M1310" t="str">
            <v/>
          </cell>
          <cell r="N1310">
            <v>0</v>
          </cell>
        </row>
        <row r="1311">
          <cell r="A1311">
            <v>16936</v>
          </cell>
          <cell r="B1311" t="str">
            <v>26/07/2019</v>
          </cell>
          <cell r="C1311" t="str">
            <v>C1520</v>
          </cell>
          <cell r="D1311" t="str">
            <v>Chiller removal works</v>
          </cell>
          <cell r="E1311" t="str">
            <v>Cougar Mechanical Solutions Limited</v>
          </cell>
          <cell r="F1311" t="str">
            <v>Subcontractor</v>
          </cell>
          <cell r="G1311" t="str">
            <v/>
          </cell>
          <cell r="H1311" t="str">
            <v/>
          </cell>
          <cell r="I1311" t="str">
            <v/>
          </cell>
          <cell r="J1311">
            <v>8134</v>
          </cell>
          <cell r="K1311">
            <v>1626.8</v>
          </cell>
          <cell r="L1311">
            <v>8134</v>
          </cell>
          <cell r="M1311" t="str">
            <v/>
          </cell>
          <cell r="N1311">
            <v>0</v>
          </cell>
        </row>
        <row r="1312">
          <cell r="A1312">
            <v>16935</v>
          </cell>
          <cell r="B1312" t="str">
            <v>26/07/2019</v>
          </cell>
          <cell r="C1312" t="str">
            <v>C1634</v>
          </cell>
          <cell r="D1312" t="str">
            <v>PAT Testing</v>
          </cell>
          <cell r="E1312" t="str">
            <v>Key Integrated Services North West Ltd</v>
          </cell>
          <cell r="F1312" t="str">
            <v>Subcontractor</v>
          </cell>
          <cell r="G1312" t="str">
            <v>30/07/2019</v>
          </cell>
          <cell r="H1312" t="str">
            <v>Complete</v>
          </cell>
          <cell r="I1312" t="str">
            <v/>
          </cell>
          <cell r="J1312">
            <v>0</v>
          </cell>
          <cell r="K1312">
            <v>0</v>
          </cell>
          <cell r="L1312">
            <v>0</v>
          </cell>
          <cell r="M1312" t="str">
            <v/>
          </cell>
          <cell r="N1312">
            <v>0</v>
          </cell>
        </row>
        <row r="1313">
          <cell r="A1313">
            <v>16934</v>
          </cell>
          <cell r="B1313" t="str">
            <v>26/07/2019</v>
          </cell>
          <cell r="C1313" t="str">
            <v>C1532</v>
          </cell>
          <cell r="D1313" t="str">
            <v>Fixed scaffold to AHUs 2, 3 &amp; 5</v>
          </cell>
          <cell r="E1313" t="str">
            <v>S &amp; P Scaffolding Limited</v>
          </cell>
          <cell r="F1313" t="str">
            <v>Subcontractor</v>
          </cell>
          <cell r="G1313" t="str">
            <v>29/07/2019</v>
          </cell>
          <cell r="H1313" t="str">
            <v/>
          </cell>
          <cell r="I1313" t="str">
            <v/>
          </cell>
          <cell r="J1313">
            <v>5400</v>
          </cell>
          <cell r="K1313">
            <v>1080</v>
          </cell>
          <cell r="L1313">
            <v>5400</v>
          </cell>
          <cell r="M1313" t="str">
            <v/>
          </cell>
          <cell r="N1313">
            <v>0</v>
          </cell>
        </row>
        <row r="1314">
          <cell r="A1314">
            <v>16931</v>
          </cell>
          <cell r="B1314" t="str">
            <v>26/07/2019</v>
          </cell>
          <cell r="C1314" t="str">
            <v>C1547</v>
          </cell>
          <cell r="D1314" t="str">
            <v>Re-lagging of steam / condensate mods</v>
          </cell>
          <cell r="E1314" t="str">
            <v>Thermal Insulation Covers Ltd</v>
          </cell>
          <cell r="F1314" t="str">
            <v>Subcontractor</v>
          </cell>
          <cell r="G1314" t="str">
            <v>30/07/2019</v>
          </cell>
          <cell r="H1314" t="str">
            <v/>
          </cell>
          <cell r="I1314" t="str">
            <v/>
          </cell>
          <cell r="J1314">
            <v>600</v>
          </cell>
          <cell r="K1314">
            <v>120</v>
          </cell>
          <cell r="L1314">
            <v>600</v>
          </cell>
          <cell r="M1314" t="str">
            <v/>
          </cell>
          <cell r="N1314">
            <v>0</v>
          </cell>
        </row>
        <row r="1315">
          <cell r="A1315">
            <v>16930</v>
          </cell>
          <cell r="B1315" t="str">
            <v>26/07/2019</v>
          </cell>
          <cell r="C1315" t="str">
            <v>C1632</v>
          </cell>
          <cell r="D1315" t="str">
            <v>Heating installation as per sub-contract document</v>
          </cell>
          <cell r="E1315" t="str">
            <v>BMS Installations Ltd</v>
          </cell>
          <cell r="F1315" t="str">
            <v>Subcontractor</v>
          </cell>
          <cell r="G1315" t="str">
            <v>29/07/2019</v>
          </cell>
          <cell r="H1315" t="str">
            <v/>
          </cell>
          <cell r="I1315" t="str">
            <v/>
          </cell>
          <cell r="J1315">
            <v>80495.03</v>
          </cell>
          <cell r="K1315">
            <v>16099.01</v>
          </cell>
          <cell r="L1315">
            <v>61897.52</v>
          </cell>
          <cell r="M1315" t="str">
            <v/>
          </cell>
          <cell r="N1315">
            <v>18597.509999999998</v>
          </cell>
        </row>
        <row r="1316">
          <cell r="A1316">
            <v>16924</v>
          </cell>
          <cell r="B1316" t="str">
            <v>26/07/2019</v>
          </cell>
          <cell r="C1316" t="str">
            <v>C1622</v>
          </cell>
          <cell r="D1316" t="str">
            <v>MDPE Main Chlorination</v>
          </cell>
          <cell r="E1316" t="str">
            <v>Commissioning &amp; Maintenance Services Ltd</v>
          </cell>
          <cell r="F1316" t="str">
            <v>Subcontractor</v>
          </cell>
          <cell r="G1316" t="str">
            <v/>
          </cell>
          <cell r="H1316" t="str">
            <v/>
          </cell>
          <cell r="I1316" t="str">
            <v/>
          </cell>
          <cell r="J1316">
            <v>747</v>
          </cell>
          <cell r="K1316">
            <v>149.4</v>
          </cell>
          <cell r="L1316">
            <v>0</v>
          </cell>
          <cell r="M1316" t="str">
            <v/>
          </cell>
          <cell r="N1316">
            <v>747</v>
          </cell>
        </row>
        <row r="1317">
          <cell r="A1317">
            <v>16923</v>
          </cell>
          <cell r="B1317" t="str">
            <v>25/07/2019</v>
          </cell>
          <cell r="C1317" t="str">
            <v>C1558</v>
          </cell>
          <cell r="D1317" t="str">
            <v/>
          </cell>
          <cell r="E1317" t="str">
            <v>JP Glasby Ltd</v>
          </cell>
          <cell r="F1317" t="str">
            <v>Subcontractor</v>
          </cell>
          <cell r="G1317" t="str">
            <v>10/06/2019</v>
          </cell>
          <cell r="H1317" t="str">
            <v/>
          </cell>
          <cell r="I1317" t="str">
            <v/>
          </cell>
          <cell r="J1317">
            <v>5937</v>
          </cell>
          <cell r="K1317">
            <v>1187.4000000000001</v>
          </cell>
          <cell r="L1317">
            <v>5937</v>
          </cell>
          <cell r="M1317" t="str">
            <v/>
          </cell>
          <cell r="N1317">
            <v>0</v>
          </cell>
        </row>
        <row r="1318">
          <cell r="A1318">
            <v>16920</v>
          </cell>
          <cell r="B1318" t="str">
            <v>25/07/2019</v>
          </cell>
          <cell r="C1318" t="str">
            <v>CALLOUT</v>
          </cell>
          <cell r="D1318" t="str">
            <v>EML test following Chubb report</v>
          </cell>
          <cell r="E1318" t="str">
            <v>Barrie Beard Ltd</v>
          </cell>
          <cell r="F1318" t="str">
            <v>Subcontractor</v>
          </cell>
          <cell r="G1318" t="str">
            <v/>
          </cell>
          <cell r="H1318" t="str">
            <v/>
          </cell>
          <cell r="I1318" t="str">
            <v/>
          </cell>
          <cell r="J1318">
            <v>500</v>
          </cell>
          <cell r="K1318">
            <v>100</v>
          </cell>
          <cell r="L1318">
            <v>500</v>
          </cell>
          <cell r="M1318" t="str">
            <v/>
          </cell>
          <cell r="N1318">
            <v>0</v>
          </cell>
        </row>
        <row r="1319">
          <cell r="A1319">
            <v>16916</v>
          </cell>
          <cell r="B1319" t="str">
            <v>25/07/2019</v>
          </cell>
          <cell r="C1319" t="str">
            <v>C1632</v>
          </cell>
          <cell r="D1319" t="str">
            <v>Electrical Works Associated with Ellesmere Primary School</v>
          </cell>
          <cell r="E1319" t="str">
            <v>Key Integrated Services (Electrical) Ltd</v>
          </cell>
          <cell r="F1319" t="str">
            <v>Subcontractor</v>
          </cell>
          <cell r="G1319" t="str">
            <v>29/07/2019</v>
          </cell>
          <cell r="H1319" t="str">
            <v/>
          </cell>
          <cell r="I1319" t="str">
            <v/>
          </cell>
          <cell r="J1319">
            <v>34552</v>
          </cell>
          <cell r="K1319">
            <v>6910.4</v>
          </cell>
          <cell r="L1319">
            <v>50553.919999999998</v>
          </cell>
          <cell r="M1319" t="str">
            <v/>
          </cell>
          <cell r="N1319">
            <v>-16001.92</v>
          </cell>
        </row>
        <row r="1320">
          <cell r="A1320">
            <v>16915</v>
          </cell>
          <cell r="B1320" t="str">
            <v>25/07/2019</v>
          </cell>
          <cell r="C1320" t="str">
            <v>C1632</v>
          </cell>
          <cell r="D1320" t="str">
            <v>Thermal Insulation to Pipework Services</v>
          </cell>
          <cell r="E1320" t="str">
            <v>Thermal Insulation Covers Ltd</v>
          </cell>
          <cell r="F1320" t="str">
            <v>Subcontractor</v>
          </cell>
          <cell r="G1320" t="str">
            <v>12/08/2019</v>
          </cell>
          <cell r="H1320" t="str">
            <v/>
          </cell>
          <cell r="I1320" t="str">
            <v/>
          </cell>
          <cell r="J1320">
            <v>8499.0300000000007</v>
          </cell>
          <cell r="K1320">
            <v>1699.81</v>
          </cell>
          <cell r="L1320">
            <v>8499.0300000000007</v>
          </cell>
          <cell r="M1320" t="str">
            <v/>
          </cell>
          <cell r="N1320">
            <v>0</v>
          </cell>
        </row>
        <row r="1321">
          <cell r="A1321">
            <v>16914</v>
          </cell>
          <cell r="B1321" t="str">
            <v>25/07/2019</v>
          </cell>
          <cell r="C1321" t="str">
            <v>CALLOUT</v>
          </cell>
          <cell r="D1321" t="str">
            <v>ac leaking</v>
          </cell>
          <cell r="E1321" t="str">
            <v>Commercial Temperature Solutions</v>
          </cell>
          <cell r="F1321" t="str">
            <v>Subcontractor</v>
          </cell>
          <cell r="G1321" t="str">
            <v/>
          </cell>
          <cell r="H1321" t="str">
            <v/>
          </cell>
          <cell r="I1321" t="str">
            <v/>
          </cell>
          <cell r="J1321">
            <v>136</v>
          </cell>
          <cell r="K1321">
            <v>27.2</v>
          </cell>
          <cell r="L1321">
            <v>136</v>
          </cell>
          <cell r="M1321" t="str">
            <v/>
          </cell>
          <cell r="N1321">
            <v>0</v>
          </cell>
        </row>
        <row r="1322">
          <cell r="A1322">
            <v>16913</v>
          </cell>
          <cell r="B1322" t="str">
            <v>25/07/2019</v>
          </cell>
          <cell r="C1322" t="str">
            <v>C1632</v>
          </cell>
          <cell r="D1322" t="str">
            <v>BMS Installation to Main School Plantroom &amp; Swimming Pool Pl</v>
          </cell>
          <cell r="E1322" t="str">
            <v>Detail Design Engineering Ltd</v>
          </cell>
          <cell r="F1322" t="str">
            <v>Subcontractor</v>
          </cell>
          <cell r="G1322" t="str">
            <v>29/07/2019</v>
          </cell>
          <cell r="H1322" t="str">
            <v/>
          </cell>
          <cell r="I1322" t="str">
            <v/>
          </cell>
          <cell r="J1322">
            <v>41423.03</v>
          </cell>
          <cell r="K1322">
            <v>8284.61</v>
          </cell>
          <cell r="L1322">
            <v>53710.29</v>
          </cell>
          <cell r="M1322" t="str">
            <v/>
          </cell>
          <cell r="N1322">
            <v>-12287.26</v>
          </cell>
        </row>
        <row r="1323">
          <cell r="A1323">
            <v>16909</v>
          </cell>
          <cell r="B1323" t="str">
            <v>24/07/2019</v>
          </cell>
          <cell r="C1323" t="str">
            <v>C1634</v>
          </cell>
          <cell r="D1323" t="str">
            <v>FLue Installation as per quote ref: SLW190301-H-AS</v>
          </cell>
          <cell r="E1323" t="str">
            <v>Midtherm Engineering Limited</v>
          </cell>
          <cell r="F1323" t="str">
            <v>Subcontractor</v>
          </cell>
          <cell r="G1323" t="str">
            <v>13/08/2019</v>
          </cell>
          <cell r="H1323" t="str">
            <v/>
          </cell>
          <cell r="I1323" t="str">
            <v/>
          </cell>
          <cell r="J1323">
            <v>3760</v>
          </cell>
          <cell r="K1323">
            <v>752</v>
          </cell>
          <cell r="L1323">
            <v>3760</v>
          </cell>
          <cell r="M1323" t="str">
            <v/>
          </cell>
          <cell r="N1323">
            <v>0</v>
          </cell>
        </row>
        <row r="1324">
          <cell r="A1324">
            <v>16900</v>
          </cell>
          <cell r="B1324" t="str">
            <v>24/07/2019</v>
          </cell>
          <cell r="C1324" t="str">
            <v>C1634</v>
          </cell>
          <cell r="D1324" t="str">
            <v>Core drilling works based on £300/day per man</v>
          </cell>
          <cell r="E1324" t="str">
            <v>Concrete Drilling Services Limited</v>
          </cell>
          <cell r="F1324" t="str">
            <v>Subcontractor</v>
          </cell>
          <cell r="G1324" t="str">
            <v>25/07/2019</v>
          </cell>
          <cell r="H1324" t="str">
            <v/>
          </cell>
          <cell r="I1324" t="str">
            <v/>
          </cell>
          <cell r="J1324">
            <v>1500</v>
          </cell>
          <cell r="K1324">
            <v>300</v>
          </cell>
          <cell r="L1324">
            <v>1500</v>
          </cell>
          <cell r="M1324" t="str">
            <v/>
          </cell>
          <cell r="N1324">
            <v>0</v>
          </cell>
        </row>
        <row r="1325">
          <cell r="A1325">
            <v>16898</v>
          </cell>
          <cell r="B1325" t="str">
            <v>24/07/2019</v>
          </cell>
          <cell r="C1325" t="str">
            <v>C1608</v>
          </cell>
          <cell r="D1325" t="str">
            <v/>
          </cell>
          <cell r="E1325" t="str">
            <v>Switchsafe Environmental</v>
          </cell>
          <cell r="F1325" t="str">
            <v>Subcontractor</v>
          </cell>
          <cell r="G1325" t="str">
            <v>29/07/2019</v>
          </cell>
          <cell r="H1325" t="str">
            <v/>
          </cell>
          <cell r="I1325" t="str">
            <v/>
          </cell>
          <cell r="J1325">
            <v>4900</v>
          </cell>
          <cell r="K1325">
            <v>980</v>
          </cell>
          <cell r="L1325">
            <v>4900</v>
          </cell>
          <cell r="M1325" t="str">
            <v/>
          </cell>
          <cell r="N1325">
            <v>0</v>
          </cell>
        </row>
        <row r="1326">
          <cell r="A1326">
            <v>16897</v>
          </cell>
          <cell r="B1326" t="str">
            <v>24/07/2019</v>
          </cell>
          <cell r="C1326" t="str">
            <v>C1633</v>
          </cell>
          <cell r="D1326" t="str">
            <v>System Pre Works Sampling</v>
          </cell>
          <cell r="E1326" t="str">
            <v>Primary Water Treatments</v>
          </cell>
          <cell r="F1326" t="str">
            <v>Subcontractor</v>
          </cell>
          <cell r="G1326" t="str">
            <v>25/07/2019</v>
          </cell>
          <cell r="H1326" t="str">
            <v/>
          </cell>
          <cell r="I1326" t="str">
            <v/>
          </cell>
          <cell r="J1326">
            <v>3400</v>
          </cell>
          <cell r="K1326">
            <v>680.01</v>
          </cell>
          <cell r="L1326">
            <v>3400</v>
          </cell>
          <cell r="M1326" t="str">
            <v/>
          </cell>
          <cell r="N1326">
            <v>0</v>
          </cell>
        </row>
        <row r="1327">
          <cell r="A1327">
            <v>16893</v>
          </cell>
          <cell r="B1327" t="str">
            <v>24/07/2019</v>
          </cell>
          <cell r="C1327" t="str">
            <v>C1634</v>
          </cell>
          <cell r="D1327" t="str">
            <v>Supply &amp; Installation of thermal insulation as per quote ref</v>
          </cell>
          <cell r="E1327" t="str">
            <v>Thermal Insulation Covers Ltd</v>
          </cell>
          <cell r="F1327" t="str">
            <v>Subcontractor</v>
          </cell>
          <cell r="G1327" t="str">
            <v>12/08/2019</v>
          </cell>
          <cell r="H1327" t="str">
            <v/>
          </cell>
          <cell r="I1327" t="str">
            <v/>
          </cell>
          <cell r="J1327">
            <v>6386</v>
          </cell>
          <cell r="K1327">
            <v>1277.2</v>
          </cell>
          <cell r="L1327">
            <v>6386</v>
          </cell>
          <cell r="M1327" t="str">
            <v/>
          </cell>
          <cell r="N1327">
            <v>0</v>
          </cell>
        </row>
        <row r="1328">
          <cell r="A1328">
            <v>16890</v>
          </cell>
          <cell r="B1328" t="str">
            <v>24/07/2019</v>
          </cell>
          <cell r="C1328" t="str">
            <v>C1633</v>
          </cell>
          <cell r="D1328" t="str">
            <v>BMS Installations to Blocks A &amp; B</v>
          </cell>
          <cell r="E1328" t="str">
            <v>Detail Design Engineering Ltd</v>
          </cell>
          <cell r="F1328" t="str">
            <v>Subcontractor</v>
          </cell>
          <cell r="G1328" t="str">
            <v>29/07/2019</v>
          </cell>
          <cell r="H1328" t="str">
            <v/>
          </cell>
          <cell r="I1328" t="str">
            <v/>
          </cell>
          <cell r="J1328">
            <v>20076.97</v>
          </cell>
          <cell r="K1328">
            <v>4015.39</v>
          </cell>
          <cell r="L1328">
            <v>28996.62</v>
          </cell>
          <cell r="M1328" t="str">
            <v/>
          </cell>
          <cell r="N1328">
            <v>-8919.65</v>
          </cell>
        </row>
        <row r="1329">
          <cell r="A1329">
            <v>16889</v>
          </cell>
          <cell r="B1329" t="str">
            <v>24/07/2019</v>
          </cell>
          <cell r="C1329" t="str">
            <v>C1633</v>
          </cell>
          <cell r="D1329" t="str">
            <v>Thermal Insualtion to Pipeworks Services</v>
          </cell>
          <cell r="E1329" t="str">
            <v>Thermal Insulation Covers Ltd</v>
          </cell>
          <cell r="F1329" t="str">
            <v>Subcontractor</v>
          </cell>
          <cell r="G1329" t="str">
            <v>12/08/2019</v>
          </cell>
          <cell r="H1329" t="str">
            <v/>
          </cell>
          <cell r="I1329" t="str">
            <v/>
          </cell>
          <cell r="J1329">
            <v>8115.32</v>
          </cell>
          <cell r="K1329">
            <v>1623.06</v>
          </cell>
          <cell r="L1329">
            <v>8115.32</v>
          </cell>
          <cell r="M1329" t="str">
            <v/>
          </cell>
          <cell r="N1329">
            <v>0</v>
          </cell>
        </row>
        <row r="1330">
          <cell r="A1330">
            <v>16888</v>
          </cell>
          <cell r="B1330" t="str">
            <v>24/07/2019</v>
          </cell>
          <cell r="C1330" t="str">
            <v>C1633</v>
          </cell>
          <cell r="D1330" t="str">
            <v>Commission Heating Systems to Yew Tree Primary School. Block</v>
          </cell>
          <cell r="E1330" t="str">
            <v>New Era Commissioning Specialists Ltd</v>
          </cell>
          <cell r="F1330" t="str">
            <v>Subcontractor</v>
          </cell>
          <cell r="G1330" t="str">
            <v>02/09/2019</v>
          </cell>
          <cell r="H1330" t="str">
            <v/>
          </cell>
          <cell r="I1330" t="str">
            <v/>
          </cell>
          <cell r="J1330">
            <v>450</v>
          </cell>
          <cell r="K1330">
            <v>90</v>
          </cell>
          <cell r="L1330">
            <v>450</v>
          </cell>
          <cell r="M1330" t="str">
            <v/>
          </cell>
          <cell r="N1330">
            <v>0</v>
          </cell>
        </row>
        <row r="1331">
          <cell r="A1331">
            <v>16887</v>
          </cell>
          <cell r="B1331" t="str">
            <v>24/07/2019</v>
          </cell>
          <cell r="C1331" t="str">
            <v>C1633</v>
          </cell>
          <cell r="D1331" t="str">
            <v>Attend Yew Tree Primary School to undertake Electrical Works</v>
          </cell>
          <cell r="E1331" t="str">
            <v>Key Integrated Services North West Ltd</v>
          </cell>
          <cell r="F1331" t="str">
            <v>Subcontractor</v>
          </cell>
          <cell r="G1331" t="str">
            <v>29/07/2019</v>
          </cell>
          <cell r="H1331" t="str">
            <v/>
          </cell>
          <cell r="I1331" t="str">
            <v/>
          </cell>
          <cell r="J1331">
            <v>1030.3800000000001</v>
          </cell>
          <cell r="K1331">
            <v>206.08</v>
          </cell>
          <cell r="L1331">
            <v>1030.3800000000001</v>
          </cell>
          <cell r="M1331" t="str">
            <v/>
          </cell>
          <cell r="N1331">
            <v>0</v>
          </cell>
        </row>
        <row r="1332">
          <cell r="A1332">
            <v>16879</v>
          </cell>
          <cell r="B1332" t="str">
            <v>22/07/2019</v>
          </cell>
          <cell r="C1332" t="str">
            <v>SERVICE</v>
          </cell>
          <cell r="D1332" t="str">
            <v>EML test July 2019</v>
          </cell>
          <cell r="E1332" t="str">
            <v>Key Integrated Services North West Ltd</v>
          </cell>
          <cell r="F1332" t="str">
            <v>Subcontractor</v>
          </cell>
          <cell r="G1332" t="str">
            <v/>
          </cell>
          <cell r="H1332" t="str">
            <v/>
          </cell>
          <cell r="I1332" t="str">
            <v/>
          </cell>
          <cell r="J1332">
            <v>100</v>
          </cell>
          <cell r="K1332">
            <v>20</v>
          </cell>
          <cell r="L1332">
            <v>0</v>
          </cell>
          <cell r="M1332" t="str">
            <v/>
          </cell>
          <cell r="N1332">
            <v>100</v>
          </cell>
        </row>
        <row r="1333">
          <cell r="A1333">
            <v>16878</v>
          </cell>
          <cell r="B1333" t="str">
            <v>22/07/2019</v>
          </cell>
          <cell r="C1333" t="str">
            <v>C1633</v>
          </cell>
          <cell r="D1333" t="str">
            <v>Radiator &amp; Plantroom Installations Dukinfield Primary School</v>
          </cell>
          <cell r="E1333" t="str">
            <v>North West Renewables Ltd</v>
          </cell>
          <cell r="F1333" t="str">
            <v>Subcontractor</v>
          </cell>
          <cell r="G1333" t="str">
            <v>25/07/2019</v>
          </cell>
          <cell r="H1333" t="str">
            <v>Complete</v>
          </cell>
          <cell r="I1333" t="str">
            <v/>
          </cell>
          <cell r="J1333">
            <v>56857</v>
          </cell>
          <cell r="K1333">
            <v>11371.4</v>
          </cell>
          <cell r="L1333">
            <v>56857</v>
          </cell>
          <cell r="M1333" t="str">
            <v/>
          </cell>
          <cell r="N1333">
            <v>0</v>
          </cell>
        </row>
        <row r="1334">
          <cell r="A1334">
            <v>16873</v>
          </cell>
          <cell r="B1334" t="str">
            <v>22/07/2019</v>
          </cell>
          <cell r="C1334" t="str">
            <v>SERVICE</v>
          </cell>
          <cell r="D1334" t="str">
            <v>Bronze Package includes 2no visists per annum</v>
          </cell>
          <cell r="E1334" t="str">
            <v>Impact Control Systems Ltd</v>
          </cell>
          <cell r="F1334" t="str">
            <v>Subcontractor</v>
          </cell>
          <cell r="G1334" t="str">
            <v/>
          </cell>
          <cell r="H1334" t="str">
            <v/>
          </cell>
          <cell r="I1334" t="str">
            <v/>
          </cell>
          <cell r="J1334">
            <v>900</v>
          </cell>
          <cell r="K1334">
            <v>180</v>
          </cell>
          <cell r="L1334">
            <v>900</v>
          </cell>
          <cell r="M1334" t="str">
            <v/>
          </cell>
          <cell r="N1334">
            <v>0</v>
          </cell>
        </row>
        <row r="1335">
          <cell r="A1335">
            <v>16872</v>
          </cell>
          <cell r="B1335" t="str">
            <v>22/07/2019</v>
          </cell>
          <cell r="C1335" t="str">
            <v>SERVICE</v>
          </cell>
          <cell r="D1335" t="str">
            <v>Carry out Legionella Risk Assesment</v>
          </cell>
          <cell r="E1335" t="str">
            <v>Hydraclean Ltd</v>
          </cell>
          <cell r="F1335" t="str">
            <v>Subcontractor</v>
          </cell>
          <cell r="G1335" t="str">
            <v/>
          </cell>
          <cell r="H1335" t="str">
            <v/>
          </cell>
          <cell r="I1335" t="str">
            <v/>
          </cell>
          <cell r="J1335">
            <v>550</v>
          </cell>
          <cell r="K1335">
            <v>110</v>
          </cell>
          <cell r="L1335">
            <v>550</v>
          </cell>
          <cell r="M1335" t="str">
            <v/>
          </cell>
          <cell r="N1335">
            <v>0</v>
          </cell>
        </row>
        <row r="1336">
          <cell r="A1336">
            <v>16865</v>
          </cell>
          <cell r="B1336" t="str">
            <v>19/07/2019</v>
          </cell>
          <cell r="C1336" t="str">
            <v>C1625</v>
          </cell>
          <cell r="D1336" t="str">
            <v>Supply Labour and all necessary Plant tools and equipment to</v>
          </cell>
          <cell r="E1336" t="str">
            <v>Eamonn Reilly</v>
          </cell>
          <cell r="F1336" t="str">
            <v>Subcontractor</v>
          </cell>
          <cell r="G1336" t="str">
            <v>06/08/2019</v>
          </cell>
          <cell r="H1336" t="str">
            <v/>
          </cell>
          <cell r="I1336" t="str">
            <v/>
          </cell>
          <cell r="J1336">
            <v>2155</v>
          </cell>
          <cell r="K1336">
            <v>431</v>
          </cell>
          <cell r="L1336">
            <v>2155</v>
          </cell>
          <cell r="M1336" t="str">
            <v/>
          </cell>
          <cell r="N1336">
            <v>0</v>
          </cell>
        </row>
        <row r="1337">
          <cell r="A1337">
            <v>16863</v>
          </cell>
          <cell r="B1337" t="str">
            <v>19/07/2019</v>
          </cell>
          <cell r="C1337" t="str">
            <v>C1625</v>
          </cell>
          <cell r="D1337" t="str">
            <v>Provide all Materials, labour, plant and equipment to instal</v>
          </cell>
          <cell r="E1337" t="str">
            <v>Key Integrated Services (Electrical) Ltd</v>
          </cell>
          <cell r="F1337" t="str">
            <v>Subcontractor</v>
          </cell>
          <cell r="G1337" t="str">
            <v>22/07/2019</v>
          </cell>
          <cell r="H1337" t="str">
            <v>Part</v>
          </cell>
          <cell r="I1337" t="str">
            <v/>
          </cell>
          <cell r="J1337">
            <v>10358</v>
          </cell>
          <cell r="K1337">
            <v>2071.6</v>
          </cell>
          <cell r="L1337">
            <v>9834.5</v>
          </cell>
          <cell r="M1337" t="str">
            <v/>
          </cell>
          <cell r="N1337">
            <v>523.5</v>
          </cell>
        </row>
        <row r="1338">
          <cell r="A1338">
            <v>16862</v>
          </cell>
          <cell r="B1338" t="str">
            <v>19/07/2019</v>
          </cell>
          <cell r="C1338" t="str">
            <v>CALLOUT</v>
          </cell>
          <cell r="D1338" t="str">
            <v>carry out quoted works to pipework</v>
          </cell>
          <cell r="E1338" t="str">
            <v>Viabl Ltd T/A Able</v>
          </cell>
          <cell r="F1338" t="str">
            <v>Subcontractor</v>
          </cell>
          <cell r="G1338" t="str">
            <v/>
          </cell>
          <cell r="H1338" t="str">
            <v/>
          </cell>
          <cell r="I1338" t="str">
            <v/>
          </cell>
          <cell r="J1338">
            <v>245</v>
          </cell>
          <cell r="K1338">
            <v>49</v>
          </cell>
          <cell r="L1338">
            <v>245</v>
          </cell>
          <cell r="M1338" t="str">
            <v/>
          </cell>
          <cell r="N1338">
            <v>0</v>
          </cell>
        </row>
        <row r="1339">
          <cell r="A1339">
            <v>16859</v>
          </cell>
          <cell r="B1339" t="str">
            <v>19/07/2019</v>
          </cell>
          <cell r="C1339" t="str">
            <v>CALLOUT</v>
          </cell>
          <cell r="D1339" t="str">
            <v>GAS LEAK</v>
          </cell>
          <cell r="E1339" t="str">
            <v>K Gammon Plumbing &amp; Heating Ltd</v>
          </cell>
          <cell r="F1339" t="str">
            <v>Subcontractor</v>
          </cell>
          <cell r="G1339" t="str">
            <v/>
          </cell>
          <cell r="H1339" t="str">
            <v>Part</v>
          </cell>
          <cell r="I1339" t="str">
            <v/>
          </cell>
          <cell r="J1339">
            <v>56</v>
          </cell>
          <cell r="K1339">
            <v>11.2</v>
          </cell>
          <cell r="L1339">
            <v>56</v>
          </cell>
          <cell r="M1339" t="str">
            <v/>
          </cell>
          <cell r="N1339">
            <v>0</v>
          </cell>
        </row>
        <row r="1340">
          <cell r="A1340">
            <v>16854</v>
          </cell>
          <cell r="B1340" t="str">
            <v>19/07/2019</v>
          </cell>
          <cell r="C1340" t="str">
            <v>CALLOUT</v>
          </cell>
          <cell r="D1340" t="str">
            <v>pipe in gents leaking</v>
          </cell>
          <cell r="E1340" t="str">
            <v>Viabl Ltd T/A Able</v>
          </cell>
          <cell r="F1340" t="str">
            <v>Subcontractor</v>
          </cell>
          <cell r="G1340" t="str">
            <v/>
          </cell>
          <cell r="H1340" t="str">
            <v/>
          </cell>
          <cell r="I1340" t="str">
            <v/>
          </cell>
          <cell r="J1340">
            <v>65</v>
          </cell>
          <cell r="K1340">
            <v>13</v>
          </cell>
          <cell r="L1340">
            <v>65</v>
          </cell>
          <cell r="M1340" t="str">
            <v/>
          </cell>
          <cell r="N1340">
            <v>0</v>
          </cell>
        </row>
        <row r="1341">
          <cell r="A1341">
            <v>16853</v>
          </cell>
          <cell r="B1341" t="str">
            <v>19/07/2019</v>
          </cell>
          <cell r="C1341" t="str">
            <v>CALLOUT</v>
          </cell>
          <cell r="D1341" t="str">
            <v>supply only light fttgs Ansell ACOLED2/CW 28watt</v>
          </cell>
          <cell r="E1341" t="str">
            <v>Key Integrated Services North West Ltd</v>
          </cell>
          <cell r="F1341" t="str">
            <v>Subcontractor</v>
          </cell>
          <cell r="G1341" t="str">
            <v/>
          </cell>
          <cell r="H1341" t="str">
            <v/>
          </cell>
          <cell r="I1341" t="str">
            <v/>
          </cell>
          <cell r="J1341">
            <v>376</v>
          </cell>
          <cell r="K1341">
            <v>75.2</v>
          </cell>
          <cell r="L1341">
            <v>376</v>
          </cell>
          <cell r="M1341" t="str">
            <v/>
          </cell>
          <cell r="N1341">
            <v>0</v>
          </cell>
        </row>
        <row r="1342">
          <cell r="A1342">
            <v>16848</v>
          </cell>
          <cell r="B1342" t="str">
            <v>18/07/2019</v>
          </cell>
          <cell r="C1342" t="str">
            <v>SERVICE</v>
          </cell>
          <cell r="D1342" t="str">
            <v>12 Months Maintenance Contract (2no visits per annum)</v>
          </cell>
          <cell r="E1342" t="str">
            <v>Dortek Limited</v>
          </cell>
          <cell r="F1342" t="str">
            <v>Subcontractor</v>
          </cell>
          <cell r="G1342" t="str">
            <v/>
          </cell>
          <cell r="H1342" t="str">
            <v>Complete</v>
          </cell>
          <cell r="I1342" t="str">
            <v/>
          </cell>
          <cell r="J1342">
            <v>0</v>
          </cell>
          <cell r="K1342">
            <v>0</v>
          </cell>
          <cell r="L1342">
            <v>0</v>
          </cell>
          <cell r="M1342" t="str">
            <v/>
          </cell>
          <cell r="N1342">
            <v>0</v>
          </cell>
        </row>
        <row r="1343">
          <cell r="A1343">
            <v>16845</v>
          </cell>
          <cell r="B1343" t="str">
            <v>18/07/2019</v>
          </cell>
          <cell r="C1343" t="str">
            <v>C1576</v>
          </cell>
          <cell r="D1343" t="str">
            <v>revisit &amp; check air flow rates 18/7/19</v>
          </cell>
          <cell r="E1343" t="str">
            <v>Combat Commissioning Services Ltd</v>
          </cell>
          <cell r="F1343" t="str">
            <v>Subcontractor</v>
          </cell>
          <cell r="G1343" t="str">
            <v>18/07/2019</v>
          </cell>
          <cell r="H1343" t="str">
            <v/>
          </cell>
          <cell r="I1343" t="str">
            <v/>
          </cell>
          <cell r="J1343">
            <v>450</v>
          </cell>
          <cell r="K1343">
            <v>90</v>
          </cell>
          <cell r="L1343">
            <v>450</v>
          </cell>
          <cell r="M1343" t="str">
            <v/>
          </cell>
          <cell r="N1343">
            <v>0</v>
          </cell>
        </row>
        <row r="1344">
          <cell r="A1344">
            <v>16844</v>
          </cell>
          <cell r="B1344" t="str">
            <v>18/07/2019</v>
          </cell>
          <cell r="C1344" t="str">
            <v>C1622</v>
          </cell>
          <cell r="D1344" t="str">
            <v>Plumbing Works as Per Drawings and Specificartion.</v>
          </cell>
          <cell r="E1344" t="str">
            <v>GLS Plumbing &amp; Heating Ltd</v>
          </cell>
          <cell r="F1344" t="str">
            <v>Subcontractor</v>
          </cell>
          <cell r="G1344" t="str">
            <v>21/07/2019</v>
          </cell>
          <cell r="H1344" t="str">
            <v/>
          </cell>
          <cell r="I1344" t="str">
            <v/>
          </cell>
          <cell r="J1344">
            <v>12600</v>
          </cell>
          <cell r="K1344">
            <v>2520</v>
          </cell>
          <cell r="L1344">
            <v>13600</v>
          </cell>
          <cell r="M1344" t="str">
            <v/>
          </cell>
          <cell r="N1344">
            <v>-1000</v>
          </cell>
        </row>
        <row r="1345">
          <cell r="A1345">
            <v>16843</v>
          </cell>
          <cell r="B1345" t="str">
            <v>18/07/2019</v>
          </cell>
          <cell r="C1345" t="str">
            <v>C1635</v>
          </cell>
          <cell r="D1345" t="str">
            <v>NPS subcontract order</v>
          </cell>
          <cell r="E1345" t="str">
            <v>NP Services (Leicester) Ltd</v>
          </cell>
          <cell r="F1345" t="str">
            <v>Subcontractor</v>
          </cell>
          <cell r="G1345" t="str">
            <v>05/08/2019</v>
          </cell>
          <cell r="H1345" t="str">
            <v/>
          </cell>
          <cell r="I1345" t="str">
            <v/>
          </cell>
          <cell r="J1345">
            <v>15718</v>
          </cell>
          <cell r="K1345">
            <v>3143.6</v>
          </cell>
          <cell r="L1345">
            <v>15718</v>
          </cell>
          <cell r="M1345" t="str">
            <v/>
          </cell>
          <cell r="N1345">
            <v>0</v>
          </cell>
        </row>
        <row r="1346">
          <cell r="A1346">
            <v>16842</v>
          </cell>
          <cell r="B1346" t="str">
            <v>18/07/2019</v>
          </cell>
          <cell r="C1346" t="str">
            <v>C1608</v>
          </cell>
          <cell r="D1346" t="str">
            <v/>
          </cell>
          <cell r="E1346" t="str">
            <v>Westside Fabrications Limited</v>
          </cell>
          <cell r="F1346" t="str">
            <v>Subcontractor</v>
          </cell>
          <cell r="G1346" t="str">
            <v>18/07/2019</v>
          </cell>
          <cell r="H1346" t="str">
            <v/>
          </cell>
          <cell r="I1346" t="str">
            <v/>
          </cell>
          <cell r="J1346">
            <v>2970</v>
          </cell>
          <cell r="K1346">
            <v>594</v>
          </cell>
          <cell r="L1346">
            <v>2970</v>
          </cell>
          <cell r="M1346" t="str">
            <v/>
          </cell>
          <cell r="N1346">
            <v>0</v>
          </cell>
        </row>
        <row r="1347">
          <cell r="A1347">
            <v>16836</v>
          </cell>
          <cell r="B1347" t="str">
            <v>17/07/2019</v>
          </cell>
          <cell r="C1347" t="str">
            <v>CALLOUT</v>
          </cell>
          <cell r="D1347" t="str">
            <v>main office aC LEAKING</v>
          </cell>
          <cell r="E1347" t="str">
            <v>Commercial Temperature Solutions</v>
          </cell>
          <cell r="F1347" t="str">
            <v>Subcontractor</v>
          </cell>
          <cell r="G1347" t="str">
            <v/>
          </cell>
          <cell r="H1347" t="str">
            <v>Part</v>
          </cell>
          <cell r="I1347" t="str">
            <v/>
          </cell>
          <cell r="J1347">
            <v>127.5</v>
          </cell>
          <cell r="K1347">
            <v>25.5</v>
          </cell>
          <cell r="L1347">
            <v>127.5</v>
          </cell>
          <cell r="M1347" t="str">
            <v/>
          </cell>
          <cell r="N1347">
            <v>0</v>
          </cell>
        </row>
        <row r="1348">
          <cell r="A1348">
            <v>16831</v>
          </cell>
          <cell r="B1348" t="str">
            <v>17/07/2019</v>
          </cell>
          <cell r="C1348" t="str">
            <v>C1640</v>
          </cell>
          <cell r="D1348" t="str">
            <v>Cream Room Upgrade as quotation to REV PO3</v>
          </cell>
          <cell r="E1348" t="str">
            <v>NP Services (Leicester) Ltd</v>
          </cell>
          <cell r="F1348" t="str">
            <v>Subcontractor</v>
          </cell>
          <cell r="G1348" t="str">
            <v>22/07/2019</v>
          </cell>
          <cell r="H1348" t="str">
            <v/>
          </cell>
          <cell r="I1348" t="str">
            <v/>
          </cell>
          <cell r="J1348">
            <v>54509</v>
          </cell>
          <cell r="K1348">
            <v>10901.8</v>
          </cell>
          <cell r="L1348">
            <v>54509</v>
          </cell>
          <cell r="M1348" t="str">
            <v/>
          </cell>
          <cell r="N1348">
            <v>0</v>
          </cell>
        </row>
        <row r="1349">
          <cell r="A1349">
            <v>16828</v>
          </cell>
          <cell r="B1349" t="str">
            <v>16/07/2019</v>
          </cell>
          <cell r="C1349" t="str">
            <v>C1637</v>
          </cell>
          <cell r="D1349" t="str">
            <v>Containment system</v>
          </cell>
          <cell r="E1349" t="str">
            <v>Key Integrated Services North West Ltd</v>
          </cell>
          <cell r="F1349" t="str">
            <v>Subcontractor</v>
          </cell>
          <cell r="G1349" t="str">
            <v>29/07/2019</v>
          </cell>
          <cell r="H1349" t="str">
            <v/>
          </cell>
          <cell r="I1349" t="str">
            <v/>
          </cell>
          <cell r="J1349">
            <v>8653</v>
          </cell>
          <cell r="K1349">
            <v>1730.6</v>
          </cell>
          <cell r="L1349">
            <v>8653.4</v>
          </cell>
          <cell r="M1349" t="str">
            <v/>
          </cell>
          <cell r="N1349">
            <v>-0.4</v>
          </cell>
        </row>
        <row r="1350">
          <cell r="A1350">
            <v>16827</v>
          </cell>
          <cell r="B1350" t="str">
            <v>16/07/2019</v>
          </cell>
          <cell r="C1350" t="str">
            <v>C1603</v>
          </cell>
          <cell r="D1350" t="str">
            <v>Paul Hankey</v>
          </cell>
          <cell r="E1350" t="str">
            <v>Entech Services UK Ltd</v>
          </cell>
          <cell r="F1350" t="str">
            <v>Subcontractor</v>
          </cell>
          <cell r="G1350" t="str">
            <v/>
          </cell>
          <cell r="H1350" t="str">
            <v/>
          </cell>
          <cell r="I1350" t="str">
            <v/>
          </cell>
          <cell r="J1350">
            <v>1500</v>
          </cell>
          <cell r="K1350">
            <v>300</v>
          </cell>
          <cell r="L1350">
            <v>1500</v>
          </cell>
          <cell r="M1350" t="str">
            <v/>
          </cell>
          <cell r="N1350">
            <v>0</v>
          </cell>
        </row>
        <row r="1351">
          <cell r="A1351">
            <v>16824</v>
          </cell>
          <cell r="B1351" t="str">
            <v>16/07/2019</v>
          </cell>
          <cell r="C1351" t="str">
            <v>C1636</v>
          </cell>
          <cell r="D1351" t="str">
            <v>manchester call out</v>
          </cell>
          <cell r="E1351" t="str">
            <v>Key Integrated Services (Electrical) Ltd</v>
          </cell>
          <cell r="F1351" t="str">
            <v>Subcontractor</v>
          </cell>
          <cell r="G1351" t="str">
            <v/>
          </cell>
          <cell r="H1351" t="str">
            <v>Complete</v>
          </cell>
          <cell r="I1351" t="str">
            <v/>
          </cell>
          <cell r="J1351">
            <v>0</v>
          </cell>
          <cell r="K1351">
            <v>0</v>
          </cell>
          <cell r="L1351">
            <v>0</v>
          </cell>
          <cell r="M1351" t="str">
            <v/>
          </cell>
          <cell r="N1351">
            <v>0</v>
          </cell>
        </row>
        <row r="1352">
          <cell r="A1352">
            <v>16823</v>
          </cell>
          <cell r="B1352" t="str">
            <v>16/07/2019</v>
          </cell>
          <cell r="C1352" t="str">
            <v>C1636</v>
          </cell>
          <cell r="D1352" t="str">
            <v>manchester main office and kitchen lighting</v>
          </cell>
          <cell r="E1352" t="str">
            <v>Key Integrated Services (Electrical) Ltd</v>
          </cell>
          <cell r="F1352" t="str">
            <v>Subcontractor</v>
          </cell>
          <cell r="G1352" t="str">
            <v/>
          </cell>
          <cell r="H1352" t="str">
            <v/>
          </cell>
          <cell r="I1352" t="str">
            <v/>
          </cell>
          <cell r="J1352">
            <v>1521.42</v>
          </cell>
          <cell r="K1352">
            <v>304.27999999999997</v>
          </cell>
          <cell r="L1352">
            <v>1521.42</v>
          </cell>
          <cell r="M1352" t="str">
            <v/>
          </cell>
          <cell r="N1352">
            <v>0</v>
          </cell>
        </row>
        <row r="1353">
          <cell r="A1353">
            <v>16822</v>
          </cell>
          <cell r="B1353" t="str">
            <v>16/07/2019</v>
          </cell>
          <cell r="C1353" t="str">
            <v>C1636</v>
          </cell>
          <cell r="D1353" t="str">
            <v>sefton time clocks relocation</v>
          </cell>
          <cell r="E1353" t="str">
            <v>Key Integrated Services (Electrical) Ltd</v>
          </cell>
          <cell r="F1353" t="str">
            <v>Subcontractor</v>
          </cell>
          <cell r="G1353" t="str">
            <v/>
          </cell>
          <cell r="H1353" t="str">
            <v>Complete</v>
          </cell>
          <cell r="I1353" t="str">
            <v/>
          </cell>
          <cell r="J1353">
            <v>0</v>
          </cell>
          <cell r="K1353">
            <v>0</v>
          </cell>
          <cell r="L1353">
            <v>0</v>
          </cell>
          <cell r="M1353" t="str">
            <v/>
          </cell>
          <cell r="N1353">
            <v>0</v>
          </cell>
        </row>
        <row r="1354">
          <cell r="A1354">
            <v>16821</v>
          </cell>
          <cell r="B1354" t="str">
            <v>16/07/2019</v>
          </cell>
          <cell r="C1354" t="str">
            <v>C1636</v>
          </cell>
          <cell r="D1354" t="str">
            <v>Sefton timeclock relocation</v>
          </cell>
          <cell r="E1354" t="str">
            <v>Key Integrated Services (Electrical) Ltd</v>
          </cell>
          <cell r="F1354" t="str">
            <v>Subcontractor</v>
          </cell>
          <cell r="G1354" t="str">
            <v/>
          </cell>
          <cell r="H1354" t="str">
            <v/>
          </cell>
          <cell r="I1354" t="str">
            <v/>
          </cell>
          <cell r="J1354">
            <v>544</v>
          </cell>
          <cell r="K1354">
            <v>108.8</v>
          </cell>
          <cell r="L1354">
            <v>544</v>
          </cell>
          <cell r="M1354" t="str">
            <v/>
          </cell>
          <cell r="N1354">
            <v>0</v>
          </cell>
        </row>
        <row r="1355">
          <cell r="A1355">
            <v>16820</v>
          </cell>
          <cell r="B1355" t="str">
            <v>16/07/2019</v>
          </cell>
          <cell r="C1355" t="str">
            <v>C1636</v>
          </cell>
          <cell r="D1355" t="str">
            <v>Sefton high risk freezer sockets</v>
          </cell>
          <cell r="E1355" t="str">
            <v>Key Integrated Services (Electrical) Ltd</v>
          </cell>
          <cell r="F1355" t="str">
            <v>Subcontractor</v>
          </cell>
          <cell r="G1355" t="str">
            <v/>
          </cell>
          <cell r="H1355" t="str">
            <v/>
          </cell>
          <cell r="I1355" t="str">
            <v/>
          </cell>
          <cell r="J1355">
            <v>1158.48</v>
          </cell>
          <cell r="K1355">
            <v>231.7</v>
          </cell>
          <cell r="L1355">
            <v>0</v>
          </cell>
          <cell r="M1355" t="str">
            <v/>
          </cell>
          <cell r="N1355">
            <v>1158.48</v>
          </cell>
        </row>
        <row r="1356">
          <cell r="A1356">
            <v>16819</v>
          </cell>
          <cell r="B1356" t="str">
            <v>16/07/2019</v>
          </cell>
          <cell r="C1356" t="str">
            <v>C1518</v>
          </cell>
          <cell r="D1356" t="str">
            <v>trace heat and lag hx pipework</v>
          </cell>
          <cell r="E1356" t="str">
            <v>Thermal Insulation Covers Ltd</v>
          </cell>
          <cell r="F1356" t="str">
            <v>Subcontractor</v>
          </cell>
          <cell r="G1356" t="str">
            <v/>
          </cell>
          <cell r="H1356" t="str">
            <v/>
          </cell>
          <cell r="I1356" t="str">
            <v/>
          </cell>
          <cell r="J1356">
            <v>1211</v>
          </cell>
          <cell r="K1356">
            <v>242.2</v>
          </cell>
          <cell r="L1356">
            <v>1211</v>
          </cell>
          <cell r="M1356" t="str">
            <v/>
          </cell>
          <cell r="N1356">
            <v>0</v>
          </cell>
        </row>
        <row r="1357">
          <cell r="A1357">
            <v>16816</v>
          </cell>
          <cell r="B1357" t="str">
            <v>15/07/2019</v>
          </cell>
          <cell r="C1357" t="str">
            <v>C1518</v>
          </cell>
          <cell r="D1357" t="str">
            <v>LED lighting Stores and PBL</v>
          </cell>
          <cell r="E1357" t="str">
            <v>Key Integrated Services (Electrical) Ltd</v>
          </cell>
          <cell r="F1357" t="str">
            <v>Subcontractor</v>
          </cell>
          <cell r="G1357" t="str">
            <v/>
          </cell>
          <cell r="H1357" t="str">
            <v/>
          </cell>
          <cell r="I1357" t="str">
            <v/>
          </cell>
          <cell r="J1357">
            <v>19473</v>
          </cell>
          <cell r="K1357">
            <v>3894.6</v>
          </cell>
          <cell r="L1357">
            <v>19473</v>
          </cell>
          <cell r="M1357" t="str">
            <v/>
          </cell>
          <cell r="N1357">
            <v>0</v>
          </cell>
        </row>
        <row r="1358">
          <cell r="A1358">
            <v>16811</v>
          </cell>
          <cell r="B1358" t="str">
            <v>15/07/2019</v>
          </cell>
          <cell r="C1358" t="str">
            <v>C1604</v>
          </cell>
          <cell r="D1358" t="str">
            <v>Sockets for steam cleaner</v>
          </cell>
          <cell r="E1358" t="str">
            <v>Key Integrated Services (Electrical) Ltd</v>
          </cell>
          <cell r="F1358" t="str">
            <v>Subcontractor</v>
          </cell>
          <cell r="G1358" t="str">
            <v/>
          </cell>
          <cell r="H1358" t="str">
            <v/>
          </cell>
          <cell r="I1358" t="str">
            <v/>
          </cell>
          <cell r="J1358">
            <v>4086</v>
          </cell>
          <cell r="K1358">
            <v>817.2</v>
          </cell>
          <cell r="L1358">
            <v>4086</v>
          </cell>
          <cell r="M1358" t="str">
            <v/>
          </cell>
          <cell r="N1358">
            <v>0</v>
          </cell>
        </row>
        <row r="1359">
          <cell r="A1359">
            <v>16806</v>
          </cell>
          <cell r="B1359" t="str">
            <v>15/07/2019</v>
          </cell>
          <cell r="C1359" t="str">
            <v>C1625</v>
          </cell>
          <cell r="D1359" t="str">
            <v>Supply Labour and all consumables to facilitate the installa</v>
          </cell>
          <cell r="E1359" t="str">
            <v>Entech Services UK Ltd</v>
          </cell>
          <cell r="F1359" t="str">
            <v>Subcontractor</v>
          </cell>
          <cell r="G1359" t="str">
            <v/>
          </cell>
          <cell r="H1359" t="str">
            <v>Complete</v>
          </cell>
          <cell r="I1359" t="str">
            <v/>
          </cell>
          <cell r="J1359">
            <v>9000</v>
          </cell>
          <cell r="K1359">
            <v>1800</v>
          </cell>
          <cell r="L1359">
            <v>9000</v>
          </cell>
          <cell r="M1359" t="str">
            <v/>
          </cell>
          <cell r="N1359">
            <v>0</v>
          </cell>
        </row>
        <row r="1360">
          <cell r="A1360">
            <v>16801</v>
          </cell>
          <cell r="B1360" t="str">
            <v>15/07/2019</v>
          </cell>
          <cell r="C1360" t="str">
            <v>CALLOUT</v>
          </cell>
          <cell r="D1360" t="str">
            <v>carry out plumbing works as per quote</v>
          </cell>
          <cell r="E1360" t="str">
            <v>Derek Austin Heating Limited</v>
          </cell>
          <cell r="F1360" t="str">
            <v>Subcontractor</v>
          </cell>
          <cell r="G1360" t="str">
            <v/>
          </cell>
          <cell r="H1360" t="str">
            <v/>
          </cell>
          <cell r="I1360" t="str">
            <v/>
          </cell>
          <cell r="J1360">
            <v>535.79999999999995</v>
          </cell>
          <cell r="K1360">
            <v>107.16</v>
          </cell>
          <cell r="L1360">
            <v>535.79999999999995</v>
          </cell>
          <cell r="M1360" t="str">
            <v/>
          </cell>
          <cell r="N1360">
            <v>0</v>
          </cell>
        </row>
        <row r="1361">
          <cell r="A1361">
            <v>16799</v>
          </cell>
          <cell r="B1361" t="str">
            <v>12/07/2019</v>
          </cell>
          <cell r="C1361" t="str">
            <v>C1634</v>
          </cell>
          <cell r="D1361" t="str">
            <v>Celiling works as per quote ref: Q1692</v>
          </cell>
          <cell r="E1361" t="str">
            <v>HCIP Ltd</v>
          </cell>
          <cell r="F1361" t="str">
            <v>Subcontractor</v>
          </cell>
          <cell r="G1361" t="str">
            <v>22/07/2019</v>
          </cell>
          <cell r="H1361" t="str">
            <v/>
          </cell>
          <cell r="I1361" t="str">
            <v/>
          </cell>
          <cell r="J1361">
            <v>27872.799999999999</v>
          </cell>
          <cell r="K1361">
            <v>5574.56</v>
          </cell>
          <cell r="L1361">
            <v>27872.799999999999</v>
          </cell>
          <cell r="M1361" t="str">
            <v/>
          </cell>
          <cell r="N1361">
            <v>0</v>
          </cell>
        </row>
        <row r="1362">
          <cell r="A1362">
            <v>16797</v>
          </cell>
          <cell r="B1362" t="str">
            <v>12/07/2019</v>
          </cell>
          <cell r="C1362" t="str">
            <v>C1597</v>
          </cell>
          <cell r="D1362" t="str">
            <v>Boiler Installation Works as per quote on 22/5/19</v>
          </cell>
          <cell r="E1362" t="str">
            <v>Entech Services UK Ltd</v>
          </cell>
          <cell r="F1362" t="str">
            <v>Subcontractor</v>
          </cell>
          <cell r="G1362" t="str">
            <v>29/07/2019</v>
          </cell>
          <cell r="H1362" t="str">
            <v>Complete</v>
          </cell>
          <cell r="I1362" t="str">
            <v/>
          </cell>
          <cell r="J1362">
            <v>0</v>
          </cell>
          <cell r="K1362">
            <v>0</v>
          </cell>
          <cell r="L1362">
            <v>0</v>
          </cell>
          <cell r="M1362" t="str">
            <v/>
          </cell>
          <cell r="N1362">
            <v>0</v>
          </cell>
        </row>
        <row r="1363">
          <cell r="A1363">
            <v>16795</v>
          </cell>
          <cell r="B1363" t="str">
            <v>12/07/2019</v>
          </cell>
          <cell r="C1363" t="str">
            <v>C1531</v>
          </cell>
          <cell r="D1363" t="str">
            <v>Ductwork Installation</v>
          </cell>
          <cell r="E1363" t="str">
            <v>Cougar Mechanical Solutions Limited</v>
          </cell>
          <cell r="F1363" t="str">
            <v>Subcontractor</v>
          </cell>
          <cell r="G1363" t="str">
            <v/>
          </cell>
          <cell r="H1363" t="str">
            <v>Complete</v>
          </cell>
          <cell r="I1363" t="str">
            <v/>
          </cell>
          <cell r="J1363">
            <v>0</v>
          </cell>
          <cell r="K1363">
            <v>0</v>
          </cell>
          <cell r="L1363">
            <v>0</v>
          </cell>
          <cell r="M1363" t="str">
            <v/>
          </cell>
          <cell r="N1363">
            <v>0</v>
          </cell>
        </row>
        <row r="1364">
          <cell r="A1364">
            <v>16794</v>
          </cell>
          <cell r="B1364" t="str">
            <v>12/07/2019</v>
          </cell>
          <cell r="C1364" t="str">
            <v>C1558</v>
          </cell>
          <cell r="D1364" t="str">
            <v>Thermal Insulation</v>
          </cell>
          <cell r="E1364" t="str">
            <v>Cougar Mechanical Solutions Limited</v>
          </cell>
          <cell r="F1364" t="str">
            <v>Subcontractor</v>
          </cell>
          <cell r="G1364" t="str">
            <v/>
          </cell>
          <cell r="H1364" t="str">
            <v>Complete</v>
          </cell>
          <cell r="I1364" t="str">
            <v/>
          </cell>
          <cell r="J1364">
            <v>0</v>
          </cell>
          <cell r="K1364">
            <v>0</v>
          </cell>
          <cell r="L1364">
            <v>0</v>
          </cell>
          <cell r="M1364" t="str">
            <v/>
          </cell>
          <cell r="N1364">
            <v>0</v>
          </cell>
        </row>
        <row r="1365">
          <cell r="A1365">
            <v>16789</v>
          </cell>
          <cell r="B1365" t="str">
            <v>11/07/2019</v>
          </cell>
          <cell r="C1365" t="str">
            <v>C1629</v>
          </cell>
          <cell r="D1365" t="str">
            <v>Power supply installation</v>
          </cell>
          <cell r="E1365" t="str">
            <v>Key Integrated Services (Electrical) Ltd</v>
          </cell>
          <cell r="F1365" t="str">
            <v>Subcontractor</v>
          </cell>
          <cell r="G1365" t="str">
            <v/>
          </cell>
          <cell r="H1365" t="str">
            <v/>
          </cell>
          <cell r="I1365" t="str">
            <v/>
          </cell>
          <cell r="J1365">
            <v>12450.94</v>
          </cell>
          <cell r="K1365">
            <v>2490.19</v>
          </cell>
          <cell r="L1365">
            <v>12450.94</v>
          </cell>
          <cell r="M1365" t="str">
            <v/>
          </cell>
          <cell r="N1365">
            <v>0</v>
          </cell>
        </row>
        <row r="1366">
          <cell r="A1366">
            <v>16787</v>
          </cell>
          <cell r="B1366" t="str">
            <v>11/07/2019</v>
          </cell>
          <cell r="C1366" t="str">
            <v>QUOTED</v>
          </cell>
          <cell r="D1366" t="str">
            <v>Investiagt and repair fire alarm faults</v>
          </cell>
          <cell r="E1366" t="str">
            <v>Abel Alarm Company Limited</v>
          </cell>
          <cell r="F1366" t="str">
            <v>Subcontractor</v>
          </cell>
          <cell r="G1366" t="str">
            <v/>
          </cell>
          <cell r="H1366" t="str">
            <v/>
          </cell>
          <cell r="I1366" t="str">
            <v/>
          </cell>
          <cell r="J1366">
            <v>1650</v>
          </cell>
          <cell r="K1366">
            <v>330</v>
          </cell>
          <cell r="L1366">
            <v>1650</v>
          </cell>
          <cell r="M1366" t="str">
            <v/>
          </cell>
          <cell r="N1366">
            <v>0</v>
          </cell>
        </row>
        <row r="1367">
          <cell r="A1367">
            <v>16783</v>
          </cell>
          <cell r="B1367" t="str">
            <v>10/07/2019</v>
          </cell>
          <cell r="C1367" t="str">
            <v>C1625</v>
          </cell>
          <cell r="D1367" t="str">
            <v>Build and supply of IP66 Controls enclosure as</v>
          </cell>
          <cell r="E1367" t="str">
            <v>Impact Control Systems Ltd</v>
          </cell>
          <cell r="F1367" t="str">
            <v>Subcontractor</v>
          </cell>
          <cell r="G1367" t="str">
            <v>05/08/2019</v>
          </cell>
          <cell r="H1367" t="str">
            <v>Part</v>
          </cell>
          <cell r="I1367" t="str">
            <v/>
          </cell>
          <cell r="J1367">
            <v>5069</v>
          </cell>
          <cell r="K1367">
            <v>1013.8</v>
          </cell>
          <cell r="L1367">
            <v>5069</v>
          </cell>
          <cell r="M1367" t="str">
            <v/>
          </cell>
          <cell r="N1367">
            <v>0</v>
          </cell>
        </row>
        <row r="1368">
          <cell r="A1368">
            <v>16770</v>
          </cell>
          <cell r="B1368" t="str">
            <v>10/07/2019</v>
          </cell>
          <cell r="C1368" t="str">
            <v>SERVICE</v>
          </cell>
          <cell r="D1368" t="str">
            <v>L8's July 2019</v>
          </cell>
          <cell r="E1368" t="str">
            <v>Commercial Temperature Solutions</v>
          </cell>
          <cell r="F1368" t="str">
            <v>Subcontractor</v>
          </cell>
          <cell r="G1368" t="str">
            <v/>
          </cell>
          <cell r="H1368" t="str">
            <v/>
          </cell>
          <cell r="I1368" t="str">
            <v/>
          </cell>
          <cell r="J1368">
            <v>100</v>
          </cell>
          <cell r="K1368">
            <v>20</v>
          </cell>
          <cell r="L1368">
            <v>100</v>
          </cell>
          <cell r="M1368" t="str">
            <v/>
          </cell>
          <cell r="N1368">
            <v>0</v>
          </cell>
        </row>
        <row r="1369">
          <cell r="A1369">
            <v>16762</v>
          </cell>
          <cell r="B1369" t="str">
            <v>08/07/2019</v>
          </cell>
          <cell r="C1369" t="str">
            <v>CALLOUT</v>
          </cell>
          <cell r="D1369" t="str">
            <v>repalce emerg lights fttgs x 2</v>
          </cell>
          <cell r="E1369" t="str">
            <v>Key Integrated Services North West Ltd</v>
          </cell>
          <cell r="F1369" t="str">
            <v>Subcontractor</v>
          </cell>
          <cell r="G1369" t="str">
            <v/>
          </cell>
          <cell r="H1369" t="str">
            <v/>
          </cell>
          <cell r="I1369" t="str">
            <v/>
          </cell>
          <cell r="J1369">
            <v>227.64</v>
          </cell>
          <cell r="K1369">
            <v>45.53</v>
          </cell>
          <cell r="L1369">
            <v>0</v>
          </cell>
          <cell r="M1369" t="str">
            <v/>
          </cell>
          <cell r="N1369">
            <v>227.64</v>
          </cell>
        </row>
        <row r="1370">
          <cell r="A1370">
            <v>16757</v>
          </cell>
          <cell r="B1370" t="str">
            <v>05/07/2019</v>
          </cell>
          <cell r="C1370" t="str">
            <v>CALLOUT</v>
          </cell>
          <cell r="D1370" t="str">
            <v>install access panel in ceiling to investigate leak</v>
          </cell>
          <cell r="E1370" t="str">
            <v>K Gammon Plumbing &amp; Heating Ltd</v>
          </cell>
          <cell r="F1370" t="str">
            <v>Subcontractor</v>
          </cell>
          <cell r="G1370" t="str">
            <v/>
          </cell>
          <cell r="H1370" t="str">
            <v>Part</v>
          </cell>
          <cell r="I1370" t="str">
            <v/>
          </cell>
          <cell r="J1370">
            <v>264</v>
          </cell>
          <cell r="K1370">
            <v>52.8</v>
          </cell>
          <cell r="L1370">
            <v>264</v>
          </cell>
          <cell r="M1370" t="str">
            <v/>
          </cell>
          <cell r="N1370">
            <v>0</v>
          </cell>
        </row>
        <row r="1371">
          <cell r="A1371">
            <v>16756</v>
          </cell>
          <cell r="B1371" t="str">
            <v>05/07/2019</v>
          </cell>
          <cell r="C1371" t="str">
            <v>QUOTED</v>
          </cell>
          <cell r="D1371" t="str">
            <v>install 2 No 32amp ( I think c rated with surge protection )</v>
          </cell>
          <cell r="E1371" t="str">
            <v>Barrie Beard Ltd</v>
          </cell>
          <cell r="F1371" t="str">
            <v>Subcontractor</v>
          </cell>
          <cell r="G1371" t="str">
            <v/>
          </cell>
          <cell r="H1371" t="str">
            <v>Part</v>
          </cell>
          <cell r="I1371" t="str">
            <v/>
          </cell>
          <cell r="J1371">
            <v>320</v>
          </cell>
          <cell r="K1371">
            <v>64</v>
          </cell>
          <cell r="L1371">
            <v>320</v>
          </cell>
          <cell r="M1371" t="str">
            <v/>
          </cell>
          <cell r="N1371">
            <v>0</v>
          </cell>
        </row>
        <row r="1372">
          <cell r="A1372">
            <v>16741</v>
          </cell>
          <cell r="B1372" t="str">
            <v>04/07/2019</v>
          </cell>
          <cell r="C1372" t="str">
            <v>C1568</v>
          </cell>
          <cell r="D1372" t="str">
            <v>To suppy 2no operatives to carry out the installation of new</v>
          </cell>
          <cell r="E1372" t="str">
            <v>Entech Services UK Ltd</v>
          </cell>
          <cell r="F1372" t="str">
            <v>Subcontractor</v>
          </cell>
          <cell r="G1372" t="str">
            <v>08/07/2019</v>
          </cell>
          <cell r="H1372" t="str">
            <v/>
          </cell>
          <cell r="I1372" t="str">
            <v/>
          </cell>
          <cell r="J1372">
            <v>4500</v>
          </cell>
          <cell r="K1372">
            <v>900</v>
          </cell>
          <cell r="L1372">
            <v>4500</v>
          </cell>
          <cell r="M1372" t="str">
            <v/>
          </cell>
          <cell r="N1372">
            <v>0</v>
          </cell>
        </row>
        <row r="1373">
          <cell r="A1373">
            <v>16737</v>
          </cell>
          <cell r="B1373" t="str">
            <v>04/07/2019</v>
          </cell>
          <cell r="C1373" t="str">
            <v>CALLOUT</v>
          </cell>
          <cell r="D1373" t="str">
            <v>Carry out Site Survey</v>
          </cell>
          <cell r="E1373" t="str">
            <v>Commercial Temperature Solutions</v>
          </cell>
          <cell r="F1373" t="str">
            <v>Subcontractor</v>
          </cell>
          <cell r="G1373" t="str">
            <v/>
          </cell>
          <cell r="H1373" t="str">
            <v/>
          </cell>
          <cell r="I1373" t="str">
            <v/>
          </cell>
          <cell r="J1373">
            <v>160</v>
          </cell>
          <cell r="K1373">
            <v>32</v>
          </cell>
          <cell r="L1373">
            <v>160</v>
          </cell>
          <cell r="M1373" t="str">
            <v/>
          </cell>
          <cell r="N1373">
            <v>0</v>
          </cell>
        </row>
        <row r="1374">
          <cell r="A1374">
            <v>16736</v>
          </cell>
          <cell r="B1374" t="str">
            <v>04/07/2019</v>
          </cell>
          <cell r="C1374" t="str">
            <v>C1631</v>
          </cell>
          <cell r="D1374" t="str">
            <v>Call out to Extend Lead on Machine</v>
          </cell>
          <cell r="E1374" t="str">
            <v>Key Integrated Services (Electrical) Ltd</v>
          </cell>
          <cell r="F1374" t="str">
            <v>Subcontractor</v>
          </cell>
          <cell r="G1374" t="str">
            <v/>
          </cell>
          <cell r="H1374" t="str">
            <v/>
          </cell>
          <cell r="I1374" t="str">
            <v/>
          </cell>
          <cell r="J1374">
            <v>251</v>
          </cell>
          <cell r="K1374">
            <v>50.2</v>
          </cell>
          <cell r="L1374">
            <v>251</v>
          </cell>
          <cell r="M1374" t="str">
            <v/>
          </cell>
          <cell r="N1374">
            <v>0</v>
          </cell>
        </row>
        <row r="1375">
          <cell r="A1375">
            <v>16735</v>
          </cell>
          <cell r="B1375" t="str">
            <v>04/07/2019</v>
          </cell>
          <cell r="C1375" t="str">
            <v>C1630</v>
          </cell>
          <cell r="D1375" t="str">
            <v>Various Works</v>
          </cell>
          <cell r="E1375" t="str">
            <v>Key Integrated Services (Electrical) Ltd</v>
          </cell>
          <cell r="F1375" t="str">
            <v>Subcontractor</v>
          </cell>
          <cell r="G1375" t="str">
            <v/>
          </cell>
          <cell r="H1375" t="str">
            <v/>
          </cell>
          <cell r="I1375" t="str">
            <v/>
          </cell>
          <cell r="J1375">
            <v>850</v>
          </cell>
          <cell r="K1375">
            <v>170</v>
          </cell>
          <cell r="L1375">
            <v>850</v>
          </cell>
          <cell r="M1375" t="str">
            <v/>
          </cell>
          <cell r="N1375">
            <v>0</v>
          </cell>
        </row>
        <row r="1376">
          <cell r="A1376">
            <v>16734</v>
          </cell>
          <cell r="B1376" t="str">
            <v>04/07/2019</v>
          </cell>
          <cell r="C1376" t="str">
            <v>C1630</v>
          </cell>
          <cell r="D1376" t="str">
            <v>Time Clocks Relocation</v>
          </cell>
          <cell r="E1376" t="str">
            <v>Key Integrated Services (Electrical) Ltd</v>
          </cell>
          <cell r="F1376" t="str">
            <v>Subcontractor</v>
          </cell>
          <cell r="G1376" t="str">
            <v/>
          </cell>
          <cell r="H1376" t="str">
            <v/>
          </cell>
          <cell r="I1376" t="str">
            <v/>
          </cell>
          <cell r="J1376">
            <v>1607</v>
          </cell>
          <cell r="K1376">
            <v>321.39999999999998</v>
          </cell>
          <cell r="L1376">
            <v>1607</v>
          </cell>
          <cell r="M1376" t="str">
            <v/>
          </cell>
          <cell r="N1376">
            <v>0</v>
          </cell>
        </row>
        <row r="1377">
          <cell r="A1377">
            <v>16724</v>
          </cell>
          <cell r="B1377" t="str">
            <v>03/07/2019</v>
          </cell>
          <cell r="C1377" t="str">
            <v>SERVICE</v>
          </cell>
          <cell r="D1377" t="str">
            <v>Fire Detection and Fire Alarm Service</v>
          </cell>
          <cell r="E1377" t="str">
            <v>Security and Fire Experts Ltd</v>
          </cell>
          <cell r="F1377" t="str">
            <v>Subcontractor</v>
          </cell>
          <cell r="G1377" t="str">
            <v/>
          </cell>
          <cell r="H1377" t="str">
            <v/>
          </cell>
          <cell r="I1377" t="str">
            <v/>
          </cell>
          <cell r="J1377">
            <v>1472.55</v>
          </cell>
          <cell r="K1377">
            <v>294.51</v>
          </cell>
          <cell r="L1377">
            <v>1472.55</v>
          </cell>
          <cell r="M1377" t="str">
            <v/>
          </cell>
          <cell r="N1377">
            <v>0</v>
          </cell>
        </row>
        <row r="1378">
          <cell r="A1378">
            <v>16714</v>
          </cell>
          <cell r="B1378" t="str">
            <v>02/07/2019</v>
          </cell>
          <cell r="C1378" t="str">
            <v>CALLOUT</v>
          </cell>
          <cell r="D1378" t="str">
            <v>AC unit in fault - found whn changing filter</v>
          </cell>
          <cell r="E1378" t="str">
            <v>Derek Austin Heating Limited</v>
          </cell>
          <cell r="F1378" t="str">
            <v>Subcontractor</v>
          </cell>
          <cell r="G1378" t="str">
            <v/>
          </cell>
          <cell r="H1378" t="str">
            <v>Part</v>
          </cell>
          <cell r="I1378" t="str">
            <v/>
          </cell>
          <cell r="J1378">
            <v>213.75</v>
          </cell>
          <cell r="K1378">
            <v>42.75</v>
          </cell>
          <cell r="L1378">
            <v>213.75</v>
          </cell>
          <cell r="M1378" t="str">
            <v/>
          </cell>
          <cell r="N1378">
            <v>0</v>
          </cell>
        </row>
        <row r="1379">
          <cell r="A1379">
            <v>16713</v>
          </cell>
          <cell r="B1379" t="str">
            <v>02/07/2019</v>
          </cell>
          <cell r="C1379" t="str">
            <v>CALLOUT</v>
          </cell>
          <cell r="D1379" t="str">
            <v>repalce 2 x fttgs following EML test</v>
          </cell>
          <cell r="E1379" t="str">
            <v>Key Integrated Services North West Ltd</v>
          </cell>
          <cell r="F1379" t="str">
            <v>Subcontractor</v>
          </cell>
          <cell r="G1379" t="str">
            <v/>
          </cell>
          <cell r="H1379" t="str">
            <v/>
          </cell>
          <cell r="I1379" t="str">
            <v/>
          </cell>
          <cell r="J1379">
            <v>125.02</v>
          </cell>
          <cell r="K1379">
            <v>25</v>
          </cell>
          <cell r="L1379">
            <v>0</v>
          </cell>
          <cell r="M1379" t="str">
            <v/>
          </cell>
          <cell r="N1379">
            <v>125.02</v>
          </cell>
        </row>
        <row r="1380">
          <cell r="A1380">
            <v>16705</v>
          </cell>
          <cell r="B1380" t="str">
            <v>02/07/2019</v>
          </cell>
          <cell r="C1380" t="str">
            <v>C1593</v>
          </cell>
          <cell r="D1380" t="str">
            <v>off wall brackets</v>
          </cell>
          <cell r="E1380" t="str">
            <v>Enco Ltd</v>
          </cell>
          <cell r="F1380" t="str">
            <v>Subcontractor</v>
          </cell>
          <cell r="G1380" t="str">
            <v/>
          </cell>
          <cell r="H1380" t="str">
            <v/>
          </cell>
          <cell r="I1380" t="str">
            <v/>
          </cell>
          <cell r="J1380">
            <v>216.84</v>
          </cell>
          <cell r="K1380">
            <v>43.37</v>
          </cell>
          <cell r="L1380">
            <v>216.84</v>
          </cell>
          <cell r="M1380" t="str">
            <v/>
          </cell>
          <cell r="N1380">
            <v>0</v>
          </cell>
        </row>
        <row r="1381">
          <cell r="A1381">
            <v>16704</v>
          </cell>
          <cell r="B1381" t="str">
            <v>01/07/2019</v>
          </cell>
          <cell r="C1381" t="str">
            <v>C1558</v>
          </cell>
          <cell r="D1381" t="str">
            <v>Repair/Completion of rooftop CHW insulation to Buffer Vessel</v>
          </cell>
          <cell r="E1381" t="str">
            <v>Grangewood Insulation Services Ltd</v>
          </cell>
          <cell r="F1381" t="str">
            <v>Subcontractor</v>
          </cell>
          <cell r="G1381" t="str">
            <v/>
          </cell>
          <cell r="H1381" t="str">
            <v>Part</v>
          </cell>
          <cell r="I1381" t="str">
            <v/>
          </cell>
          <cell r="J1381">
            <v>550</v>
          </cell>
          <cell r="K1381">
            <v>110</v>
          </cell>
          <cell r="L1381">
            <v>550</v>
          </cell>
          <cell r="M1381" t="str">
            <v/>
          </cell>
          <cell r="N1381">
            <v>0</v>
          </cell>
        </row>
        <row r="1382">
          <cell r="A1382">
            <v>16700</v>
          </cell>
          <cell r="B1382" t="str">
            <v>01/07/2019</v>
          </cell>
          <cell r="C1382" t="str">
            <v>C1625</v>
          </cell>
          <cell r="D1382" t="str">
            <v>Supply and Install ductwork and all ancillary items as per a</v>
          </cell>
          <cell r="E1382" t="str">
            <v>Firth Sheet Metal Limited</v>
          </cell>
          <cell r="F1382" t="str">
            <v>Subcontractor</v>
          </cell>
          <cell r="G1382" t="str">
            <v>08/07/2019</v>
          </cell>
          <cell r="H1382" t="str">
            <v/>
          </cell>
          <cell r="I1382" t="str">
            <v/>
          </cell>
          <cell r="J1382">
            <v>5677.5</v>
          </cell>
          <cell r="K1382">
            <v>1135.5</v>
          </cell>
          <cell r="L1382">
            <v>5300.59</v>
          </cell>
          <cell r="M1382" t="str">
            <v/>
          </cell>
          <cell r="N1382">
            <v>376.91</v>
          </cell>
        </row>
        <row r="1383">
          <cell r="A1383">
            <v>16696</v>
          </cell>
          <cell r="B1383" t="str">
            <v>01/07/2019</v>
          </cell>
          <cell r="C1383" t="str">
            <v>CALLOUT</v>
          </cell>
          <cell r="D1383" t="str">
            <v>1sr floor ac unit showing filter need changing</v>
          </cell>
          <cell r="E1383" t="str">
            <v>Commercial Temperature Solutions</v>
          </cell>
          <cell r="F1383" t="str">
            <v>Subcontractor</v>
          </cell>
          <cell r="G1383" t="str">
            <v/>
          </cell>
          <cell r="H1383" t="str">
            <v>Part</v>
          </cell>
          <cell r="I1383" t="str">
            <v/>
          </cell>
          <cell r="J1383">
            <v>130.19999999999999</v>
          </cell>
          <cell r="K1383">
            <v>26.04</v>
          </cell>
          <cell r="L1383">
            <v>130.19999999999999</v>
          </cell>
          <cell r="M1383" t="str">
            <v/>
          </cell>
          <cell r="N1383">
            <v>0</v>
          </cell>
        </row>
        <row r="1384">
          <cell r="A1384">
            <v>16695</v>
          </cell>
          <cell r="B1384" t="str">
            <v>01/07/2019</v>
          </cell>
          <cell r="C1384" t="str">
            <v>QUOTED</v>
          </cell>
          <cell r="D1384" t="str">
            <v>tech room works as per quote</v>
          </cell>
          <cell r="E1384" t="str">
            <v>Key Integrated Services North West Ltd</v>
          </cell>
          <cell r="F1384" t="str">
            <v>Subcontractor</v>
          </cell>
          <cell r="G1384" t="str">
            <v/>
          </cell>
          <cell r="H1384" t="str">
            <v/>
          </cell>
          <cell r="I1384" t="str">
            <v/>
          </cell>
          <cell r="J1384">
            <v>1384.27</v>
          </cell>
          <cell r="K1384">
            <v>276.85000000000002</v>
          </cell>
          <cell r="L1384">
            <v>1384.27</v>
          </cell>
          <cell r="M1384" t="str">
            <v/>
          </cell>
          <cell r="N1384">
            <v>0</v>
          </cell>
        </row>
        <row r="1385">
          <cell r="A1385">
            <v>16694</v>
          </cell>
          <cell r="B1385" t="str">
            <v>01/07/2019</v>
          </cell>
          <cell r="C1385" t="str">
            <v>CALLOUT</v>
          </cell>
          <cell r="D1385" t="str">
            <v>MD office issue with lights</v>
          </cell>
          <cell r="E1385" t="str">
            <v>Derek Austin Heating Limited</v>
          </cell>
          <cell r="F1385" t="str">
            <v>Subcontractor</v>
          </cell>
          <cell r="G1385" t="str">
            <v/>
          </cell>
          <cell r="H1385" t="str">
            <v>Part</v>
          </cell>
          <cell r="I1385" t="str">
            <v/>
          </cell>
          <cell r="J1385">
            <v>173.25</v>
          </cell>
          <cell r="K1385">
            <v>34.65</v>
          </cell>
          <cell r="L1385">
            <v>173.25</v>
          </cell>
          <cell r="M1385" t="str">
            <v/>
          </cell>
          <cell r="N1385">
            <v>0</v>
          </cell>
        </row>
        <row r="1386">
          <cell r="A1386">
            <v>16692</v>
          </cell>
          <cell r="B1386" t="str">
            <v>01/07/2019</v>
          </cell>
          <cell r="C1386" t="str">
            <v>CALLOUT</v>
          </cell>
          <cell r="D1386" t="str">
            <v>mens 1st floor blocked wc</v>
          </cell>
          <cell r="E1386" t="str">
            <v>K Gammon Plumbing &amp; Heating Ltd</v>
          </cell>
          <cell r="F1386" t="str">
            <v>Subcontractor</v>
          </cell>
          <cell r="G1386" t="str">
            <v/>
          </cell>
          <cell r="H1386" t="str">
            <v>Part</v>
          </cell>
          <cell r="I1386" t="str">
            <v/>
          </cell>
          <cell r="J1386">
            <v>84</v>
          </cell>
          <cell r="K1386">
            <v>16.8</v>
          </cell>
          <cell r="L1386">
            <v>84</v>
          </cell>
          <cell r="M1386" t="str">
            <v/>
          </cell>
          <cell r="N1386">
            <v>0</v>
          </cell>
        </row>
        <row r="1387">
          <cell r="A1387">
            <v>16691</v>
          </cell>
          <cell r="B1387" t="str">
            <v>28/06/2019</v>
          </cell>
          <cell r="C1387" t="str">
            <v>CALLOUT</v>
          </cell>
          <cell r="D1387" t="str">
            <v>1st floor urinal leaking and cubicle wc no water in cistern</v>
          </cell>
          <cell r="E1387" t="str">
            <v>Derek Austin Heating Limited</v>
          </cell>
          <cell r="F1387" t="str">
            <v>Subcontractor</v>
          </cell>
          <cell r="G1387" t="str">
            <v/>
          </cell>
          <cell r="H1387" t="str">
            <v>Part</v>
          </cell>
          <cell r="I1387" t="str">
            <v/>
          </cell>
          <cell r="J1387">
            <v>193.68</v>
          </cell>
          <cell r="K1387">
            <v>38.74</v>
          </cell>
          <cell r="L1387">
            <v>193.68</v>
          </cell>
          <cell r="M1387" t="str">
            <v/>
          </cell>
          <cell r="N1387">
            <v>0</v>
          </cell>
        </row>
        <row r="1388">
          <cell r="A1388">
            <v>16687</v>
          </cell>
          <cell r="B1388" t="str">
            <v>28/06/2019</v>
          </cell>
          <cell r="C1388" t="str">
            <v>CALLOUT</v>
          </cell>
          <cell r="D1388" t="str">
            <v>leaking urinal and rad valve stuck</v>
          </cell>
          <cell r="E1388" t="str">
            <v>K Gammon Plumbing &amp; Heating Ltd</v>
          </cell>
          <cell r="F1388" t="str">
            <v>Subcontractor</v>
          </cell>
          <cell r="G1388" t="str">
            <v/>
          </cell>
          <cell r="H1388" t="str">
            <v>Part</v>
          </cell>
          <cell r="I1388" t="str">
            <v/>
          </cell>
          <cell r="J1388">
            <v>140</v>
          </cell>
          <cell r="K1388">
            <v>28</v>
          </cell>
          <cell r="L1388">
            <v>140</v>
          </cell>
          <cell r="M1388" t="str">
            <v/>
          </cell>
          <cell r="N1388">
            <v>0</v>
          </cell>
        </row>
        <row r="1389">
          <cell r="A1389">
            <v>16685</v>
          </cell>
          <cell r="B1389" t="str">
            <v>27/06/2019</v>
          </cell>
          <cell r="C1389" t="str">
            <v>C1558</v>
          </cell>
          <cell r="D1389" t="str">
            <v>Roof top CHW Pipework ammendments to buffer vessel</v>
          </cell>
          <cell r="E1389" t="str">
            <v>Entech Services UK Ltd</v>
          </cell>
          <cell r="F1389" t="str">
            <v>Subcontractor</v>
          </cell>
          <cell r="G1389" t="str">
            <v>26/06/2019</v>
          </cell>
          <cell r="H1389" t="str">
            <v/>
          </cell>
          <cell r="I1389" t="str">
            <v/>
          </cell>
          <cell r="J1389">
            <v>1500</v>
          </cell>
          <cell r="K1389">
            <v>300</v>
          </cell>
          <cell r="L1389">
            <v>1500</v>
          </cell>
          <cell r="M1389" t="str">
            <v/>
          </cell>
          <cell r="N1389">
            <v>0</v>
          </cell>
        </row>
        <row r="1390">
          <cell r="A1390">
            <v>16682</v>
          </cell>
          <cell r="B1390" t="str">
            <v>27/06/2019</v>
          </cell>
          <cell r="C1390" t="str">
            <v>CALLOUT</v>
          </cell>
          <cell r="D1390" t="str">
            <v>grd floor ladies wc light faulty</v>
          </cell>
          <cell r="E1390" t="str">
            <v>Viabl Ltd T/A Able</v>
          </cell>
          <cell r="F1390" t="str">
            <v>Subcontractor</v>
          </cell>
          <cell r="G1390" t="str">
            <v/>
          </cell>
          <cell r="H1390" t="str">
            <v>Part</v>
          </cell>
          <cell r="I1390" t="str">
            <v/>
          </cell>
          <cell r="J1390">
            <v>240.37</v>
          </cell>
          <cell r="K1390">
            <v>48.07</v>
          </cell>
          <cell r="L1390">
            <v>240.37</v>
          </cell>
          <cell r="M1390" t="str">
            <v/>
          </cell>
          <cell r="N1390">
            <v>0</v>
          </cell>
        </row>
        <row r="1391">
          <cell r="A1391">
            <v>16679</v>
          </cell>
          <cell r="B1391" t="str">
            <v>27/06/2019</v>
          </cell>
          <cell r="C1391" t="str">
            <v>SERVICE</v>
          </cell>
          <cell r="D1391" t="str">
            <v>Carry out 4no Maintenace Visits per annum</v>
          </cell>
          <cell r="E1391" t="str">
            <v>Newsome Ltd</v>
          </cell>
          <cell r="F1391" t="str">
            <v>Subcontractor</v>
          </cell>
          <cell r="G1391" t="str">
            <v/>
          </cell>
          <cell r="H1391" t="str">
            <v/>
          </cell>
          <cell r="I1391" t="str">
            <v/>
          </cell>
          <cell r="J1391">
            <v>2199.5500000000002</v>
          </cell>
          <cell r="K1391">
            <v>439.91</v>
          </cell>
          <cell r="L1391">
            <v>0</v>
          </cell>
          <cell r="M1391" t="str">
            <v/>
          </cell>
          <cell r="N1391">
            <v>2199.5500000000002</v>
          </cell>
        </row>
        <row r="1392">
          <cell r="A1392">
            <v>16678</v>
          </cell>
          <cell r="B1392" t="str">
            <v>27/06/2019</v>
          </cell>
          <cell r="C1392" t="str">
            <v>SERVICE</v>
          </cell>
          <cell r="D1392" t="str">
            <v>Carry out 4no Maintenance Visits per annum</v>
          </cell>
          <cell r="E1392" t="str">
            <v>J &amp; A Hall T/A Daikin Applied</v>
          </cell>
          <cell r="F1392" t="str">
            <v>Subcontractor</v>
          </cell>
          <cell r="G1392" t="str">
            <v/>
          </cell>
          <cell r="H1392" t="str">
            <v/>
          </cell>
          <cell r="I1392" t="str">
            <v/>
          </cell>
          <cell r="J1392">
            <v>2256.36</v>
          </cell>
          <cell r="K1392">
            <v>451.27</v>
          </cell>
          <cell r="L1392">
            <v>2256.36</v>
          </cell>
          <cell r="M1392" t="str">
            <v/>
          </cell>
          <cell r="N1392">
            <v>0</v>
          </cell>
        </row>
        <row r="1393">
          <cell r="A1393">
            <v>16677</v>
          </cell>
          <cell r="B1393" t="str">
            <v>27/06/2019</v>
          </cell>
          <cell r="C1393" t="str">
            <v>SERVICE</v>
          </cell>
          <cell r="D1393" t="str">
            <v>Carry out 4no Maintenance Visits per annum</v>
          </cell>
          <cell r="E1393" t="str">
            <v>WB Power Services Ltd</v>
          </cell>
          <cell r="F1393" t="str">
            <v>Subcontractor</v>
          </cell>
          <cell r="G1393" t="str">
            <v/>
          </cell>
          <cell r="H1393" t="str">
            <v/>
          </cell>
          <cell r="I1393" t="str">
            <v/>
          </cell>
          <cell r="J1393">
            <v>840</v>
          </cell>
          <cell r="K1393">
            <v>168</v>
          </cell>
          <cell r="L1393">
            <v>840</v>
          </cell>
          <cell r="M1393" t="str">
            <v/>
          </cell>
          <cell r="N1393">
            <v>0</v>
          </cell>
        </row>
        <row r="1394">
          <cell r="A1394">
            <v>16668</v>
          </cell>
          <cell r="B1394" t="str">
            <v>25/06/2019</v>
          </cell>
          <cell r="C1394" t="str">
            <v>CALLOUT</v>
          </cell>
          <cell r="D1394" t="str">
            <v>carry out works as per quote</v>
          </cell>
          <cell r="E1394" t="str">
            <v>Viabl Ltd T/A Able</v>
          </cell>
          <cell r="F1394" t="str">
            <v>Subcontractor</v>
          </cell>
          <cell r="G1394" t="str">
            <v/>
          </cell>
          <cell r="H1394" t="str">
            <v/>
          </cell>
          <cell r="I1394" t="str">
            <v/>
          </cell>
          <cell r="J1394">
            <v>348.86</v>
          </cell>
          <cell r="K1394">
            <v>69.77</v>
          </cell>
          <cell r="L1394">
            <v>348.86</v>
          </cell>
          <cell r="M1394" t="str">
            <v/>
          </cell>
          <cell r="N1394">
            <v>0</v>
          </cell>
        </row>
        <row r="1395">
          <cell r="A1395">
            <v>16665</v>
          </cell>
          <cell r="B1395" t="str">
            <v>24/06/2019</v>
          </cell>
          <cell r="C1395" t="str">
            <v>SERVICE</v>
          </cell>
          <cell r="D1395" t="str">
            <v>Platinum Lite Maintenance</v>
          </cell>
          <cell r="E1395" t="str">
            <v>Riello UPS Ltd</v>
          </cell>
          <cell r="F1395" t="str">
            <v>Subcontractor</v>
          </cell>
          <cell r="G1395" t="str">
            <v/>
          </cell>
          <cell r="H1395" t="str">
            <v/>
          </cell>
          <cell r="I1395" t="str">
            <v/>
          </cell>
          <cell r="J1395">
            <v>960</v>
          </cell>
          <cell r="K1395">
            <v>192</v>
          </cell>
          <cell r="L1395">
            <v>960</v>
          </cell>
          <cell r="M1395" t="str">
            <v/>
          </cell>
          <cell r="N1395">
            <v>0</v>
          </cell>
        </row>
        <row r="1396">
          <cell r="A1396">
            <v>16664</v>
          </cell>
          <cell r="B1396" t="str">
            <v>24/06/2019</v>
          </cell>
          <cell r="C1396" t="str">
            <v>SERVICE</v>
          </cell>
          <cell r="D1396" t="str">
            <v>Carry out 12 Months Water Hygiene Maintenance</v>
          </cell>
          <cell r="E1396" t="str">
            <v>Hydraclean Ltd</v>
          </cell>
          <cell r="F1396" t="str">
            <v>Subcontractor</v>
          </cell>
          <cell r="G1396" t="str">
            <v/>
          </cell>
          <cell r="H1396" t="str">
            <v/>
          </cell>
          <cell r="I1396" t="str">
            <v/>
          </cell>
          <cell r="J1396">
            <v>310</v>
          </cell>
          <cell r="K1396">
            <v>62</v>
          </cell>
          <cell r="L1396">
            <v>310</v>
          </cell>
          <cell r="M1396" t="str">
            <v/>
          </cell>
          <cell r="N1396">
            <v>0</v>
          </cell>
        </row>
        <row r="1397">
          <cell r="A1397">
            <v>16663</v>
          </cell>
          <cell r="B1397" t="str">
            <v>24/06/2019</v>
          </cell>
          <cell r="C1397" t="str">
            <v>CALLOUT</v>
          </cell>
          <cell r="D1397" t="str">
            <v>Carry out quoted works your ref TPS/31339/2019</v>
          </cell>
          <cell r="E1397" t="str">
            <v>Hydraclean Ltd</v>
          </cell>
          <cell r="F1397" t="str">
            <v>Subcontractor</v>
          </cell>
          <cell r="G1397" t="str">
            <v/>
          </cell>
          <cell r="H1397" t="str">
            <v/>
          </cell>
          <cell r="I1397" t="str">
            <v/>
          </cell>
          <cell r="J1397">
            <v>320</v>
          </cell>
          <cell r="K1397">
            <v>64</v>
          </cell>
          <cell r="L1397">
            <v>320</v>
          </cell>
          <cell r="M1397" t="str">
            <v/>
          </cell>
          <cell r="N1397">
            <v>0</v>
          </cell>
        </row>
        <row r="1398">
          <cell r="A1398">
            <v>16659</v>
          </cell>
          <cell r="B1398" t="str">
            <v>24/06/2019</v>
          </cell>
          <cell r="C1398" t="str">
            <v>C1608</v>
          </cell>
          <cell r="D1398" t="str">
            <v/>
          </cell>
          <cell r="E1398" t="str">
            <v>Westside Fabrications Limited</v>
          </cell>
          <cell r="F1398" t="str">
            <v>Subcontractor</v>
          </cell>
          <cell r="G1398" t="str">
            <v>21/06/2019</v>
          </cell>
          <cell r="H1398" t="str">
            <v/>
          </cell>
          <cell r="I1398" t="str">
            <v/>
          </cell>
          <cell r="J1398">
            <v>850</v>
          </cell>
          <cell r="K1398">
            <v>170</v>
          </cell>
          <cell r="L1398">
            <v>850</v>
          </cell>
          <cell r="M1398" t="str">
            <v/>
          </cell>
          <cell r="N1398">
            <v>0</v>
          </cell>
        </row>
        <row r="1399">
          <cell r="A1399">
            <v>16658</v>
          </cell>
          <cell r="B1399" t="str">
            <v>24/06/2019</v>
          </cell>
          <cell r="C1399" t="str">
            <v>CALLOUT</v>
          </cell>
          <cell r="D1399" t="str">
            <v>Issues with fire alarm system smoke/heat head detectors</v>
          </cell>
          <cell r="E1399" t="str">
            <v>Hoyles Fire + Safety Ltd</v>
          </cell>
          <cell r="F1399" t="str">
            <v>Subcontractor</v>
          </cell>
          <cell r="G1399" t="str">
            <v/>
          </cell>
          <cell r="H1399" t="str">
            <v>Part</v>
          </cell>
          <cell r="I1399" t="str">
            <v/>
          </cell>
          <cell r="J1399">
            <v>97.2</v>
          </cell>
          <cell r="K1399">
            <v>19.440000000000001</v>
          </cell>
          <cell r="L1399">
            <v>92.7</v>
          </cell>
          <cell r="M1399" t="str">
            <v/>
          </cell>
          <cell r="N1399">
            <v>4.5</v>
          </cell>
        </row>
        <row r="1400">
          <cell r="A1400">
            <v>16657</v>
          </cell>
          <cell r="B1400" t="str">
            <v>24/06/2019</v>
          </cell>
          <cell r="C1400" t="str">
            <v>C1608</v>
          </cell>
          <cell r="D1400" t="str">
            <v/>
          </cell>
          <cell r="E1400" t="str">
            <v>Westside Fabrications Limited</v>
          </cell>
          <cell r="F1400" t="str">
            <v>Subcontractor</v>
          </cell>
          <cell r="G1400" t="str">
            <v>19/06/2019</v>
          </cell>
          <cell r="H1400" t="str">
            <v>Part</v>
          </cell>
          <cell r="I1400" t="str">
            <v/>
          </cell>
          <cell r="J1400">
            <v>7235</v>
          </cell>
          <cell r="K1400">
            <v>1447</v>
          </cell>
          <cell r="L1400">
            <v>7235</v>
          </cell>
          <cell r="M1400" t="str">
            <v/>
          </cell>
          <cell r="N1400">
            <v>0</v>
          </cell>
        </row>
        <row r="1401">
          <cell r="A1401">
            <v>16655</v>
          </cell>
          <cell r="B1401" t="str">
            <v>24/06/2019</v>
          </cell>
          <cell r="C1401" t="str">
            <v>C1607</v>
          </cell>
          <cell r="D1401" t="str">
            <v>BMS Installation</v>
          </cell>
          <cell r="E1401" t="str">
            <v>Impact Control Systems Ltd</v>
          </cell>
          <cell r="F1401" t="str">
            <v>Subcontractor</v>
          </cell>
          <cell r="G1401" t="str">
            <v/>
          </cell>
          <cell r="H1401" t="str">
            <v>Complete</v>
          </cell>
          <cell r="I1401" t="str">
            <v/>
          </cell>
          <cell r="J1401">
            <v>38793</v>
          </cell>
          <cell r="K1401">
            <v>7758.6</v>
          </cell>
          <cell r="L1401">
            <v>38793</v>
          </cell>
          <cell r="M1401" t="str">
            <v/>
          </cell>
          <cell r="N1401">
            <v>0</v>
          </cell>
        </row>
        <row r="1402">
          <cell r="A1402">
            <v>16651</v>
          </cell>
          <cell r="B1402" t="str">
            <v>24/06/2019</v>
          </cell>
          <cell r="C1402" t="str">
            <v>C1558</v>
          </cell>
          <cell r="D1402" t="str">
            <v/>
          </cell>
          <cell r="E1402" t="str">
            <v>NP Services (Leicester) Ltd</v>
          </cell>
          <cell r="F1402" t="str">
            <v>Subcontractor</v>
          </cell>
          <cell r="G1402" t="str">
            <v>19/06/2019</v>
          </cell>
          <cell r="H1402" t="str">
            <v/>
          </cell>
          <cell r="I1402" t="str">
            <v/>
          </cell>
          <cell r="J1402">
            <v>5064</v>
          </cell>
          <cell r="K1402">
            <v>1012.8</v>
          </cell>
          <cell r="L1402">
            <v>5064</v>
          </cell>
          <cell r="M1402" t="str">
            <v/>
          </cell>
          <cell r="N1402">
            <v>0</v>
          </cell>
        </row>
        <row r="1403">
          <cell r="A1403">
            <v>16642</v>
          </cell>
          <cell r="B1403" t="str">
            <v>21/06/2019</v>
          </cell>
          <cell r="C1403" t="str">
            <v>CALLOUT</v>
          </cell>
          <cell r="D1403" t="str">
            <v>flush handle disabled wc grd floor very loose</v>
          </cell>
          <cell r="E1403" t="str">
            <v>Viabl Ltd T/A Able</v>
          </cell>
          <cell r="F1403" t="str">
            <v>Subcontractor</v>
          </cell>
          <cell r="G1403" t="str">
            <v/>
          </cell>
          <cell r="H1403" t="str">
            <v>Part</v>
          </cell>
          <cell r="I1403" t="str">
            <v/>
          </cell>
          <cell r="J1403">
            <v>92</v>
          </cell>
          <cell r="K1403">
            <v>18.399999999999999</v>
          </cell>
          <cell r="L1403">
            <v>92</v>
          </cell>
          <cell r="M1403" t="str">
            <v/>
          </cell>
          <cell r="N1403">
            <v>0</v>
          </cell>
        </row>
        <row r="1404">
          <cell r="A1404">
            <v>16640</v>
          </cell>
          <cell r="B1404" t="str">
            <v>20/06/2019</v>
          </cell>
          <cell r="C1404" t="str">
            <v>CALLOUT</v>
          </cell>
          <cell r="D1404" t="str">
            <v>lights main meeting room are not working - poss PIR issue</v>
          </cell>
          <cell r="E1404" t="str">
            <v>Viabl Ltd T/A Able</v>
          </cell>
          <cell r="F1404" t="str">
            <v>Subcontractor</v>
          </cell>
          <cell r="G1404" t="str">
            <v/>
          </cell>
          <cell r="H1404" t="str">
            <v>Part</v>
          </cell>
          <cell r="I1404" t="str">
            <v/>
          </cell>
          <cell r="J1404">
            <v>150</v>
          </cell>
          <cell r="K1404">
            <v>30</v>
          </cell>
          <cell r="L1404">
            <v>150</v>
          </cell>
          <cell r="M1404" t="str">
            <v/>
          </cell>
          <cell r="N1404">
            <v>0</v>
          </cell>
        </row>
        <row r="1405">
          <cell r="A1405">
            <v>16637</v>
          </cell>
          <cell r="B1405" t="str">
            <v>20/06/2019</v>
          </cell>
          <cell r="C1405" t="str">
            <v>C1597</v>
          </cell>
          <cell r="D1405" t="str">
            <v>Asbestos works as per quote ref: Q664426</v>
          </cell>
          <cell r="E1405" t="str">
            <v>Askams Compliance Services Ltd</v>
          </cell>
          <cell r="F1405" t="str">
            <v>Subcontractor</v>
          </cell>
          <cell r="G1405" t="str">
            <v>08/07/2019</v>
          </cell>
          <cell r="H1405" t="str">
            <v>Complete</v>
          </cell>
          <cell r="I1405" t="str">
            <v/>
          </cell>
          <cell r="J1405">
            <v>0</v>
          </cell>
          <cell r="K1405">
            <v>0</v>
          </cell>
          <cell r="L1405">
            <v>0</v>
          </cell>
          <cell r="M1405" t="str">
            <v/>
          </cell>
          <cell r="N1405">
            <v>0</v>
          </cell>
        </row>
        <row r="1406">
          <cell r="A1406">
            <v>16636</v>
          </cell>
          <cell r="B1406" t="str">
            <v>20/06/2019</v>
          </cell>
          <cell r="C1406" t="str">
            <v>SERVICE</v>
          </cell>
          <cell r="D1406" t="str">
            <v>Insepction Visit one off Parker Zander WVM Dryer</v>
          </cell>
          <cell r="E1406" t="str">
            <v>Atlas copco Ltd</v>
          </cell>
          <cell r="F1406" t="str">
            <v>Subcontractor</v>
          </cell>
          <cell r="G1406" t="str">
            <v/>
          </cell>
          <cell r="H1406" t="str">
            <v/>
          </cell>
          <cell r="I1406" t="str">
            <v/>
          </cell>
          <cell r="J1406">
            <v>478</v>
          </cell>
          <cell r="K1406">
            <v>95.6</v>
          </cell>
          <cell r="L1406">
            <v>478</v>
          </cell>
          <cell r="M1406" t="str">
            <v/>
          </cell>
          <cell r="N1406">
            <v>0</v>
          </cell>
        </row>
        <row r="1407">
          <cell r="A1407">
            <v>16634</v>
          </cell>
          <cell r="B1407" t="str">
            <v>20/06/2019</v>
          </cell>
          <cell r="C1407" t="str">
            <v>CALLOUT</v>
          </cell>
          <cell r="D1407" t="str">
            <v>urinal slow to drain 1st floor</v>
          </cell>
          <cell r="E1407" t="str">
            <v>K Gammon Plumbing &amp; Heating Ltd</v>
          </cell>
          <cell r="F1407" t="str">
            <v>Subcontractor</v>
          </cell>
          <cell r="G1407" t="str">
            <v/>
          </cell>
          <cell r="H1407" t="str">
            <v>Part</v>
          </cell>
          <cell r="I1407" t="str">
            <v/>
          </cell>
          <cell r="J1407">
            <v>102</v>
          </cell>
          <cell r="K1407">
            <v>20.399999999999999</v>
          </cell>
          <cell r="L1407">
            <v>102</v>
          </cell>
          <cell r="M1407" t="str">
            <v/>
          </cell>
          <cell r="N1407">
            <v>0</v>
          </cell>
        </row>
        <row r="1408">
          <cell r="A1408">
            <v>16631</v>
          </cell>
          <cell r="B1408" t="str">
            <v>19/06/2019</v>
          </cell>
          <cell r="C1408" t="str">
            <v>C1604</v>
          </cell>
          <cell r="D1408" t="str">
            <v>Ground floor detectors</v>
          </cell>
          <cell r="E1408" t="str">
            <v>Key Integrated Services (Electrical) Ltd</v>
          </cell>
          <cell r="F1408" t="str">
            <v>Subcontractor</v>
          </cell>
          <cell r="G1408" t="str">
            <v/>
          </cell>
          <cell r="H1408" t="str">
            <v/>
          </cell>
          <cell r="I1408" t="str">
            <v/>
          </cell>
          <cell r="J1408">
            <v>993</v>
          </cell>
          <cell r="K1408">
            <v>198.6</v>
          </cell>
          <cell r="L1408">
            <v>993</v>
          </cell>
          <cell r="M1408" t="str">
            <v/>
          </cell>
          <cell r="N1408">
            <v>0</v>
          </cell>
        </row>
        <row r="1409">
          <cell r="A1409">
            <v>16630</v>
          </cell>
          <cell r="B1409" t="str">
            <v>19/06/2019</v>
          </cell>
          <cell r="C1409" t="str">
            <v>C1604</v>
          </cell>
          <cell r="D1409" t="str">
            <v>Lighting in production hall</v>
          </cell>
          <cell r="E1409" t="str">
            <v>Key Integrated Services (Electrical) Ltd</v>
          </cell>
          <cell r="F1409" t="str">
            <v>Subcontractor</v>
          </cell>
          <cell r="G1409" t="str">
            <v/>
          </cell>
          <cell r="H1409" t="str">
            <v>Complete</v>
          </cell>
          <cell r="I1409" t="str">
            <v/>
          </cell>
          <cell r="J1409">
            <v>0</v>
          </cell>
          <cell r="K1409">
            <v>0</v>
          </cell>
          <cell r="L1409">
            <v>0</v>
          </cell>
          <cell r="M1409" t="str">
            <v/>
          </cell>
          <cell r="N1409">
            <v>0</v>
          </cell>
        </row>
        <row r="1410">
          <cell r="A1410">
            <v>16627</v>
          </cell>
          <cell r="B1410" t="str">
            <v>19/06/2019</v>
          </cell>
          <cell r="C1410" t="str">
            <v>C1616</v>
          </cell>
          <cell r="D1410" t="str">
            <v>As per quotation 90639Q1</v>
          </cell>
          <cell r="E1410" t="str">
            <v>End Systems Limited</v>
          </cell>
          <cell r="F1410" t="str">
            <v>Subcontractor</v>
          </cell>
          <cell r="G1410" t="str">
            <v/>
          </cell>
          <cell r="H1410" t="str">
            <v/>
          </cell>
          <cell r="I1410" t="str">
            <v/>
          </cell>
          <cell r="J1410">
            <v>425</v>
          </cell>
          <cell r="K1410">
            <v>85</v>
          </cell>
          <cell r="L1410">
            <v>425</v>
          </cell>
          <cell r="M1410" t="str">
            <v/>
          </cell>
          <cell r="N1410">
            <v>0</v>
          </cell>
        </row>
        <row r="1411">
          <cell r="A1411">
            <v>16625</v>
          </cell>
          <cell r="B1411" t="str">
            <v>19/06/2019</v>
          </cell>
          <cell r="C1411" t="str">
            <v>SERVICE</v>
          </cell>
          <cell r="D1411" t="str">
            <v>Bronze Package - 4no Visits</v>
          </cell>
          <cell r="E1411" t="str">
            <v>Impact Control Systems Ltd</v>
          </cell>
          <cell r="F1411" t="str">
            <v>Subcontractor</v>
          </cell>
          <cell r="G1411" t="str">
            <v/>
          </cell>
          <cell r="H1411" t="str">
            <v/>
          </cell>
          <cell r="I1411" t="str">
            <v/>
          </cell>
          <cell r="J1411">
            <v>3200</v>
          </cell>
          <cell r="K1411">
            <v>640</v>
          </cell>
          <cell r="L1411">
            <v>3200</v>
          </cell>
          <cell r="M1411" t="str">
            <v/>
          </cell>
          <cell r="N1411">
            <v>0</v>
          </cell>
        </row>
        <row r="1412">
          <cell r="A1412">
            <v>16624</v>
          </cell>
          <cell r="B1412" t="str">
            <v>19/06/2019</v>
          </cell>
          <cell r="C1412" t="str">
            <v>QUOTED</v>
          </cell>
          <cell r="D1412" t="str">
            <v>carry out works as per quote balance flush and re-dose</v>
          </cell>
          <cell r="E1412" t="str">
            <v>Hydraclean Ltd</v>
          </cell>
          <cell r="F1412" t="str">
            <v>Subcontractor</v>
          </cell>
          <cell r="G1412" t="str">
            <v/>
          </cell>
          <cell r="H1412" t="str">
            <v/>
          </cell>
          <cell r="I1412" t="str">
            <v/>
          </cell>
          <cell r="J1412">
            <v>1565.46</v>
          </cell>
          <cell r="K1412">
            <v>313.08999999999997</v>
          </cell>
          <cell r="L1412">
            <v>1565.46</v>
          </cell>
          <cell r="M1412" t="str">
            <v/>
          </cell>
          <cell r="N1412">
            <v>0</v>
          </cell>
        </row>
        <row r="1413">
          <cell r="A1413">
            <v>16603</v>
          </cell>
          <cell r="B1413" t="str">
            <v>14/06/2019</v>
          </cell>
          <cell r="C1413" t="str">
            <v>C1490</v>
          </cell>
          <cell r="D1413" t="str">
            <v/>
          </cell>
          <cell r="E1413" t="str">
            <v>Westminster Controls Ltd</v>
          </cell>
          <cell r="F1413" t="str">
            <v>Subcontractor</v>
          </cell>
          <cell r="G1413" t="str">
            <v>19/06/2019</v>
          </cell>
          <cell r="H1413" t="str">
            <v/>
          </cell>
          <cell r="I1413" t="str">
            <v/>
          </cell>
          <cell r="J1413">
            <v>595</v>
          </cell>
          <cell r="K1413">
            <v>119</v>
          </cell>
          <cell r="L1413">
            <v>595</v>
          </cell>
          <cell r="M1413" t="str">
            <v/>
          </cell>
          <cell r="N1413">
            <v>0</v>
          </cell>
        </row>
        <row r="1414">
          <cell r="A1414">
            <v>16601</v>
          </cell>
          <cell r="B1414" t="str">
            <v>14/06/2019</v>
          </cell>
          <cell r="C1414" t="str">
            <v>C1608</v>
          </cell>
          <cell r="D1414" t="str">
            <v/>
          </cell>
          <cell r="E1414" t="str">
            <v>Speedrite NE Ltd</v>
          </cell>
          <cell r="F1414" t="str">
            <v>Subcontractor</v>
          </cell>
          <cell r="G1414" t="str">
            <v>15/06/2019</v>
          </cell>
          <cell r="H1414" t="str">
            <v>Part</v>
          </cell>
          <cell r="I1414" t="str">
            <v/>
          </cell>
          <cell r="J1414">
            <v>3890</v>
          </cell>
          <cell r="K1414">
            <v>778</v>
          </cell>
          <cell r="L1414">
            <v>3890</v>
          </cell>
          <cell r="M1414" t="str">
            <v/>
          </cell>
          <cell r="N1414">
            <v>0</v>
          </cell>
        </row>
        <row r="1415">
          <cell r="A1415">
            <v>16596</v>
          </cell>
          <cell r="B1415" t="str">
            <v>13/06/2019</v>
          </cell>
          <cell r="C1415" t="str">
            <v>CALLOUT</v>
          </cell>
          <cell r="D1415" t="str">
            <v>fix urinal</v>
          </cell>
          <cell r="E1415" t="str">
            <v>Viabl Ltd T/A Able</v>
          </cell>
          <cell r="F1415" t="str">
            <v>Subcontractor</v>
          </cell>
          <cell r="G1415" t="str">
            <v/>
          </cell>
          <cell r="H1415" t="str">
            <v/>
          </cell>
          <cell r="I1415" t="str">
            <v/>
          </cell>
          <cell r="J1415">
            <v>205.98</v>
          </cell>
          <cell r="K1415">
            <v>41.2</v>
          </cell>
          <cell r="L1415">
            <v>205.98</v>
          </cell>
          <cell r="M1415" t="str">
            <v/>
          </cell>
          <cell r="N1415">
            <v>0</v>
          </cell>
        </row>
        <row r="1416">
          <cell r="A1416">
            <v>16595</v>
          </cell>
          <cell r="B1416" t="str">
            <v>13/06/2019</v>
          </cell>
          <cell r="C1416" t="str">
            <v>QUOTED</v>
          </cell>
          <cell r="D1416" t="str">
            <v>25 fttgs</v>
          </cell>
          <cell r="E1416" t="str">
            <v>Key Integrated Services North West Ltd</v>
          </cell>
          <cell r="F1416" t="str">
            <v>Subcontractor</v>
          </cell>
          <cell r="G1416" t="str">
            <v/>
          </cell>
          <cell r="H1416" t="str">
            <v/>
          </cell>
          <cell r="I1416" t="str">
            <v/>
          </cell>
          <cell r="J1416">
            <v>3567.56</v>
          </cell>
          <cell r="K1416">
            <v>713.51</v>
          </cell>
          <cell r="L1416">
            <v>3567.56</v>
          </cell>
          <cell r="M1416" t="str">
            <v/>
          </cell>
          <cell r="N1416">
            <v>0</v>
          </cell>
        </row>
        <row r="1417">
          <cell r="A1417">
            <v>16594</v>
          </cell>
          <cell r="B1417" t="str">
            <v>13/06/2019</v>
          </cell>
          <cell r="C1417" t="str">
            <v>CALLOUT</v>
          </cell>
          <cell r="D1417" t="str">
            <v>investigate leak</v>
          </cell>
          <cell r="E1417" t="str">
            <v>Viabl Ltd T/A Able</v>
          </cell>
          <cell r="F1417" t="str">
            <v>Subcontractor</v>
          </cell>
          <cell r="G1417" t="str">
            <v/>
          </cell>
          <cell r="H1417" t="str">
            <v/>
          </cell>
          <cell r="I1417" t="str">
            <v/>
          </cell>
          <cell r="J1417">
            <v>130</v>
          </cell>
          <cell r="K1417">
            <v>26</v>
          </cell>
          <cell r="L1417">
            <v>130</v>
          </cell>
          <cell r="M1417" t="str">
            <v/>
          </cell>
          <cell r="N1417">
            <v>0</v>
          </cell>
        </row>
        <row r="1418">
          <cell r="A1418">
            <v>16592</v>
          </cell>
          <cell r="B1418" t="str">
            <v>13/06/2019</v>
          </cell>
          <cell r="C1418" t="str">
            <v>CALLOUT</v>
          </cell>
          <cell r="D1418" t="str">
            <v>unit 5 grd floor emerg lights out</v>
          </cell>
          <cell r="E1418" t="str">
            <v>Key Integrated Services North West Ltd</v>
          </cell>
          <cell r="F1418" t="str">
            <v>Subcontractor</v>
          </cell>
          <cell r="G1418" t="str">
            <v/>
          </cell>
          <cell r="H1418" t="str">
            <v>Part</v>
          </cell>
          <cell r="I1418" t="str">
            <v/>
          </cell>
          <cell r="J1418">
            <v>113.94</v>
          </cell>
          <cell r="K1418">
            <v>22.79</v>
          </cell>
          <cell r="L1418">
            <v>113.94</v>
          </cell>
          <cell r="M1418" t="str">
            <v/>
          </cell>
          <cell r="N1418">
            <v>0</v>
          </cell>
        </row>
        <row r="1419">
          <cell r="A1419">
            <v>16591</v>
          </cell>
          <cell r="B1419" t="str">
            <v>13/06/2019</v>
          </cell>
          <cell r="C1419" t="str">
            <v>CALLOUT</v>
          </cell>
          <cell r="D1419" t="str">
            <v>supply 6 filters attended and fit 1 leave rest on site</v>
          </cell>
          <cell r="E1419" t="str">
            <v>Derek Austin Heating Limited</v>
          </cell>
          <cell r="F1419" t="str">
            <v>Subcontractor</v>
          </cell>
          <cell r="G1419" t="str">
            <v/>
          </cell>
          <cell r="H1419" t="str">
            <v/>
          </cell>
          <cell r="I1419" t="str">
            <v/>
          </cell>
          <cell r="J1419">
            <v>323.55</v>
          </cell>
          <cell r="K1419">
            <v>64.709999999999994</v>
          </cell>
          <cell r="L1419">
            <v>323.55</v>
          </cell>
          <cell r="M1419" t="str">
            <v/>
          </cell>
          <cell r="N1419">
            <v>0</v>
          </cell>
        </row>
        <row r="1420">
          <cell r="A1420">
            <v>16587</v>
          </cell>
          <cell r="B1420" t="str">
            <v>12/06/2019</v>
          </cell>
          <cell r="C1420" t="str">
            <v>C1604</v>
          </cell>
          <cell r="D1420" t="str">
            <v>fly killers</v>
          </cell>
          <cell r="E1420" t="str">
            <v>Key Integrated Services (Electrical) Ltd</v>
          </cell>
          <cell r="F1420" t="str">
            <v>Subcontractor</v>
          </cell>
          <cell r="G1420" t="str">
            <v/>
          </cell>
          <cell r="H1420" t="str">
            <v/>
          </cell>
          <cell r="I1420" t="str">
            <v/>
          </cell>
          <cell r="J1420">
            <v>5206</v>
          </cell>
          <cell r="K1420">
            <v>1041.2</v>
          </cell>
          <cell r="L1420">
            <v>5206</v>
          </cell>
          <cell r="M1420" t="str">
            <v/>
          </cell>
          <cell r="N1420">
            <v>0</v>
          </cell>
        </row>
        <row r="1421">
          <cell r="A1421">
            <v>16584</v>
          </cell>
          <cell r="B1421" t="str">
            <v>12/06/2019</v>
          </cell>
          <cell r="C1421" t="str">
            <v>C1518</v>
          </cell>
          <cell r="D1421" t="str">
            <v>elec works to convert old cream room</v>
          </cell>
          <cell r="E1421" t="str">
            <v>Key Integrated Services (Electrical) Ltd</v>
          </cell>
          <cell r="F1421" t="str">
            <v>Subcontractor</v>
          </cell>
          <cell r="G1421" t="str">
            <v/>
          </cell>
          <cell r="H1421" t="str">
            <v/>
          </cell>
          <cell r="I1421" t="str">
            <v/>
          </cell>
          <cell r="J1421">
            <v>26181</v>
          </cell>
          <cell r="K1421">
            <v>5236.2</v>
          </cell>
          <cell r="L1421">
            <v>26181</v>
          </cell>
          <cell r="M1421" t="str">
            <v/>
          </cell>
          <cell r="N1421">
            <v>0</v>
          </cell>
        </row>
        <row r="1422">
          <cell r="A1422">
            <v>16583</v>
          </cell>
          <cell r="B1422" t="str">
            <v>12/06/2019</v>
          </cell>
          <cell r="C1422" t="str">
            <v>CALLOUT</v>
          </cell>
          <cell r="D1422" t="str">
            <v>disbaled wc 1st floor will not flush also lekaing water from</v>
          </cell>
          <cell r="E1422" t="str">
            <v>Viabl Ltd T/A Able</v>
          </cell>
          <cell r="F1422" t="str">
            <v>Subcontractor</v>
          </cell>
          <cell r="G1422" t="str">
            <v/>
          </cell>
          <cell r="H1422" t="str">
            <v>Part</v>
          </cell>
          <cell r="I1422" t="str">
            <v/>
          </cell>
          <cell r="J1422">
            <v>195</v>
          </cell>
          <cell r="K1422">
            <v>39</v>
          </cell>
          <cell r="L1422">
            <v>195</v>
          </cell>
          <cell r="M1422" t="str">
            <v/>
          </cell>
          <cell r="N1422">
            <v>0</v>
          </cell>
        </row>
        <row r="1423">
          <cell r="A1423">
            <v>16582</v>
          </cell>
          <cell r="B1423" t="str">
            <v>12/06/2019</v>
          </cell>
          <cell r="C1423" t="str">
            <v>CALLOUT</v>
          </cell>
          <cell r="D1423" t="str">
            <v>grd floor Tim James office problem with light switch</v>
          </cell>
          <cell r="E1423" t="str">
            <v>Barrie Beard Ltd</v>
          </cell>
          <cell r="F1423" t="str">
            <v>Subcontractor</v>
          </cell>
          <cell r="G1423" t="str">
            <v/>
          </cell>
          <cell r="H1423" t="str">
            <v>Part</v>
          </cell>
          <cell r="I1423" t="str">
            <v/>
          </cell>
          <cell r="J1423">
            <v>115</v>
          </cell>
          <cell r="K1423">
            <v>23</v>
          </cell>
          <cell r="L1423">
            <v>115</v>
          </cell>
          <cell r="M1423" t="str">
            <v/>
          </cell>
          <cell r="N1423">
            <v>0</v>
          </cell>
        </row>
        <row r="1424">
          <cell r="A1424">
            <v>16562</v>
          </cell>
          <cell r="B1424" t="str">
            <v>10/06/2019</v>
          </cell>
          <cell r="C1424" t="str">
            <v>CALLOUT</v>
          </cell>
          <cell r="D1424" t="str">
            <v>supply and fit replacement heater as per quote</v>
          </cell>
          <cell r="E1424" t="str">
            <v>K Gammon Plumbing &amp; Heating Ltd</v>
          </cell>
          <cell r="F1424" t="str">
            <v>Subcontractor</v>
          </cell>
          <cell r="G1424" t="str">
            <v/>
          </cell>
          <cell r="H1424" t="str">
            <v/>
          </cell>
          <cell r="I1424" t="str">
            <v/>
          </cell>
          <cell r="J1424">
            <v>247.75</v>
          </cell>
          <cell r="K1424">
            <v>49.55</v>
          </cell>
          <cell r="L1424">
            <v>247.75</v>
          </cell>
          <cell r="M1424" t="str">
            <v/>
          </cell>
          <cell r="N1424">
            <v>0</v>
          </cell>
        </row>
        <row r="1425">
          <cell r="A1425">
            <v>16561</v>
          </cell>
          <cell r="B1425" t="str">
            <v>10/06/2019</v>
          </cell>
          <cell r="C1425" t="str">
            <v>CALLOUT</v>
          </cell>
          <cell r="D1425" t="str">
            <v>Supply and fit probes to boiler as per quote</v>
          </cell>
          <cell r="E1425" t="str">
            <v>Commercial Temperature Solutions</v>
          </cell>
          <cell r="F1425" t="str">
            <v>Subcontractor</v>
          </cell>
          <cell r="G1425" t="str">
            <v/>
          </cell>
          <cell r="H1425" t="str">
            <v/>
          </cell>
          <cell r="I1425" t="str">
            <v/>
          </cell>
          <cell r="J1425">
            <v>240</v>
          </cell>
          <cell r="K1425">
            <v>48</v>
          </cell>
          <cell r="L1425">
            <v>240</v>
          </cell>
          <cell r="M1425" t="str">
            <v/>
          </cell>
          <cell r="N1425">
            <v>0</v>
          </cell>
        </row>
        <row r="1426">
          <cell r="A1426">
            <v>16554</v>
          </cell>
          <cell r="B1426" t="str">
            <v>10/06/2019</v>
          </cell>
          <cell r="C1426" t="str">
            <v>C1518</v>
          </cell>
          <cell r="D1426" t="str">
            <v>Cream room modification works</v>
          </cell>
          <cell r="E1426" t="str">
            <v>Enco Ltd</v>
          </cell>
          <cell r="F1426" t="str">
            <v>Subcontractor</v>
          </cell>
          <cell r="G1426" t="str">
            <v/>
          </cell>
          <cell r="H1426" t="str">
            <v/>
          </cell>
          <cell r="I1426" t="str">
            <v/>
          </cell>
          <cell r="J1426">
            <v>10410.25</v>
          </cell>
          <cell r="K1426">
            <v>2082.0500000000002</v>
          </cell>
          <cell r="L1426">
            <v>10410.25</v>
          </cell>
          <cell r="M1426" t="str">
            <v/>
          </cell>
          <cell r="N1426">
            <v>0</v>
          </cell>
        </row>
        <row r="1427">
          <cell r="A1427">
            <v>16551</v>
          </cell>
          <cell r="B1427" t="str">
            <v>07/06/2019</v>
          </cell>
          <cell r="C1427" t="str">
            <v>C1622</v>
          </cell>
          <cell r="D1427" t="str">
            <v>Electrical Installation Burton Gateway</v>
          </cell>
          <cell r="E1427" t="str">
            <v>Key Integrated Services North West Ltd</v>
          </cell>
          <cell r="F1427" t="str">
            <v>Subcontractor</v>
          </cell>
          <cell r="G1427" t="str">
            <v>03/06/2019</v>
          </cell>
          <cell r="H1427" t="str">
            <v/>
          </cell>
          <cell r="I1427" t="str">
            <v/>
          </cell>
          <cell r="J1427">
            <v>191130.92</v>
          </cell>
          <cell r="K1427">
            <v>38226.18</v>
          </cell>
          <cell r="L1427">
            <v>193207.77</v>
          </cell>
          <cell r="M1427" t="str">
            <v/>
          </cell>
          <cell r="N1427">
            <v>-2076.85</v>
          </cell>
        </row>
        <row r="1428">
          <cell r="A1428">
            <v>16545</v>
          </cell>
          <cell r="B1428" t="str">
            <v>06/06/2019</v>
          </cell>
          <cell r="C1428" t="str">
            <v>C1593</v>
          </cell>
          <cell r="D1428" t="str">
            <v>Supply &amp; Install Insulation as per quotation JR/56118/A/19</v>
          </cell>
          <cell r="E1428" t="str">
            <v>Jorden Insulation Ltd</v>
          </cell>
          <cell r="F1428" t="str">
            <v>Subcontractor</v>
          </cell>
          <cell r="G1428" t="str">
            <v/>
          </cell>
          <cell r="H1428" t="str">
            <v/>
          </cell>
          <cell r="I1428" t="str">
            <v/>
          </cell>
          <cell r="J1428">
            <v>20079</v>
          </cell>
          <cell r="K1428">
            <v>4015.8</v>
          </cell>
          <cell r="L1428">
            <v>20079</v>
          </cell>
          <cell r="M1428" t="str">
            <v/>
          </cell>
          <cell r="N1428">
            <v>0</v>
          </cell>
        </row>
        <row r="1429">
          <cell r="A1429">
            <v>16532</v>
          </cell>
          <cell r="B1429" t="str">
            <v>05/06/2019</v>
          </cell>
          <cell r="C1429" t="str">
            <v>C1616</v>
          </cell>
          <cell r="D1429" t="str">
            <v>Crane Lift as Quotation QJT18419-1</v>
          </cell>
          <cell r="E1429" t="str">
            <v>Hird Ltd</v>
          </cell>
          <cell r="F1429" t="str">
            <v>Subcontractor</v>
          </cell>
          <cell r="G1429" t="str">
            <v>15/06/2019</v>
          </cell>
          <cell r="H1429" t="str">
            <v/>
          </cell>
          <cell r="I1429" t="str">
            <v/>
          </cell>
          <cell r="J1429">
            <v>4224</v>
          </cell>
          <cell r="K1429">
            <v>844.8</v>
          </cell>
          <cell r="L1429">
            <v>4224</v>
          </cell>
          <cell r="M1429" t="str">
            <v/>
          </cell>
          <cell r="N1429">
            <v>0</v>
          </cell>
        </row>
        <row r="1430">
          <cell r="A1430">
            <v>16516</v>
          </cell>
          <cell r="B1430" t="str">
            <v>04/06/2019</v>
          </cell>
          <cell r="C1430" t="str">
            <v>CALLOUT</v>
          </cell>
          <cell r="D1430" t="str">
            <v>EM remedial works 2 fttgs</v>
          </cell>
          <cell r="E1430" t="str">
            <v>Key Integrated Services North West Ltd</v>
          </cell>
          <cell r="F1430" t="str">
            <v>Subcontractor</v>
          </cell>
          <cell r="G1430" t="str">
            <v/>
          </cell>
          <cell r="H1430" t="str">
            <v/>
          </cell>
          <cell r="I1430" t="str">
            <v/>
          </cell>
          <cell r="J1430">
            <v>121.28</v>
          </cell>
          <cell r="K1430">
            <v>24.26</v>
          </cell>
          <cell r="L1430">
            <v>121.28</v>
          </cell>
          <cell r="M1430" t="str">
            <v/>
          </cell>
          <cell r="N1430">
            <v>0</v>
          </cell>
        </row>
        <row r="1431">
          <cell r="A1431">
            <v>16512</v>
          </cell>
          <cell r="B1431" t="str">
            <v>04/06/2019</v>
          </cell>
          <cell r="C1431" t="str">
            <v>C1622</v>
          </cell>
          <cell r="D1431" t="str">
            <v>Thermal Insulation to Plumbing Services only.</v>
          </cell>
          <cell r="E1431" t="str">
            <v>Thermal Insulation Covers Ltd</v>
          </cell>
          <cell r="F1431" t="str">
            <v>Subcontractor</v>
          </cell>
          <cell r="G1431" t="str">
            <v>05/08/2019</v>
          </cell>
          <cell r="H1431" t="str">
            <v>Part</v>
          </cell>
          <cell r="I1431" t="str">
            <v/>
          </cell>
          <cell r="J1431">
            <v>1036.07</v>
          </cell>
          <cell r="K1431">
            <v>207.21</v>
          </cell>
          <cell r="L1431">
            <v>2072.14</v>
          </cell>
          <cell r="M1431" t="str">
            <v/>
          </cell>
          <cell r="N1431">
            <v>-1036.07</v>
          </cell>
        </row>
        <row r="1432">
          <cell r="A1432">
            <v>16508</v>
          </cell>
          <cell r="B1432" t="str">
            <v>04/06/2019</v>
          </cell>
          <cell r="C1432" t="str">
            <v>SERVICE</v>
          </cell>
          <cell r="D1432" t="str">
            <v>L8's June 2019</v>
          </cell>
          <cell r="E1432" t="str">
            <v>Commercial Temperature Solutions</v>
          </cell>
          <cell r="F1432" t="str">
            <v>Subcontractor</v>
          </cell>
          <cell r="G1432" t="str">
            <v/>
          </cell>
          <cell r="H1432" t="str">
            <v/>
          </cell>
          <cell r="I1432" t="str">
            <v/>
          </cell>
          <cell r="J1432">
            <v>100</v>
          </cell>
          <cell r="K1432">
            <v>20</v>
          </cell>
          <cell r="L1432">
            <v>100</v>
          </cell>
          <cell r="M1432" t="str">
            <v/>
          </cell>
          <cell r="N1432">
            <v>0</v>
          </cell>
        </row>
        <row r="1433">
          <cell r="A1433">
            <v>16507</v>
          </cell>
          <cell r="B1433" t="str">
            <v>04/06/2019</v>
          </cell>
          <cell r="C1433" t="str">
            <v>SERVICE</v>
          </cell>
          <cell r="D1433" t="str">
            <v>boiler maintenance and AC Maintenance for June 2019</v>
          </cell>
          <cell r="E1433" t="str">
            <v>Commercial Temperature Solutions</v>
          </cell>
          <cell r="F1433" t="str">
            <v>Subcontractor</v>
          </cell>
          <cell r="G1433" t="str">
            <v/>
          </cell>
          <cell r="H1433" t="str">
            <v/>
          </cell>
          <cell r="I1433" t="str">
            <v/>
          </cell>
          <cell r="J1433">
            <v>250</v>
          </cell>
          <cell r="K1433">
            <v>50</v>
          </cell>
          <cell r="L1433">
            <v>250</v>
          </cell>
          <cell r="M1433" t="str">
            <v/>
          </cell>
          <cell r="N1433">
            <v>0</v>
          </cell>
        </row>
        <row r="1434">
          <cell r="A1434">
            <v>16505</v>
          </cell>
          <cell r="B1434" t="str">
            <v>04/06/2019</v>
          </cell>
          <cell r="C1434" t="str">
            <v>C1622</v>
          </cell>
          <cell r="D1434" t="str">
            <v>Mechanical Ventilation Systems</v>
          </cell>
          <cell r="E1434" t="str">
            <v>Coolduct Ltd</v>
          </cell>
          <cell r="F1434" t="str">
            <v>Subcontractor</v>
          </cell>
          <cell r="G1434" t="str">
            <v>15/07/2019</v>
          </cell>
          <cell r="H1434" t="str">
            <v>Part</v>
          </cell>
          <cell r="I1434" t="str">
            <v/>
          </cell>
          <cell r="J1434">
            <v>19000</v>
          </cell>
          <cell r="K1434">
            <v>3800</v>
          </cell>
          <cell r="L1434">
            <v>19000</v>
          </cell>
          <cell r="M1434" t="str">
            <v/>
          </cell>
          <cell r="N1434">
            <v>0</v>
          </cell>
        </row>
        <row r="1435">
          <cell r="A1435">
            <v>16492</v>
          </cell>
          <cell r="B1435" t="str">
            <v>03/06/2019</v>
          </cell>
          <cell r="C1435" t="str">
            <v>CALLOUT</v>
          </cell>
          <cell r="D1435" t="str">
            <v>Attend site to investigate leaking urinal</v>
          </cell>
          <cell r="E1435" t="str">
            <v>Viabl Ltd T/A Able</v>
          </cell>
          <cell r="F1435" t="str">
            <v>Subcontractor</v>
          </cell>
          <cell r="G1435" t="str">
            <v/>
          </cell>
          <cell r="H1435" t="str">
            <v/>
          </cell>
          <cell r="I1435" t="str">
            <v/>
          </cell>
          <cell r="J1435">
            <v>130</v>
          </cell>
          <cell r="K1435">
            <v>26</v>
          </cell>
          <cell r="L1435">
            <v>130</v>
          </cell>
          <cell r="M1435" t="str">
            <v/>
          </cell>
          <cell r="N1435">
            <v>0</v>
          </cell>
        </row>
        <row r="1436">
          <cell r="A1436">
            <v>16490</v>
          </cell>
          <cell r="B1436" t="str">
            <v>03/06/2019</v>
          </cell>
          <cell r="C1436" t="str">
            <v>SERVICE</v>
          </cell>
          <cell r="D1436" t="str">
            <v>additional visit extended contract</v>
          </cell>
          <cell r="E1436" t="str">
            <v>Ansa Elevators Limited</v>
          </cell>
          <cell r="F1436" t="str">
            <v>Subcontractor</v>
          </cell>
          <cell r="G1436" t="str">
            <v/>
          </cell>
          <cell r="H1436" t="str">
            <v/>
          </cell>
          <cell r="I1436" t="str">
            <v/>
          </cell>
          <cell r="J1436">
            <v>160</v>
          </cell>
          <cell r="K1436">
            <v>32</v>
          </cell>
          <cell r="L1436">
            <v>160</v>
          </cell>
          <cell r="M1436" t="str">
            <v/>
          </cell>
          <cell r="N1436">
            <v>0</v>
          </cell>
        </row>
        <row r="1437">
          <cell r="A1437">
            <v>16489</v>
          </cell>
          <cell r="B1437" t="str">
            <v>03/06/2019</v>
          </cell>
          <cell r="C1437" t="str">
            <v>SERVICE</v>
          </cell>
          <cell r="D1437" t="str">
            <v>lift visit additional visit extended contract</v>
          </cell>
          <cell r="E1437" t="str">
            <v>Ansa Elevators Limited</v>
          </cell>
          <cell r="F1437" t="str">
            <v>Subcontractor</v>
          </cell>
          <cell r="G1437" t="str">
            <v/>
          </cell>
          <cell r="H1437" t="str">
            <v/>
          </cell>
          <cell r="I1437" t="str">
            <v/>
          </cell>
          <cell r="J1437">
            <v>80</v>
          </cell>
          <cell r="K1437">
            <v>16</v>
          </cell>
          <cell r="L1437">
            <v>80</v>
          </cell>
          <cell r="M1437" t="str">
            <v/>
          </cell>
          <cell r="N1437">
            <v>0</v>
          </cell>
        </row>
        <row r="1438">
          <cell r="A1438">
            <v>16484</v>
          </cell>
          <cell r="B1438" t="str">
            <v>31/05/2019</v>
          </cell>
          <cell r="C1438" t="str">
            <v>C1593</v>
          </cell>
          <cell r="D1438" t="str">
            <v>Supply labour to Len Wright Salads</v>
          </cell>
          <cell r="E1438" t="str">
            <v>Entech Services UK Ltd</v>
          </cell>
          <cell r="F1438" t="str">
            <v>Subcontractor</v>
          </cell>
          <cell r="G1438" t="str">
            <v/>
          </cell>
          <cell r="H1438" t="str">
            <v/>
          </cell>
          <cell r="I1438" t="str">
            <v/>
          </cell>
          <cell r="J1438">
            <v>10170</v>
          </cell>
          <cell r="K1438">
            <v>2034</v>
          </cell>
          <cell r="L1438">
            <v>10170</v>
          </cell>
          <cell r="M1438" t="str">
            <v/>
          </cell>
          <cell r="N1438">
            <v>0</v>
          </cell>
        </row>
        <row r="1439">
          <cell r="A1439">
            <v>16444</v>
          </cell>
          <cell r="B1439" t="str">
            <v>31/05/2019</v>
          </cell>
          <cell r="C1439" t="str">
            <v>C1597</v>
          </cell>
          <cell r="D1439" t="str">
            <v>Edge protection and A-frame hoist as per quote ref: 11180505</v>
          </cell>
          <cell r="E1439" t="str">
            <v>Brand Energy &amp; Infastructure Services UK Ltd</v>
          </cell>
          <cell r="F1439" t="str">
            <v>Subcontractor</v>
          </cell>
          <cell r="G1439" t="str">
            <v>21/06/2019</v>
          </cell>
          <cell r="H1439" t="str">
            <v/>
          </cell>
          <cell r="I1439" t="str">
            <v/>
          </cell>
          <cell r="J1439">
            <v>5160</v>
          </cell>
          <cell r="K1439">
            <v>1032</v>
          </cell>
          <cell r="L1439">
            <v>5160</v>
          </cell>
          <cell r="M1439" t="str">
            <v/>
          </cell>
          <cell r="N1439">
            <v>0</v>
          </cell>
        </row>
        <row r="1440">
          <cell r="A1440">
            <v>16483</v>
          </cell>
          <cell r="B1440" t="str">
            <v>30/05/2019</v>
          </cell>
          <cell r="C1440" t="str">
            <v>SERVICE</v>
          </cell>
          <cell r="D1440" t="str">
            <v>inspetion and test of the LP</v>
          </cell>
          <cell r="E1440" t="str">
            <v>Omega Red Group Ltd</v>
          </cell>
          <cell r="F1440" t="str">
            <v>Subcontractor</v>
          </cell>
          <cell r="G1440" t="str">
            <v/>
          </cell>
          <cell r="H1440" t="str">
            <v>Complete</v>
          </cell>
          <cell r="I1440" t="str">
            <v/>
          </cell>
          <cell r="J1440">
            <v>0</v>
          </cell>
          <cell r="K1440">
            <v>0</v>
          </cell>
          <cell r="L1440">
            <v>0</v>
          </cell>
          <cell r="M1440" t="str">
            <v/>
          </cell>
          <cell r="N1440">
            <v>0</v>
          </cell>
        </row>
        <row r="1441">
          <cell r="A1441">
            <v>16480</v>
          </cell>
          <cell r="B1441" t="str">
            <v>30/05/2019</v>
          </cell>
          <cell r="C1441" t="str">
            <v>SERVICE</v>
          </cell>
          <cell r="D1441" t="str">
            <v>AC Maintenacne MAY 2019</v>
          </cell>
          <cell r="E1441" t="str">
            <v>Amroc Heating Supplies</v>
          </cell>
          <cell r="F1441" t="str">
            <v>Subcontractor</v>
          </cell>
          <cell r="G1441" t="str">
            <v/>
          </cell>
          <cell r="H1441" t="str">
            <v/>
          </cell>
          <cell r="I1441" t="str">
            <v/>
          </cell>
          <cell r="J1441">
            <v>210</v>
          </cell>
          <cell r="K1441">
            <v>42</v>
          </cell>
          <cell r="L1441">
            <v>210</v>
          </cell>
          <cell r="M1441" t="str">
            <v/>
          </cell>
          <cell r="N1441">
            <v>0</v>
          </cell>
        </row>
        <row r="1442">
          <cell r="A1442">
            <v>16466</v>
          </cell>
          <cell r="B1442" t="str">
            <v>28/05/2019</v>
          </cell>
          <cell r="C1442" t="str">
            <v>CALLOUT</v>
          </cell>
          <cell r="D1442" t="str">
            <v>S&amp;F new tap as per quote</v>
          </cell>
          <cell r="E1442" t="str">
            <v>K Gammon Plumbing &amp; Heating Ltd</v>
          </cell>
          <cell r="F1442" t="str">
            <v>Subcontractor</v>
          </cell>
          <cell r="G1442" t="str">
            <v/>
          </cell>
          <cell r="H1442" t="str">
            <v/>
          </cell>
          <cell r="I1442" t="str">
            <v/>
          </cell>
          <cell r="J1442">
            <v>270.55</v>
          </cell>
          <cell r="K1442">
            <v>54.11</v>
          </cell>
          <cell r="L1442">
            <v>270.55</v>
          </cell>
          <cell r="M1442" t="str">
            <v/>
          </cell>
          <cell r="N1442">
            <v>0</v>
          </cell>
        </row>
        <row r="1443">
          <cell r="A1443">
            <v>16464</v>
          </cell>
          <cell r="B1443" t="str">
            <v>26/05/2019</v>
          </cell>
          <cell r="C1443" t="str">
            <v>C1616</v>
          </cell>
          <cell r="D1443" t="str">
            <v>Pipework install as sub con order doc</v>
          </cell>
          <cell r="E1443" t="str">
            <v>Entech Services UK Ltd</v>
          </cell>
          <cell r="F1443" t="str">
            <v>Subcontractor</v>
          </cell>
          <cell r="G1443" t="str">
            <v>10/06/2019</v>
          </cell>
          <cell r="H1443" t="str">
            <v>Part</v>
          </cell>
          <cell r="I1443" t="str">
            <v/>
          </cell>
          <cell r="J1443">
            <v>16050</v>
          </cell>
          <cell r="K1443">
            <v>3210</v>
          </cell>
          <cell r="L1443">
            <v>16050</v>
          </cell>
          <cell r="M1443" t="str">
            <v/>
          </cell>
          <cell r="N1443">
            <v>0</v>
          </cell>
        </row>
        <row r="1444">
          <cell r="A1444">
            <v>16458</v>
          </cell>
          <cell r="B1444" t="str">
            <v>24/05/2019</v>
          </cell>
          <cell r="C1444" t="str">
            <v>C1518</v>
          </cell>
          <cell r="D1444" t="str">
            <v>Install new trunking in offices</v>
          </cell>
          <cell r="E1444" t="str">
            <v>Key Integrated Services (Electrical) Ltd</v>
          </cell>
          <cell r="F1444" t="str">
            <v>Subcontractor</v>
          </cell>
          <cell r="G1444" t="str">
            <v/>
          </cell>
          <cell r="H1444" t="str">
            <v/>
          </cell>
          <cell r="I1444" t="str">
            <v/>
          </cell>
          <cell r="J1444">
            <v>7068.91</v>
          </cell>
          <cell r="K1444">
            <v>1413.78</v>
          </cell>
          <cell r="L1444">
            <v>7068.91</v>
          </cell>
          <cell r="M1444" t="str">
            <v/>
          </cell>
          <cell r="N1444">
            <v>0</v>
          </cell>
        </row>
        <row r="1445">
          <cell r="A1445">
            <v>16457</v>
          </cell>
          <cell r="B1445" t="str">
            <v>23/05/2019</v>
          </cell>
          <cell r="C1445" t="str">
            <v>CALLOUT</v>
          </cell>
          <cell r="D1445" t="str">
            <v>Call Out ot investigate Water Leak on Site</v>
          </cell>
          <cell r="E1445" t="str">
            <v>Derek Austin Heating Limited</v>
          </cell>
          <cell r="F1445" t="str">
            <v>Subcontractor</v>
          </cell>
          <cell r="G1445" t="str">
            <v/>
          </cell>
          <cell r="H1445" t="str">
            <v/>
          </cell>
          <cell r="I1445" t="str">
            <v/>
          </cell>
          <cell r="J1445">
            <v>254.14</v>
          </cell>
          <cell r="K1445">
            <v>50.83</v>
          </cell>
          <cell r="L1445">
            <v>254.14</v>
          </cell>
          <cell r="M1445" t="str">
            <v/>
          </cell>
          <cell r="N1445">
            <v>0</v>
          </cell>
        </row>
        <row r="1446">
          <cell r="A1446">
            <v>16452</v>
          </cell>
          <cell r="B1446" t="str">
            <v>23/05/2019</v>
          </cell>
          <cell r="C1446" t="str">
            <v>SERVICE</v>
          </cell>
          <cell r="D1446" t="str">
            <v>1st visit PPM maintenance</v>
          </cell>
          <cell r="E1446" t="str">
            <v>Automated Building &amp; Energy Controls Ltd</v>
          </cell>
          <cell r="F1446" t="str">
            <v>Subcontractor</v>
          </cell>
          <cell r="G1446" t="str">
            <v/>
          </cell>
          <cell r="H1446" t="str">
            <v/>
          </cell>
          <cell r="I1446" t="str">
            <v/>
          </cell>
          <cell r="J1446">
            <v>450</v>
          </cell>
          <cell r="K1446">
            <v>90</v>
          </cell>
          <cell r="L1446">
            <v>450</v>
          </cell>
          <cell r="M1446" t="str">
            <v/>
          </cell>
          <cell r="N1446">
            <v>0</v>
          </cell>
        </row>
        <row r="1447">
          <cell r="A1447">
            <v>16443</v>
          </cell>
          <cell r="B1447" t="str">
            <v>22/05/2019</v>
          </cell>
          <cell r="C1447" t="str">
            <v>C1623</v>
          </cell>
          <cell r="D1447" t="str">
            <v>Flue modifications to 3No gas fired heater to unit 5</v>
          </cell>
          <cell r="E1447" t="str">
            <v>Flue-Stax Ltd</v>
          </cell>
          <cell r="F1447" t="str">
            <v>Subcontractor</v>
          </cell>
          <cell r="G1447" t="str">
            <v>10/06/2019</v>
          </cell>
          <cell r="H1447" t="str">
            <v/>
          </cell>
          <cell r="I1447" t="str">
            <v/>
          </cell>
          <cell r="J1447">
            <v>1370</v>
          </cell>
          <cell r="K1447">
            <v>274</v>
          </cell>
          <cell r="L1447">
            <v>1370</v>
          </cell>
          <cell r="M1447" t="str">
            <v/>
          </cell>
          <cell r="N1447">
            <v>0</v>
          </cell>
        </row>
        <row r="1448">
          <cell r="A1448">
            <v>16437</v>
          </cell>
          <cell r="B1448" t="str">
            <v>22/05/2019</v>
          </cell>
          <cell r="C1448" t="str">
            <v>CALLOUT</v>
          </cell>
          <cell r="D1448" t="str">
            <v>3 x plumbing issues email sent</v>
          </cell>
          <cell r="E1448" t="str">
            <v>K Gammon Plumbing &amp; Heating Ltd</v>
          </cell>
          <cell r="F1448" t="str">
            <v>Subcontractor</v>
          </cell>
          <cell r="G1448" t="str">
            <v/>
          </cell>
          <cell r="H1448" t="str">
            <v>Part</v>
          </cell>
          <cell r="I1448" t="str">
            <v/>
          </cell>
          <cell r="J1448">
            <v>193.75</v>
          </cell>
          <cell r="K1448">
            <v>38.75</v>
          </cell>
          <cell r="L1448">
            <v>193.75</v>
          </cell>
          <cell r="M1448" t="str">
            <v/>
          </cell>
          <cell r="N1448">
            <v>0</v>
          </cell>
        </row>
        <row r="1449">
          <cell r="A1449">
            <v>16427</v>
          </cell>
          <cell r="B1449" t="str">
            <v>21/05/2019</v>
          </cell>
          <cell r="C1449" t="str">
            <v>CALLOUT</v>
          </cell>
          <cell r="D1449" t="str">
            <v>cleaners cupboard tap wont turn off - emergency</v>
          </cell>
          <cell r="E1449" t="str">
            <v>Derek Austin Heating Limited</v>
          </cell>
          <cell r="F1449" t="str">
            <v>Subcontractor</v>
          </cell>
          <cell r="G1449" t="str">
            <v/>
          </cell>
          <cell r="H1449" t="str">
            <v>Part</v>
          </cell>
          <cell r="I1449" t="str">
            <v/>
          </cell>
          <cell r="J1449">
            <v>289.98</v>
          </cell>
          <cell r="K1449">
            <v>58</v>
          </cell>
          <cell r="L1449">
            <v>289.98</v>
          </cell>
          <cell r="M1449" t="str">
            <v/>
          </cell>
          <cell r="N1449">
            <v>0</v>
          </cell>
        </row>
        <row r="1450">
          <cell r="A1450">
            <v>16421</v>
          </cell>
          <cell r="B1450" t="str">
            <v>20/05/2019</v>
          </cell>
          <cell r="C1450" t="str">
            <v>CALLOUT</v>
          </cell>
          <cell r="D1450" t="str">
            <v>Install plug socket for billi hot water tap</v>
          </cell>
          <cell r="E1450" t="str">
            <v>Key Integrated Services North West Ltd</v>
          </cell>
          <cell r="F1450" t="str">
            <v>Subcontractor</v>
          </cell>
          <cell r="G1450" t="str">
            <v/>
          </cell>
          <cell r="H1450" t="str">
            <v/>
          </cell>
          <cell r="I1450" t="str">
            <v/>
          </cell>
          <cell r="J1450">
            <v>217.8</v>
          </cell>
          <cell r="K1450">
            <v>43.56</v>
          </cell>
          <cell r="L1450">
            <v>217.8</v>
          </cell>
          <cell r="M1450" t="str">
            <v/>
          </cell>
          <cell r="N1450">
            <v>0</v>
          </cell>
        </row>
        <row r="1451">
          <cell r="A1451">
            <v>16414</v>
          </cell>
          <cell r="B1451" t="str">
            <v>20/05/2019</v>
          </cell>
          <cell r="C1451" t="str">
            <v>SERVICE</v>
          </cell>
          <cell r="D1451" t="str">
            <v>4 x samples to be tested dropped off 19.5.19 by Jim</v>
          </cell>
          <cell r="E1451" t="str">
            <v>Hydraclean Ltd</v>
          </cell>
          <cell r="F1451" t="str">
            <v>Subcontractor</v>
          </cell>
          <cell r="G1451" t="str">
            <v/>
          </cell>
          <cell r="H1451" t="str">
            <v/>
          </cell>
          <cell r="I1451" t="str">
            <v/>
          </cell>
          <cell r="J1451">
            <v>200</v>
          </cell>
          <cell r="K1451">
            <v>40</v>
          </cell>
          <cell r="L1451">
            <v>200</v>
          </cell>
          <cell r="M1451" t="str">
            <v/>
          </cell>
          <cell r="N1451">
            <v>0</v>
          </cell>
        </row>
        <row r="1452">
          <cell r="A1452">
            <v>16412</v>
          </cell>
          <cell r="B1452" t="str">
            <v>20/05/2019</v>
          </cell>
          <cell r="C1452" t="str">
            <v>SERVICE</v>
          </cell>
          <cell r="D1452" t="str">
            <v>Yearly visit to BMS as per revised quote</v>
          </cell>
          <cell r="E1452" t="str">
            <v>Automated Building &amp; Energy Controls Ltd</v>
          </cell>
          <cell r="F1452" t="str">
            <v>Subcontractor</v>
          </cell>
          <cell r="G1452" t="str">
            <v/>
          </cell>
          <cell r="H1452" t="str">
            <v/>
          </cell>
          <cell r="I1452" t="str">
            <v/>
          </cell>
          <cell r="J1452">
            <v>438.75</v>
          </cell>
          <cell r="K1452">
            <v>87.75</v>
          </cell>
          <cell r="L1452">
            <v>438.75</v>
          </cell>
          <cell r="M1452" t="str">
            <v/>
          </cell>
          <cell r="N1452">
            <v>0</v>
          </cell>
        </row>
        <row r="1453">
          <cell r="A1453">
            <v>16410</v>
          </cell>
          <cell r="B1453" t="str">
            <v>17/05/2019</v>
          </cell>
          <cell r="C1453" t="str">
            <v>C1616</v>
          </cell>
          <cell r="D1453" t="str">
            <v>Electrical installation</v>
          </cell>
          <cell r="E1453" t="str">
            <v>Key Integrated Services (Electrical) Ltd</v>
          </cell>
          <cell r="F1453" t="str">
            <v>Subcontractor</v>
          </cell>
          <cell r="G1453" t="str">
            <v/>
          </cell>
          <cell r="H1453" t="str">
            <v>Part</v>
          </cell>
          <cell r="I1453" t="str">
            <v/>
          </cell>
          <cell r="J1453">
            <v>209108.26</v>
          </cell>
          <cell r="K1453">
            <v>41821.65</v>
          </cell>
          <cell r="L1453">
            <v>209108.26</v>
          </cell>
          <cell r="M1453" t="str">
            <v/>
          </cell>
          <cell r="N1453">
            <v>0</v>
          </cell>
        </row>
        <row r="1454">
          <cell r="A1454">
            <v>16409</v>
          </cell>
          <cell r="B1454" t="str">
            <v>17/05/2019</v>
          </cell>
          <cell r="C1454" t="str">
            <v>C1616</v>
          </cell>
          <cell r="D1454" t="str">
            <v>Controls as per sub con order doc</v>
          </cell>
          <cell r="E1454" t="str">
            <v>Detail Design Engineering Ltd</v>
          </cell>
          <cell r="F1454" t="str">
            <v>Subcontractor</v>
          </cell>
          <cell r="G1454" t="str">
            <v>16/05/2019</v>
          </cell>
          <cell r="H1454" t="str">
            <v>Part</v>
          </cell>
          <cell r="I1454" t="str">
            <v>Posted</v>
          </cell>
          <cell r="J1454">
            <v>51859.16</v>
          </cell>
          <cell r="K1454">
            <v>10371.83</v>
          </cell>
          <cell r="L1454">
            <v>56091.35</v>
          </cell>
          <cell r="M1454" t="str">
            <v/>
          </cell>
          <cell r="N1454">
            <v>-4232.1899999999996</v>
          </cell>
        </row>
        <row r="1455">
          <cell r="A1455">
            <v>16407</v>
          </cell>
          <cell r="B1455" t="str">
            <v>17/05/2019</v>
          </cell>
          <cell r="C1455" t="str">
            <v>CALLOUT</v>
          </cell>
          <cell r="D1455" t="str">
            <v>PAT testing approx 5 items no more than 10 to be done</v>
          </cell>
          <cell r="E1455" t="str">
            <v>Lantei Ltd</v>
          </cell>
          <cell r="F1455" t="str">
            <v>Subcontractor</v>
          </cell>
          <cell r="G1455" t="str">
            <v/>
          </cell>
          <cell r="H1455" t="str">
            <v/>
          </cell>
          <cell r="I1455" t="str">
            <v/>
          </cell>
          <cell r="J1455">
            <v>80</v>
          </cell>
          <cell r="K1455">
            <v>16</v>
          </cell>
          <cell r="L1455">
            <v>80</v>
          </cell>
          <cell r="M1455" t="str">
            <v/>
          </cell>
          <cell r="N1455">
            <v>0</v>
          </cell>
        </row>
        <row r="1456">
          <cell r="A1456">
            <v>16405</v>
          </cell>
          <cell r="B1456" t="str">
            <v>17/05/2019</v>
          </cell>
          <cell r="C1456" t="str">
            <v>CALLOUT</v>
          </cell>
          <cell r="D1456" t="str">
            <v>various works</v>
          </cell>
          <cell r="E1456" t="str">
            <v>K Gammon Plumbing &amp; Heating Ltd</v>
          </cell>
          <cell r="F1456" t="str">
            <v>Subcontractor</v>
          </cell>
          <cell r="G1456" t="str">
            <v/>
          </cell>
          <cell r="H1456" t="str">
            <v>Part</v>
          </cell>
          <cell r="I1456" t="str">
            <v/>
          </cell>
          <cell r="J1456">
            <v>256</v>
          </cell>
          <cell r="K1456">
            <v>51.2</v>
          </cell>
          <cell r="L1456">
            <v>256</v>
          </cell>
          <cell r="M1456" t="str">
            <v/>
          </cell>
          <cell r="N1456">
            <v>0</v>
          </cell>
        </row>
        <row r="1457">
          <cell r="A1457">
            <v>16401</v>
          </cell>
          <cell r="B1457" t="str">
            <v>16/05/2019</v>
          </cell>
          <cell r="C1457" t="str">
            <v>CALLOUT</v>
          </cell>
          <cell r="D1457" t="str">
            <v>repair disabled lift as per zurich report</v>
          </cell>
          <cell r="E1457" t="str">
            <v>Ansa Elevators Limited</v>
          </cell>
          <cell r="F1457" t="str">
            <v>Subcontractor</v>
          </cell>
          <cell r="G1457" t="str">
            <v/>
          </cell>
          <cell r="H1457" t="str">
            <v/>
          </cell>
          <cell r="I1457" t="str">
            <v/>
          </cell>
          <cell r="J1457">
            <v>150</v>
          </cell>
          <cell r="K1457">
            <v>30</v>
          </cell>
          <cell r="L1457">
            <v>0</v>
          </cell>
          <cell r="M1457" t="str">
            <v/>
          </cell>
          <cell r="N1457">
            <v>150</v>
          </cell>
        </row>
        <row r="1458">
          <cell r="A1458">
            <v>16400</v>
          </cell>
          <cell r="B1458" t="str">
            <v>16/05/2019</v>
          </cell>
          <cell r="C1458" t="str">
            <v>SERVICE</v>
          </cell>
          <cell r="D1458" t="str">
            <v>Service AC units May 2019</v>
          </cell>
          <cell r="E1458" t="str">
            <v>Derek Austin Heating Limited</v>
          </cell>
          <cell r="F1458" t="str">
            <v>Subcontractor</v>
          </cell>
          <cell r="G1458" t="str">
            <v/>
          </cell>
          <cell r="H1458" t="str">
            <v/>
          </cell>
          <cell r="I1458" t="str">
            <v/>
          </cell>
          <cell r="J1458">
            <v>195</v>
          </cell>
          <cell r="K1458">
            <v>39</v>
          </cell>
          <cell r="L1458">
            <v>195</v>
          </cell>
          <cell r="M1458" t="str">
            <v/>
          </cell>
          <cell r="N1458">
            <v>0</v>
          </cell>
        </row>
        <row r="1459">
          <cell r="A1459">
            <v>16397</v>
          </cell>
          <cell r="B1459" t="str">
            <v>16/05/2019</v>
          </cell>
          <cell r="C1459" t="str">
            <v>CALLOUT</v>
          </cell>
          <cell r="D1459" t="str">
            <v>Remove and dispose of cabinets Thurs 23.5.19</v>
          </cell>
          <cell r="E1459" t="str">
            <v>Derek Austin Heating Limited</v>
          </cell>
          <cell r="F1459" t="str">
            <v>Subcontractor</v>
          </cell>
          <cell r="G1459" t="str">
            <v/>
          </cell>
          <cell r="H1459" t="str">
            <v/>
          </cell>
          <cell r="I1459" t="str">
            <v/>
          </cell>
          <cell r="J1459">
            <v>270</v>
          </cell>
          <cell r="K1459">
            <v>54</v>
          </cell>
          <cell r="L1459">
            <v>270</v>
          </cell>
          <cell r="M1459" t="str">
            <v/>
          </cell>
          <cell r="N1459">
            <v>0</v>
          </cell>
        </row>
        <row r="1460">
          <cell r="A1460">
            <v>16395</v>
          </cell>
          <cell r="B1460" t="str">
            <v>16/05/2019</v>
          </cell>
          <cell r="C1460" t="str">
            <v>CALLOUT</v>
          </cell>
          <cell r="D1460" t="str">
            <v>fit lincat boiler Tuesday 28th May</v>
          </cell>
          <cell r="E1460" t="str">
            <v>Commercial Temperature Solutions</v>
          </cell>
          <cell r="F1460" t="str">
            <v>Subcontractor</v>
          </cell>
          <cell r="G1460" t="str">
            <v/>
          </cell>
          <cell r="H1460" t="str">
            <v/>
          </cell>
          <cell r="I1460" t="str">
            <v/>
          </cell>
          <cell r="J1460">
            <v>165</v>
          </cell>
          <cell r="K1460">
            <v>33</v>
          </cell>
          <cell r="L1460">
            <v>0</v>
          </cell>
          <cell r="M1460" t="str">
            <v/>
          </cell>
          <cell r="N1460">
            <v>165</v>
          </cell>
        </row>
        <row r="1461">
          <cell r="A1461">
            <v>16378</v>
          </cell>
          <cell r="B1461" t="str">
            <v>14/05/2019</v>
          </cell>
          <cell r="C1461" t="str">
            <v>CALLOUT</v>
          </cell>
          <cell r="D1461" t="str">
            <v>Investigate water leak through light fitting</v>
          </cell>
          <cell r="E1461" t="str">
            <v>Barrie Beard Ltd</v>
          </cell>
          <cell r="F1461" t="str">
            <v>Subcontractor</v>
          </cell>
          <cell r="G1461" t="str">
            <v/>
          </cell>
          <cell r="H1461" t="str">
            <v/>
          </cell>
          <cell r="I1461" t="str">
            <v/>
          </cell>
          <cell r="J1461">
            <v>70</v>
          </cell>
          <cell r="K1461">
            <v>14</v>
          </cell>
          <cell r="L1461">
            <v>70</v>
          </cell>
          <cell r="M1461" t="str">
            <v/>
          </cell>
          <cell r="N1461">
            <v>0</v>
          </cell>
        </row>
        <row r="1462">
          <cell r="A1462">
            <v>16376</v>
          </cell>
          <cell r="B1462" t="str">
            <v>14/05/2019</v>
          </cell>
          <cell r="C1462" t="str">
            <v>CALLOUT</v>
          </cell>
          <cell r="D1462" t="str">
            <v>spout on water heater has come loose</v>
          </cell>
          <cell r="E1462" t="str">
            <v>K Gammon Plumbing &amp; Heating Ltd</v>
          </cell>
          <cell r="F1462" t="str">
            <v>Subcontractor</v>
          </cell>
          <cell r="G1462" t="str">
            <v/>
          </cell>
          <cell r="H1462" t="str">
            <v>Part</v>
          </cell>
          <cell r="I1462" t="str">
            <v/>
          </cell>
          <cell r="J1462">
            <v>70</v>
          </cell>
          <cell r="K1462">
            <v>14</v>
          </cell>
          <cell r="L1462">
            <v>70</v>
          </cell>
          <cell r="M1462" t="str">
            <v/>
          </cell>
          <cell r="N1462">
            <v>0</v>
          </cell>
        </row>
        <row r="1463">
          <cell r="A1463">
            <v>16372</v>
          </cell>
          <cell r="B1463" t="str">
            <v>14/05/2019</v>
          </cell>
          <cell r="C1463" t="str">
            <v>C1558</v>
          </cell>
          <cell r="D1463" t="str">
            <v/>
          </cell>
          <cell r="E1463" t="str">
            <v>Grangewood Insulation Services Ltd</v>
          </cell>
          <cell r="F1463" t="str">
            <v>Subcontractor</v>
          </cell>
          <cell r="G1463" t="str">
            <v>31/05/2019</v>
          </cell>
          <cell r="H1463" t="str">
            <v>Part</v>
          </cell>
          <cell r="I1463" t="str">
            <v/>
          </cell>
          <cell r="J1463">
            <v>13570</v>
          </cell>
          <cell r="K1463">
            <v>2714</v>
          </cell>
          <cell r="L1463">
            <v>13570</v>
          </cell>
          <cell r="M1463" t="str">
            <v/>
          </cell>
          <cell r="N1463">
            <v>0</v>
          </cell>
        </row>
        <row r="1464">
          <cell r="A1464">
            <v>16363</v>
          </cell>
          <cell r="B1464" t="str">
            <v>14/05/2019</v>
          </cell>
          <cell r="C1464" t="str">
            <v>C1490</v>
          </cell>
          <cell r="D1464" t="str">
            <v/>
          </cell>
          <cell r="E1464" t="str">
            <v>Primary Water Treatments</v>
          </cell>
          <cell r="F1464" t="str">
            <v>Subcontractor</v>
          </cell>
          <cell r="G1464" t="str">
            <v>14/05/2019</v>
          </cell>
          <cell r="H1464" t="str">
            <v/>
          </cell>
          <cell r="I1464" t="str">
            <v/>
          </cell>
          <cell r="J1464">
            <v>1680</v>
          </cell>
          <cell r="K1464">
            <v>336</v>
          </cell>
          <cell r="L1464">
            <v>1680</v>
          </cell>
          <cell r="M1464" t="str">
            <v/>
          </cell>
          <cell r="N1464">
            <v>0</v>
          </cell>
        </row>
        <row r="1465">
          <cell r="A1465">
            <v>16362</v>
          </cell>
          <cell r="B1465" t="str">
            <v>14/05/2019</v>
          </cell>
          <cell r="C1465" t="str">
            <v>C1490</v>
          </cell>
          <cell r="D1465" t="str">
            <v/>
          </cell>
          <cell r="E1465" t="str">
            <v>Defabs Engineering Ltd</v>
          </cell>
          <cell r="F1465" t="str">
            <v>Subcontractor</v>
          </cell>
          <cell r="G1465" t="str">
            <v>14/05/2019</v>
          </cell>
          <cell r="H1465" t="str">
            <v>Part</v>
          </cell>
          <cell r="I1465" t="str">
            <v/>
          </cell>
          <cell r="J1465">
            <v>915</v>
          </cell>
          <cell r="K1465">
            <v>183</v>
          </cell>
          <cell r="L1465">
            <v>915</v>
          </cell>
          <cell r="M1465" t="str">
            <v/>
          </cell>
          <cell r="N1465">
            <v>0</v>
          </cell>
        </row>
        <row r="1466">
          <cell r="A1466">
            <v>16369</v>
          </cell>
          <cell r="B1466" t="str">
            <v>13/05/2019</v>
          </cell>
          <cell r="C1466" t="str">
            <v>C1616</v>
          </cell>
          <cell r="D1466" t="str">
            <v>Supply all necessary Ductwrork &amp; Labour as per your Tender f</v>
          </cell>
          <cell r="E1466" t="str">
            <v>Firth Sheet Metal Limited</v>
          </cell>
          <cell r="F1466" t="str">
            <v>Subcontractor</v>
          </cell>
          <cell r="G1466" t="str">
            <v/>
          </cell>
          <cell r="H1466" t="str">
            <v/>
          </cell>
          <cell r="I1466" t="str">
            <v>Posted</v>
          </cell>
          <cell r="J1466">
            <v>54150.5</v>
          </cell>
          <cell r="K1466">
            <v>10830.1</v>
          </cell>
          <cell r="L1466">
            <v>54151</v>
          </cell>
          <cell r="M1466" t="str">
            <v/>
          </cell>
          <cell r="N1466">
            <v>-0.5</v>
          </cell>
        </row>
        <row r="1467">
          <cell r="A1467">
            <v>16365</v>
          </cell>
          <cell r="B1467" t="str">
            <v>13/05/2019</v>
          </cell>
          <cell r="C1467" t="str">
            <v>A2000</v>
          </cell>
          <cell r="D1467" t="str">
            <v>Scope of Works:</v>
          </cell>
          <cell r="E1467" t="str">
            <v>Armquest Industrial Services Ltd</v>
          </cell>
          <cell r="F1467" t="str">
            <v>Subcontractor</v>
          </cell>
          <cell r="G1467" t="str">
            <v/>
          </cell>
          <cell r="H1467" t="str">
            <v/>
          </cell>
          <cell r="I1467" t="str">
            <v/>
          </cell>
          <cell r="J1467">
            <v>2500</v>
          </cell>
          <cell r="K1467">
            <v>500</v>
          </cell>
          <cell r="L1467">
            <v>2500</v>
          </cell>
          <cell r="M1467" t="str">
            <v/>
          </cell>
          <cell r="N1467">
            <v>0</v>
          </cell>
        </row>
        <row r="1468">
          <cell r="A1468">
            <v>16355</v>
          </cell>
          <cell r="B1468" t="str">
            <v>13/05/2019</v>
          </cell>
          <cell r="C1468" t="str">
            <v>C1623</v>
          </cell>
          <cell r="D1468" t="str">
            <v>DWS Insulation as per quote ref: 3016</v>
          </cell>
          <cell r="E1468" t="str">
            <v>Thermal Insulation Covers Ltd</v>
          </cell>
          <cell r="F1468" t="str">
            <v>Subcontractor</v>
          </cell>
          <cell r="G1468" t="str">
            <v>20/05/2019</v>
          </cell>
          <cell r="H1468" t="str">
            <v/>
          </cell>
          <cell r="I1468" t="str">
            <v/>
          </cell>
          <cell r="J1468">
            <v>892.07</v>
          </cell>
          <cell r="K1468">
            <v>178.41</v>
          </cell>
          <cell r="L1468">
            <v>892.07</v>
          </cell>
          <cell r="M1468" t="str">
            <v/>
          </cell>
          <cell r="N1468">
            <v>0</v>
          </cell>
        </row>
        <row r="1469">
          <cell r="A1469">
            <v>16351</v>
          </cell>
          <cell r="B1469" t="str">
            <v>10/05/2019</v>
          </cell>
          <cell r="C1469" t="str">
            <v>C1568</v>
          </cell>
          <cell r="D1469" t="str">
            <v>Scope of Works:</v>
          </cell>
          <cell r="E1469" t="str">
            <v>New Era Commissioning Specialists Ltd</v>
          </cell>
          <cell r="F1469" t="str">
            <v>Subcontractor</v>
          </cell>
          <cell r="G1469" t="str">
            <v/>
          </cell>
          <cell r="H1469" t="str">
            <v/>
          </cell>
          <cell r="I1469" t="str">
            <v/>
          </cell>
          <cell r="J1469">
            <v>10900</v>
          </cell>
          <cell r="K1469">
            <v>2180</v>
          </cell>
          <cell r="L1469">
            <v>10900</v>
          </cell>
          <cell r="M1469" t="str">
            <v/>
          </cell>
          <cell r="N1469">
            <v>0</v>
          </cell>
        </row>
        <row r="1470">
          <cell r="A1470">
            <v>16348</v>
          </cell>
          <cell r="B1470" t="str">
            <v>10/05/2019</v>
          </cell>
          <cell r="C1470" t="str">
            <v>C1596</v>
          </cell>
          <cell r="D1470" t="str">
            <v>BCH lagging works</v>
          </cell>
          <cell r="E1470" t="str">
            <v>KSL Services</v>
          </cell>
          <cell r="F1470" t="str">
            <v>Subcontractor</v>
          </cell>
          <cell r="G1470" t="str">
            <v/>
          </cell>
          <cell r="H1470" t="str">
            <v>Part</v>
          </cell>
          <cell r="I1470" t="str">
            <v/>
          </cell>
          <cell r="J1470">
            <v>9515.0400000000009</v>
          </cell>
          <cell r="K1470">
            <v>1903.01</v>
          </cell>
          <cell r="L1470">
            <v>9515.0400000000009</v>
          </cell>
          <cell r="M1470" t="str">
            <v/>
          </cell>
          <cell r="N1470">
            <v>0</v>
          </cell>
        </row>
        <row r="1471">
          <cell r="A1471">
            <v>16343</v>
          </cell>
          <cell r="B1471" t="str">
            <v>10/05/2019</v>
          </cell>
          <cell r="C1471" t="str">
            <v>C1625</v>
          </cell>
          <cell r="D1471" t="str">
            <v>Tray Wash Civils Works</v>
          </cell>
          <cell r="E1471" t="str">
            <v>NP Services (Leicester) Ltd</v>
          </cell>
          <cell r="F1471" t="str">
            <v>Subcontractor</v>
          </cell>
          <cell r="G1471" t="str">
            <v>24/05/2019</v>
          </cell>
          <cell r="H1471" t="str">
            <v/>
          </cell>
          <cell r="I1471" t="str">
            <v/>
          </cell>
          <cell r="J1471">
            <v>109586.5</v>
          </cell>
          <cell r="K1471">
            <v>21917.3</v>
          </cell>
          <cell r="L1471">
            <v>109586.5</v>
          </cell>
          <cell r="M1471" t="str">
            <v/>
          </cell>
          <cell r="N1471">
            <v>0</v>
          </cell>
        </row>
        <row r="1472">
          <cell r="A1472">
            <v>16339</v>
          </cell>
          <cell r="B1472" t="str">
            <v>09/05/2019</v>
          </cell>
          <cell r="C1472" t="str">
            <v>CALLOUT</v>
          </cell>
          <cell r="D1472" t="str">
            <v>Relocate power from 5th to 4th floor as per quotation</v>
          </cell>
          <cell r="E1472" t="str">
            <v>Key Integrated Services North West Ltd</v>
          </cell>
          <cell r="F1472" t="str">
            <v>Subcontractor</v>
          </cell>
          <cell r="G1472" t="str">
            <v/>
          </cell>
          <cell r="H1472" t="str">
            <v>Part</v>
          </cell>
          <cell r="I1472" t="str">
            <v/>
          </cell>
          <cell r="J1472">
            <v>662.96</v>
          </cell>
          <cell r="K1472">
            <v>132.59</v>
          </cell>
          <cell r="L1472">
            <v>0</v>
          </cell>
          <cell r="M1472" t="str">
            <v/>
          </cell>
          <cell r="N1472">
            <v>662.96</v>
          </cell>
        </row>
        <row r="1473">
          <cell r="A1473">
            <v>16338</v>
          </cell>
          <cell r="B1473" t="str">
            <v>09/05/2019</v>
          </cell>
          <cell r="C1473" t="str">
            <v>CALLOUT</v>
          </cell>
          <cell r="D1473" t="str">
            <v>Attend site to relocate power from 5th to 4th Floor</v>
          </cell>
          <cell r="E1473" t="str">
            <v>Key Integrated Services North West Ltd</v>
          </cell>
          <cell r="F1473" t="str">
            <v>Subcontractor</v>
          </cell>
          <cell r="G1473" t="str">
            <v/>
          </cell>
          <cell r="H1473" t="str">
            <v>Part</v>
          </cell>
          <cell r="I1473" t="str">
            <v/>
          </cell>
          <cell r="J1473">
            <v>121.7</v>
          </cell>
          <cell r="K1473">
            <v>24.34</v>
          </cell>
          <cell r="L1473">
            <v>0</v>
          </cell>
          <cell r="M1473" t="str">
            <v/>
          </cell>
          <cell r="N1473">
            <v>121.7</v>
          </cell>
        </row>
        <row r="1474">
          <cell r="A1474">
            <v>16336</v>
          </cell>
          <cell r="B1474" t="str">
            <v>09/05/2019</v>
          </cell>
          <cell r="C1474" t="str">
            <v>SERVICE</v>
          </cell>
          <cell r="D1474" t="str">
            <v>Annual service of sliding doors in reception due May 2019</v>
          </cell>
          <cell r="E1474" t="str">
            <v>Amber Doors &amp; Loading Bay Services Limited</v>
          </cell>
          <cell r="F1474" t="str">
            <v>Subcontractor</v>
          </cell>
          <cell r="G1474" t="str">
            <v/>
          </cell>
          <cell r="H1474" t="str">
            <v>Complete</v>
          </cell>
          <cell r="I1474" t="str">
            <v/>
          </cell>
          <cell r="J1474">
            <v>0</v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</row>
        <row r="1475">
          <cell r="A1475">
            <v>16333</v>
          </cell>
          <cell r="B1475" t="str">
            <v>09/05/2019</v>
          </cell>
          <cell r="C1475" t="str">
            <v>C1604</v>
          </cell>
          <cell r="D1475" t="str">
            <v>Additional data containment</v>
          </cell>
          <cell r="E1475" t="str">
            <v>Key Integrated Services (Electrical) Ltd</v>
          </cell>
          <cell r="F1475" t="str">
            <v>Subcontractor</v>
          </cell>
          <cell r="G1475" t="str">
            <v/>
          </cell>
          <cell r="H1475" t="str">
            <v/>
          </cell>
          <cell r="I1475" t="str">
            <v/>
          </cell>
          <cell r="J1475">
            <v>2832</v>
          </cell>
          <cell r="K1475">
            <v>566.4</v>
          </cell>
          <cell r="L1475">
            <v>2832</v>
          </cell>
          <cell r="M1475" t="str">
            <v/>
          </cell>
          <cell r="N1475">
            <v>0</v>
          </cell>
        </row>
        <row r="1476">
          <cell r="A1476">
            <v>16332</v>
          </cell>
          <cell r="B1476" t="str">
            <v>09/05/2019</v>
          </cell>
          <cell r="C1476" t="str">
            <v>C1604</v>
          </cell>
          <cell r="D1476" t="str">
            <v>Labour for snagging</v>
          </cell>
          <cell r="E1476" t="str">
            <v>Key Integrated Services (Electrical) Ltd</v>
          </cell>
          <cell r="F1476" t="str">
            <v>Subcontractor</v>
          </cell>
          <cell r="G1476" t="str">
            <v/>
          </cell>
          <cell r="H1476" t="str">
            <v/>
          </cell>
          <cell r="I1476" t="str">
            <v/>
          </cell>
          <cell r="J1476">
            <v>2387</v>
          </cell>
          <cell r="K1476">
            <v>477.4</v>
          </cell>
          <cell r="L1476">
            <v>2387</v>
          </cell>
          <cell r="M1476" t="str">
            <v/>
          </cell>
          <cell r="N1476">
            <v>0</v>
          </cell>
        </row>
        <row r="1477">
          <cell r="A1477">
            <v>16331</v>
          </cell>
          <cell r="B1477" t="str">
            <v>09/05/2019</v>
          </cell>
          <cell r="C1477" t="str">
            <v>C1532</v>
          </cell>
          <cell r="D1477" t="str">
            <v>DWS Chlorination as per quote ref: 19115</v>
          </cell>
          <cell r="E1477" t="str">
            <v>MSB Hygiene Ltd</v>
          </cell>
          <cell r="F1477" t="str">
            <v>Subcontractor</v>
          </cell>
          <cell r="G1477" t="str">
            <v>10/06/2019</v>
          </cell>
          <cell r="H1477" t="str">
            <v/>
          </cell>
          <cell r="I1477" t="str">
            <v/>
          </cell>
          <cell r="J1477">
            <v>550</v>
          </cell>
          <cell r="K1477">
            <v>110</v>
          </cell>
          <cell r="L1477">
            <v>550</v>
          </cell>
          <cell r="M1477" t="str">
            <v/>
          </cell>
          <cell r="N1477">
            <v>0</v>
          </cell>
        </row>
        <row r="1478">
          <cell r="A1478">
            <v>16325</v>
          </cell>
          <cell r="B1478" t="str">
            <v>08/05/2019</v>
          </cell>
          <cell r="C1478" t="str">
            <v>CALLOUT</v>
          </cell>
          <cell r="D1478" t="str">
            <v>remedial works following eml test</v>
          </cell>
          <cell r="E1478" t="str">
            <v>Key Integrated Services North West Ltd</v>
          </cell>
          <cell r="F1478" t="str">
            <v>Subcontractor</v>
          </cell>
          <cell r="G1478" t="str">
            <v/>
          </cell>
          <cell r="H1478" t="str">
            <v/>
          </cell>
          <cell r="I1478" t="str">
            <v/>
          </cell>
          <cell r="J1478">
            <v>346.94</v>
          </cell>
          <cell r="K1478">
            <v>69.39</v>
          </cell>
          <cell r="L1478">
            <v>346.94</v>
          </cell>
          <cell r="M1478" t="str">
            <v/>
          </cell>
          <cell r="N1478">
            <v>0</v>
          </cell>
        </row>
        <row r="1479">
          <cell r="A1479">
            <v>16318</v>
          </cell>
          <cell r="B1479" t="str">
            <v>08/05/2019</v>
          </cell>
          <cell r="C1479" t="str">
            <v>CALLOUT</v>
          </cell>
          <cell r="D1479" t="str">
            <v>-	One of the men's toilets in the reception area will not fl</v>
          </cell>
          <cell r="E1479" t="str">
            <v>Viabl Ltd T/A Able</v>
          </cell>
          <cell r="F1479" t="str">
            <v>Subcontractor</v>
          </cell>
          <cell r="G1479" t="str">
            <v/>
          </cell>
          <cell r="H1479" t="str">
            <v>Part</v>
          </cell>
          <cell r="I1479" t="str">
            <v/>
          </cell>
          <cell r="J1479">
            <v>65</v>
          </cell>
          <cell r="K1479">
            <v>13</v>
          </cell>
          <cell r="L1479">
            <v>65</v>
          </cell>
          <cell r="M1479" t="str">
            <v/>
          </cell>
          <cell r="N1479">
            <v>0</v>
          </cell>
        </row>
        <row r="1480">
          <cell r="A1480">
            <v>16317</v>
          </cell>
          <cell r="B1480" t="str">
            <v>08/05/2019</v>
          </cell>
          <cell r="C1480" t="str">
            <v>C1532</v>
          </cell>
          <cell r="D1480" t="str">
            <v>HVAC air/water balancing as per email on 7/5/19</v>
          </cell>
          <cell r="E1480" t="str">
            <v>New Era Commissioning Specialists Ltd</v>
          </cell>
          <cell r="F1480" t="str">
            <v>Subcontractor</v>
          </cell>
          <cell r="G1480" t="str">
            <v>03/06/2019</v>
          </cell>
          <cell r="H1480" t="str">
            <v/>
          </cell>
          <cell r="I1480" t="str">
            <v/>
          </cell>
          <cell r="J1480">
            <v>1980</v>
          </cell>
          <cell r="K1480">
            <v>396</v>
          </cell>
          <cell r="L1480">
            <v>1980</v>
          </cell>
          <cell r="M1480" t="str">
            <v/>
          </cell>
          <cell r="N1480">
            <v>0</v>
          </cell>
        </row>
        <row r="1481">
          <cell r="A1481">
            <v>16316</v>
          </cell>
          <cell r="B1481" t="str">
            <v>08/05/2019</v>
          </cell>
          <cell r="C1481" t="str">
            <v>C1593</v>
          </cell>
          <cell r="D1481" t="str">
            <v>Chlorination at LWS</v>
          </cell>
          <cell r="E1481" t="str">
            <v>MSB Hygiene Ltd</v>
          </cell>
          <cell r="F1481" t="str">
            <v>Subcontractor</v>
          </cell>
          <cell r="G1481" t="str">
            <v>08/05/2019</v>
          </cell>
          <cell r="H1481" t="str">
            <v/>
          </cell>
          <cell r="I1481" t="str">
            <v/>
          </cell>
          <cell r="J1481">
            <v>475</v>
          </cell>
          <cell r="K1481">
            <v>95</v>
          </cell>
          <cell r="L1481">
            <v>475</v>
          </cell>
          <cell r="M1481" t="str">
            <v/>
          </cell>
          <cell r="N1481">
            <v>0</v>
          </cell>
        </row>
        <row r="1482">
          <cell r="A1482">
            <v>16315</v>
          </cell>
          <cell r="B1482" t="str">
            <v>08/05/2019</v>
          </cell>
          <cell r="C1482" t="str">
            <v>CALLOUT</v>
          </cell>
          <cell r="D1482" t="str">
            <v>replace ballasts as per quote</v>
          </cell>
          <cell r="E1482" t="str">
            <v>Key Integrated Services North West Ltd</v>
          </cell>
          <cell r="F1482" t="str">
            <v>Subcontractor</v>
          </cell>
          <cell r="G1482" t="str">
            <v/>
          </cell>
          <cell r="H1482" t="str">
            <v/>
          </cell>
          <cell r="I1482" t="str">
            <v/>
          </cell>
          <cell r="J1482">
            <v>188.4</v>
          </cell>
          <cell r="K1482">
            <v>37.68</v>
          </cell>
          <cell r="L1482">
            <v>188.4</v>
          </cell>
          <cell r="M1482" t="str">
            <v/>
          </cell>
          <cell r="N1482">
            <v>0</v>
          </cell>
        </row>
        <row r="1483">
          <cell r="A1483">
            <v>16309</v>
          </cell>
          <cell r="B1483" t="str">
            <v>07/05/2019</v>
          </cell>
          <cell r="C1483" t="str">
            <v>C1603</v>
          </cell>
          <cell r="D1483" t="str">
            <v>Controls installa and commissioning</v>
          </cell>
          <cell r="E1483" t="str">
            <v>Impact Control Systems Ltd</v>
          </cell>
          <cell r="F1483" t="str">
            <v>Subcontractor</v>
          </cell>
          <cell r="G1483" t="str">
            <v>20/05/2019</v>
          </cell>
          <cell r="H1483" t="str">
            <v/>
          </cell>
          <cell r="I1483" t="str">
            <v/>
          </cell>
          <cell r="J1483">
            <v>11408.56</v>
          </cell>
          <cell r="K1483">
            <v>2281.71</v>
          </cell>
          <cell r="L1483">
            <v>11408.56</v>
          </cell>
          <cell r="M1483" t="str">
            <v/>
          </cell>
          <cell r="N1483">
            <v>0</v>
          </cell>
        </row>
        <row r="1484">
          <cell r="A1484">
            <v>16302</v>
          </cell>
          <cell r="B1484" t="str">
            <v>07/05/2019</v>
          </cell>
          <cell r="C1484" t="str">
            <v>C1607</v>
          </cell>
          <cell r="D1484" t="str">
            <v>Thermal Insulation to Pipework &amp; Ductwork Services</v>
          </cell>
          <cell r="E1484" t="str">
            <v>Thermal Insulation Covers Ltd</v>
          </cell>
          <cell r="F1484" t="str">
            <v>Subcontractor</v>
          </cell>
          <cell r="G1484" t="str">
            <v>10/06/2019</v>
          </cell>
          <cell r="H1484" t="str">
            <v/>
          </cell>
          <cell r="I1484" t="str">
            <v/>
          </cell>
          <cell r="J1484">
            <v>6048.93</v>
          </cell>
          <cell r="K1484">
            <v>1209.79</v>
          </cell>
          <cell r="L1484">
            <v>6048.93</v>
          </cell>
          <cell r="M1484" t="str">
            <v/>
          </cell>
          <cell r="N1484">
            <v>0</v>
          </cell>
        </row>
        <row r="1485">
          <cell r="A1485">
            <v>16301</v>
          </cell>
          <cell r="B1485" t="str">
            <v>07/05/2019</v>
          </cell>
          <cell r="C1485" t="str">
            <v>C1607</v>
          </cell>
          <cell r="D1485" t="str">
            <v>A/C Installation at the IBA Facility Ferrybridge</v>
          </cell>
          <cell r="E1485" t="str">
            <v>Aerocool Ltd</v>
          </cell>
          <cell r="F1485" t="str">
            <v>Subcontractor</v>
          </cell>
          <cell r="G1485" t="str">
            <v/>
          </cell>
          <cell r="H1485" t="str">
            <v/>
          </cell>
          <cell r="I1485" t="str">
            <v/>
          </cell>
          <cell r="J1485">
            <v>36477</v>
          </cell>
          <cell r="K1485">
            <v>7295.4</v>
          </cell>
          <cell r="L1485">
            <v>36477</v>
          </cell>
          <cell r="M1485" t="str">
            <v/>
          </cell>
          <cell r="N1485">
            <v>0</v>
          </cell>
        </row>
        <row r="1486">
          <cell r="A1486">
            <v>16298</v>
          </cell>
          <cell r="B1486" t="str">
            <v>07/05/2019</v>
          </cell>
          <cell r="C1486" t="str">
            <v>CALLOUT</v>
          </cell>
          <cell r="D1486" t="str">
            <v>Investigate issue with Disabled Toilet</v>
          </cell>
          <cell r="E1486" t="str">
            <v>Viabl Ltd T/A Able</v>
          </cell>
          <cell r="F1486" t="str">
            <v>Subcontractor</v>
          </cell>
          <cell r="G1486" t="str">
            <v/>
          </cell>
          <cell r="H1486" t="str">
            <v/>
          </cell>
          <cell r="I1486" t="str">
            <v/>
          </cell>
          <cell r="J1486">
            <v>125</v>
          </cell>
          <cell r="K1486">
            <v>25</v>
          </cell>
          <cell r="L1486">
            <v>125</v>
          </cell>
          <cell r="M1486" t="str">
            <v/>
          </cell>
          <cell r="N1486">
            <v>0</v>
          </cell>
        </row>
        <row r="1487">
          <cell r="A1487">
            <v>16289</v>
          </cell>
          <cell r="B1487" t="str">
            <v>03/05/2019</v>
          </cell>
          <cell r="C1487" t="str">
            <v>C1608</v>
          </cell>
          <cell r="D1487" t="str">
            <v>Order for the supply and install of insulation at the above</v>
          </cell>
          <cell r="E1487" t="str">
            <v>Southern Insulation Solutions Ltd</v>
          </cell>
          <cell r="F1487" t="str">
            <v>Subcontractor</v>
          </cell>
          <cell r="G1487" t="str">
            <v>07/05/2019</v>
          </cell>
          <cell r="H1487" t="str">
            <v>Part</v>
          </cell>
          <cell r="I1487" t="str">
            <v/>
          </cell>
          <cell r="J1487">
            <v>16128.47</v>
          </cell>
          <cell r="K1487">
            <v>3225.69</v>
          </cell>
          <cell r="L1487">
            <v>16128.47</v>
          </cell>
          <cell r="M1487" t="str">
            <v/>
          </cell>
          <cell r="N1487">
            <v>0</v>
          </cell>
        </row>
        <row r="1488">
          <cell r="A1488">
            <v>16279</v>
          </cell>
          <cell r="B1488" t="str">
            <v>03/05/2019</v>
          </cell>
          <cell r="C1488" t="str">
            <v>SERVICE</v>
          </cell>
          <cell r="D1488" t="str">
            <v>Attend site to carry out PAT Testing as per quotation</v>
          </cell>
          <cell r="E1488" t="str">
            <v>Lantei Ltd</v>
          </cell>
          <cell r="F1488" t="str">
            <v>Subcontractor</v>
          </cell>
          <cell r="G1488" t="str">
            <v/>
          </cell>
          <cell r="H1488" t="str">
            <v/>
          </cell>
          <cell r="I1488" t="str">
            <v/>
          </cell>
          <cell r="J1488">
            <v>75</v>
          </cell>
          <cell r="K1488">
            <v>15</v>
          </cell>
          <cell r="L1488">
            <v>75</v>
          </cell>
          <cell r="M1488" t="str">
            <v/>
          </cell>
          <cell r="N1488">
            <v>0</v>
          </cell>
        </row>
        <row r="1489">
          <cell r="A1489">
            <v>16278</v>
          </cell>
          <cell r="B1489" t="str">
            <v>03/05/2019</v>
          </cell>
          <cell r="C1489" t="str">
            <v>C1607</v>
          </cell>
          <cell r="D1489" t="str">
            <v>Commissioning &amp; Water Treatment of Services</v>
          </cell>
          <cell r="E1489" t="str">
            <v>New Era Commissioning Specialists Ltd</v>
          </cell>
          <cell r="F1489" t="str">
            <v>Subcontractor</v>
          </cell>
          <cell r="G1489" t="str">
            <v>24/06/2019</v>
          </cell>
          <cell r="H1489" t="str">
            <v/>
          </cell>
          <cell r="I1489" t="str">
            <v/>
          </cell>
          <cell r="J1489">
            <v>2850</v>
          </cell>
          <cell r="K1489">
            <v>570</v>
          </cell>
          <cell r="L1489">
            <v>2850</v>
          </cell>
          <cell r="M1489" t="str">
            <v/>
          </cell>
          <cell r="N1489">
            <v>0</v>
          </cell>
        </row>
        <row r="1490">
          <cell r="A1490">
            <v>16257</v>
          </cell>
          <cell r="B1490" t="str">
            <v>02/05/2019</v>
          </cell>
          <cell r="C1490" t="str">
            <v>C1621</v>
          </cell>
          <cell r="D1490" t="str">
            <v>Installation of ductwork</v>
          </cell>
          <cell r="E1490" t="str">
            <v>Coolduct Ltd</v>
          </cell>
          <cell r="F1490" t="str">
            <v>Subcontractor</v>
          </cell>
          <cell r="G1490" t="str">
            <v>15/04/2019</v>
          </cell>
          <cell r="H1490" t="str">
            <v/>
          </cell>
          <cell r="I1490" t="str">
            <v/>
          </cell>
          <cell r="J1490">
            <v>28950</v>
          </cell>
          <cell r="K1490">
            <v>5790</v>
          </cell>
          <cell r="L1490">
            <v>28950</v>
          </cell>
          <cell r="M1490" t="str">
            <v/>
          </cell>
          <cell r="N1490">
            <v>0</v>
          </cell>
        </row>
        <row r="1491">
          <cell r="A1491">
            <v>16243</v>
          </cell>
          <cell r="B1491" t="str">
            <v>01/05/2019</v>
          </cell>
          <cell r="C1491" t="str">
            <v>C1603</v>
          </cell>
          <cell r="D1491" t="str">
            <v>Lift &amp; shift works, Quote Ref: 7634</v>
          </cell>
          <cell r="E1491" t="str">
            <v>Jack Waghorn International Ltd</v>
          </cell>
          <cell r="F1491" t="str">
            <v>Subcontractor</v>
          </cell>
          <cell r="G1491" t="str">
            <v/>
          </cell>
          <cell r="H1491" t="str">
            <v/>
          </cell>
          <cell r="I1491" t="str">
            <v/>
          </cell>
          <cell r="J1491">
            <v>2830</v>
          </cell>
          <cell r="K1491">
            <v>566</v>
          </cell>
          <cell r="L1491">
            <v>2830</v>
          </cell>
          <cell r="M1491" t="str">
            <v/>
          </cell>
          <cell r="N1491">
            <v>0</v>
          </cell>
        </row>
        <row r="1492">
          <cell r="A1492">
            <v>16242</v>
          </cell>
          <cell r="B1492" t="str">
            <v>01/05/2019</v>
          </cell>
          <cell r="C1492" t="str">
            <v>SERVICE</v>
          </cell>
          <cell r="D1492" t="str">
            <v>Carried out AC Maintenance</v>
          </cell>
          <cell r="E1492" t="str">
            <v>Pole to Pole Climate Control Ltd</v>
          </cell>
          <cell r="F1492" t="str">
            <v>Subcontractor</v>
          </cell>
          <cell r="G1492" t="str">
            <v/>
          </cell>
          <cell r="H1492" t="str">
            <v/>
          </cell>
          <cell r="I1492" t="str">
            <v/>
          </cell>
          <cell r="J1492">
            <v>90</v>
          </cell>
          <cell r="K1492">
            <v>18</v>
          </cell>
          <cell r="L1492">
            <v>90</v>
          </cell>
          <cell r="M1492" t="str">
            <v/>
          </cell>
          <cell r="N1492">
            <v>0</v>
          </cell>
        </row>
        <row r="1493">
          <cell r="A1493">
            <v>16240</v>
          </cell>
          <cell r="B1493" t="str">
            <v>01/05/2019</v>
          </cell>
          <cell r="C1493" t="str">
            <v>C1608</v>
          </cell>
          <cell r="D1493" t="str">
            <v>Subcontract Order- Information TBC</v>
          </cell>
          <cell r="E1493" t="str">
            <v>Defabs Engineering Ltd</v>
          </cell>
          <cell r="F1493" t="str">
            <v>Subcontractor</v>
          </cell>
          <cell r="G1493" t="str">
            <v/>
          </cell>
          <cell r="H1493" t="str">
            <v>Part</v>
          </cell>
          <cell r="I1493" t="str">
            <v/>
          </cell>
          <cell r="J1493">
            <v>96907.88</v>
          </cell>
          <cell r="K1493">
            <v>19381.580000000002</v>
          </cell>
          <cell r="L1493">
            <v>96907.88</v>
          </cell>
          <cell r="M1493" t="str">
            <v/>
          </cell>
          <cell r="N1493">
            <v>0</v>
          </cell>
        </row>
        <row r="1494">
          <cell r="A1494">
            <v>16237</v>
          </cell>
          <cell r="B1494" t="str">
            <v>30/04/2019</v>
          </cell>
          <cell r="C1494" t="str">
            <v>CALLOUT</v>
          </cell>
          <cell r="D1494" t="str">
            <v>Investigate Water leak in Staff Kitchen</v>
          </cell>
          <cell r="E1494" t="str">
            <v>Viabl Ltd T/A Able</v>
          </cell>
          <cell r="F1494" t="str">
            <v>Subcontractor</v>
          </cell>
          <cell r="G1494" t="str">
            <v/>
          </cell>
          <cell r="H1494" t="str">
            <v/>
          </cell>
          <cell r="I1494" t="str">
            <v/>
          </cell>
          <cell r="J1494">
            <v>145</v>
          </cell>
          <cell r="K1494">
            <v>29</v>
          </cell>
          <cell r="L1494">
            <v>145</v>
          </cell>
          <cell r="M1494" t="str">
            <v/>
          </cell>
          <cell r="N1494">
            <v>0</v>
          </cell>
        </row>
        <row r="1495">
          <cell r="A1495">
            <v>16235</v>
          </cell>
          <cell r="B1495" t="str">
            <v>30/04/2019</v>
          </cell>
          <cell r="C1495" t="str">
            <v>CALLOUT</v>
          </cell>
          <cell r="D1495" t="str">
            <v>Attend site to unblock Disabled Toilet</v>
          </cell>
          <cell r="E1495" t="str">
            <v>Viabl Ltd T/A Able</v>
          </cell>
          <cell r="F1495" t="str">
            <v>Subcontractor</v>
          </cell>
          <cell r="G1495" t="str">
            <v/>
          </cell>
          <cell r="H1495" t="str">
            <v/>
          </cell>
          <cell r="I1495" t="str">
            <v/>
          </cell>
          <cell r="J1495">
            <v>130</v>
          </cell>
          <cell r="K1495">
            <v>26</v>
          </cell>
          <cell r="L1495">
            <v>130</v>
          </cell>
          <cell r="M1495" t="str">
            <v/>
          </cell>
          <cell r="N1495">
            <v>0</v>
          </cell>
        </row>
        <row r="1496">
          <cell r="A1496">
            <v>16221</v>
          </cell>
          <cell r="B1496" t="str">
            <v>29/04/2019</v>
          </cell>
          <cell r="C1496" t="str">
            <v>C1604</v>
          </cell>
          <cell r="D1496" t="str">
            <v>63A temp sockets</v>
          </cell>
          <cell r="E1496" t="str">
            <v>Key Integrated Services (Electrical) Ltd</v>
          </cell>
          <cell r="F1496" t="str">
            <v>Subcontractor</v>
          </cell>
          <cell r="G1496" t="str">
            <v/>
          </cell>
          <cell r="H1496" t="str">
            <v/>
          </cell>
          <cell r="I1496" t="str">
            <v/>
          </cell>
          <cell r="J1496">
            <v>2308</v>
          </cell>
          <cell r="K1496">
            <v>461.6</v>
          </cell>
          <cell r="L1496">
            <v>2308</v>
          </cell>
          <cell r="M1496" t="str">
            <v/>
          </cell>
          <cell r="N1496">
            <v>0</v>
          </cell>
        </row>
        <row r="1497">
          <cell r="A1497">
            <v>16206</v>
          </cell>
          <cell r="B1497" t="str">
            <v>26/04/2019</v>
          </cell>
          <cell r="C1497" t="str">
            <v>C1532</v>
          </cell>
          <cell r="D1497" t="str">
            <v>Mechancial wiring works as per email on 26/4/19.</v>
          </cell>
          <cell r="E1497" t="str">
            <v>Key Integrated Services North West Ltd</v>
          </cell>
          <cell r="F1497" t="str">
            <v>Subcontractor</v>
          </cell>
          <cell r="G1497" t="str">
            <v>01/05/2019</v>
          </cell>
          <cell r="H1497" t="str">
            <v/>
          </cell>
          <cell r="I1497" t="str">
            <v/>
          </cell>
          <cell r="J1497">
            <v>8333.65</v>
          </cell>
          <cell r="K1497">
            <v>1666.73</v>
          </cell>
          <cell r="L1497">
            <v>8333.65</v>
          </cell>
          <cell r="M1497" t="str">
            <v/>
          </cell>
          <cell r="N1497">
            <v>0</v>
          </cell>
        </row>
        <row r="1498">
          <cell r="A1498">
            <v>16204</v>
          </cell>
          <cell r="B1498" t="str">
            <v>26/04/2019</v>
          </cell>
          <cell r="C1498" t="str">
            <v>CALLOUT</v>
          </cell>
          <cell r="D1498" t="str">
            <v>handyman elec works</v>
          </cell>
          <cell r="E1498" t="str">
            <v>Barrie Beard Ltd</v>
          </cell>
          <cell r="F1498" t="str">
            <v>Subcontractor</v>
          </cell>
          <cell r="G1498" t="str">
            <v/>
          </cell>
          <cell r="H1498" t="str">
            <v>Part</v>
          </cell>
          <cell r="I1498" t="str">
            <v/>
          </cell>
          <cell r="J1498">
            <v>195</v>
          </cell>
          <cell r="K1498">
            <v>39</v>
          </cell>
          <cell r="L1498">
            <v>195</v>
          </cell>
          <cell r="M1498" t="str">
            <v/>
          </cell>
          <cell r="N1498">
            <v>0</v>
          </cell>
        </row>
        <row r="1499">
          <cell r="A1499">
            <v>16203</v>
          </cell>
          <cell r="B1499" t="str">
            <v>26/04/2019</v>
          </cell>
          <cell r="C1499" t="str">
            <v>C0000</v>
          </cell>
          <cell r="D1499" t="str">
            <v>Ref: Q1570</v>
          </cell>
          <cell r="E1499" t="str">
            <v>HCIP Ltd</v>
          </cell>
          <cell r="F1499" t="str">
            <v>Subcontractor</v>
          </cell>
          <cell r="G1499" t="str">
            <v/>
          </cell>
          <cell r="H1499" t="str">
            <v/>
          </cell>
          <cell r="I1499" t="str">
            <v/>
          </cell>
          <cell r="J1499">
            <v>2986</v>
          </cell>
          <cell r="K1499">
            <v>597.20000000000005</v>
          </cell>
          <cell r="L1499">
            <v>0</v>
          </cell>
          <cell r="M1499" t="str">
            <v/>
          </cell>
          <cell r="N1499">
            <v>2986</v>
          </cell>
        </row>
        <row r="1500">
          <cell r="A1500">
            <v>16202</v>
          </cell>
          <cell r="B1500" t="str">
            <v>26/04/2019</v>
          </cell>
          <cell r="C1500" t="str">
            <v>C1623</v>
          </cell>
          <cell r="D1500" t="str">
            <v>Electrcal works as per quote</v>
          </cell>
          <cell r="E1500" t="str">
            <v>Key Integrated Services (Electrical) Ltd</v>
          </cell>
          <cell r="F1500" t="str">
            <v>Subcontractor</v>
          </cell>
          <cell r="G1500" t="str">
            <v>07/05/2019</v>
          </cell>
          <cell r="H1500" t="str">
            <v/>
          </cell>
          <cell r="I1500" t="str">
            <v/>
          </cell>
          <cell r="J1500">
            <v>16166.5</v>
          </cell>
          <cell r="K1500">
            <v>3233.3</v>
          </cell>
          <cell r="L1500">
            <v>16166.5</v>
          </cell>
          <cell r="M1500" t="str">
            <v/>
          </cell>
          <cell r="N1500">
            <v>0</v>
          </cell>
        </row>
        <row r="1501">
          <cell r="A1501">
            <v>16192</v>
          </cell>
          <cell r="B1501" t="str">
            <v>24/04/2019</v>
          </cell>
          <cell r="C1501" t="str">
            <v>CALLOUT</v>
          </cell>
          <cell r="D1501" t="str">
            <v>fault on fire alarm as per Kevin</v>
          </cell>
          <cell r="E1501" t="str">
            <v>Abel Alarm Company Limited</v>
          </cell>
          <cell r="F1501" t="str">
            <v>Subcontractor</v>
          </cell>
          <cell r="G1501" t="str">
            <v/>
          </cell>
          <cell r="H1501" t="str">
            <v/>
          </cell>
          <cell r="I1501" t="str">
            <v/>
          </cell>
          <cell r="J1501">
            <v>103</v>
          </cell>
          <cell r="K1501">
            <v>20.6</v>
          </cell>
          <cell r="L1501">
            <v>103</v>
          </cell>
          <cell r="M1501" t="str">
            <v/>
          </cell>
          <cell r="N1501">
            <v>0</v>
          </cell>
        </row>
        <row r="1502">
          <cell r="A1502">
            <v>16191</v>
          </cell>
          <cell r="B1502" t="str">
            <v>24/04/2019</v>
          </cell>
          <cell r="C1502" t="str">
            <v>QUOTED</v>
          </cell>
          <cell r="D1502" t="str">
            <v>Analysis on Samples</v>
          </cell>
          <cell r="E1502" t="str">
            <v>Hydraclean Ltd</v>
          </cell>
          <cell r="F1502" t="str">
            <v>Subcontractor</v>
          </cell>
          <cell r="G1502" t="str">
            <v/>
          </cell>
          <cell r="H1502" t="str">
            <v/>
          </cell>
          <cell r="I1502" t="str">
            <v/>
          </cell>
          <cell r="J1502">
            <v>80</v>
          </cell>
          <cell r="K1502">
            <v>16</v>
          </cell>
          <cell r="L1502">
            <v>80</v>
          </cell>
          <cell r="M1502" t="str">
            <v/>
          </cell>
          <cell r="N1502">
            <v>0</v>
          </cell>
        </row>
        <row r="1503">
          <cell r="A1503">
            <v>16180</v>
          </cell>
          <cell r="B1503" t="str">
            <v>24/04/2019</v>
          </cell>
          <cell r="C1503" t="str">
            <v>CALLOUT</v>
          </cell>
          <cell r="D1503" t="str">
            <v>chisel our concrete and wrap pipework as per quote</v>
          </cell>
          <cell r="E1503" t="str">
            <v>Pole to Pole Climate Control Ltd</v>
          </cell>
          <cell r="F1503" t="str">
            <v>Subcontractor</v>
          </cell>
          <cell r="G1503" t="str">
            <v/>
          </cell>
          <cell r="H1503" t="str">
            <v/>
          </cell>
          <cell r="I1503" t="str">
            <v/>
          </cell>
          <cell r="J1503">
            <v>214</v>
          </cell>
          <cell r="K1503">
            <v>42.8</v>
          </cell>
          <cell r="L1503">
            <v>0</v>
          </cell>
          <cell r="M1503" t="str">
            <v/>
          </cell>
          <cell r="N1503">
            <v>214</v>
          </cell>
        </row>
        <row r="1504">
          <cell r="A1504">
            <v>16175</v>
          </cell>
          <cell r="B1504" t="str">
            <v>23/04/2019</v>
          </cell>
          <cell r="C1504" t="str">
            <v>CALLOUT</v>
          </cell>
          <cell r="D1504" t="str">
            <v>Carry out Pressure Test on AC in Small Front Office</v>
          </cell>
          <cell r="E1504" t="str">
            <v>Commercial Temperature Solutions</v>
          </cell>
          <cell r="F1504" t="str">
            <v>Subcontractor</v>
          </cell>
          <cell r="G1504" t="str">
            <v/>
          </cell>
          <cell r="H1504" t="str">
            <v/>
          </cell>
          <cell r="I1504" t="str">
            <v/>
          </cell>
          <cell r="J1504">
            <v>500</v>
          </cell>
          <cell r="K1504">
            <v>100</v>
          </cell>
          <cell r="L1504">
            <v>500</v>
          </cell>
          <cell r="M1504" t="str">
            <v/>
          </cell>
          <cell r="N1504">
            <v>0</v>
          </cell>
        </row>
        <row r="1505">
          <cell r="A1505">
            <v>16165</v>
          </cell>
          <cell r="B1505" t="str">
            <v>18/04/2019</v>
          </cell>
          <cell r="C1505" t="str">
            <v>CALLOUT</v>
          </cell>
          <cell r="D1505" t="str">
            <v>repair faulty plug inkitchen</v>
          </cell>
          <cell r="E1505" t="str">
            <v>Key Integrated Services North West Ltd</v>
          </cell>
          <cell r="F1505" t="str">
            <v>Subcontractor</v>
          </cell>
          <cell r="G1505" t="str">
            <v/>
          </cell>
          <cell r="H1505" t="str">
            <v>Part</v>
          </cell>
          <cell r="I1505" t="str">
            <v/>
          </cell>
          <cell r="J1505">
            <v>130.63999999999999</v>
          </cell>
          <cell r="K1505">
            <v>26.13</v>
          </cell>
          <cell r="L1505">
            <v>130.63999999999999</v>
          </cell>
          <cell r="M1505" t="str">
            <v/>
          </cell>
          <cell r="N1505">
            <v>0</v>
          </cell>
        </row>
        <row r="1506">
          <cell r="A1506">
            <v>16164</v>
          </cell>
          <cell r="B1506" t="str">
            <v>18/04/2019</v>
          </cell>
          <cell r="C1506" t="str">
            <v>CALLOUT</v>
          </cell>
          <cell r="D1506" t="str">
            <v>remove broken lamp shade and cable</v>
          </cell>
          <cell r="E1506" t="str">
            <v>Key Integrated Services North West Ltd</v>
          </cell>
          <cell r="F1506" t="str">
            <v>Subcontractor</v>
          </cell>
          <cell r="G1506" t="str">
            <v/>
          </cell>
          <cell r="H1506" t="str">
            <v>Part</v>
          </cell>
          <cell r="I1506" t="str">
            <v/>
          </cell>
          <cell r="J1506">
            <v>54.5</v>
          </cell>
          <cell r="K1506">
            <v>10.9</v>
          </cell>
          <cell r="L1506">
            <v>54.5</v>
          </cell>
          <cell r="M1506" t="str">
            <v/>
          </cell>
          <cell r="N1506">
            <v>0</v>
          </cell>
        </row>
        <row r="1507">
          <cell r="A1507">
            <v>16159</v>
          </cell>
          <cell r="B1507" t="str">
            <v>18/04/2019</v>
          </cell>
          <cell r="C1507" t="str">
            <v>CALLOUT</v>
          </cell>
          <cell r="D1507" t="str">
            <v>elec switch needs looking at</v>
          </cell>
          <cell r="E1507" t="str">
            <v>Barrie Beard Ltd</v>
          </cell>
          <cell r="F1507" t="str">
            <v>Subcontractor</v>
          </cell>
          <cell r="G1507" t="str">
            <v/>
          </cell>
          <cell r="H1507" t="str">
            <v>Part</v>
          </cell>
          <cell r="I1507" t="str">
            <v/>
          </cell>
          <cell r="J1507">
            <v>116</v>
          </cell>
          <cell r="K1507">
            <v>23.2</v>
          </cell>
          <cell r="L1507">
            <v>116</v>
          </cell>
          <cell r="M1507" t="str">
            <v/>
          </cell>
          <cell r="N1507">
            <v>0</v>
          </cell>
        </row>
        <row r="1508">
          <cell r="A1508">
            <v>16150</v>
          </cell>
          <cell r="B1508" t="str">
            <v>17/04/2019</v>
          </cell>
          <cell r="C1508" t="str">
            <v>C1618</v>
          </cell>
          <cell r="D1508" t="str">
            <v/>
          </cell>
          <cell r="E1508" t="str">
            <v>Defabs Engineering Ltd</v>
          </cell>
          <cell r="F1508" t="str">
            <v>Subcontractor</v>
          </cell>
          <cell r="G1508" t="str">
            <v>22/02/2019</v>
          </cell>
          <cell r="H1508" t="str">
            <v>Part</v>
          </cell>
          <cell r="I1508" t="str">
            <v/>
          </cell>
          <cell r="J1508">
            <v>15019</v>
          </cell>
          <cell r="K1508">
            <v>3003.8</v>
          </cell>
          <cell r="L1508">
            <v>15019</v>
          </cell>
          <cell r="M1508" t="str">
            <v/>
          </cell>
          <cell r="N1508">
            <v>0</v>
          </cell>
        </row>
        <row r="1509">
          <cell r="A1509">
            <v>16148</v>
          </cell>
          <cell r="B1509" t="str">
            <v>17/04/2019</v>
          </cell>
          <cell r="C1509" t="str">
            <v>C1568</v>
          </cell>
          <cell r="D1509" t="str">
            <v>Hand Excavate for hardcore, Lay 150mm of Hardcore .</v>
          </cell>
          <cell r="E1509" t="str">
            <v>Cleveland Construction Northern Ltd</v>
          </cell>
          <cell r="F1509" t="str">
            <v>Subcontractor</v>
          </cell>
          <cell r="G1509" t="str">
            <v/>
          </cell>
          <cell r="H1509" t="str">
            <v/>
          </cell>
          <cell r="I1509" t="str">
            <v/>
          </cell>
          <cell r="J1509">
            <v>1135</v>
          </cell>
          <cell r="K1509">
            <v>227</v>
          </cell>
          <cell r="L1509">
            <v>1135</v>
          </cell>
          <cell r="M1509" t="str">
            <v/>
          </cell>
          <cell r="N1509">
            <v>0</v>
          </cell>
        </row>
        <row r="1510">
          <cell r="A1510">
            <v>16135</v>
          </cell>
          <cell r="B1510" t="str">
            <v>16/04/2019</v>
          </cell>
          <cell r="C1510" t="str">
            <v>C1532</v>
          </cell>
          <cell r="D1510" t="str">
            <v>Thermal Insulation to Internal DWS &amp; ventilation services as</v>
          </cell>
          <cell r="E1510" t="str">
            <v>Kingston Thermal Ltd</v>
          </cell>
          <cell r="F1510" t="str">
            <v>Subcontractor</v>
          </cell>
          <cell r="G1510" t="str">
            <v>16/04/2019</v>
          </cell>
          <cell r="H1510" t="str">
            <v/>
          </cell>
          <cell r="I1510" t="str">
            <v/>
          </cell>
          <cell r="J1510">
            <v>43683.5</v>
          </cell>
          <cell r="K1510">
            <v>8736.7000000000007</v>
          </cell>
          <cell r="L1510">
            <v>43683.5</v>
          </cell>
          <cell r="M1510" t="str">
            <v/>
          </cell>
          <cell r="N1510">
            <v>0</v>
          </cell>
        </row>
        <row r="1511">
          <cell r="A1511">
            <v>16129</v>
          </cell>
          <cell r="B1511" t="str">
            <v>15/04/2019</v>
          </cell>
          <cell r="C1511" t="str">
            <v>CALLOUT</v>
          </cell>
          <cell r="D1511" t="str">
            <v>13 amp socket</v>
          </cell>
          <cell r="E1511" t="str">
            <v>Derek Austin Heating Limited</v>
          </cell>
          <cell r="F1511" t="str">
            <v>Subcontractor</v>
          </cell>
          <cell r="G1511" t="str">
            <v/>
          </cell>
          <cell r="H1511" t="str">
            <v>Part</v>
          </cell>
          <cell r="I1511" t="str">
            <v/>
          </cell>
          <cell r="J1511">
            <v>151.66999999999999</v>
          </cell>
          <cell r="K1511">
            <v>30.33</v>
          </cell>
          <cell r="L1511">
            <v>151.66999999999999</v>
          </cell>
          <cell r="M1511" t="str">
            <v/>
          </cell>
          <cell r="N1511">
            <v>0</v>
          </cell>
        </row>
        <row r="1512">
          <cell r="A1512">
            <v>16126</v>
          </cell>
          <cell r="B1512" t="str">
            <v>15/04/2019</v>
          </cell>
          <cell r="C1512" t="str">
            <v>CALLOUT</v>
          </cell>
          <cell r="D1512" t="str">
            <v>handyman works</v>
          </cell>
          <cell r="E1512" t="str">
            <v>Derek Austin Heating Limited</v>
          </cell>
          <cell r="F1512" t="str">
            <v>Subcontractor</v>
          </cell>
          <cell r="G1512" t="str">
            <v/>
          </cell>
          <cell r="H1512" t="str">
            <v>Part</v>
          </cell>
          <cell r="I1512" t="str">
            <v/>
          </cell>
          <cell r="J1512">
            <v>251.39</v>
          </cell>
          <cell r="K1512">
            <v>50.28</v>
          </cell>
          <cell r="L1512">
            <v>251.39</v>
          </cell>
          <cell r="M1512" t="str">
            <v/>
          </cell>
          <cell r="N1512">
            <v>0</v>
          </cell>
        </row>
        <row r="1513">
          <cell r="A1513">
            <v>16119</v>
          </cell>
          <cell r="B1513" t="str">
            <v>15/04/2019</v>
          </cell>
          <cell r="C1513" t="str">
            <v>C1518</v>
          </cell>
          <cell r="D1513" t="str">
            <v>2 Men x 1 Day (Saturday)</v>
          </cell>
          <cell r="E1513" t="str">
            <v>Defabs Engineering Ltd</v>
          </cell>
          <cell r="F1513" t="str">
            <v>Subcontractor</v>
          </cell>
          <cell r="G1513" t="str">
            <v/>
          </cell>
          <cell r="H1513" t="str">
            <v/>
          </cell>
          <cell r="I1513" t="str">
            <v/>
          </cell>
          <cell r="J1513">
            <v>890.55</v>
          </cell>
          <cell r="K1513">
            <v>178.11</v>
          </cell>
          <cell r="L1513">
            <v>890.55</v>
          </cell>
          <cell r="M1513" t="str">
            <v/>
          </cell>
          <cell r="N1513">
            <v>0</v>
          </cell>
        </row>
        <row r="1514">
          <cell r="A1514">
            <v>16112</v>
          </cell>
          <cell r="B1514" t="str">
            <v>12/04/2019</v>
          </cell>
          <cell r="C1514" t="str">
            <v>CALLOUT</v>
          </cell>
          <cell r="D1514" t="str">
            <v>DDA pull switch and alarm as per quote ref AW/2350/KIS</v>
          </cell>
          <cell r="E1514" t="str">
            <v>Derek Austin Heating Limited</v>
          </cell>
          <cell r="F1514" t="str">
            <v>Subcontractor</v>
          </cell>
          <cell r="G1514" t="str">
            <v/>
          </cell>
          <cell r="H1514" t="str">
            <v/>
          </cell>
          <cell r="I1514" t="str">
            <v/>
          </cell>
          <cell r="J1514">
            <v>638</v>
          </cell>
          <cell r="K1514">
            <v>127.6</v>
          </cell>
          <cell r="L1514">
            <v>638</v>
          </cell>
          <cell r="M1514" t="str">
            <v/>
          </cell>
          <cell r="N1514">
            <v>0</v>
          </cell>
        </row>
        <row r="1515">
          <cell r="A1515">
            <v>16111</v>
          </cell>
          <cell r="B1515" t="str">
            <v>12/04/2019</v>
          </cell>
          <cell r="C1515" t="str">
            <v>SERVICE</v>
          </cell>
          <cell r="D1515" t="str">
            <v>AC maintenance April 2019</v>
          </cell>
          <cell r="E1515" t="str">
            <v>Commercial Temperature Solutions</v>
          </cell>
          <cell r="F1515" t="str">
            <v>Subcontractor</v>
          </cell>
          <cell r="G1515" t="str">
            <v/>
          </cell>
          <cell r="H1515" t="str">
            <v/>
          </cell>
          <cell r="I1515" t="str">
            <v/>
          </cell>
          <cell r="J1515">
            <v>130</v>
          </cell>
          <cell r="K1515">
            <v>26</v>
          </cell>
          <cell r="L1515">
            <v>130</v>
          </cell>
          <cell r="M1515" t="str">
            <v/>
          </cell>
          <cell r="N1515">
            <v>0</v>
          </cell>
        </row>
        <row r="1516">
          <cell r="A1516">
            <v>16107</v>
          </cell>
          <cell r="B1516" t="str">
            <v>11/04/2019</v>
          </cell>
          <cell r="C1516" t="str">
            <v>C1603</v>
          </cell>
          <cell r="D1516" t="str">
            <v>Controls, wiring and commissioning</v>
          </cell>
          <cell r="E1516" t="str">
            <v>Eco-I Limited</v>
          </cell>
          <cell r="F1516" t="str">
            <v>Subcontractor</v>
          </cell>
          <cell r="G1516" t="str">
            <v>23/04/2019</v>
          </cell>
          <cell r="H1516" t="str">
            <v>Complete</v>
          </cell>
          <cell r="I1516" t="str">
            <v/>
          </cell>
          <cell r="J1516">
            <v>0</v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</row>
        <row r="1517">
          <cell r="A1517">
            <v>16101</v>
          </cell>
          <cell r="B1517" t="str">
            <v>11/04/2019</v>
          </cell>
          <cell r="C1517" t="str">
            <v>CALLOUT</v>
          </cell>
          <cell r="D1517" t="str">
            <v>replace lamps as per quote</v>
          </cell>
          <cell r="E1517" t="str">
            <v>Barrie Beard Ltd</v>
          </cell>
          <cell r="F1517" t="str">
            <v>Subcontractor</v>
          </cell>
          <cell r="G1517" t="str">
            <v/>
          </cell>
          <cell r="H1517" t="str">
            <v/>
          </cell>
          <cell r="I1517" t="str">
            <v/>
          </cell>
          <cell r="J1517">
            <v>314</v>
          </cell>
          <cell r="K1517">
            <v>62.8</v>
          </cell>
          <cell r="L1517">
            <v>314</v>
          </cell>
          <cell r="M1517" t="str">
            <v/>
          </cell>
          <cell r="N1517">
            <v>0</v>
          </cell>
        </row>
        <row r="1518">
          <cell r="A1518">
            <v>16099</v>
          </cell>
          <cell r="B1518" t="str">
            <v>11/04/2019</v>
          </cell>
          <cell r="C1518" t="str">
            <v>SERVICE</v>
          </cell>
          <cell r="D1518" t="str">
            <v>boiler maintenance april 2019</v>
          </cell>
          <cell r="E1518" t="str">
            <v>Pole to Pole Climate Control Ltd</v>
          </cell>
          <cell r="F1518" t="str">
            <v>Subcontractor</v>
          </cell>
          <cell r="G1518" t="str">
            <v/>
          </cell>
          <cell r="H1518" t="str">
            <v/>
          </cell>
          <cell r="I1518" t="str">
            <v/>
          </cell>
          <cell r="J1518">
            <v>190</v>
          </cell>
          <cell r="K1518">
            <v>38</v>
          </cell>
          <cell r="L1518">
            <v>190</v>
          </cell>
          <cell r="M1518" t="str">
            <v/>
          </cell>
          <cell r="N1518">
            <v>0</v>
          </cell>
        </row>
        <row r="1519">
          <cell r="A1519">
            <v>16098</v>
          </cell>
          <cell r="B1519" t="str">
            <v>11/04/2019</v>
          </cell>
          <cell r="C1519" t="str">
            <v>C1568</v>
          </cell>
          <cell r="D1519" t="str">
            <v>To supply and install lab benching and furniture all as quot</v>
          </cell>
          <cell r="E1519" t="str">
            <v>Huddersfield Interiors Ltd</v>
          </cell>
          <cell r="F1519" t="str">
            <v>Subcontractor</v>
          </cell>
          <cell r="G1519" t="str">
            <v>12/04/2019</v>
          </cell>
          <cell r="H1519" t="str">
            <v>Part</v>
          </cell>
          <cell r="I1519" t="str">
            <v/>
          </cell>
          <cell r="J1519">
            <v>37251</v>
          </cell>
          <cell r="K1519">
            <v>7450.2</v>
          </cell>
          <cell r="L1519">
            <v>37251</v>
          </cell>
          <cell r="M1519" t="str">
            <v/>
          </cell>
          <cell r="N1519">
            <v>0</v>
          </cell>
        </row>
        <row r="1520">
          <cell r="A1520">
            <v>16085</v>
          </cell>
          <cell r="B1520" t="str">
            <v>10/04/2019</v>
          </cell>
          <cell r="C1520" t="str">
            <v>CALLOUT</v>
          </cell>
          <cell r="D1520" t="str">
            <v>burnt fuse spur</v>
          </cell>
          <cell r="E1520" t="str">
            <v>Viabl Ltd T/A Able</v>
          </cell>
          <cell r="F1520" t="str">
            <v>Subcontractor</v>
          </cell>
          <cell r="G1520" t="str">
            <v/>
          </cell>
          <cell r="H1520" t="str">
            <v/>
          </cell>
          <cell r="I1520" t="str">
            <v/>
          </cell>
          <cell r="J1520">
            <v>65</v>
          </cell>
          <cell r="K1520">
            <v>13</v>
          </cell>
          <cell r="L1520">
            <v>65</v>
          </cell>
          <cell r="M1520" t="str">
            <v/>
          </cell>
          <cell r="N1520">
            <v>0</v>
          </cell>
        </row>
        <row r="1521">
          <cell r="A1521">
            <v>16077</v>
          </cell>
          <cell r="B1521" t="str">
            <v>09/04/2019</v>
          </cell>
          <cell r="C1521" t="str">
            <v>CALLOUT</v>
          </cell>
          <cell r="D1521" t="str">
            <v>tubes to be replaced</v>
          </cell>
          <cell r="E1521" t="str">
            <v>Key Integrated Services North West Ltd</v>
          </cell>
          <cell r="F1521" t="str">
            <v>Subcontractor</v>
          </cell>
          <cell r="G1521" t="str">
            <v/>
          </cell>
          <cell r="H1521" t="str">
            <v>Part</v>
          </cell>
          <cell r="I1521" t="str">
            <v/>
          </cell>
          <cell r="J1521">
            <v>348.72</v>
          </cell>
          <cell r="K1521">
            <v>69.739999999999995</v>
          </cell>
          <cell r="L1521">
            <v>348.72</v>
          </cell>
          <cell r="M1521" t="str">
            <v/>
          </cell>
          <cell r="N1521">
            <v>0</v>
          </cell>
        </row>
        <row r="1522">
          <cell r="A1522">
            <v>16076</v>
          </cell>
          <cell r="B1522" t="str">
            <v>09/04/2019</v>
          </cell>
          <cell r="C1522" t="str">
            <v>CALLOUT</v>
          </cell>
          <cell r="D1522" t="str">
            <v>Boiler leaking</v>
          </cell>
          <cell r="E1522" t="str">
            <v>Pole to Pole Climate Control Ltd</v>
          </cell>
          <cell r="F1522" t="str">
            <v>Subcontractor</v>
          </cell>
          <cell r="G1522" t="str">
            <v/>
          </cell>
          <cell r="H1522" t="str">
            <v/>
          </cell>
          <cell r="I1522" t="str">
            <v/>
          </cell>
          <cell r="J1522">
            <v>88</v>
          </cell>
          <cell r="K1522">
            <v>17.600000000000001</v>
          </cell>
          <cell r="L1522">
            <v>88</v>
          </cell>
          <cell r="M1522" t="str">
            <v/>
          </cell>
          <cell r="N1522">
            <v>0</v>
          </cell>
        </row>
        <row r="1523">
          <cell r="A1523">
            <v>16063</v>
          </cell>
          <cell r="B1523" t="str">
            <v>08/04/2019</v>
          </cell>
          <cell r="C1523" t="str">
            <v>CALLOUT</v>
          </cell>
          <cell r="D1523" t="str">
            <v>fit light fttg</v>
          </cell>
          <cell r="E1523" t="str">
            <v>Key Integrated Services North West Ltd</v>
          </cell>
          <cell r="F1523" t="str">
            <v>Subcontractor</v>
          </cell>
          <cell r="G1523" t="str">
            <v/>
          </cell>
          <cell r="H1523" t="str">
            <v>Part</v>
          </cell>
          <cell r="I1523" t="str">
            <v/>
          </cell>
          <cell r="J1523">
            <v>239.56</v>
          </cell>
          <cell r="K1523">
            <v>47.91</v>
          </cell>
          <cell r="L1523">
            <v>239.65</v>
          </cell>
          <cell r="M1523" t="str">
            <v/>
          </cell>
          <cell r="N1523">
            <v>-0.09</v>
          </cell>
        </row>
        <row r="1524">
          <cell r="A1524">
            <v>16061</v>
          </cell>
          <cell r="B1524" t="str">
            <v>08/04/2019</v>
          </cell>
          <cell r="C1524" t="str">
            <v>C1604</v>
          </cell>
          <cell r="D1524" t="str">
            <v>Additional data containment</v>
          </cell>
          <cell r="E1524" t="str">
            <v>Key Integrated Services (Electrical) Ltd</v>
          </cell>
          <cell r="F1524" t="str">
            <v>Subcontractor</v>
          </cell>
          <cell r="G1524" t="str">
            <v/>
          </cell>
          <cell r="H1524" t="str">
            <v/>
          </cell>
          <cell r="I1524" t="str">
            <v/>
          </cell>
          <cell r="J1524">
            <v>3876</v>
          </cell>
          <cell r="K1524">
            <v>775.2</v>
          </cell>
          <cell r="L1524">
            <v>3876</v>
          </cell>
          <cell r="M1524" t="str">
            <v/>
          </cell>
          <cell r="N1524">
            <v>0</v>
          </cell>
        </row>
        <row r="1525">
          <cell r="A1525">
            <v>16057</v>
          </cell>
          <cell r="B1525" t="str">
            <v>08/04/2019</v>
          </cell>
          <cell r="C1525" t="str">
            <v>SERVICE</v>
          </cell>
          <cell r="D1525" t="str">
            <v>complete Visit and fit sensor</v>
          </cell>
          <cell r="E1525" t="str">
            <v>Automated Building &amp; Energy Controls Ltd</v>
          </cell>
          <cell r="F1525" t="str">
            <v>Subcontractor</v>
          </cell>
          <cell r="G1525" t="str">
            <v/>
          </cell>
          <cell r="H1525" t="str">
            <v/>
          </cell>
          <cell r="I1525" t="str">
            <v/>
          </cell>
          <cell r="J1525">
            <v>472.57</v>
          </cell>
          <cell r="K1525">
            <v>94.51</v>
          </cell>
          <cell r="L1525">
            <v>472.57</v>
          </cell>
          <cell r="M1525" t="str">
            <v/>
          </cell>
          <cell r="N1525">
            <v>0</v>
          </cell>
        </row>
        <row r="1526">
          <cell r="A1526">
            <v>16054</v>
          </cell>
          <cell r="B1526" t="str">
            <v>05/04/2019</v>
          </cell>
          <cell r="C1526" t="str">
            <v>SERVICE</v>
          </cell>
          <cell r="D1526" t="str">
            <v>L8 monthly April 2019</v>
          </cell>
          <cell r="E1526" t="str">
            <v>Commercial Temperature Solutions</v>
          </cell>
          <cell r="F1526" t="str">
            <v>Subcontractor</v>
          </cell>
          <cell r="G1526" t="str">
            <v/>
          </cell>
          <cell r="H1526" t="str">
            <v/>
          </cell>
          <cell r="I1526" t="str">
            <v/>
          </cell>
          <cell r="J1526">
            <v>100</v>
          </cell>
          <cell r="K1526">
            <v>20</v>
          </cell>
          <cell r="L1526">
            <v>100</v>
          </cell>
          <cell r="M1526" t="str">
            <v/>
          </cell>
          <cell r="N1526">
            <v>0</v>
          </cell>
        </row>
        <row r="1527">
          <cell r="A1527">
            <v>16053</v>
          </cell>
          <cell r="B1527" t="str">
            <v>05/04/2019</v>
          </cell>
          <cell r="C1527" t="str">
            <v>SERVICE</v>
          </cell>
          <cell r="D1527" t="str">
            <v>AC Maintenance april 2019</v>
          </cell>
          <cell r="E1527" t="str">
            <v>Commercial Temperature Solutions</v>
          </cell>
          <cell r="F1527" t="str">
            <v>Subcontractor</v>
          </cell>
          <cell r="G1527" t="str">
            <v/>
          </cell>
          <cell r="H1527" t="str">
            <v/>
          </cell>
          <cell r="I1527" t="str">
            <v/>
          </cell>
          <cell r="J1527">
            <v>130</v>
          </cell>
          <cell r="K1527">
            <v>26</v>
          </cell>
          <cell r="L1527">
            <v>0</v>
          </cell>
          <cell r="M1527" t="str">
            <v/>
          </cell>
          <cell r="N1527">
            <v>130</v>
          </cell>
        </row>
        <row r="1528">
          <cell r="A1528">
            <v>16052</v>
          </cell>
          <cell r="B1528" t="str">
            <v>05/04/2019</v>
          </cell>
          <cell r="C1528" t="str">
            <v>SERVICE</v>
          </cell>
          <cell r="D1528" t="str">
            <v>AC Maintenance April 2019</v>
          </cell>
          <cell r="E1528" t="str">
            <v>Commercial Temperature Solutions</v>
          </cell>
          <cell r="F1528" t="str">
            <v>Subcontractor</v>
          </cell>
          <cell r="G1528" t="str">
            <v/>
          </cell>
          <cell r="H1528" t="str">
            <v/>
          </cell>
          <cell r="I1528" t="str">
            <v/>
          </cell>
          <cell r="J1528">
            <v>330</v>
          </cell>
          <cell r="K1528">
            <v>66</v>
          </cell>
          <cell r="L1528">
            <v>330</v>
          </cell>
          <cell r="M1528" t="str">
            <v/>
          </cell>
          <cell r="N1528">
            <v>0</v>
          </cell>
        </row>
        <row r="1529">
          <cell r="A1529">
            <v>16048</v>
          </cell>
          <cell r="B1529" t="str">
            <v>05/04/2019</v>
          </cell>
          <cell r="C1529" t="str">
            <v>SERVICE</v>
          </cell>
          <cell r="D1529" t="str">
            <v>Ac maintenance</v>
          </cell>
          <cell r="E1529" t="str">
            <v>Pole to Pole Climate Control Ltd</v>
          </cell>
          <cell r="F1529" t="str">
            <v>Subcontractor</v>
          </cell>
          <cell r="G1529" t="str">
            <v/>
          </cell>
          <cell r="H1529" t="str">
            <v/>
          </cell>
          <cell r="I1529" t="str">
            <v/>
          </cell>
          <cell r="J1529">
            <v>108</v>
          </cell>
          <cell r="K1529">
            <v>21.6</v>
          </cell>
          <cell r="L1529">
            <v>0</v>
          </cell>
          <cell r="M1529" t="str">
            <v/>
          </cell>
          <cell r="N1529">
            <v>108</v>
          </cell>
        </row>
        <row r="1530">
          <cell r="A1530">
            <v>16047</v>
          </cell>
          <cell r="B1530" t="str">
            <v>05/04/2019</v>
          </cell>
          <cell r="C1530" t="str">
            <v>SERVICE</v>
          </cell>
          <cell r="D1530" t="str">
            <v>AC maintenance April 2019</v>
          </cell>
          <cell r="E1530" t="str">
            <v>Derek Austin Heating Limited</v>
          </cell>
          <cell r="F1530" t="str">
            <v>Subcontractor</v>
          </cell>
          <cell r="G1530" t="str">
            <v/>
          </cell>
          <cell r="H1530" t="str">
            <v/>
          </cell>
          <cell r="I1530" t="str">
            <v/>
          </cell>
          <cell r="J1530">
            <v>70</v>
          </cell>
          <cell r="K1530">
            <v>14</v>
          </cell>
          <cell r="L1530">
            <v>70</v>
          </cell>
          <cell r="M1530" t="str">
            <v/>
          </cell>
          <cell r="N1530">
            <v>0</v>
          </cell>
        </row>
        <row r="1531">
          <cell r="A1531">
            <v>16046</v>
          </cell>
          <cell r="B1531" t="str">
            <v>05/04/2019</v>
          </cell>
          <cell r="C1531" t="str">
            <v>SERVICE</v>
          </cell>
          <cell r="D1531" t="str">
            <v>AC Maintenance visit April 2019</v>
          </cell>
          <cell r="E1531" t="str">
            <v>Derek Austin Heating Limited</v>
          </cell>
          <cell r="F1531" t="str">
            <v>Subcontractor</v>
          </cell>
          <cell r="G1531" t="str">
            <v/>
          </cell>
          <cell r="H1531" t="str">
            <v/>
          </cell>
          <cell r="I1531" t="str">
            <v/>
          </cell>
          <cell r="J1531">
            <v>80</v>
          </cell>
          <cell r="K1531">
            <v>16</v>
          </cell>
          <cell r="L1531">
            <v>80</v>
          </cell>
          <cell r="M1531" t="str">
            <v/>
          </cell>
          <cell r="N1531">
            <v>0</v>
          </cell>
        </row>
        <row r="1532">
          <cell r="A1532">
            <v>16044</v>
          </cell>
          <cell r="B1532" t="str">
            <v>05/04/2019</v>
          </cell>
          <cell r="C1532" t="str">
            <v>C1600</v>
          </cell>
          <cell r="D1532" t="str">
            <v>Ground Floor Core Area</v>
          </cell>
          <cell r="E1532" t="str">
            <v>Key Integrated Services North West Ltd</v>
          </cell>
          <cell r="F1532" t="str">
            <v>Subcontractor</v>
          </cell>
          <cell r="G1532" t="str">
            <v/>
          </cell>
          <cell r="H1532" t="str">
            <v/>
          </cell>
          <cell r="I1532" t="str">
            <v/>
          </cell>
          <cell r="J1532">
            <v>23694.04</v>
          </cell>
          <cell r="K1532">
            <v>4738.8100000000004</v>
          </cell>
          <cell r="L1532">
            <v>23694.04</v>
          </cell>
          <cell r="M1532" t="str">
            <v/>
          </cell>
          <cell r="N1532">
            <v>0</v>
          </cell>
        </row>
        <row r="1533">
          <cell r="A1533">
            <v>16043</v>
          </cell>
          <cell r="B1533" t="str">
            <v>05/04/2019</v>
          </cell>
          <cell r="C1533" t="str">
            <v>CALLOUT</v>
          </cell>
          <cell r="D1533" t="str">
            <v>flush on gents wc broken</v>
          </cell>
          <cell r="E1533" t="str">
            <v>Viabl Ltd T/A Able</v>
          </cell>
          <cell r="F1533" t="str">
            <v>Subcontractor</v>
          </cell>
          <cell r="G1533" t="str">
            <v/>
          </cell>
          <cell r="H1533" t="str">
            <v>Part</v>
          </cell>
          <cell r="I1533" t="str">
            <v/>
          </cell>
          <cell r="J1533">
            <v>65</v>
          </cell>
          <cell r="K1533">
            <v>13</v>
          </cell>
          <cell r="L1533">
            <v>65</v>
          </cell>
          <cell r="M1533" t="str">
            <v/>
          </cell>
          <cell r="N1533">
            <v>0</v>
          </cell>
        </row>
        <row r="1534">
          <cell r="A1534">
            <v>16042</v>
          </cell>
          <cell r="B1534" t="str">
            <v>05/04/2019</v>
          </cell>
          <cell r="C1534" t="str">
            <v>C1568</v>
          </cell>
          <cell r="D1534" t="str">
            <v>fabricate the pipe-work spools in accordance with the drawin</v>
          </cell>
          <cell r="E1534" t="str">
            <v>Enco Ltd</v>
          </cell>
          <cell r="F1534" t="str">
            <v>Subcontractor</v>
          </cell>
          <cell r="G1534" t="str">
            <v/>
          </cell>
          <cell r="H1534" t="str">
            <v/>
          </cell>
          <cell r="I1534" t="str">
            <v/>
          </cell>
          <cell r="J1534">
            <v>2300</v>
          </cell>
          <cell r="K1534">
            <v>460</v>
          </cell>
          <cell r="L1534">
            <v>2300</v>
          </cell>
          <cell r="M1534" t="str">
            <v/>
          </cell>
          <cell r="N1534">
            <v>0</v>
          </cell>
        </row>
        <row r="1535">
          <cell r="A1535">
            <v>16038</v>
          </cell>
          <cell r="B1535" t="str">
            <v>05/04/2019</v>
          </cell>
          <cell r="C1535" t="str">
            <v>C1616</v>
          </cell>
          <cell r="D1535" t="str">
            <v>Supply of Dust unit as per quotation</v>
          </cell>
          <cell r="E1535" t="str">
            <v>Climavent Systems Ltd</v>
          </cell>
          <cell r="F1535" t="str">
            <v>Subcontractor</v>
          </cell>
          <cell r="G1535" t="str">
            <v>05/04/2019</v>
          </cell>
          <cell r="H1535" t="str">
            <v/>
          </cell>
          <cell r="I1535" t="str">
            <v/>
          </cell>
          <cell r="J1535">
            <v>28994.25</v>
          </cell>
          <cell r="K1535">
            <v>5798.85</v>
          </cell>
          <cell r="L1535">
            <v>28994.25</v>
          </cell>
          <cell r="M1535" t="str">
            <v/>
          </cell>
          <cell r="N1535">
            <v>0</v>
          </cell>
        </row>
        <row r="1536">
          <cell r="A1536">
            <v>16036</v>
          </cell>
          <cell r="B1536" t="str">
            <v>04/04/2019</v>
          </cell>
          <cell r="C1536" t="str">
            <v>QUOTED</v>
          </cell>
          <cell r="D1536" t="str">
            <v>install fuse spur for mag lock install</v>
          </cell>
          <cell r="E1536" t="str">
            <v>Key Integrated Services North West Ltd</v>
          </cell>
          <cell r="F1536" t="str">
            <v>Subcontractor</v>
          </cell>
          <cell r="G1536" t="str">
            <v/>
          </cell>
          <cell r="H1536" t="str">
            <v/>
          </cell>
          <cell r="I1536" t="str">
            <v/>
          </cell>
          <cell r="J1536">
            <v>253.08</v>
          </cell>
          <cell r="K1536">
            <v>50.62</v>
          </cell>
          <cell r="L1536">
            <v>253.08</v>
          </cell>
          <cell r="M1536" t="str">
            <v/>
          </cell>
          <cell r="N1536">
            <v>0</v>
          </cell>
        </row>
        <row r="1537">
          <cell r="A1537">
            <v>16028</v>
          </cell>
          <cell r="B1537" t="str">
            <v>04/04/2019</v>
          </cell>
          <cell r="C1537" t="str">
            <v>CALLOUT</v>
          </cell>
          <cell r="D1537" t="str">
            <v>Analysies required on 3no Samples</v>
          </cell>
          <cell r="E1537" t="str">
            <v>Hydraclean Ltd</v>
          </cell>
          <cell r="F1537" t="str">
            <v>Subcontractor</v>
          </cell>
          <cell r="G1537" t="str">
            <v/>
          </cell>
          <cell r="H1537" t="str">
            <v/>
          </cell>
          <cell r="I1537" t="str">
            <v/>
          </cell>
          <cell r="J1537">
            <v>75</v>
          </cell>
          <cell r="K1537">
            <v>15</v>
          </cell>
          <cell r="L1537">
            <v>0</v>
          </cell>
          <cell r="M1537" t="str">
            <v/>
          </cell>
          <cell r="N1537">
            <v>75</v>
          </cell>
        </row>
        <row r="1538">
          <cell r="A1538">
            <v>16020</v>
          </cell>
          <cell r="B1538" t="str">
            <v>03/04/2019</v>
          </cell>
          <cell r="C1538" t="str">
            <v>C1607</v>
          </cell>
          <cell r="D1538" t="str">
            <v>Plumbing Works within Grd &amp; 1st Floor Welfare Facilty</v>
          </cell>
          <cell r="E1538" t="str">
            <v>GLS Plumbing &amp; Heating Ltd</v>
          </cell>
          <cell r="F1538" t="str">
            <v>Subcontractor</v>
          </cell>
          <cell r="G1538" t="str">
            <v>29/04/2019</v>
          </cell>
          <cell r="H1538" t="str">
            <v>Part</v>
          </cell>
          <cell r="I1538" t="str">
            <v/>
          </cell>
          <cell r="J1538">
            <v>15550</v>
          </cell>
          <cell r="K1538">
            <v>3110</v>
          </cell>
          <cell r="L1538">
            <v>15550</v>
          </cell>
          <cell r="M1538" t="str">
            <v/>
          </cell>
          <cell r="N1538">
            <v>0</v>
          </cell>
        </row>
        <row r="1539">
          <cell r="A1539">
            <v>16018</v>
          </cell>
          <cell r="B1539" t="str">
            <v>03/04/2019</v>
          </cell>
          <cell r="C1539" t="str">
            <v>QUOTED</v>
          </cell>
          <cell r="D1539" t="str">
            <v>install auto dialler as per quote 17097</v>
          </cell>
          <cell r="E1539" t="str">
            <v>Ansa Elevators Limited</v>
          </cell>
          <cell r="F1539" t="str">
            <v>Subcontractor</v>
          </cell>
          <cell r="G1539" t="str">
            <v/>
          </cell>
          <cell r="H1539" t="str">
            <v/>
          </cell>
          <cell r="I1539" t="str">
            <v/>
          </cell>
          <cell r="J1539">
            <v>1662</v>
          </cell>
          <cell r="K1539">
            <v>332.4</v>
          </cell>
          <cell r="L1539">
            <v>1662</v>
          </cell>
          <cell r="M1539" t="str">
            <v/>
          </cell>
          <cell r="N1539">
            <v>0</v>
          </cell>
        </row>
        <row r="1540">
          <cell r="A1540">
            <v>16017</v>
          </cell>
          <cell r="B1540" t="str">
            <v>03/04/2019</v>
          </cell>
          <cell r="C1540" t="str">
            <v>QUOTED</v>
          </cell>
          <cell r="D1540" t="str">
            <v>install mag locks as per quote 294376 8th - 15th April</v>
          </cell>
          <cell r="E1540" t="str">
            <v>Marlowe Fire &amp; Security Limited</v>
          </cell>
          <cell r="F1540" t="str">
            <v>Subcontractor</v>
          </cell>
          <cell r="G1540" t="str">
            <v/>
          </cell>
          <cell r="H1540" t="str">
            <v>Complete</v>
          </cell>
          <cell r="I1540" t="str">
            <v/>
          </cell>
          <cell r="J1540">
            <v>0</v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</row>
        <row r="1541">
          <cell r="A1541">
            <v>16009</v>
          </cell>
          <cell r="B1541" t="str">
            <v>02/04/2019</v>
          </cell>
          <cell r="C1541" t="str">
            <v>CALLOUT</v>
          </cell>
          <cell r="D1541" t="str">
            <v>Supply &amp; Install new Battery Operated Cistermiser</v>
          </cell>
          <cell r="E1541" t="str">
            <v>AEP (NE) LLP</v>
          </cell>
          <cell r="F1541" t="str">
            <v>Subcontractor</v>
          </cell>
          <cell r="G1541" t="str">
            <v/>
          </cell>
          <cell r="H1541" t="str">
            <v/>
          </cell>
          <cell r="I1541" t="str">
            <v/>
          </cell>
          <cell r="J1541">
            <v>312.98</v>
          </cell>
          <cell r="K1541">
            <v>62.6</v>
          </cell>
          <cell r="L1541">
            <v>312.98</v>
          </cell>
          <cell r="M1541" t="str">
            <v/>
          </cell>
          <cell r="N1541">
            <v>0</v>
          </cell>
        </row>
        <row r="1542">
          <cell r="A1542">
            <v>16006</v>
          </cell>
          <cell r="B1542" t="str">
            <v>02/04/2019</v>
          </cell>
          <cell r="C1542" t="str">
            <v>SERVICE</v>
          </cell>
          <cell r="D1542" t="str">
            <v>Resample &amp; Local Disinfection of Tap</v>
          </cell>
          <cell r="E1542" t="str">
            <v>Switchsafe Environmental</v>
          </cell>
          <cell r="F1542" t="str">
            <v>Subcontractor</v>
          </cell>
          <cell r="G1542" t="str">
            <v/>
          </cell>
          <cell r="H1542" t="str">
            <v/>
          </cell>
          <cell r="I1542" t="str">
            <v/>
          </cell>
          <cell r="J1542">
            <v>250</v>
          </cell>
          <cell r="K1542">
            <v>50</v>
          </cell>
          <cell r="L1542">
            <v>250</v>
          </cell>
          <cell r="M1542" t="str">
            <v/>
          </cell>
          <cell r="N1542">
            <v>0</v>
          </cell>
        </row>
        <row r="1543">
          <cell r="A1543">
            <v>16001</v>
          </cell>
          <cell r="B1543" t="str">
            <v>02/04/2019</v>
          </cell>
          <cell r="C1543" t="str">
            <v>SERVICE</v>
          </cell>
          <cell r="D1543" t="str">
            <v>AC Maintenance on 5no Units</v>
          </cell>
          <cell r="E1543" t="str">
            <v>Commercial Temperature Solutions</v>
          </cell>
          <cell r="F1543" t="str">
            <v>Subcontractor</v>
          </cell>
          <cell r="G1543" t="str">
            <v/>
          </cell>
          <cell r="H1543" t="str">
            <v/>
          </cell>
          <cell r="I1543" t="str">
            <v/>
          </cell>
          <cell r="J1543">
            <v>125</v>
          </cell>
          <cell r="K1543">
            <v>25</v>
          </cell>
          <cell r="L1543">
            <v>125</v>
          </cell>
          <cell r="M1543" t="str">
            <v/>
          </cell>
          <cell r="N1543">
            <v>0</v>
          </cell>
        </row>
        <row r="1544">
          <cell r="A1544">
            <v>15998</v>
          </cell>
          <cell r="B1544" t="str">
            <v>01/04/2019</v>
          </cell>
          <cell r="C1544" t="str">
            <v>CALLOUT</v>
          </cell>
          <cell r="D1544" t="str">
            <v>grd floor disabled wc leaking water from under cistern</v>
          </cell>
          <cell r="E1544" t="str">
            <v>K Gammon Plumbing &amp; Heating Ltd</v>
          </cell>
          <cell r="F1544" t="str">
            <v>Subcontractor</v>
          </cell>
          <cell r="G1544" t="str">
            <v/>
          </cell>
          <cell r="H1544" t="str">
            <v>Part</v>
          </cell>
          <cell r="I1544" t="str">
            <v/>
          </cell>
          <cell r="J1544">
            <v>112</v>
          </cell>
          <cell r="K1544">
            <v>22.4</v>
          </cell>
          <cell r="L1544">
            <v>112</v>
          </cell>
          <cell r="M1544" t="str">
            <v/>
          </cell>
          <cell r="N1544">
            <v>0</v>
          </cell>
        </row>
        <row r="1545">
          <cell r="A1545">
            <v>15996</v>
          </cell>
          <cell r="B1545" t="str">
            <v>01/04/2019</v>
          </cell>
          <cell r="C1545" t="str">
            <v>CALLOUT</v>
          </cell>
          <cell r="D1545" t="str">
            <v>check integrated f/f</v>
          </cell>
          <cell r="E1545" t="str">
            <v>K Gammon Plumbing &amp; Heating Ltd</v>
          </cell>
          <cell r="F1545" t="str">
            <v>Subcontractor</v>
          </cell>
          <cell r="G1545" t="str">
            <v/>
          </cell>
          <cell r="H1545" t="str">
            <v>Part</v>
          </cell>
          <cell r="I1545" t="str">
            <v/>
          </cell>
          <cell r="J1545">
            <v>64</v>
          </cell>
          <cell r="K1545">
            <v>12.8</v>
          </cell>
          <cell r="L1545">
            <v>64</v>
          </cell>
          <cell r="M1545" t="str">
            <v/>
          </cell>
          <cell r="N1545">
            <v>0</v>
          </cell>
        </row>
        <row r="1546">
          <cell r="A1546">
            <v>15997</v>
          </cell>
          <cell r="B1546" t="str">
            <v>29/03/2019</v>
          </cell>
          <cell r="C1546" t="str">
            <v>C1609</v>
          </cell>
          <cell r="D1546" t="str">
            <v>CHW flushing as per MB quote on 24/01/19</v>
          </cell>
          <cell r="E1546" t="str">
            <v>MSB Hygiene Ltd</v>
          </cell>
          <cell r="F1546" t="str">
            <v>Subcontractor</v>
          </cell>
          <cell r="G1546" t="str">
            <v>01/04/2019</v>
          </cell>
          <cell r="H1546" t="str">
            <v/>
          </cell>
          <cell r="I1546" t="str">
            <v/>
          </cell>
          <cell r="J1546">
            <v>2750</v>
          </cell>
          <cell r="K1546">
            <v>550</v>
          </cell>
          <cell r="L1546">
            <v>2750</v>
          </cell>
          <cell r="M1546" t="str">
            <v/>
          </cell>
          <cell r="N1546">
            <v>0</v>
          </cell>
        </row>
        <row r="1547">
          <cell r="A1547">
            <v>15978</v>
          </cell>
          <cell r="B1547" t="str">
            <v>28/03/2019</v>
          </cell>
          <cell r="C1547" t="str">
            <v>C1604</v>
          </cell>
          <cell r="D1547" t="str">
            <v>63A Temp sockets</v>
          </cell>
          <cell r="E1547" t="str">
            <v>Key Integrated Services (Electrical) Ltd</v>
          </cell>
          <cell r="F1547" t="str">
            <v>Subcontractor</v>
          </cell>
          <cell r="G1547" t="str">
            <v/>
          </cell>
          <cell r="H1547" t="str">
            <v>Complete</v>
          </cell>
          <cell r="I1547" t="str">
            <v/>
          </cell>
          <cell r="J1547">
            <v>0</v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</row>
        <row r="1548">
          <cell r="A1548">
            <v>15974</v>
          </cell>
          <cell r="B1548" t="str">
            <v>28/03/2019</v>
          </cell>
          <cell r="C1548" t="str">
            <v>C1607</v>
          </cell>
          <cell r="D1548" t="str">
            <v>Supply &amp; Installation of Ventilation Systems</v>
          </cell>
          <cell r="E1548" t="str">
            <v>Coolduct Ltd</v>
          </cell>
          <cell r="F1548" t="str">
            <v>Subcontractor</v>
          </cell>
          <cell r="G1548" t="str">
            <v>22/04/2019</v>
          </cell>
          <cell r="H1548" t="str">
            <v/>
          </cell>
          <cell r="I1548" t="str">
            <v/>
          </cell>
          <cell r="J1548">
            <v>27000</v>
          </cell>
          <cell r="K1548">
            <v>5400</v>
          </cell>
          <cell r="L1548">
            <v>27200</v>
          </cell>
          <cell r="M1548" t="str">
            <v/>
          </cell>
          <cell r="N1548">
            <v>-200</v>
          </cell>
        </row>
        <row r="1549">
          <cell r="A1549">
            <v>15971</v>
          </cell>
          <cell r="B1549" t="str">
            <v>28/03/2019</v>
          </cell>
          <cell r="C1549" t="str">
            <v>CALLOUT</v>
          </cell>
          <cell r="D1549" t="str">
            <v>Investigate Lincat Wall Boiler Leaking</v>
          </cell>
          <cell r="E1549" t="str">
            <v>Commercial Temperature Solutions</v>
          </cell>
          <cell r="F1549" t="str">
            <v>Subcontractor</v>
          </cell>
          <cell r="G1549" t="str">
            <v/>
          </cell>
          <cell r="H1549" t="str">
            <v/>
          </cell>
          <cell r="I1549" t="str">
            <v/>
          </cell>
          <cell r="J1549">
            <v>80</v>
          </cell>
          <cell r="K1549">
            <v>16</v>
          </cell>
          <cell r="L1549">
            <v>80</v>
          </cell>
          <cell r="M1549" t="str">
            <v/>
          </cell>
          <cell r="N1549">
            <v>0</v>
          </cell>
        </row>
        <row r="1550">
          <cell r="A1550">
            <v>15965</v>
          </cell>
          <cell r="B1550" t="str">
            <v>27/03/2019</v>
          </cell>
          <cell r="C1550" t="str">
            <v>CALLOUT</v>
          </cell>
          <cell r="D1550" t="str">
            <v>repalce filters labour onyl</v>
          </cell>
          <cell r="E1550" t="str">
            <v>Commercial Temperature Solutions</v>
          </cell>
          <cell r="F1550" t="str">
            <v>Subcontractor</v>
          </cell>
          <cell r="G1550" t="str">
            <v/>
          </cell>
          <cell r="H1550" t="str">
            <v/>
          </cell>
          <cell r="I1550" t="str">
            <v/>
          </cell>
          <cell r="J1550">
            <v>50</v>
          </cell>
          <cell r="K1550">
            <v>10</v>
          </cell>
          <cell r="L1550">
            <v>50</v>
          </cell>
          <cell r="M1550" t="str">
            <v/>
          </cell>
          <cell r="N1550">
            <v>0</v>
          </cell>
        </row>
        <row r="1551">
          <cell r="A1551">
            <v>15961</v>
          </cell>
          <cell r="B1551" t="str">
            <v>27/03/2019</v>
          </cell>
          <cell r="C1551" t="str">
            <v>CALLOUT</v>
          </cell>
          <cell r="D1551" t="str">
            <v>Investigate lights G3, G25, G26,G33 G39</v>
          </cell>
          <cell r="E1551" t="str">
            <v>Key Integrated Services North West Ltd</v>
          </cell>
          <cell r="F1551" t="str">
            <v>Subcontractor</v>
          </cell>
          <cell r="G1551" t="str">
            <v/>
          </cell>
          <cell r="H1551" t="str">
            <v>Part</v>
          </cell>
          <cell r="I1551" t="str">
            <v/>
          </cell>
          <cell r="J1551">
            <v>227.02</v>
          </cell>
          <cell r="K1551">
            <v>45.4</v>
          </cell>
          <cell r="L1551">
            <v>227.02</v>
          </cell>
          <cell r="M1551" t="str">
            <v/>
          </cell>
          <cell r="N1551">
            <v>0</v>
          </cell>
        </row>
        <row r="1552">
          <cell r="A1552">
            <v>15955</v>
          </cell>
          <cell r="B1552" t="str">
            <v>26/03/2019</v>
          </cell>
          <cell r="C1552" t="str">
            <v>QUOTED</v>
          </cell>
          <cell r="D1552" t="str">
            <v>L8 risk assessment</v>
          </cell>
          <cell r="E1552" t="str">
            <v>Hydraclean Ltd</v>
          </cell>
          <cell r="F1552" t="str">
            <v>Subcontractor</v>
          </cell>
          <cell r="G1552" t="str">
            <v/>
          </cell>
          <cell r="H1552" t="str">
            <v/>
          </cell>
          <cell r="I1552" t="str">
            <v/>
          </cell>
          <cell r="J1552">
            <v>300</v>
          </cell>
          <cell r="K1552">
            <v>60</v>
          </cell>
          <cell r="L1552">
            <v>300</v>
          </cell>
          <cell r="M1552" t="str">
            <v/>
          </cell>
          <cell r="N1552">
            <v>0</v>
          </cell>
        </row>
        <row r="1553">
          <cell r="A1553">
            <v>15954</v>
          </cell>
          <cell r="B1553" t="str">
            <v>26/03/2019</v>
          </cell>
          <cell r="C1553" t="str">
            <v>CALLOUT</v>
          </cell>
          <cell r="D1553" t="str">
            <v>plumbing jobs as per list</v>
          </cell>
          <cell r="E1553" t="str">
            <v>K Gammon Plumbing &amp; Heating Ltd</v>
          </cell>
          <cell r="F1553" t="str">
            <v>Subcontractor</v>
          </cell>
          <cell r="G1553" t="str">
            <v/>
          </cell>
          <cell r="H1553" t="str">
            <v>Part</v>
          </cell>
          <cell r="I1553" t="str">
            <v/>
          </cell>
          <cell r="J1553">
            <v>384.65</v>
          </cell>
          <cell r="K1553">
            <v>76.930000000000007</v>
          </cell>
          <cell r="L1553">
            <v>384.65</v>
          </cell>
          <cell r="M1553" t="str">
            <v/>
          </cell>
          <cell r="N1553">
            <v>0</v>
          </cell>
        </row>
        <row r="1554">
          <cell r="A1554">
            <v>15953</v>
          </cell>
          <cell r="B1554" t="str">
            <v>26/03/2019</v>
          </cell>
          <cell r="C1554" t="str">
            <v>QUOTED</v>
          </cell>
          <cell r="D1554" t="str">
            <v>fixed wire testing as per quote</v>
          </cell>
          <cell r="E1554" t="str">
            <v>Lantei Ltd</v>
          </cell>
          <cell r="F1554" t="str">
            <v>Subcontractor</v>
          </cell>
          <cell r="G1554" t="str">
            <v/>
          </cell>
          <cell r="H1554" t="str">
            <v/>
          </cell>
          <cell r="I1554" t="str">
            <v/>
          </cell>
          <cell r="J1554">
            <v>1363.5</v>
          </cell>
          <cell r="K1554">
            <v>272.7</v>
          </cell>
          <cell r="L1554">
            <v>1363.5</v>
          </cell>
          <cell r="M1554" t="str">
            <v/>
          </cell>
          <cell r="N1554">
            <v>0</v>
          </cell>
        </row>
        <row r="1555">
          <cell r="A1555">
            <v>15951</v>
          </cell>
          <cell r="B1555" t="str">
            <v>26/03/2019</v>
          </cell>
          <cell r="C1555" t="str">
            <v>CALLOUT</v>
          </cell>
          <cell r="D1555" t="str">
            <v>Carry out fire alrm training monday 29th April 3-5pm only</v>
          </cell>
          <cell r="E1555" t="str">
            <v>Marlowe Fire &amp; Security Limited</v>
          </cell>
          <cell r="F1555" t="str">
            <v>Subcontractor</v>
          </cell>
          <cell r="G1555" t="str">
            <v/>
          </cell>
          <cell r="H1555" t="str">
            <v/>
          </cell>
          <cell r="I1555" t="str">
            <v/>
          </cell>
          <cell r="J1555">
            <v>115.39</v>
          </cell>
          <cell r="K1555">
            <v>23.08</v>
          </cell>
          <cell r="L1555">
            <v>115.39</v>
          </cell>
          <cell r="M1555" t="str">
            <v/>
          </cell>
          <cell r="N1555">
            <v>0</v>
          </cell>
        </row>
        <row r="1556">
          <cell r="A1556">
            <v>15948</v>
          </cell>
          <cell r="B1556" t="str">
            <v>26/03/2019</v>
          </cell>
          <cell r="C1556" t="str">
            <v>C1568</v>
          </cell>
          <cell r="D1556" t="str">
            <v>Scope of Works:</v>
          </cell>
          <cell r="E1556" t="str">
            <v>Enco Ltd</v>
          </cell>
          <cell r="F1556" t="str">
            <v>Subcontractor</v>
          </cell>
          <cell r="G1556" t="str">
            <v/>
          </cell>
          <cell r="H1556" t="str">
            <v/>
          </cell>
          <cell r="I1556" t="str">
            <v/>
          </cell>
          <cell r="J1556">
            <v>3445</v>
          </cell>
          <cell r="K1556">
            <v>689</v>
          </cell>
          <cell r="L1556">
            <v>3445</v>
          </cell>
          <cell r="M1556" t="str">
            <v/>
          </cell>
          <cell r="N1556">
            <v>0</v>
          </cell>
        </row>
        <row r="1557">
          <cell r="A1557">
            <v>15944</v>
          </cell>
          <cell r="B1557" t="str">
            <v>25/03/2019</v>
          </cell>
          <cell r="C1557" t="str">
            <v>SERVICE</v>
          </cell>
          <cell r="D1557" t="str">
            <v>Fire alarm maintenance 2 x visits</v>
          </cell>
          <cell r="E1557" t="str">
            <v>Marlowe Fire &amp; Security Limited</v>
          </cell>
          <cell r="F1557" t="str">
            <v>Subcontractor</v>
          </cell>
          <cell r="G1557" t="str">
            <v/>
          </cell>
          <cell r="H1557" t="str">
            <v/>
          </cell>
          <cell r="I1557" t="str">
            <v/>
          </cell>
          <cell r="J1557">
            <v>222.68</v>
          </cell>
          <cell r="K1557">
            <v>44.54</v>
          </cell>
          <cell r="L1557">
            <v>222.68</v>
          </cell>
          <cell r="M1557" t="str">
            <v/>
          </cell>
          <cell r="N1557">
            <v>0</v>
          </cell>
        </row>
        <row r="1558">
          <cell r="A1558">
            <v>15943</v>
          </cell>
          <cell r="B1558" t="str">
            <v>25/03/2019</v>
          </cell>
          <cell r="C1558" t="str">
            <v>SERVICE</v>
          </cell>
          <cell r="D1558" t="str">
            <v>Fire extinguisher Maintenance 1 visit only - NOVEMBER 2019</v>
          </cell>
          <cell r="E1558" t="str">
            <v>Marlowe Fire &amp; Security Limited</v>
          </cell>
          <cell r="F1558" t="str">
            <v>Subcontractor</v>
          </cell>
          <cell r="G1558" t="str">
            <v/>
          </cell>
          <cell r="H1558" t="str">
            <v/>
          </cell>
          <cell r="I1558" t="str">
            <v/>
          </cell>
          <cell r="J1558">
            <v>70</v>
          </cell>
          <cell r="K1558">
            <v>14</v>
          </cell>
          <cell r="L1558">
            <v>0</v>
          </cell>
          <cell r="M1558" t="str">
            <v/>
          </cell>
          <cell r="N1558">
            <v>70</v>
          </cell>
        </row>
        <row r="1559">
          <cell r="A1559">
            <v>15941</v>
          </cell>
          <cell r="B1559" t="str">
            <v>25/03/2019</v>
          </cell>
          <cell r="C1559" t="str">
            <v>C1615</v>
          </cell>
          <cell r="D1559" t="str">
            <v>Cabin elec supplies</v>
          </cell>
          <cell r="E1559" t="str">
            <v>Key Integrated Services (Electrical) Ltd</v>
          </cell>
          <cell r="F1559" t="str">
            <v>Subcontractor</v>
          </cell>
          <cell r="G1559" t="str">
            <v/>
          </cell>
          <cell r="H1559" t="str">
            <v/>
          </cell>
          <cell r="I1559" t="str">
            <v/>
          </cell>
          <cell r="J1559">
            <v>1567</v>
          </cell>
          <cell r="K1559">
            <v>313.39999999999998</v>
          </cell>
          <cell r="L1559">
            <v>0</v>
          </cell>
          <cell r="M1559" t="str">
            <v/>
          </cell>
          <cell r="N1559">
            <v>1567</v>
          </cell>
        </row>
        <row r="1560">
          <cell r="A1560">
            <v>15940</v>
          </cell>
          <cell r="B1560" t="str">
            <v>25/03/2019</v>
          </cell>
          <cell r="C1560" t="str">
            <v>C1568</v>
          </cell>
          <cell r="D1560" t="str">
            <v>Ti supply and install Thermal Insulation services all as quo</v>
          </cell>
          <cell r="E1560" t="str">
            <v>NIS Group Services Ltd</v>
          </cell>
          <cell r="F1560" t="str">
            <v>Subcontractor</v>
          </cell>
          <cell r="G1560" t="str">
            <v>27/03/2019</v>
          </cell>
          <cell r="H1560" t="str">
            <v/>
          </cell>
          <cell r="I1560" t="str">
            <v/>
          </cell>
          <cell r="J1560">
            <v>33001</v>
          </cell>
          <cell r="K1560">
            <v>6600.2</v>
          </cell>
          <cell r="L1560">
            <v>33001</v>
          </cell>
          <cell r="M1560" t="str">
            <v/>
          </cell>
          <cell r="N1560">
            <v>0</v>
          </cell>
        </row>
        <row r="1561">
          <cell r="A1561">
            <v>15924</v>
          </cell>
          <cell r="B1561" t="str">
            <v>21/03/2019</v>
          </cell>
          <cell r="C1561" t="str">
            <v>C1593</v>
          </cell>
          <cell r="D1561" t="str">
            <v>Wall brackets as quotation</v>
          </cell>
          <cell r="E1561" t="str">
            <v>Enco Ltd</v>
          </cell>
          <cell r="F1561" t="str">
            <v>Subcontractor</v>
          </cell>
          <cell r="G1561" t="str">
            <v>21/03/2019</v>
          </cell>
          <cell r="H1561" t="str">
            <v/>
          </cell>
          <cell r="I1561" t="str">
            <v/>
          </cell>
          <cell r="J1561">
            <v>675</v>
          </cell>
          <cell r="K1561">
            <v>135</v>
          </cell>
          <cell r="L1561">
            <v>675</v>
          </cell>
          <cell r="M1561" t="str">
            <v/>
          </cell>
          <cell r="N1561">
            <v>0</v>
          </cell>
        </row>
        <row r="1562">
          <cell r="A1562">
            <v>15923</v>
          </cell>
          <cell r="B1562" t="str">
            <v>21/03/2019</v>
          </cell>
          <cell r="C1562" t="str">
            <v>C1426</v>
          </cell>
          <cell r="D1562" t="str">
            <v>Remedial control modifications as per quote ref: QLK-1809-38</v>
          </cell>
          <cell r="E1562" t="str">
            <v>Schneider Electric Ltd</v>
          </cell>
          <cell r="F1562" t="str">
            <v>Subcontractor</v>
          </cell>
          <cell r="G1562" t="str">
            <v>01/04/2019</v>
          </cell>
          <cell r="H1562" t="str">
            <v/>
          </cell>
          <cell r="I1562" t="str">
            <v/>
          </cell>
          <cell r="J1562">
            <v>5840</v>
          </cell>
          <cell r="K1562">
            <v>1168</v>
          </cell>
          <cell r="L1562">
            <v>5839.92</v>
          </cell>
          <cell r="M1562" t="str">
            <v/>
          </cell>
          <cell r="N1562">
            <v>0.08</v>
          </cell>
        </row>
        <row r="1563">
          <cell r="A1563">
            <v>15920</v>
          </cell>
          <cell r="B1563" t="str">
            <v>21/03/2019</v>
          </cell>
          <cell r="C1563" t="str">
            <v>CALLOUT</v>
          </cell>
          <cell r="D1563" t="str">
            <v>ac in ops room leaking</v>
          </cell>
          <cell r="E1563" t="str">
            <v>AEP (NE) LLP</v>
          </cell>
          <cell r="F1563" t="str">
            <v>Subcontractor</v>
          </cell>
          <cell r="G1563" t="str">
            <v/>
          </cell>
          <cell r="H1563" t="str">
            <v>Part</v>
          </cell>
          <cell r="I1563" t="str">
            <v/>
          </cell>
          <cell r="J1563">
            <v>115</v>
          </cell>
          <cell r="K1563">
            <v>23</v>
          </cell>
          <cell r="L1563">
            <v>115</v>
          </cell>
          <cell r="M1563" t="str">
            <v/>
          </cell>
          <cell r="N1563">
            <v>0</v>
          </cell>
        </row>
        <row r="1564">
          <cell r="A1564">
            <v>15918</v>
          </cell>
          <cell r="B1564" t="str">
            <v>21/03/2019</v>
          </cell>
          <cell r="C1564" t="str">
            <v>SERVICE</v>
          </cell>
          <cell r="D1564" t="str">
            <v>AC maintenance visit for March 2019</v>
          </cell>
          <cell r="E1564" t="str">
            <v>Derek Austin Heating Limited</v>
          </cell>
          <cell r="F1564" t="str">
            <v>Subcontractor</v>
          </cell>
          <cell r="G1564" t="str">
            <v/>
          </cell>
          <cell r="H1564" t="str">
            <v/>
          </cell>
          <cell r="I1564" t="str">
            <v/>
          </cell>
          <cell r="J1564">
            <v>310</v>
          </cell>
          <cell r="K1564">
            <v>62</v>
          </cell>
          <cell r="L1564">
            <v>310</v>
          </cell>
          <cell r="M1564" t="str">
            <v/>
          </cell>
          <cell r="N1564">
            <v>0</v>
          </cell>
        </row>
        <row r="1565">
          <cell r="A1565">
            <v>15916</v>
          </cell>
          <cell r="B1565" t="str">
            <v>21/03/2019</v>
          </cell>
          <cell r="C1565" t="str">
            <v>CALLOUT</v>
          </cell>
          <cell r="D1565" t="str">
            <v>Replace 50 litre Zip Heater at High Level</v>
          </cell>
          <cell r="E1565" t="str">
            <v>AEP (NE) LLP</v>
          </cell>
          <cell r="F1565" t="str">
            <v>Subcontractor</v>
          </cell>
          <cell r="G1565" t="str">
            <v/>
          </cell>
          <cell r="H1565" t="str">
            <v/>
          </cell>
          <cell r="I1565" t="str">
            <v/>
          </cell>
          <cell r="J1565">
            <v>1640</v>
          </cell>
          <cell r="K1565">
            <v>328</v>
          </cell>
          <cell r="L1565">
            <v>1640</v>
          </cell>
          <cell r="M1565" t="str">
            <v/>
          </cell>
          <cell r="N1565">
            <v>0</v>
          </cell>
        </row>
        <row r="1566">
          <cell r="A1566">
            <v>15904</v>
          </cell>
          <cell r="B1566" t="str">
            <v>20/03/2019</v>
          </cell>
          <cell r="C1566" t="str">
            <v>C1568</v>
          </cell>
          <cell r="D1566" t="str">
            <v/>
          </cell>
          <cell r="E1566" t="str">
            <v>Ainscough Crane Hire Ltd</v>
          </cell>
          <cell r="F1566" t="str">
            <v>Subcontractor</v>
          </cell>
          <cell r="G1566" t="str">
            <v>22/03/2019</v>
          </cell>
          <cell r="H1566" t="str">
            <v/>
          </cell>
          <cell r="I1566" t="str">
            <v/>
          </cell>
          <cell r="J1566">
            <v>3585</v>
          </cell>
          <cell r="K1566">
            <v>717</v>
          </cell>
          <cell r="L1566">
            <v>3585</v>
          </cell>
          <cell r="M1566" t="str">
            <v/>
          </cell>
          <cell r="N1566">
            <v>0</v>
          </cell>
        </row>
        <row r="1567">
          <cell r="A1567">
            <v>15903</v>
          </cell>
          <cell r="B1567" t="str">
            <v>20/03/2019</v>
          </cell>
          <cell r="C1567" t="str">
            <v>CALLOUT</v>
          </cell>
          <cell r="D1567" t="str">
            <v>repace x 4 batteries in car aprk PSU as per quote</v>
          </cell>
          <cell r="E1567" t="str">
            <v>Abel Alarm Company Limited</v>
          </cell>
          <cell r="F1567" t="str">
            <v>Subcontractor</v>
          </cell>
          <cell r="G1567" t="str">
            <v/>
          </cell>
          <cell r="H1567" t="str">
            <v/>
          </cell>
          <cell r="I1567" t="str">
            <v/>
          </cell>
          <cell r="J1567">
            <v>243.33</v>
          </cell>
          <cell r="K1567">
            <v>48.67</v>
          </cell>
          <cell r="L1567">
            <v>243.33</v>
          </cell>
          <cell r="M1567" t="str">
            <v/>
          </cell>
          <cell r="N1567">
            <v>0</v>
          </cell>
        </row>
        <row r="1568">
          <cell r="A1568">
            <v>15902</v>
          </cell>
          <cell r="B1568" t="str">
            <v>20/03/2019</v>
          </cell>
          <cell r="C1568" t="str">
            <v>CALLOUT</v>
          </cell>
          <cell r="D1568" t="str">
            <v>replace batteries in main fire alarm panel</v>
          </cell>
          <cell r="E1568" t="str">
            <v>Abel Alarm Company Limited</v>
          </cell>
          <cell r="F1568" t="str">
            <v>Subcontractor</v>
          </cell>
          <cell r="G1568" t="str">
            <v/>
          </cell>
          <cell r="H1568" t="str">
            <v/>
          </cell>
          <cell r="I1568" t="str">
            <v/>
          </cell>
          <cell r="J1568">
            <v>160</v>
          </cell>
          <cell r="K1568">
            <v>32</v>
          </cell>
          <cell r="L1568">
            <v>160</v>
          </cell>
          <cell r="M1568" t="str">
            <v/>
          </cell>
          <cell r="N1568">
            <v>0</v>
          </cell>
        </row>
        <row r="1569">
          <cell r="A1569">
            <v>15899</v>
          </cell>
          <cell r="B1569" t="str">
            <v>19/03/2019</v>
          </cell>
          <cell r="C1569" t="str">
            <v>CALLOUT</v>
          </cell>
          <cell r="D1569" t="str">
            <v>remedial works for fire extinguishers as per quote</v>
          </cell>
          <cell r="E1569" t="str">
            <v>Hoyles Fire + Safety Ltd</v>
          </cell>
          <cell r="F1569" t="str">
            <v>Subcontractor</v>
          </cell>
          <cell r="G1569" t="str">
            <v/>
          </cell>
          <cell r="H1569" t="str">
            <v/>
          </cell>
          <cell r="I1569" t="str">
            <v/>
          </cell>
          <cell r="J1569">
            <v>627.08000000000004</v>
          </cell>
          <cell r="K1569">
            <v>125.42</v>
          </cell>
          <cell r="L1569">
            <v>627.08000000000004</v>
          </cell>
          <cell r="M1569" t="str">
            <v/>
          </cell>
          <cell r="N1569">
            <v>0</v>
          </cell>
        </row>
        <row r="1570">
          <cell r="A1570">
            <v>15887</v>
          </cell>
          <cell r="B1570" t="str">
            <v>18/03/2019</v>
          </cell>
          <cell r="C1570" t="str">
            <v>SERVICE</v>
          </cell>
          <cell r="D1570" t="str">
            <v>6 Month Maintenance includes 2no Visits</v>
          </cell>
          <cell r="E1570" t="str">
            <v>Mitsubishi Electric Europe BV</v>
          </cell>
          <cell r="F1570" t="str">
            <v>Subcontractor</v>
          </cell>
          <cell r="G1570" t="str">
            <v/>
          </cell>
          <cell r="H1570" t="str">
            <v/>
          </cell>
          <cell r="I1570" t="str">
            <v/>
          </cell>
          <cell r="J1570">
            <v>1725</v>
          </cell>
          <cell r="K1570">
            <v>345</v>
          </cell>
          <cell r="L1570">
            <v>1725</v>
          </cell>
          <cell r="M1570" t="str">
            <v/>
          </cell>
          <cell r="N1570">
            <v>0</v>
          </cell>
        </row>
        <row r="1571">
          <cell r="A1571">
            <v>15885</v>
          </cell>
          <cell r="B1571" t="str">
            <v>18/03/2019</v>
          </cell>
          <cell r="C1571" t="str">
            <v>C1609</v>
          </cell>
          <cell r="D1571" t="str">
            <v>Air/water balancing of exisitng HVAC systems as per email on</v>
          </cell>
          <cell r="E1571" t="str">
            <v>New Era Commissioning Specialists Ltd</v>
          </cell>
          <cell r="F1571" t="str">
            <v>Subcontractor</v>
          </cell>
          <cell r="G1571" t="str">
            <v>01/04/2019</v>
          </cell>
          <cell r="H1571" t="str">
            <v/>
          </cell>
          <cell r="I1571" t="str">
            <v/>
          </cell>
          <cell r="J1571">
            <v>5400</v>
          </cell>
          <cell r="K1571">
            <v>1080</v>
          </cell>
          <cell r="L1571">
            <v>5400</v>
          </cell>
          <cell r="M1571" t="str">
            <v/>
          </cell>
          <cell r="N1571">
            <v>0</v>
          </cell>
        </row>
        <row r="1572">
          <cell r="A1572">
            <v>15884</v>
          </cell>
          <cell r="B1572" t="str">
            <v>18/03/2019</v>
          </cell>
          <cell r="C1572" t="str">
            <v>CALLOUT</v>
          </cell>
          <cell r="D1572" t="str">
            <v>kitchen sink blocked</v>
          </cell>
          <cell r="E1572" t="str">
            <v>Viabl Ltd T/A Able</v>
          </cell>
          <cell r="F1572" t="str">
            <v>Subcontractor</v>
          </cell>
          <cell r="G1572" t="str">
            <v/>
          </cell>
          <cell r="H1572" t="str">
            <v>Part</v>
          </cell>
          <cell r="I1572" t="str">
            <v/>
          </cell>
          <cell r="J1572">
            <v>125</v>
          </cell>
          <cell r="K1572">
            <v>25</v>
          </cell>
          <cell r="L1572">
            <v>125</v>
          </cell>
          <cell r="M1572" t="str">
            <v/>
          </cell>
          <cell r="N1572">
            <v>0</v>
          </cell>
        </row>
        <row r="1573">
          <cell r="A1573">
            <v>15879</v>
          </cell>
          <cell r="B1573" t="str">
            <v>15/03/2019</v>
          </cell>
          <cell r="C1573" t="str">
            <v>CALLOUT</v>
          </cell>
          <cell r="D1573" t="str">
            <v>S&amp;F 3kw dimplex htr and 2no fuse spurs as per quote</v>
          </cell>
          <cell r="E1573" t="str">
            <v>AEP (NE) LLP</v>
          </cell>
          <cell r="F1573" t="str">
            <v>Subcontractor</v>
          </cell>
          <cell r="G1573" t="str">
            <v/>
          </cell>
          <cell r="H1573" t="str">
            <v/>
          </cell>
          <cell r="I1573" t="str">
            <v/>
          </cell>
          <cell r="J1573">
            <v>96</v>
          </cell>
          <cell r="K1573">
            <v>19.2</v>
          </cell>
          <cell r="L1573">
            <v>96</v>
          </cell>
          <cell r="M1573" t="str">
            <v/>
          </cell>
          <cell r="N1573">
            <v>0</v>
          </cell>
        </row>
        <row r="1574">
          <cell r="A1574">
            <v>15877</v>
          </cell>
          <cell r="B1574" t="str">
            <v>15/03/2019</v>
          </cell>
          <cell r="C1574" t="str">
            <v>C1603</v>
          </cell>
          <cell r="D1574" t="str">
            <v>Lagging as attached ductwork and pipework details inc bags o</v>
          </cell>
          <cell r="E1574" t="str">
            <v>Thermal Insulation Covers Ltd</v>
          </cell>
          <cell r="F1574" t="str">
            <v>Subcontractor</v>
          </cell>
          <cell r="G1574" t="str">
            <v>20/03/2019</v>
          </cell>
          <cell r="H1574" t="str">
            <v/>
          </cell>
          <cell r="I1574" t="str">
            <v/>
          </cell>
          <cell r="J1574">
            <v>5403.41</v>
          </cell>
          <cell r="K1574">
            <v>1080.68</v>
          </cell>
          <cell r="L1574">
            <v>5403.41</v>
          </cell>
          <cell r="M1574" t="str">
            <v/>
          </cell>
          <cell r="N1574">
            <v>0</v>
          </cell>
        </row>
        <row r="1575">
          <cell r="A1575">
            <v>15875</v>
          </cell>
          <cell r="B1575" t="str">
            <v>15/03/2019</v>
          </cell>
          <cell r="C1575" t="str">
            <v>C1593</v>
          </cell>
          <cell r="D1575" t="str">
            <v>Supply of Labour to Len wright salads</v>
          </cell>
          <cell r="E1575" t="str">
            <v>Defabs Engineering Ltd</v>
          </cell>
          <cell r="F1575" t="str">
            <v>Subcontractor</v>
          </cell>
          <cell r="G1575" t="str">
            <v>03/03/2019</v>
          </cell>
          <cell r="H1575" t="str">
            <v/>
          </cell>
          <cell r="I1575" t="str">
            <v/>
          </cell>
          <cell r="J1575">
            <v>1903.2</v>
          </cell>
          <cell r="K1575">
            <v>380.64</v>
          </cell>
          <cell r="L1575">
            <v>1903.2</v>
          </cell>
          <cell r="M1575" t="str">
            <v/>
          </cell>
          <cell r="N1575">
            <v>0</v>
          </cell>
        </row>
        <row r="1576">
          <cell r="A1576">
            <v>15863</v>
          </cell>
          <cell r="B1576" t="str">
            <v>14/03/2019</v>
          </cell>
          <cell r="C1576" t="str">
            <v>CALLOUT</v>
          </cell>
          <cell r="D1576" t="str">
            <v>investigate leaking wc</v>
          </cell>
          <cell r="E1576" t="str">
            <v>Viabl Ltd T/A Able</v>
          </cell>
          <cell r="F1576" t="str">
            <v>Subcontractor</v>
          </cell>
          <cell r="G1576" t="str">
            <v/>
          </cell>
          <cell r="H1576" t="str">
            <v/>
          </cell>
          <cell r="I1576" t="str">
            <v/>
          </cell>
          <cell r="J1576">
            <v>159.85</v>
          </cell>
          <cell r="K1576">
            <v>31.97</v>
          </cell>
          <cell r="L1576">
            <v>159.85</v>
          </cell>
          <cell r="M1576" t="str">
            <v/>
          </cell>
          <cell r="N1576">
            <v>0</v>
          </cell>
        </row>
        <row r="1577">
          <cell r="A1577">
            <v>15861</v>
          </cell>
          <cell r="B1577" t="str">
            <v>13/03/2019</v>
          </cell>
          <cell r="C1577" t="str">
            <v>CALLOUT</v>
          </cell>
          <cell r="D1577" t="str">
            <v>Replace transformers as per quote - remove old tubes from si</v>
          </cell>
          <cell r="E1577" t="str">
            <v>Viabl Ltd T/A Able</v>
          </cell>
          <cell r="F1577" t="str">
            <v>Subcontractor</v>
          </cell>
          <cell r="G1577" t="str">
            <v/>
          </cell>
          <cell r="H1577" t="str">
            <v/>
          </cell>
          <cell r="I1577" t="str">
            <v/>
          </cell>
          <cell r="J1577">
            <v>274.68</v>
          </cell>
          <cell r="K1577">
            <v>54.94</v>
          </cell>
          <cell r="L1577">
            <v>274.68</v>
          </cell>
          <cell r="M1577" t="str">
            <v/>
          </cell>
          <cell r="N1577">
            <v>0</v>
          </cell>
        </row>
        <row r="1578">
          <cell r="A1578">
            <v>15857</v>
          </cell>
          <cell r="B1578" t="str">
            <v>13/03/2019</v>
          </cell>
          <cell r="C1578" t="str">
            <v>CALLOUT</v>
          </cell>
          <cell r="D1578" t="str">
            <v>lights tripped unit 5</v>
          </cell>
          <cell r="E1578" t="str">
            <v>Key Integrated Services North West Ltd</v>
          </cell>
          <cell r="F1578" t="str">
            <v>Subcontractor</v>
          </cell>
          <cell r="G1578" t="str">
            <v/>
          </cell>
          <cell r="H1578" t="str">
            <v>Part</v>
          </cell>
          <cell r="I1578" t="str">
            <v/>
          </cell>
          <cell r="J1578">
            <v>82.1</v>
          </cell>
          <cell r="K1578">
            <v>16.420000000000002</v>
          </cell>
          <cell r="L1578">
            <v>82.1</v>
          </cell>
          <cell r="M1578" t="str">
            <v/>
          </cell>
          <cell r="N1578">
            <v>0</v>
          </cell>
        </row>
        <row r="1579">
          <cell r="A1579">
            <v>15856</v>
          </cell>
          <cell r="B1579" t="str">
            <v>13/03/2019</v>
          </cell>
          <cell r="C1579" t="str">
            <v>CALLOUT</v>
          </cell>
          <cell r="D1579" t="str">
            <v>investigate lights</v>
          </cell>
          <cell r="E1579" t="str">
            <v>Barrie Beard Ltd</v>
          </cell>
          <cell r="F1579" t="str">
            <v>Subcontractor</v>
          </cell>
          <cell r="G1579" t="str">
            <v/>
          </cell>
          <cell r="H1579" t="str">
            <v>Part</v>
          </cell>
          <cell r="I1579" t="str">
            <v/>
          </cell>
          <cell r="J1579">
            <v>40</v>
          </cell>
          <cell r="K1579">
            <v>8</v>
          </cell>
          <cell r="L1579">
            <v>40</v>
          </cell>
          <cell r="M1579" t="str">
            <v/>
          </cell>
          <cell r="N1579">
            <v>0</v>
          </cell>
        </row>
        <row r="1580">
          <cell r="A1580">
            <v>15850</v>
          </cell>
          <cell r="B1580" t="str">
            <v>12/03/2019</v>
          </cell>
          <cell r="C1580" t="str">
            <v>SERVICE</v>
          </cell>
          <cell r="D1580" t="str">
            <v>Annual EML test and PAT testing</v>
          </cell>
          <cell r="E1580" t="str">
            <v>Key Integrated Services North West Ltd</v>
          </cell>
          <cell r="F1580" t="str">
            <v>Subcontractor</v>
          </cell>
          <cell r="G1580" t="str">
            <v/>
          </cell>
          <cell r="H1580" t="str">
            <v>Part</v>
          </cell>
          <cell r="I1580" t="str">
            <v/>
          </cell>
          <cell r="J1580">
            <v>225</v>
          </cell>
          <cell r="K1580">
            <v>45</v>
          </cell>
          <cell r="L1580">
            <v>225</v>
          </cell>
          <cell r="M1580" t="str">
            <v/>
          </cell>
          <cell r="N1580">
            <v>0</v>
          </cell>
        </row>
        <row r="1581">
          <cell r="A1581">
            <v>15849</v>
          </cell>
          <cell r="B1581" t="str">
            <v>12/03/2019</v>
          </cell>
          <cell r="C1581" t="str">
            <v>SERVICE</v>
          </cell>
          <cell r="D1581" t="str">
            <v>eml test and plan of building march 2019</v>
          </cell>
          <cell r="E1581" t="str">
            <v>Key Integrated Services North West Ltd</v>
          </cell>
          <cell r="F1581" t="str">
            <v>Subcontractor</v>
          </cell>
          <cell r="G1581" t="str">
            <v/>
          </cell>
          <cell r="H1581" t="str">
            <v>Complete</v>
          </cell>
          <cell r="I1581" t="str">
            <v/>
          </cell>
          <cell r="J1581">
            <v>0</v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</row>
        <row r="1582">
          <cell r="A1582">
            <v>15848</v>
          </cell>
          <cell r="B1582" t="str">
            <v>12/03/2019</v>
          </cell>
          <cell r="C1582" t="str">
            <v>SERVICE</v>
          </cell>
          <cell r="D1582" t="str">
            <v>Annual emerg light test</v>
          </cell>
          <cell r="E1582" t="str">
            <v>Key Integrated Services North West Ltd</v>
          </cell>
          <cell r="F1582" t="str">
            <v>Subcontractor</v>
          </cell>
          <cell r="G1582" t="str">
            <v/>
          </cell>
          <cell r="H1582" t="str">
            <v>Complete</v>
          </cell>
          <cell r="I1582" t="str">
            <v/>
          </cell>
          <cell r="J1582">
            <v>0</v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</row>
        <row r="1583">
          <cell r="A1583">
            <v>15847</v>
          </cell>
          <cell r="B1583" t="str">
            <v>12/03/2019</v>
          </cell>
          <cell r="C1583" t="str">
            <v>SERVICE</v>
          </cell>
          <cell r="D1583" t="str">
            <v>Carry out 1no Service ref 506155rev2</v>
          </cell>
          <cell r="E1583" t="str">
            <v>Fire Suppression Limited</v>
          </cell>
          <cell r="F1583" t="str">
            <v>Subcontractor</v>
          </cell>
          <cell r="G1583" t="str">
            <v/>
          </cell>
          <cell r="H1583" t="str">
            <v/>
          </cell>
          <cell r="I1583" t="str">
            <v/>
          </cell>
          <cell r="J1583">
            <v>494</v>
          </cell>
          <cell r="K1583">
            <v>98.8</v>
          </cell>
          <cell r="L1583">
            <v>494</v>
          </cell>
          <cell r="M1583" t="str">
            <v/>
          </cell>
          <cell r="N1583">
            <v>0</v>
          </cell>
        </row>
        <row r="1584">
          <cell r="A1584">
            <v>15846</v>
          </cell>
          <cell r="B1584" t="str">
            <v>12/03/2019</v>
          </cell>
          <cell r="C1584" t="str">
            <v>SERVICE</v>
          </cell>
          <cell r="D1584" t="str">
            <v>2no BMS Maintenance Visits ref SCQ 684 - R1</v>
          </cell>
          <cell r="E1584" t="str">
            <v>Westminster Controls Ltd</v>
          </cell>
          <cell r="F1584" t="str">
            <v>Subcontractor</v>
          </cell>
          <cell r="G1584" t="str">
            <v/>
          </cell>
          <cell r="H1584" t="str">
            <v/>
          </cell>
          <cell r="I1584" t="str">
            <v/>
          </cell>
          <cell r="J1584">
            <v>1524</v>
          </cell>
          <cell r="K1584">
            <v>304.8</v>
          </cell>
          <cell r="L1584">
            <v>1524</v>
          </cell>
          <cell r="M1584" t="str">
            <v/>
          </cell>
          <cell r="N1584">
            <v>0</v>
          </cell>
        </row>
        <row r="1585">
          <cell r="A1585">
            <v>15845</v>
          </cell>
          <cell r="B1585" t="str">
            <v>12/03/2019</v>
          </cell>
          <cell r="C1585" t="str">
            <v>SERVICE</v>
          </cell>
          <cell r="D1585" t="str">
            <v>Chilled Closed Systems x 2no Visits ref SS/1216</v>
          </cell>
          <cell r="E1585" t="str">
            <v>Switchsafe Environmental</v>
          </cell>
          <cell r="F1585" t="str">
            <v>Subcontractor</v>
          </cell>
          <cell r="G1585" t="str">
            <v/>
          </cell>
          <cell r="H1585" t="str">
            <v/>
          </cell>
          <cell r="I1585" t="str">
            <v/>
          </cell>
          <cell r="J1585">
            <v>400.02</v>
          </cell>
          <cell r="K1585">
            <v>80</v>
          </cell>
          <cell r="L1585">
            <v>400.02</v>
          </cell>
          <cell r="M1585" t="str">
            <v/>
          </cell>
          <cell r="N1585">
            <v>0</v>
          </cell>
        </row>
        <row r="1586">
          <cell r="A1586">
            <v>15844</v>
          </cell>
          <cell r="B1586" t="str">
            <v>12/03/2019</v>
          </cell>
          <cell r="C1586" t="str">
            <v>SERVICE</v>
          </cell>
          <cell r="D1586" t="str">
            <v>Carry out Monthly &amp; 6 Monthly Visit your ref SS/1215</v>
          </cell>
          <cell r="E1586" t="str">
            <v>Switchsafe Environmental</v>
          </cell>
          <cell r="F1586" t="str">
            <v>Subcontractor</v>
          </cell>
          <cell r="G1586" t="str">
            <v/>
          </cell>
          <cell r="H1586" t="str">
            <v/>
          </cell>
          <cell r="I1586" t="str">
            <v/>
          </cell>
          <cell r="J1586">
            <v>812</v>
          </cell>
          <cell r="K1586">
            <v>162.4</v>
          </cell>
          <cell r="L1586">
            <v>811.98</v>
          </cell>
          <cell r="M1586" t="str">
            <v/>
          </cell>
          <cell r="N1586">
            <v>0.02</v>
          </cell>
        </row>
        <row r="1587">
          <cell r="A1587">
            <v>15843</v>
          </cell>
          <cell r="B1587" t="str">
            <v>12/03/2019</v>
          </cell>
          <cell r="C1587" t="str">
            <v>CALLOUT</v>
          </cell>
          <cell r="D1587" t="str">
            <v>plug for portable heater jammed in socket</v>
          </cell>
          <cell r="E1587" t="str">
            <v>Barrie Beard Ltd</v>
          </cell>
          <cell r="F1587" t="str">
            <v>Subcontractor</v>
          </cell>
          <cell r="G1587" t="str">
            <v/>
          </cell>
          <cell r="H1587" t="str">
            <v>Part</v>
          </cell>
          <cell r="I1587" t="str">
            <v/>
          </cell>
          <cell r="J1587">
            <v>78</v>
          </cell>
          <cell r="K1587">
            <v>15.6</v>
          </cell>
          <cell r="L1587">
            <v>78</v>
          </cell>
          <cell r="M1587" t="str">
            <v/>
          </cell>
          <cell r="N1587">
            <v>0</v>
          </cell>
        </row>
        <row r="1588">
          <cell r="A1588">
            <v>15842</v>
          </cell>
          <cell r="B1588" t="str">
            <v>12/03/2019</v>
          </cell>
          <cell r="C1588" t="str">
            <v>SERVICE</v>
          </cell>
          <cell r="D1588" t="str">
            <v>Legionella Risk Assesment - your ref SS/1218</v>
          </cell>
          <cell r="E1588" t="str">
            <v>Switchsafe Environmental</v>
          </cell>
          <cell r="F1588" t="str">
            <v>Subcontractor</v>
          </cell>
          <cell r="G1588" t="str">
            <v/>
          </cell>
          <cell r="H1588" t="str">
            <v/>
          </cell>
          <cell r="I1588" t="str">
            <v/>
          </cell>
          <cell r="J1588">
            <v>550</v>
          </cell>
          <cell r="K1588">
            <v>110</v>
          </cell>
          <cell r="L1588">
            <v>550</v>
          </cell>
          <cell r="M1588" t="str">
            <v/>
          </cell>
          <cell r="N1588">
            <v>0</v>
          </cell>
        </row>
        <row r="1589">
          <cell r="A1589">
            <v>15833</v>
          </cell>
          <cell r="B1589" t="str">
            <v>11/03/2019</v>
          </cell>
          <cell r="C1589" t="str">
            <v>CALLOUT</v>
          </cell>
          <cell r="D1589" t="str">
            <v>Replace Fan ref your email dated 13.02.2019</v>
          </cell>
          <cell r="E1589" t="str">
            <v>G Sanderson Domestic &amp; Commercial Ltd</v>
          </cell>
          <cell r="F1589" t="str">
            <v>Subcontractor</v>
          </cell>
          <cell r="G1589" t="str">
            <v/>
          </cell>
          <cell r="H1589" t="str">
            <v/>
          </cell>
          <cell r="I1589" t="str">
            <v/>
          </cell>
          <cell r="J1589">
            <v>672.15</v>
          </cell>
          <cell r="K1589">
            <v>134.43</v>
          </cell>
          <cell r="L1589">
            <v>672.15</v>
          </cell>
          <cell r="M1589" t="str">
            <v/>
          </cell>
          <cell r="N1589">
            <v>0</v>
          </cell>
        </row>
        <row r="1590">
          <cell r="A1590">
            <v>15829</v>
          </cell>
          <cell r="B1590" t="str">
            <v>11/03/2019</v>
          </cell>
          <cell r="C1590" t="str">
            <v>C1560</v>
          </cell>
          <cell r="D1590" t="str">
            <v>Dayworks for Greggs Enfield</v>
          </cell>
          <cell r="E1590" t="str">
            <v>Defabs Engineering Ltd</v>
          </cell>
          <cell r="F1590" t="str">
            <v>Subcontractor</v>
          </cell>
          <cell r="G1590" t="str">
            <v>11/03/2019</v>
          </cell>
          <cell r="H1590" t="str">
            <v>Complete</v>
          </cell>
          <cell r="I1590" t="str">
            <v/>
          </cell>
          <cell r="J1590">
            <v>0</v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</row>
        <row r="1591">
          <cell r="A1591">
            <v>15828</v>
          </cell>
          <cell r="B1591" t="str">
            <v>11/03/2019</v>
          </cell>
          <cell r="C1591" t="str">
            <v>CALLOUT</v>
          </cell>
          <cell r="D1591" t="str">
            <v>broken lever on wc</v>
          </cell>
          <cell r="E1591" t="str">
            <v>K Gammon Plumbing &amp; Heating Ltd</v>
          </cell>
          <cell r="F1591" t="str">
            <v>Subcontractor</v>
          </cell>
          <cell r="G1591" t="str">
            <v/>
          </cell>
          <cell r="H1591" t="str">
            <v/>
          </cell>
          <cell r="I1591" t="str">
            <v/>
          </cell>
          <cell r="J1591">
            <v>108</v>
          </cell>
          <cell r="K1591">
            <v>21.6</v>
          </cell>
          <cell r="L1591">
            <v>108</v>
          </cell>
          <cell r="M1591" t="str">
            <v/>
          </cell>
          <cell r="N1591">
            <v>0</v>
          </cell>
        </row>
        <row r="1592">
          <cell r="A1592">
            <v>15827</v>
          </cell>
          <cell r="B1592" t="str">
            <v>11/03/2019</v>
          </cell>
          <cell r="C1592" t="str">
            <v>C1560</v>
          </cell>
          <cell r="D1592" t="str">
            <v>Thermal Insulation to pipe services at Enfield</v>
          </cell>
          <cell r="E1592" t="str">
            <v>OLD COUGAR ACCOUNT- DO NOT USE</v>
          </cell>
          <cell r="F1592" t="str">
            <v>Subcontractor</v>
          </cell>
          <cell r="G1592" t="str">
            <v>11/03/2019</v>
          </cell>
          <cell r="H1592" t="str">
            <v/>
          </cell>
          <cell r="I1592" t="str">
            <v/>
          </cell>
          <cell r="J1592">
            <v>13302.5</v>
          </cell>
          <cell r="K1592">
            <v>2660.5</v>
          </cell>
          <cell r="L1592">
            <v>13302.5</v>
          </cell>
          <cell r="M1592" t="str">
            <v/>
          </cell>
          <cell r="N1592">
            <v>0</v>
          </cell>
        </row>
        <row r="1593">
          <cell r="A1593">
            <v>15823</v>
          </cell>
          <cell r="B1593" t="str">
            <v>08/03/2019</v>
          </cell>
          <cell r="C1593" t="str">
            <v>CALLOUT</v>
          </cell>
          <cell r="D1593" t="str">
            <v>replace spot + lamps + move lights as per quote</v>
          </cell>
          <cell r="E1593" t="str">
            <v>Barrie Beard Ltd</v>
          </cell>
          <cell r="F1593" t="str">
            <v>Subcontractor</v>
          </cell>
          <cell r="G1593" t="str">
            <v/>
          </cell>
          <cell r="H1593" t="str">
            <v/>
          </cell>
          <cell r="I1593" t="str">
            <v/>
          </cell>
          <cell r="J1593">
            <v>840.7</v>
          </cell>
          <cell r="K1593">
            <v>168.14</v>
          </cell>
          <cell r="L1593">
            <v>840.7</v>
          </cell>
          <cell r="M1593" t="str">
            <v/>
          </cell>
          <cell r="N1593">
            <v>0</v>
          </cell>
        </row>
        <row r="1594">
          <cell r="A1594">
            <v>15817</v>
          </cell>
          <cell r="B1594" t="str">
            <v>08/03/2019</v>
          </cell>
          <cell r="C1594" t="str">
            <v>C1590</v>
          </cell>
          <cell r="D1594" t="str">
            <v>Insulation</v>
          </cell>
          <cell r="E1594" t="str">
            <v>KSL Services</v>
          </cell>
          <cell r="F1594" t="str">
            <v>Subcontractor</v>
          </cell>
          <cell r="G1594" t="str">
            <v/>
          </cell>
          <cell r="H1594" t="str">
            <v/>
          </cell>
          <cell r="I1594" t="str">
            <v/>
          </cell>
          <cell r="J1594">
            <v>51387.62</v>
          </cell>
          <cell r="K1594">
            <v>10277.52</v>
          </cell>
          <cell r="L1594">
            <v>51387.62</v>
          </cell>
          <cell r="M1594" t="str">
            <v/>
          </cell>
          <cell r="N1594">
            <v>0</v>
          </cell>
        </row>
        <row r="1595">
          <cell r="A1595">
            <v>15815</v>
          </cell>
          <cell r="B1595" t="str">
            <v>08/03/2019</v>
          </cell>
          <cell r="C1595" t="str">
            <v>C1607</v>
          </cell>
          <cell r="D1595" t="str">
            <v>External Water &amp; Cannon Supplies</v>
          </cell>
          <cell r="E1595" t="str">
            <v>North West Renewables Ltd</v>
          </cell>
          <cell r="F1595" t="str">
            <v>Subcontractor</v>
          </cell>
          <cell r="G1595" t="str">
            <v>18/03/2019</v>
          </cell>
          <cell r="H1595" t="str">
            <v/>
          </cell>
          <cell r="I1595" t="str">
            <v/>
          </cell>
          <cell r="J1595">
            <v>29375.05</v>
          </cell>
          <cell r="K1595">
            <v>5875.01</v>
          </cell>
          <cell r="L1595">
            <v>30037.25</v>
          </cell>
          <cell r="M1595" t="str">
            <v/>
          </cell>
          <cell r="N1595">
            <v>-662.2</v>
          </cell>
        </row>
        <row r="1596">
          <cell r="A1596">
            <v>15803</v>
          </cell>
          <cell r="B1596" t="str">
            <v>07/03/2019</v>
          </cell>
          <cell r="C1596" t="str">
            <v>CALLOUT</v>
          </cell>
          <cell r="D1596" t="str">
            <v>quote repair/replace heater</v>
          </cell>
          <cell r="E1596" t="str">
            <v>AEP (NE) LLP</v>
          </cell>
          <cell r="F1596" t="str">
            <v>Subcontractor</v>
          </cell>
          <cell r="G1596" t="str">
            <v/>
          </cell>
          <cell r="H1596" t="str">
            <v/>
          </cell>
          <cell r="I1596" t="str">
            <v/>
          </cell>
          <cell r="J1596">
            <v>115</v>
          </cell>
          <cell r="K1596">
            <v>23</v>
          </cell>
          <cell r="L1596">
            <v>115</v>
          </cell>
          <cell r="M1596" t="str">
            <v/>
          </cell>
          <cell r="N1596">
            <v>0</v>
          </cell>
        </row>
        <row r="1597">
          <cell r="A1597">
            <v>15801</v>
          </cell>
          <cell r="B1597" t="str">
            <v>07/03/2019</v>
          </cell>
          <cell r="C1597" t="str">
            <v>SERVICE</v>
          </cell>
          <cell r="D1597" t="str">
            <v>Service AC</v>
          </cell>
          <cell r="E1597" t="str">
            <v>Pole to Pole Climate Control Ltd</v>
          </cell>
          <cell r="F1597" t="str">
            <v>Subcontractor</v>
          </cell>
          <cell r="G1597" t="str">
            <v/>
          </cell>
          <cell r="H1597" t="str">
            <v/>
          </cell>
          <cell r="I1597" t="str">
            <v/>
          </cell>
          <cell r="J1597">
            <v>300</v>
          </cell>
          <cell r="K1597">
            <v>60</v>
          </cell>
          <cell r="L1597">
            <v>300</v>
          </cell>
          <cell r="M1597" t="str">
            <v/>
          </cell>
          <cell r="N1597">
            <v>0</v>
          </cell>
        </row>
        <row r="1598">
          <cell r="A1598">
            <v>15799</v>
          </cell>
          <cell r="B1598" t="str">
            <v>06/03/2019</v>
          </cell>
          <cell r="C1598" t="str">
            <v>CALLOUT</v>
          </cell>
          <cell r="D1598" t="str">
            <v>Replace light fitting with 600mm x 600mm Cat 2 modular light</v>
          </cell>
          <cell r="E1598" t="str">
            <v>Derek Austin Heating Limited</v>
          </cell>
          <cell r="F1598" t="str">
            <v>Subcontractor</v>
          </cell>
          <cell r="G1598" t="str">
            <v/>
          </cell>
          <cell r="H1598" t="str">
            <v/>
          </cell>
          <cell r="I1598" t="str">
            <v/>
          </cell>
          <cell r="J1598">
            <v>215.4</v>
          </cell>
          <cell r="K1598">
            <v>43.08</v>
          </cell>
          <cell r="L1598">
            <v>0</v>
          </cell>
          <cell r="M1598" t="str">
            <v/>
          </cell>
          <cell r="N1598">
            <v>215.4</v>
          </cell>
        </row>
        <row r="1599">
          <cell r="A1599">
            <v>15798</v>
          </cell>
          <cell r="B1599" t="str">
            <v>06/03/2019</v>
          </cell>
          <cell r="C1599" t="str">
            <v>CALLOUT</v>
          </cell>
          <cell r="D1599" t="str">
            <v>leak on lincat boiler</v>
          </cell>
          <cell r="E1599" t="str">
            <v>Commercial Temperature Solutions</v>
          </cell>
          <cell r="F1599" t="str">
            <v>Subcontractor</v>
          </cell>
          <cell r="G1599" t="str">
            <v/>
          </cell>
          <cell r="H1599" t="str">
            <v/>
          </cell>
          <cell r="I1599" t="str">
            <v/>
          </cell>
          <cell r="J1599">
            <v>163</v>
          </cell>
          <cell r="K1599">
            <v>32.6</v>
          </cell>
          <cell r="L1599">
            <v>163</v>
          </cell>
          <cell r="M1599" t="str">
            <v/>
          </cell>
          <cell r="N1599">
            <v>0</v>
          </cell>
        </row>
        <row r="1600">
          <cell r="A1600">
            <v>15791</v>
          </cell>
          <cell r="B1600" t="str">
            <v>06/03/2019</v>
          </cell>
          <cell r="C1600" t="str">
            <v>CALLOUT</v>
          </cell>
          <cell r="D1600" t="str">
            <v>various light bulbs to be replaced</v>
          </cell>
          <cell r="E1600" t="str">
            <v>Barrie Beard Ltd</v>
          </cell>
          <cell r="F1600" t="str">
            <v>Subcontractor</v>
          </cell>
          <cell r="G1600" t="str">
            <v/>
          </cell>
          <cell r="H1600" t="str">
            <v/>
          </cell>
          <cell r="I1600" t="str">
            <v/>
          </cell>
          <cell r="J1600">
            <v>186</v>
          </cell>
          <cell r="K1600">
            <v>37.200000000000003</v>
          </cell>
          <cell r="L1600">
            <v>186</v>
          </cell>
          <cell r="M1600" t="str">
            <v/>
          </cell>
          <cell r="N1600">
            <v>0</v>
          </cell>
        </row>
        <row r="1601">
          <cell r="A1601">
            <v>15789</v>
          </cell>
          <cell r="B1601" t="str">
            <v>06/03/2019</v>
          </cell>
          <cell r="C1601" t="str">
            <v>CALLOUT</v>
          </cell>
          <cell r="D1601" t="str">
            <v>Rectify fault AC Unit on Ground</v>
          </cell>
          <cell r="E1601" t="str">
            <v>Commercial Temperature Solutions</v>
          </cell>
          <cell r="F1601" t="str">
            <v>Subcontractor</v>
          </cell>
          <cell r="G1601" t="str">
            <v/>
          </cell>
          <cell r="H1601" t="str">
            <v/>
          </cell>
          <cell r="I1601" t="str">
            <v/>
          </cell>
          <cell r="J1601">
            <v>124.36</v>
          </cell>
          <cell r="K1601">
            <v>24.87</v>
          </cell>
          <cell r="L1601">
            <v>124.36</v>
          </cell>
          <cell r="M1601" t="str">
            <v/>
          </cell>
          <cell r="N1601">
            <v>0</v>
          </cell>
        </row>
        <row r="1602">
          <cell r="A1602">
            <v>15787</v>
          </cell>
          <cell r="B1602" t="str">
            <v>06/03/2019</v>
          </cell>
          <cell r="C1602" t="str">
            <v>C1590</v>
          </cell>
          <cell r="D1602" t="str">
            <v>Relocation of Flue and Ductwork Modifications</v>
          </cell>
          <cell r="E1602" t="str">
            <v>KSL Services</v>
          </cell>
          <cell r="F1602" t="str">
            <v>Subcontractor</v>
          </cell>
          <cell r="G1602" t="str">
            <v/>
          </cell>
          <cell r="H1602" t="str">
            <v/>
          </cell>
          <cell r="I1602" t="str">
            <v/>
          </cell>
          <cell r="J1602">
            <v>6563</v>
          </cell>
          <cell r="K1602">
            <v>1312.6</v>
          </cell>
          <cell r="L1602">
            <v>6563</v>
          </cell>
          <cell r="M1602" t="str">
            <v/>
          </cell>
          <cell r="N1602">
            <v>0</v>
          </cell>
        </row>
        <row r="1603">
          <cell r="A1603">
            <v>15785</v>
          </cell>
          <cell r="B1603" t="str">
            <v>05/03/2019</v>
          </cell>
          <cell r="C1603" t="str">
            <v>CALLOUT</v>
          </cell>
          <cell r="D1603" t="str">
            <v>Investigate pilot light on gas boiler</v>
          </cell>
          <cell r="E1603" t="str">
            <v>G Sanderson Domestic &amp; Commercial Ltd</v>
          </cell>
          <cell r="F1603" t="str">
            <v>Subcontractor</v>
          </cell>
          <cell r="G1603" t="str">
            <v/>
          </cell>
          <cell r="H1603" t="str">
            <v/>
          </cell>
          <cell r="I1603" t="str">
            <v/>
          </cell>
          <cell r="J1603">
            <v>95</v>
          </cell>
          <cell r="K1603">
            <v>19</v>
          </cell>
          <cell r="L1603">
            <v>95</v>
          </cell>
          <cell r="M1603" t="str">
            <v/>
          </cell>
          <cell r="N1603">
            <v>0</v>
          </cell>
        </row>
        <row r="1604">
          <cell r="A1604">
            <v>15781</v>
          </cell>
          <cell r="B1604" t="str">
            <v>05/03/2019</v>
          </cell>
          <cell r="C1604" t="str">
            <v>QUOTED</v>
          </cell>
          <cell r="D1604" t="str">
            <v>Darwen AC</v>
          </cell>
          <cell r="E1604" t="str">
            <v>Key Integrated Services North West Ltd</v>
          </cell>
          <cell r="F1604" t="str">
            <v>Subcontractor</v>
          </cell>
          <cell r="G1604" t="str">
            <v/>
          </cell>
          <cell r="H1604" t="str">
            <v/>
          </cell>
          <cell r="I1604" t="str">
            <v/>
          </cell>
          <cell r="J1604">
            <v>542.36</v>
          </cell>
          <cell r="K1604">
            <v>108.47</v>
          </cell>
          <cell r="L1604">
            <v>542.36</v>
          </cell>
          <cell r="M1604" t="str">
            <v/>
          </cell>
          <cell r="N1604">
            <v>0</v>
          </cell>
        </row>
        <row r="1605">
          <cell r="A1605">
            <v>15778</v>
          </cell>
          <cell r="B1605" t="str">
            <v>04/03/2019</v>
          </cell>
          <cell r="C1605" t="str">
            <v>CALLOUT</v>
          </cell>
          <cell r="D1605" t="str">
            <v>Callout- Towergate BIB Darlington- Investigate No Hot Water</v>
          </cell>
          <cell r="E1605" t="str">
            <v>AEP (NE) LLP</v>
          </cell>
          <cell r="F1605" t="str">
            <v>Subcontractor</v>
          </cell>
          <cell r="G1605" t="str">
            <v/>
          </cell>
          <cell r="H1605" t="str">
            <v/>
          </cell>
          <cell r="I1605" t="str">
            <v/>
          </cell>
          <cell r="J1605">
            <v>140</v>
          </cell>
          <cell r="K1605">
            <v>28</v>
          </cell>
          <cell r="L1605">
            <v>140</v>
          </cell>
          <cell r="M1605" t="str">
            <v/>
          </cell>
          <cell r="N1605">
            <v>0</v>
          </cell>
        </row>
        <row r="1606">
          <cell r="A1606">
            <v>15771</v>
          </cell>
          <cell r="B1606" t="str">
            <v>01/03/2019</v>
          </cell>
          <cell r="C1606" t="str">
            <v>C1560</v>
          </cell>
          <cell r="D1606" t="str">
            <v>Suplly of Labour as Quotation 13881</v>
          </cell>
          <cell r="E1606" t="str">
            <v>Defabs Engineering Ltd</v>
          </cell>
          <cell r="F1606" t="str">
            <v>Subcontractor</v>
          </cell>
          <cell r="G1606" t="str">
            <v>01/03/2019</v>
          </cell>
          <cell r="H1606" t="str">
            <v>Complete</v>
          </cell>
          <cell r="I1606" t="str">
            <v/>
          </cell>
          <cell r="J1606">
            <v>0</v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</row>
        <row r="1607">
          <cell r="A1607">
            <v>15770</v>
          </cell>
          <cell r="B1607" t="str">
            <v>01/03/2019</v>
          </cell>
          <cell r="C1607" t="str">
            <v>C1560</v>
          </cell>
          <cell r="D1607" t="str">
            <v>Supply of Labour to Quotation 13880</v>
          </cell>
          <cell r="E1607" t="str">
            <v>Defabs Engineering Ltd</v>
          </cell>
          <cell r="F1607" t="str">
            <v>Subcontractor</v>
          </cell>
          <cell r="G1607" t="str">
            <v>01/03/2019</v>
          </cell>
          <cell r="H1607" t="str">
            <v>Complete</v>
          </cell>
          <cell r="I1607" t="str">
            <v/>
          </cell>
          <cell r="J1607">
            <v>0</v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</row>
        <row r="1608">
          <cell r="A1608">
            <v>15768</v>
          </cell>
          <cell r="B1608" t="str">
            <v>01/03/2019</v>
          </cell>
          <cell r="C1608" t="str">
            <v>C1606</v>
          </cell>
          <cell r="D1608" t="str">
            <v>Installation of Ductwork Systems</v>
          </cell>
          <cell r="E1608" t="str">
            <v>Coolduct Ltd</v>
          </cell>
          <cell r="F1608" t="str">
            <v>Subcontractor</v>
          </cell>
          <cell r="G1608" t="str">
            <v>01/03/2019</v>
          </cell>
          <cell r="H1608" t="str">
            <v/>
          </cell>
          <cell r="I1608" t="str">
            <v/>
          </cell>
          <cell r="J1608">
            <v>12000</v>
          </cell>
          <cell r="K1608">
            <v>0</v>
          </cell>
          <cell r="L1608">
            <v>12000</v>
          </cell>
          <cell r="M1608" t="str">
            <v/>
          </cell>
          <cell r="N1608">
            <v>0</v>
          </cell>
        </row>
        <row r="1609">
          <cell r="A1609">
            <v>15766</v>
          </cell>
          <cell r="B1609" t="str">
            <v>01/03/2019</v>
          </cell>
          <cell r="C1609" t="str">
            <v>C1603</v>
          </cell>
          <cell r="D1609" t="str">
            <v>1 day air balancing on Monday 04th</v>
          </cell>
          <cell r="E1609" t="str">
            <v>Commissioning &amp; Maintenance Services Ltd</v>
          </cell>
          <cell r="F1609" t="str">
            <v>Subcontractor</v>
          </cell>
          <cell r="G1609" t="str">
            <v>04/03/2019</v>
          </cell>
          <cell r="H1609" t="str">
            <v>Part</v>
          </cell>
          <cell r="I1609" t="str">
            <v/>
          </cell>
          <cell r="J1609">
            <v>830</v>
          </cell>
          <cell r="K1609">
            <v>166</v>
          </cell>
          <cell r="L1609">
            <v>830</v>
          </cell>
          <cell r="M1609" t="str">
            <v/>
          </cell>
          <cell r="N1609">
            <v>0</v>
          </cell>
        </row>
        <row r="1610">
          <cell r="A1610">
            <v>15763</v>
          </cell>
          <cell r="B1610" t="str">
            <v>01/03/2019</v>
          </cell>
          <cell r="C1610" t="str">
            <v>C1490</v>
          </cell>
          <cell r="D1610" t="str">
            <v/>
          </cell>
          <cell r="E1610" t="str">
            <v>Speedrite NE Ltd</v>
          </cell>
          <cell r="F1610" t="str">
            <v>Subcontractor</v>
          </cell>
          <cell r="G1610" t="str">
            <v>29/03/2019</v>
          </cell>
          <cell r="H1610" t="str">
            <v/>
          </cell>
          <cell r="I1610" t="str">
            <v/>
          </cell>
          <cell r="J1610">
            <v>200</v>
          </cell>
          <cell r="K1610">
            <v>40</v>
          </cell>
          <cell r="L1610">
            <v>200</v>
          </cell>
          <cell r="M1610" t="str">
            <v/>
          </cell>
          <cell r="N1610">
            <v>0</v>
          </cell>
        </row>
        <row r="1611">
          <cell r="A1611">
            <v>15744</v>
          </cell>
          <cell r="B1611" t="str">
            <v>27/02/2019</v>
          </cell>
          <cell r="C1611" t="str">
            <v>C1593</v>
          </cell>
          <cell r="D1611" t="str">
            <v>Daywork to Install Underground water main</v>
          </cell>
          <cell r="E1611" t="str">
            <v>Technical Utilities Services UK Ltd</v>
          </cell>
          <cell r="F1611" t="str">
            <v>Subcontractor</v>
          </cell>
          <cell r="G1611" t="str">
            <v/>
          </cell>
          <cell r="H1611" t="str">
            <v/>
          </cell>
          <cell r="I1611" t="str">
            <v/>
          </cell>
          <cell r="J1611">
            <v>1400</v>
          </cell>
          <cell r="K1611">
            <v>280</v>
          </cell>
          <cell r="L1611">
            <v>1400</v>
          </cell>
          <cell r="M1611" t="str">
            <v/>
          </cell>
          <cell r="N1611">
            <v>0</v>
          </cell>
        </row>
        <row r="1612">
          <cell r="A1612">
            <v>15736</v>
          </cell>
          <cell r="B1612" t="str">
            <v>27/02/2019</v>
          </cell>
          <cell r="C1612" t="str">
            <v>C1608</v>
          </cell>
          <cell r="D1612" t="str">
            <v/>
          </cell>
          <cell r="E1612" t="str">
            <v>Defabs Engineering Ltd</v>
          </cell>
          <cell r="F1612" t="str">
            <v>Subcontractor</v>
          </cell>
          <cell r="G1612" t="str">
            <v>28/02/2019</v>
          </cell>
          <cell r="H1612" t="str">
            <v/>
          </cell>
          <cell r="I1612" t="str">
            <v/>
          </cell>
          <cell r="J1612">
            <v>2180</v>
          </cell>
          <cell r="K1612">
            <v>436</v>
          </cell>
          <cell r="L1612">
            <v>2180</v>
          </cell>
          <cell r="M1612" t="str">
            <v/>
          </cell>
          <cell r="N1612">
            <v>0</v>
          </cell>
        </row>
        <row r="1613">
          <cell r="A1613">
            <v>15731</v>
          </cell>
          <cell r="B1613" t="str">
            <v>26/02/2019</v>
          </cell>
          <cell r="C1613" t="str">
            <v>CALLOUT</v>
          </cell>
          <cell r="D1613" t="str">
            <v>Call Out today to investigate leaking Pipe in the Toilet</v>
          </cell>
          <cell r="E1613" t="str">
            <v>Viabl Ltd T/A Able</v>
          </cell>
          <cell r="F1613" t="str">
            <v>Subcontractor</v>
          </cell>
          <cell r="G1613" t="str">
            <v/>
          </cell>
          <cell r="H1613" t="str">
            <v/>
          </cell>
          <cell r="I1613" t="str">
            <v/>
          </cell>
          <cell r="J1613">
            <v>174.8</v>
          </cell>
          <cell r="K1613">
            <v>34.96</v>
          </cell>
          <cell r="L1613">
            <v>174.8</v>
          </cell>
          <cell r="M1613" t="str">
            <v/>
          </cell>
          <cell r="N1613">
            <v>0</v>
          </cell>
        </row>
        <row r="1614">
          <cell r="A1614">
            <v>15722</v>
          </cell>
          <cell r="B1614" t="str">
            <v>25/02/2019</v>
          </cell>
          <cell r="C1614" t="str">
            <v>CALLOUT</v>
          </cell>
          <cell r="D1614" t="str">
            <v>S+F new handryer</v>
          </cell>
          <cell r="E1614" t="str">
            <v>Barrie Beard Ltd</v>
          </cell>
          <cell r="F1614" t="str">
            <v>Subcontractor</v>
          </cell>
          <cell r="G1614" t="str">
            <v/>
          </cell>
          <cell r="H1614" t="str">
            <v/>
          </cell>
          <cell r="I1614" t="str">
            <v/>
          </cell>
          <cell r="J1614">
            <v>235</v>
          </cell>
          <cell r="K1614">
            <v>47</v>
          </cell>
          <cell r="L1614">
            <v>235</v>
          </cell>
          <cell r="M1614" t="str">
            <v/>
          </cell>
          <cell r="N1614">
            <v>0</v>
          </cell>
        </row>
        <row r="1615">
          <cell r="A1615">
            <v>15720</v>
          </cell>
          <cell r="B1615" t="str">
            <v>25/02/2019</v>
          </cell>
          <cell r="C1615" t="str">
            <v>CALLOUT</v>
          </cell>
          <cell r="D1615" t="str">
            <v>Carry out Water Risk Assessment</v>
          </cell>
          <cell r="E1615" t="str">
            <v>Hydraclean Ltd</v>
          </cell>
          <cell r="F1615" t="str">
            <v>Subcontractor</v>
          </cell>
          <cell r="G1615" t="str">
            <v/>
          </cell>
          <cell r="H1615" t="str">
            <v/>
          </cell>
          <cell r="I1615" t="str">
            <v/>
          </cell>
          <cell r="J1615">
            <v>350</v>
          </cell>
          <cell r="K1615">
            <v>70</v>
          </cell>
          <cell r="L1615">
            <v>350</v>
          </cell>
          <cell r="M1615" t="str">
            <v/>
          </cell>
          <cell r="N1615">
            <v>0</v>
          </cell>
        </row>
        <row r="1616">
          <cell r="A1616">
            <v>15719</v>
          </cell>
          <cell r="B1616" t="str">
            <v>25/02/2019</v>
          </cell>
          <cell r="C1616" t="str">
            <v>SERVICE</v>
          </cell>
          <cell r="D1616" t="str">
            <v>12 months Hygiene Contract</v>
          </cell>
          <cell r="E1616" t="str">
            <v>Hydraclean Ltd</v>
          </cell>
          <cell r="F1616" t="str">
            <v>Subcontractor</v>
          </cell>
          <cell r="G1616" t="str">
            <v/>
          </cell>
          <cell r="H1616" t="str">
            <v/>
          </cell>
          <cell r="I1616" t="str">
            <v/>
          </cell>
          <cell r="J1616">
            <v>540</v>
          </cell>
          <cell r="K1616">
            <v>108</v>
          </cell>
          <cell r="L1616">
            <v>540</v>
          </cell>
          <cell r="M1616" t="str">
            <v/>
          </cell>
          <cell r="N1616">
            <v>0</v>
          </cell>
        </row>
        <row r="1617">
          <cell r="A1617">
            <v>15718</v>
          </cell>
          <cell r="B1617" t="str">
            <v>25/02/2019</v>
          </cell>
          <cell r="C1617" t="str">
            <v>SERVICE</v>
          </cell>
          <cell r="D1617" t="str">
            <v>12 Months Water Hygiene</v>
          </cell>
          <cell r="E1617" t="str">
            <v>Hydraclean Ltd</v>
          </cell>
          <cell r="F1617" t="str">
            <v>Subcontractor</v>
          </cell>
          <cell r="G1617" t="str">
            <v/>
          </cell>
          <cell r="H1617" t="str">
            <v/>
          </cell>
          <cell r="I1617" t="str">
            <v/>
          </cell>
          <cell r="J1617">
            <v>380</v>
          </cell>
          <cell r="K1617">
            <v>76</v>
          </cell>
          <cell r="L1617">
            <v>380</v>
          </cell>
          <cell r="M1617" t="str">
            <v/>
          </cell>
          <cell r="N1617">
            <v>0</v>
          </cell>
        </row>
        <row r="1618">
          <cell r="A1618">
            <v>15715</v>
          </cell>
          <cell r="B1618" t="str">
            <v>25/02/2019</v>
          </cell>
          <cell r="C1618" t="str">
            <v>QUOTED</v>
          </cell>
          <cell r="D1618" t="str">
            <v>Electrical Supply 2no:Split Systems</v>
          </cell>
          <cell r="E1618" t="str">
            <v>Key Integrated Services North West Ltd</v>
          </cell>
          <cell r="F1618" t="str">
            <v>Subcontractor</v>
          </cell>
          <cell r="G1618" t="str">
            <v/>
          </cell>
          <cell r="H1618" t="str">
            <v/>
          </cell>
          <cell r="I1618" t="str">
            <v/>
          </cell>
          <cell r="J1618">
            <v>600</v>
          </cell>
          <cell r="K1618">
            <v>120</v>
          </cell>
          <cell r="L1618">
            <v>600</v>
          </cell>
          <cell r="M1618" t="str">
            <v/>
          </cell>
          <cell r="N1618">
            <v>0</v>
          </cell>
        </row>
        <row r="1619">
          <cell r="A1619">
            <v>15712</v>
          </cell>
          <cell r="B1619" t="str">
            <v>25/02/2019</v>
          </cell>
          <cell r="C1619" t="str">
            <v>CALLOUT</v>
          </cell>
          <cell r="D1619" t="str">
            <v>1 x tap to be replaced</v>
          </cell>
          <cell r="E1619" t="str">
            <v>AEP (NE) LLP</v>
          </cell>
          <cell r="F1619" t="str">
            <v>Subcontractor</v>
          </cell>
          <cell r="G1619" t="str">
            <v/>
          </cell>
          <cell r="H1619" t="str">
            <v>Part</v>
          </cell>
          <cell r="I1619" t="str">
            <v/>
          </cell>
          <cell r="J1619">
            <v>106.7</v>
          </cell>
          <cell r="K1619">
            <v>21.34</v>
          </cell>
          <cell r="L1619">
            <v>106.7</v>
          </cell>
          <cell r="M1619" t="str">
            <v/>
          </cell>
          <cell r="N1619">
            <v>0</v>
          </cell>
        </row>
        <row r="1620">
          <cell r="A1620">
            <v>15708</v>
          </cell>
          <cell r="B1620" t="str">
            <v>22/02/2019</v>
          </cell>
          <cell r="C1620" t="str">
            <v>C1560</v>
          </cell>
          <cell r="D1620" t="str">
            <v>thermal insulation works at enfield</v>
          </cell>
          <cell r="E1620" t="str">
            <v>OLD COUGAR ACCOUNT- DO NOT USE</v>
          </cell>
          <cell r="F1620" t="str">
            <v>Subcontractor</v>
          </cell>
          <cell r="G1620" t="str">
            <v/>
          </cell>
          <cell r="H1620" t="str">
            <v/>
          </cell>
          <cell r="I1620" t="str">
            <v/>
          </cell>
          <cell r="J1620">
            <v>8167.5</v>
          </cell>
          <cell r="K1620">
            <v>1633.5</v>
          </cell>
          <cell r="L1620">
            <v>8167.5</v>
          </cell>
          <cell r="M1620" t="str">
            <v/>
          </cell>
          <cell r="N1620">
            <v>0</v>
          </cell>
        </row>
        <row r="1621">
          <cell r="A1621">
            <v>15705</v>
          </cell>
          <cell r="B1621" t="str">
            <v>22/02/2019</v>
          </cell>
          <cell r="C1621" t="str">
            <v>C1608</v>
          </cell>
          <cell r="D1621" t="str">
            <v/>
          </cell>
          <cell r="E1621" t="str">
            <v>Key Integrated Services (Electrical) Ltd</v>
          </cell>
          <cell r="F1621" t="str">
            <v>Subcontractor</v>
          </cell>
          <cell r="G1621" t="str">
            <v>03/03/2019</v>
          </cell>
          <cell r="H1621" t="str">
            <v>Part</v>
          </cell>
          <cell r="I1621" t="str">
            <v/>
          </cell>
          <cell r="J1621">
            <v>149583.82</v>
          </cell>
          <cell r="K1621">
            <v>29916.76</v>
          </cell>
          <cell r="L1621">
            <v>146474.67000000001</v>
          </cell>
          <cell r="M1621" t="str">
            <v/>
          </cell>
          <cell r="N1621">
            <v>3109.15</v>
          </cell>
        </row>
        <row r="1622">
          <cell r="A1622">
            <v>15702</v>
          </cell>
          <cell r="B1622" t="str">
            <v>22/02/2019</v>
          </cell>
          <cell r="C1622" t="str">
            <v>SERVICE</v>
          </cell>
          <cell r="D1622" t="str">
            <v>L8's 22.2.19</v>
          </cell>
          <cell r="E1622" t="str">
            <v>Commercial Temperature Solutions</v>
          </cell>
          <cell r="F1622" t="str">
            <v>Subcontractor</v>
          </cell>
          <cell r="G1622" t="str">
            <v/>
          </cell>
          <cell r="H1622" t="str">
            <v/>
          </cell>
          <cell r="I1622" t="str">
            <v/>
          </cell>
          <cell r="J1622">
            <v>100</v>
          </cell>
          <cell r="K1622">
            <v>20</v>
          </cell>
          <cell r="L1622">
            <v>0</v>
          </cell>
          <cell r="M1622" t="str">
            <v/>
          </cell>
          <cell r="N1622">
            <v>100</v>
          </cell>
        </row>
        <row r="1623">
          <cell r="A1623">
            <v>15697</v>
          </cell>
          <cell r="B1623" t="str">
            <v>21/02/2019</v>
          </cell>
          <cell r="C1623" t="str">
            <v>C1607</v>
          </cell>
          <cell r="D1623" t="str">
            <v>Electrical Installation in Accordance with Cunnington Clark</v>
          </cell>
          <cell r="E1623" t="str">
            <v>Key Integrated Services North West Ltd</v>
          </cell>
          <cell r="F1623" t="str">
            <v>Subcontractor</v>
          </cell>
          <cell r="G1623" t="str">
            <v>25/02/2019</v>
          </cell>
          <cell r="H1623" t="str">
            <v>Part</v>
          </cell>
          <cell r="I1623" t="str">
            <v/>
          </cell>
          <cell r="J1623">
            <v>305459.53000000003</v>
          </cell>
          <cell r="K1623">
            <v>61091.91</v>
          </cell>
          <cell r="L1623">
            <v>391859.44</v>
          </cell>
          <cell r="M1623" t="str">
            <v/>
          </cell>
          <cell r="N1623">
            <v>-86399.91</v>
          </cell>
        </row>
        <row r="1624">
          <cell r="A1624">
            <v>15695</v>
          </cell>
          <cell r="B1624" t="str">
            <v>21/02/2019</v>
          </cell>
          <cell r="C1624" t="str">
            <v>C1560</v>
          </cell>
          <cell r="D1624" t="str">
            <v>Installation of bracketry at Enfield</v>
          </cell>
          <cell r="E1624" t="str">
            <v>Defabs Engineering Ltd</v>
          </cell>
          <cell r="F1624" t="str">
            <v>Subcontractor</v>
          </cell>
          <cell r="G1624" t="str">
            <v>21/02/2019</v>
          </cell>
          <cell r="H1624" t="str">
            <v>Complete</v>
          </cell>
          <cell r="I1624" t="str">
            <v/>
          </cell>
          <cell r="J1624">
            <v>0</v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</row>
        <row r="1625">
          <cell r="A1625">
            <v>15694</v>
          </cell>
          <cell r="B1625" t="str">
            <v>21/02/2019</v>
          </cell>
          <cell r="C1625" t="str">
            <v>C1560</v>
          </cell>
          <cell r="D1625" t="str">
            <v>Install 1st Floor AC system at Enfield</v>
          </cell>
          <cell r="E1625" t="str">
            <v>Manchester Refrigeration Techniques Ltd</v>
          </cell>
          <cell r="F1625" t="str">
            <v>Subcontractor</v>
          </cell>
          <cell r="G1625" t="str">
            <v>25/02/2019</v>
          </cell>
          <cell r="H1625" t="str">
            <v/>
          </cell>
          <cell r="I1625" t="str">
            <v/>
          </cell>
          <cell r="J1625">
            <v>4520.8</v>
          </cell>
          <cell r="K1625">
            <v>904.16</v>
          </cell>
          <cell r="L1625">
            <v>4520.8</v>
          </cell>
          <cell r="M1625" t="str">
            <v/>
          </cell>
          <cell r="N1625">
            <v>0</v>
          </cell>
        </row>
        <row r="1626">
          <cell r="A1626">
            <v>15693</v>
          </cell>
          <cell r="B1626" t="str">
            <v>21/02/2019</v>
          </cell>
          <cell r="C1626" t="str">
            <v>C1560</v>
          </cell>
          <cell r="D1626" t="str">
            <v>Thermal Insulation at Enfield using st/st cladding</v>
          </cell>
          <cell r="E1626" t="str">
            <v>OLD COUGAR ACCOUNT- DO NOT USE</v>
          </cell>
          <cell r="F1626" t="str">
            <v>Subcontractor</v>
          </cell>
          <cell r="G1626" t="str">
            <v>22/02/2019</v>
          </cell>
          <cell r="H1626" t="str">
            <v>Complete</v>
          </cell>
          <cell r="I1626" t="str">
            <v/>
          </cell>
          <cell r="J1626">
            <v>0</v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</row>
        <row r="1627">
          <cell r="A1627">
            <v>15691</v>
          </cell>
          <cell r="B1627" t="str">
            <v>20/02/2019</v>
          </cell>
          <cell r="C1627" t="str">
            <v>CALLOUT</v>
          </cell>
          <cell r="D1627" t="str">
            <v>Replace various fluorescent tubes as per list</v>
          </cell>
          <cell r="E1627" t="str">
            <v>Derek Austin Heating Limited</v>
          </cell>
          <cell r="F1627" t="str">
            <v>Subcontractor</v>
          </cell>
          <cell r="G1627" t="str">
            <v/>
          </cell>
          <cell r="H1627" t="str">
            <v/>
          </cell>
          <cell r="I1627" t="str">
            <v/>
          </cell>
          <cell r="J1627">
            <v>157.5</v>
          </cell>
          <cell r="K1627">
            <v>31.5</v>
          </cell>
          <cell r="L1627">
            <v>157.5</v>
          </cell>
          <cell r="M1627" t="str">
            <v/>
          </cell>
          <cell r="N1627">
            <v>0</v>
          </cell>
        </row>
        <row r="1628">
          <cell r="A1628">
            <v>15688</v>
          </cell>
          <cell r="B1628" t="str">
            <v>20/02/2019</v>
          </cell>
          <cell r="C1628" t="str">
            <v>C1568</v>
          </cell>
          <cell r="D1628" t="str">
            <v>Scope Of Works:</v>
          </cell>
          <cell r="E1628" t="str">
            <v>Kemtile Ltd</v>
          </cell>
          <cell r="F1628" t="str">
            <v>Subcontractor</v>
          </cell>
          <cell r="G1628" t="str">
            <v/>
          </cell>
          <cell r="H1628" t="str">
            <v>Part</v>
          </cell>
          <cell r="I1628" t="str">
            <v>Posted</v>
          </cell>
          <cell r="J1628">
            <v>40999.120000000003</v>
          </cell>
          <cell r="K1628">
            <v>8199.82</v>
          </cell>
          <cell r="L1628">
            <v>40999.11</v>
          </cell>
          <cell r="M1628" t="str">
            <v/>
          </cell>
          <cell r="N1628">
            <v>0.01</v>
          </cell>
        </row>
        <row r="1629">
          <cell r="A1629">
            <v>15681</v>
          </cell>
          <cell r="B1629" t="str">
            <v>20/02/2019</v>
          </cell>
          <cell r="C1629" t="str">
            <v>CALLOUT</v>
          </cell>
          <cell r="D1629" t="str">
            <v>4 x lights out</v>
          </cell>
          <cell r="E1629" t="str">
            <v>Viabl Ltd T/A Able</v>
          </cell>
          <cell r="F1629" t="str">
            <v>Subcontractor</v>
          </cell>
          <cell r="G1629" t="str">
            <v/>
          </cell>
          <cell r="H1629" t="str">
            <v>Part</v>
          </cell>
          <cell r="I1629" t="str">
            <v/>
          </cell>
          <cell r="J1629">
            <v>291.74</v>
          </cell>
          <cell r="K1629">
            <v>58.35</v>
          </cell>
          <cell r="L1629">
            <v>291.74</v>
          </cell>
          <cell r="M1629" t="str">
            <v/>
          </cell>
          <cell r="N1629">
            <v>0</v>
          </cell>
        </row>
        <row r="1630">
          <cell r="A1630">
            <v>15679</v>
          </cell>
          <cell r="B1630" t="str">
            <v>20/02/2019</v>
          </cell>
          <cell r="C1630" t="str">
            <v>CALLOUT</v>
          </cell>
          <cell r="D1630" t="str">
            <v>flush handle in gents wc</v>
          </cell>
          <cell r="E1630" t="str">
            <v>K Gammon Plumbing &amp; Heating Ltd</v>
          </cell>
          <cell r="F1630" t="str">
            <v>Subcontractor</v>
          </cell>
          <cell r="G1630" t="str">
            <v/>
          </cell>
          <cell r="H1630" t="str">
            <v/>
          </cell>
          <cell r="I1630" t="str">
            <v/>
          </cell>
          <cell r="J1630">
            <v>108</v>
          </cell>
          <cell r="K1630">
            <v>21.6</v>
          </cell>
          <cell r="L1630">
            <v>108</v>
          </cell>
          <cell r="M1630" t="str">
            <v/>
          </cell>
          <cell r="N1630">
            <v>0</v>
          </cell>
        </row>
        <row r="1631">
          <cell r="A1631">
            <v>15573</v>
          </cell>
          <cell r="B1631" t="str">
            <v>20/02/2019</v>
          </cell>
          <cell r="C1631" t="str">
            <v>C1532</v>
          </cell>
          <cell r="D1631" t="str">
            <v>Supply &amp; Installation of AC systems</v>
          </cell>
          <cell r="E1631" t="str">
            <v>Aerocool Ltd</v>
          </cell>
          <cell r="F1631" t="str">
            <v>Subcontractor</v>
          </cell>
          <cell r="G1631" t="str">
            <v>11/03/2019</v>
          </cell>
          <cell r="H1631" t="str">
            <v/>
          </cell>
          <cell r="I1631" t="str">
            <v/>
          </cell>
          <cell r="J1631">
            <v>29221</v>
          </cell>
          <cell r="K1631">
            <v>5844.2</v>
          </cell>
          <cell r="L1631">
            <v>29221</v>
          </cell>
          <cell r="M1631" t="str">
            <v/>
          </cell>
          <cell r="N1631">
            <v>0</v>
          </cell>
        </row>
        <row r="1632">
          <cell r="A1632">
            <v>15676</v>
          </cell>
          <cell r="B1632" t="str">
            <v>19/02/2019</v>
          </cell>
          <cell r="C1632" t="str">
            <v>CALLOUT</v>
          </cell>
          <cell r="D1632" t="str">
            <v>control unit not working on AC</v>
          </cell>
          <cell r="E1632" t="str">
            <v>Premiair Services</v>
          </cell>
          <cell r="F1632" t="str">
            <v>Subcontractor</v>
          </cell>
          <cell r="G1632" t="str">
            <v/>
          </cell>
          <cell r="H1632" t="str">
            <v/>
          </cell>
          <cell r="I1632" t="str">
            <v/>
          </cell>
          <cell r="J1632">
            <v>129.5</v>
          </cell>
          <cell r="K1632">
            <v>25.9</v>
          </cell>
          <cell r="L1632">
            <v>129.5</v>
          </cell>
          <cell r="M1632" t="str">
            <v/>
          </cell>
          <cell r="N1632">
            <v>0</v>
          </cell>
        </row>
        <row r="1633">
          <cell r="A1633">
            <v>15665</v>
          </cell>
          <cell r="B1633" t="str">
            <v>19/02/2019</v>
          </cell>
          <cell r="C1633" t="str">
            <v>SERVICE</v>
          </cell>
          <cell r="D1633" t="str">
            <v>Service 3 x lincat boilers</v>
          </cell>
          <cell r="E1633" t="str">
            <v>Commercial Temperature Solutions</v>
          </cell>
          <cell r="F1633" t="str">
            <v>Subcontractor</v>
          </cell>
          <cell r="G1633" t="str">
            <v/>
          </cell>
          <cell r="H1633" t="str">
            <v/>
          </cell>
          <cell r="I1633" t="str">
            <v/>
          </cell>
          <cell r="J1633">
            <v>165</v>
          </cell>
          <cell r="K1633">
            <v>33</v>
          </cell>
          <cell r="L1633">
            <v>165</v>
          </cell>
          <cell r="M1633" t="str">
            <v/>
          </cell>
          <cell r="N1633">
            <v>0</v>
          </cell>
        </row>
        <row r="1634">
          <cell r="A1634">
            <v>15659</v>
          </cell>
          <cell r="B1634" t="str">
            <v>18/02/2019</v>
          </cell>
          <cell r="C1634" t="str">
            <v>CALLOUT</v>
          </cell>
          <cell r="D1634" t="str">
            <v>7 banks of 4 lights out first fllor a 2 tubes main atruim</v>
          </cell>
          <cell r="E1634" t="str">
            <v>Barrie Beard Ltd</v>
          </cell>
          <cell r="F1634" t="str">
            <v>Subcontractor</v>
          </cell>
          <cell r="G1634" t="str">
            <v/>
          </cell>
          <cell r="H1634" t="str">
            <v/>
          </cell>
          <cell r="I1634" t="str">
            <v/>
          </cell>
          <cell r="J1634">
            <v>135</v>
          </cell>
          <cell r="K1634">
            <v>27</v>
          </cell>
          <cell r="L1634">
            <v>135</v>
          </cell>
          <cell r="M1634" t="str">
            <v/>
          </cell>
          <cell r="N1634">
            <v>0</v>
          </cell>
        </row>
        <row r="1635">
          <cell r="A1635">
            <v>15641</v>
          </cell>
          <cell r="B1635" t="str">
            <v>14/02/2019</v>
          </cell>
          <cell r="C1635" t="str">
            <v>C1593</v>
          </cell>
          <cell r="D1635" t="str">
            <v>Quotation as per H14579BA-C</v>
          </cell>
          <cell r="E1635" t="str">
            <v>Harroquip Pump Systems</v>
          </cell>
          <cell r="F1635" t="str">
            <v>Subcontractor</v>
          </cell>
          <cell r="G1635" t="str">
            <v>15/02/2019</v>
          </cell>
          <cell r="H1635" t="str">
            <v/>
          </cell>
          <cell r="I1635" t="str">
            <v/>
          </cell>
          <cell r="J1635">
            <v>17980</v>
          </cell>
          <cell r="K1635">
            <v>3596</v>
          </cell>
          <cell r="L1635">
            <v>18980</v>
          </cell>
          <cell r="M1635" t="str">
            <v/>
          </cell>
          <cell r="N1635">
            <v>-1000</v>
          </cell>
        </row>
        <row r="1636">
          <cell r="A1636">
            <v>15640</v>
          </cell>
          <cell r="B1636" t="str">
            <v>14/02/2019</v>
          </cell>
          <cell r="C1636" t="str">
            <v>C1532</v>
          </cell>
          <cell r="D1636" t="str">
            <v>Supply &amp; Installation of DWS &amp; AGD as per quote ref:</v>
          </cell>
          <cell r="E1636" t="str">
            <v>GLS Plumbing &amp; Heating Ltd</v>
          </cell>
          <cell r="F1636" t="str">
            <v>Subcontractor</v>
          </cell>
          <cell r="G1636" t="str">
            <v>25/02/2019</v>
          </cell>
          <cell r="H1636" t="str">
            <v/>
          </cell>
          <cell r="I1636" t="str">
            <v/>
          </cell>
          <cell r="J1636">
            <v>25243.96</v>
          </cell>
          <cell r="K1636">
            <v>5048.79</v>
          </cell>
          <cell r="L1636">
            <v>25243.96</v>
          </cell>
          <cell r="M1636" t="str">
            <v/>
          </cell>
          <cell r="N1636">
            <v>0</v>
          </cell>
        </row>
        <row r="1637">
          <cell r="A1637">
            <v>15637</v>
          </cell>
          <cell r="B1637" t="str">
            <v>14/02/2019</v>
          </cell>
          <cell r="C1637" t="str">
            <v>C1607</v>
          </cell>
          <cell r="D1637" t="str">
            <v>Installation of Tempoarary Water Main &amp; Plumbing Works to To</v>
          </cell>
          <cell r="E1637" t="str">
            <v>North West Renewables Ltd</v>
          </cell>
          <cell r="F1637" t="str">
            <v>Subcontractor</v>
          </cell>
          <cell r="G1637" t="str">
            <v>11/02/2019</v>
          </cell>
          <cell r="H1637" t="str">
            <v/>
          </cell>
          <cell r="I1637" t="str">
            <v/>
          </cell>
          <cell r="J1637">
            <v>705</v>
          </cell>
          <cell r="K1637">
            <v>141</v>
          </cell>
          <cell r="L1637">
            <v>705</v>
          </cell>
          <cell r="M1637" t="str">
            <v/>
          </cell>
          <cell r="N1637">
            <v>0</v>
          </cell>
        </row>
        <row r="1638">
          <cell r="A1638">
            <v>15634</v>
          </cell>
          <cell r="B1638" t="str">
            <v>13/02/2019</v>
          </cell>
          <cell r="C1638" t="str">
            <v>C1600</v>
          </cell>
          <cell r="D1638" t="str">
            <v>DWS chlorination to the ground floor</v>
          </cell>
          <cell r="E1638" t="str">
            <v>MSB Hygiene Ltd</v>
          </cell>
          <cell r="F1638" t="str">
            <v>Subcontractor</v>
          </cell>
          <cell r="G1638" t="str">
            <v>01/03/2019</v>
          </cell>
          <cell r="H1638" t="str">
            <v/>
          </cell>
          <cell r="I1638" t="str">
            <v/>
          </cell>
          <cell r="J1638">
            <v>500</v>
          </cell>
          <cell r="K1638">
            <v>100</v>
          </cell>
          <cell r="L1638">
            <v>500</v>
          </cell>
          <cell r="M1638" t="str">
            <v/>
          </cell>
          <cell r="N1638">
            <v>0</v>
          </cell>
        </row>
        <row r="1639">
          <cell r="A1639">
            <v>15631</v>
          </cell>
          <cell r="B1639" t="str">
            <v>13/02/2019</v>
          </cell>
          <cell r="C1639" t="str">
            <v>SERVICE</v>
          </cell>
          <cell r="D1639" t="str">
            <v>service hamworthy boilers on site 19.2.19</v>
          </cell>
          <cell r="E1639" t="str">
            <v>Premiair Services</v>
          </cell>
          <cell r="F1639" t="str">
            <v>Subcontractor</v>
          </cell>
          <cell r="G1639" t="str">
            <v/>
          </cell>
          <cell r="H1639" t="str">
            <v/>
          </cell>
          <cell r="I1639" t="str">
            <v/>
          </cell>
          <cell r="J1639">
            <v>370</v>
          </cell>
          <cell r="K1639">
            <v>74</v>
          </cell>
          <cell r="L1639">
            <v>370</v>
          </cell>
          <cell r="M1639" t="str">
            <v/>
          </cell>
          <cell r="N1639">
            <v>0</v>
          </cell>
        </row>
        <row r="1640">
          <cell r="A1640">
            <v>15630</v>
          </cell>
          <cell r="B1640" t="str">
            <v>13/02/2019</v>
          </cell>
          <cell r="C1640" t="str">
            <v>SERVICE</v>
          </cell>
          <cell r="D1640" t="str">
            <v>1 x portable unit</v>
          </cell>
          <cell r="E1640" t="str">
            <v>Commercial Temperature Solutions</v>
          </cell>
          <cell r="F1640" t="str">
            <v>Subcontractor</v>
          </cell>
          <cell r="G1640" t="str">
            <v/>
          </cell>
          <cell r="H1640" t="str">
            <v/>
          </cell>
          <cell r="I1640" t="str">
            <v/>
          </cell>
          <cell r="J1640">
            <v>25</v>
          </cell>
          <cell r="K1640">
            <v>5</v>
          </cell>
          <cell r="L1640">
            <v>25</v>
          </cell>
          <cell r="M1640" t="str">
            <v/>
          </cell>
          <cell r="N1640">
            <v>0</v>
          </cell>
        </row>
        <row r="1641">
          <cell r="A1641">
            <v>15629</v>
          </cell>
          <cell r="B1641" t="str">
            <v>13/02/2019</v>
          </cell>
          <cell r="C1641" t="str">
            <v>SERVICE</v>
          </cell>
          <cell r="D1641" t="str">
            <v>1 x portable unit</v>
          </cell>
          <cell r="E1641" t="str">
            <v>Commercial Temperature Solutions</v>
          </cell>
          <cell r="F1641" t="str">
            <v>Subcontractor</v>
          </cell>
          <cell r="G1641" t="str">
            <v/>
          </cell>
          <cell r="H1641" t="str">
            <v/>
          </cell>
          <cell r="I1641" t="str">
            <v/>
          </cell>
          <cell r="J1641">
            <v>25</v>
          </cell>
          <cell r="K1641">
            <v>5</v>
          </cell>
          <cell r="L1641">
            <v>25</v>
          </cell>
          <cell r="M1641" t="str">
            <v/>
          </cell>
          <cell r="N1641">
            <v>0</v>
          </cell>
        </row>
        <row r="1642">
          <cell r="A1642">
            <v>15626</v>
          </cell>
          <cell r="B1642" t="str">
            <v>13/02/2019</v>
          </cell>
          <cell r="C1642" t="str">
            <v>CALLOUT</v>
          </cell>
          <cell r="D1642" t="str">
            <v>Intermittent fault on Boiler</v>
          </cell>
          <cell r="E1642" t="str">
            <v>Premiair Services</v>
          </cell>
          <cell r="F1642" t="str">
            <v>Subcontractor</v>
          </cell>
          <cell r="G1642" t="str">
            <v/>
          </cell>
          <cell r="H1642" t="str">
            <v/>
          </cell>
          <cell r="I1642" t="str">
            <v/>
          </cell>
          <cell r="J1642">
            <v>227</v>
          </cell>
          <cell r="K1642">
            <v>45.4</v>
          </cell>
          <cell r="L1642">
            <v>227</v>
          </cell>
          <cell r="M1642" t="str">
            <v/>
          </cell>
          <cell r="N1642">
            <v>0</v>
          </cell>
        </row>
        <row r="1643">
          <cell r="A1643">
            <v>15625</v>
          </cell>
          <cell r="B1643" t="str">
            <v>13/02/2019</v>
          </cell>
          <cell r="C1643" t="str">
            <v>SERVICE</v>
          </cell>
          <cell r="D1643" t="str">
            <v>service 6 units</v>
          </cell>
          <cell r="E1643" t="str">
            <v>Commercial Temperature Solutions</v>
          </cell>
          <cell r="F1643" t="str">
            <v>Subcontractor</v>
          </cell>
          <cell r="G1643" t="str">
            <v/>
          </cell>
          <cell r="H1643" t="str">
            <v/>
          </cell>
          <cell r="I1643" t="str">
            <v/>
          </cell>
          <cell r="J1643">
            <v>150</v>
          </cell>
          <cell r="K1643">
            <v>30</v>
          </cell>
          <cell r="L1643">
            <v>150</v>
          </cell>
          <cell r="M1643" t="str">
            <v/>
          </cell>
          <cell r="N1643">
            <v>0</v>
          </cell>
        </row>
        <row r="1644">
          <cell r="A1644">
            <v>15624</v>
          </cell>
          <cell r="B1644" t="str">
            <v>13/02/2019</v>
          </cell>
          <cell r="C1644" t="str">
            <v>SERVICE</v>
          </cell>
          <cell r="D1644" t="str">
            <v>service 2 x portable units</v>
          </cell>
          <cell r="E1644" t="str">
            <v>Commercial Temperature Solutions</v>
          </cell>
          <cell r="F1644" t="str">
            <v>Subcontractor</v>
          </cell>
          <cell r="G1644" t="str">
            <v/>
          </cell>
          <cell r="H1644" t="str">
            <v/>
          </cell>
          <cell r="I1644" t="str">
            <v/>
          </cell>
          <cell r="J1644">
            <v>50</v>
          </cell>
          <cell r="K1644">
            <v>10</v>
          </cell>
          <cell r="L1644">
            <v>50</v>
          </cell>
          <cell r="M1644" t="str">
            <v/>
          </cell>
          <cell r="N1644">
            <v>0</v>
          </cell>
        </row>
        <row r="1645">
          <cell r="A1645">
            <v>15623</v>
          </cell>
          <cell r="B1645" t="str">
            <v>13/02/2019</v>
          </cell>
          <cell r="C1645" t="str">
            <v>SERVICE</v>
          </cell>
          <cell r="D1645" t="str">
            <v>service 7no units</v>
          </cell>
          <cell r="E1645" t="str">
            <v>Commercial Temperature Solutions</v>
          </cell>
          <cell r="F1645" t="str">
            <v>Subcontractor</v>
          </cell>
          <cell r="G1645" t="str">
            <v/>
          </cell>
          <cell r="H1645" t="str">
            <v/>
          </cell>
          <cell r="I1645" t="str">
            <v/>
          </cell>
          <cell r="J1645">
            <v>175</v>
          </cell>
          <cell r="K1645">
            <v>35</v>
          </cell>
          <cell r="L1645">
            <v>175</v>
          </cell>
          <cell r="M1645" t="str">
            <v/>
          </cell>
          <cell r="N1645">
            <v>0</v>
          </cell>
        </row>
        <row r="1646">
          <cell r="A1646">
            <v>15616</v>
          </cell>
          <cell r="B1646" t="str">
            <v>12/02/2019</v>
          </cell>
          <cell r="C1646" t="str">
            <v>CALLOUT</v>
          </cell>
          <cell r="D1646" t="str">
            <v>Investigate no hot water in cleaners cupbaord</v>
          </cell>
          <cell r="E1646" t="str">
            <v>Commercial Temperature Solutions</v>
          </cell>
          <cell r="F1646" t="str">
            <v>Subcontractor</v>
          </cell>
          <cell r="G1646" t="str">
            <v/>
          </cell>
          <cell r="H1646" t="str">
            <v/>
          </cell>
          <cell r="I1646" t="str">
            <v/>
          </cell>
          <cell r="J1646">
            <v>120</v>
          </cell>
          <cell r="K1646">
            <v>24</v>
          </cell>
          <cell r="L1646">
            <v>120</v>
          </cell>
          <cell r="M1646" t="str">
            <v/>
          </cell>
          <cell r="N1646">
            <v>0</v>
          </cell>
        </row>
        <row r="1647">
          <cell r="A1647">
            <v>15615</v>
          </cell>
          <cell r="B1647" t="str">
            <v>12/02/2019</v>
          </cell>
          <cell r="C1647" t="str">
            <v>C1603</v>
          </cell>
          <cell r="D1647" t="str">
            <v>Paul H to complete</v>
          </cell>
          <cell r="E1647" t="str">
            <v>Defabs Engineering Ltd</v>
          </cell>
          <cell r="F1647" t="str">
            <v>Subcontractor</v>
          </cell>
          <cell r="G1647" t="str">
            <v/>
          </cell>
          <cell r="H1647" t="str">
            <v>Part</v>
          </cell>
          <cell r="I1647" t="str">
            <v/>
          </cell>
          <cell r="J1647">
            <v>35920.769999999997</v>
          </cell>
          <cell r="K1647">
            <v>7184.15</v>
          </cell>
          <cell r="L1647">
            <v>35920.76</v>
          </cell>
          <cell r="M1647" t="str">
            <v/>
          </cell>
          <cell r="N1647">
            <v>0.01</v>
          </cell>
        </row>
        <row r="1648">
          <cell r="A1648">
            <v>15602</v>
          </cell>
          <cell r="B1648" t="str">
            <v>11/02/2019</v>
          </cell>
          <cell r="C1648" t="str">
            <v>C1568</v>
          </cell>
          <cell r="D1648" t="str">
            <v>Scope of Works:</v>
          </cell>
          <cell r="E1648" t="str">
            <v>Cleveland Construction Northern Ltd</v>
          </cell>
          <cell r="F1648" t="str">
            <v>Subcontractor</v>
          </cell>
          <cell r="G1648" t="str">
            <v/>
          </cell>
          <cell r="H1648" t="str">
            <v/>
          </cell>
          <cell r="I1648" t="str">
            <v/>
          </cell>
          <cell r="J1648">
            <v>6622.61</v>
          </cell>
          <cell r="K1648">
            <v>1324.52</v>
          </cell>
          <cell r="L1648">
            <v>6622.61</v>
          </cell>
          <cell r="M1648" t="str">
            <v/>
          </cell>
          <cell r="N1648">
            <v>0</v>
          </cell>
        </row>
        <row r="1649">
          <cell r="A1649">
            <v>15600</v>
          </cell>
          <cell r="B1649" t="str">
            <v>08/02/2019</v>
          </cell>
          <cell r="C1649" t="str">
            <v>C1609</v>
          </cell>
          <cell r="D1649" t="str">
            <v>Replacement of FCU controls as per quote ref: Q7772 Rev 3</v>
          </cell>
          <cell r="E1649" t="str">
            <v>BG Energy Solutions Limited</v>
          </cell>
          <cell r="F1649" t="str">
            <v>Subcontractor</v>
          </cell>
          <cell r="G1649" t="str">
            <v>11/03/2019</v>
          </cell>
          <cell r="H1649" t="str">
            <v/>
          </cell>
          <cell r="I1649" t="str">
            <v/>
          </cell>
          <cell r="J1649">
            <v>9353</v>
          </cell>
          <cell r="K1649">
            <v>1870.6</v>
          </cell>
          <cell r="L1649">
            <v>9353</v>
          </cell>
          <cell r="M1649" t="str">
            <v/>
          </cell>
          <cell r="N1649">
            <v>0</v>
          </cell>
        </row>
        <row r="1650">
          <cell r="A1650">
            <v>15597</v>
          </cell>
          <cell r="B1650" t="str">
            <v>08/02/2019</v>
          </cell>
          <cell r="C1650" t="str">
            <v>CALLOUT</v>
          </cell>
          <cell r="D1650" t="str">
            <v>investigate issue with intermittant fault with boiler</v>
          </cell>
          <cell r="E1650" t="str">
            <v>Premiair Services</v>
          </cell>
          <cell r="F1650" t="str">
            <v>Subcontractor</v>
          </cell>
          <cell r="G1650" t="str">
            <v/>
          </cell>
          <cell r="H1650" t="str">
            <v>Part</v>
          </cell>
          <cell r="I1650" t="str">
            <v/>
          </cell>
          <cell r="J1650">
            <v>532</v>
          </cell>
          <cell r="K1650">
            <v>106.4</v>
          </cell>
          <cell r="L1650">
            <v>532</v>
          </cell>
          <cell r="M1650" t="str">
            <v/>
          </cell>
          <cell r="N1650">
            <v>0</v>
          </cell>
        </row>
        <row r="1651">
          <cell r="A1651">
            <v>15595</v>
          </cell>
          <cell r="B1651" t="str">
            <v>08/02/2019</v>
          </cell>
          <cell r="C1651" t="str">
            <v>CALLOUT</v>
          </cell>
          <cell r="D1651" t="str">
            <v>supply and fit new water boiler</v>
          </cell>
          <cell r="E1651" t="str">
            <v>K Gammon Plumbing &amp; Heating Ltd</v>
          </cell>
          <cell r="F1651" t="str">
            <v>Subcontractor</v>
          </cell>
          <cell r="G1651" t="str">
            <v/>
          </cell>
          <cell r="H1651" t="str">
            <v/>
          </cell>
          <cell r="I1651" t="str">
            <v/>
          </cell>
          <cell r="J1651">
            <v>390</v>
          </cell>
          <cell r="K1651">
            <v>78</v>
          </cell>
          <cell r="L1651">
            <v>390</v>
          </cell>
          <cell r="M1651" t="str">
            <v/>
          </cell>
          <cell r="N1651">
            <v>0</v>
          </cell>
        </row>
        <row r="1652">
          <cell r="A1652">
            <v>15590</v>
          </cell>
          <cell r="B1652" t="str">
            <v>08/02/2019</v>
          </cell>
          <cell r="C1652" t="str">
            <v>C1593</v>
          </cell>
          <cell r="D1652" t="str">
            <v>Supply of services as quotation 1141 Rev B</v>
          </cell>
          <cell r="E1652" t="str">
            <v>Red Gray Engineering Limited</v>
          </cell>
          <cell r="F1652" t="str">
            <v>Subcontractor</v>
          </cell>
          <cell r="G1652" t="str">
            <v/>
          </cell>
          <cell r="H1652" t="str">
            <v/>
          </cell>
          <cell r="I1652" t="str">
            <v>Posted</v>
          </cell>
          <cell r="J1652">
            <v>29226</v>
          </cell>
          <cell r="K1652">
            <v>5845.2</v>
          </cell>
          <cell r="L1652">
            <v>27339.200000000001</v>
          </cell>
          <cell r="M1652" t="str">
            <v/>
          </cell>
          <cell r="N1652">
            <v>1886.8</v>
          </cell>
        </row>
        <row r="1653">
          <cell r="A1653">
            <v>15586</v>
          </cell>
          <cell r="B1653" t="str">
            <v>08/02/2019</v>
          </cell>
          <cell r="C1653" t="str">
            <v>C1596</v>
          </cell>
          <cell r="D1653" t="str">
            <v>Armour Inox</v>
          </cell>
          <cell r="E1653" t="str">
            <v>Key Integrated Services (Electrical) Ltd</v>
          </cell>
          <cell r="F1653" t="str">
            <v>Subcontractor</v>
          </cell>
          <cell r="G1653" t="str">
            <v/>
          </cell>
          <cell r="H1653" t="str">
            <v/>
          </cell>
          <cell r="I1653" t="str">
            <v/>
          </cell>
          <cell r="J1653">
            <v>27193</v>
          </cell>
          <cell r="K1653">
            <v>5438.6</v>
          </cell>
          <cell r="L1653">
            <v>27193</v>
          </cell>
          <cell r="M1653" t="str">
            <v/>
          </cell>
          <cell r="N1653">
            <v>0</v>
          </cell>
        </row>
        <row r="1654">
          <cell r="A1654">
            <v>15584</v>
          </cell>
          <cell r="B1654" t="str">
            <v>08/02/2019</v>
          </cell>
          <cell r="C1654" t="str">
            <v>CALLOUT</v>
          </cell>
          <cell r="D1654" t="str">
            <v>disbaled wc leaking</v>
          </cell>
          <cell r="E1654" t="str">
            <v>K Gammon Plumbing &amp; Heating Ltd</v>
          </cell>
          <cell r="F1654" t="str">
            <v>Subcontractor</v>
          </cell>
          <cell r="G1654" t="str">
            <v/>
          </cell>
          <cell r="H1654" t="str">
            <v/>
          </cell>
          <cell r="I1654" t="str">
            <v/>
          </cell>
          <cell r="J1654">
            <v>74</v>
          </cell>
          <cell r="K1654">
            <v>14.8</v>
          </cell>
          <cell r="L1654">
            <v>74</v>
          </cell>
          <cell r="M1654" t="str">
            <v/>
          </cell>
          <cell r="N1654">
            <v>0</v>
          </cell>
        </row>
        <row r="1655">
          <cell r="A1655">
            <v>15577</v>
          </cell>
          <cell r="B1655" t="str">
            <v>07/02/2019</v>
          </cell>
          <cell r="C1655" t="str">
            <v>C1560</v>
          </cell>
          <cell r="D1655" t="str">
            <v>Insulation as Quotation CMS</v>
          </cell>
          <cell r="E1655" t="str">
            <v>OLD COUGAR ACCOUNT- DO NOT USE</v>
          </cell>
          <cell r="F1655" t="str">
            <v>Subcontractor</v>
          </cell>
          <cell r="G1655" t="str">
            <v>07/02/2019</v>
          </cell>
          <cell r="H1655" t="str">
            <v>Complete</v>
          </cell>
          <cell r="I1655" t="str">
            <v/>
          </cell>
          <cell r="J1655">
            <v>0</v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</row>
        <row r="1656">
          <cell r="A1656">
            <v>15575</v>
          </cell>
          <cell r="B1656" t="str">
            <v>07/02/2019</v>
          </cell>
          <cell r="C1656" t="str">
            <v>CALLOUT</v>
          </cell>
          <cell r="D1656" t="str">
            <v>ceiling lights out</v>
          </cell>
          <cell r="E1656" t="str">
            <v>Key Integrated Services North West Ltd</v>
          </cell>
          <cell r="F1656" t="str">
            <v>Subcontractor</v>
          </cell>
          <cell r="G1656" t="str">
            <v/>
          </cell>
          <cell r="H1656" t="str">
            <v/>
          </cell>
          <cell r="I1656" t="str">
            <v/>
          </cell>
          <cell r="J1656">
            <v>250</v>
          </cell>
          <cell r="K1656">
            <v>50</v>
          </cell>
          <cell r="L1656">
            <v>250</v>
          </cell>
          <cell r="M1656" t="str">
            <v/>
          </cell>
          <cell r="N1656">
            <v>0</v>
          </cell>
        </row>
        <row r="1657">
          <cell r="A1657">
            <v>15570</v>
          </cell>
          <cell r="B1657" t="str">
            <v>06/02/2019</v>
          </cell>
          <cell r="C1657" t="str">
            <v>CALLOUT</v>
          </cell>
          <cell r="D1657" t="str">
            <v>carry out items 1-4 off handyman list</v>
          </cell>
          <cell r="E1657" t="str">
            <v>Barrie Beard Ltd</v>
          </cell>
          <cell r="F1657" t="str">
            <v>Subcontractor</v>
          </cell>
          <cell r="G1657" t="str">
            <v/>
          </cell>
          <cell r="H1657" t="str">
            <v/>
          </cell>
          <cell r="I1657" t="str">
            <v/>
          </cell>
          <cell r="J1657">
            <v>200</v>
          </cell>
          <cell r="K1657">
            <v>40</v>
          </cell>
          <cell r="L1657">
            <v>112.6</v>
          </cell>
          <cell r="M1657" t="str">
            <v/>
          </cell>
          <cell r="N1657">
            <v>87.4</v>
          </cell>
        </row>
        <row r="1658">
          <cell r="A1658">
            <v>15569</v>
          </cell>
          <cell r="B1658" t="str">
            <v>06/02/2019</v>
          </cell>
          <cell r="C1658" t="str">
            <v>CALLOUT</v>
          </cell>
          <cell r="D1658" t="str">
            <v>faulty light fttg</v>
          </cell>
          <cell r="E1658" t="str">
            <v>Key Integrated Services North West Ltd</v>
          </cell>
          <cell r="F1658" t="str">
            <v>Subcontractor</v>
          </cell>
          <cell r="G1658" t="str">
            <v/>
          </cell>
          <cell r="H1658" t="str">
            <v/>
          </cell>
          <cell r="I1658" t="str">
            <v/>
          </cell>
          <cell r="J1658">
            <v>159.19999999999999</v>
          </cell>
          <cell r="K1658">
            <v>31.84</v>
          </cell>
          <cell r="L1658">
            <v>159.19999999999999</v>
          </cell>
          <cell r="M1658" t="str">
            <v/>
          </cell>
          <cell r="N1658">
            <v>0</v>
          </cell>
        </row>
        <row r="1659">
          <cell r="A1659">
            <v>15568</v>
          </cell>
          <cell r="B1659" t="str">
            <v>06/02/2019</v>
          </cell>
          <cell r="C1659" t="str">
            <v>SERVICE</v>
          </cell>
          <cell r="D1659" t="str">
            <v>water heater maintenance feb 2019</v>
          </cell>
          <cell r="E1659" t="str">
            <v>Key Integrated Services North West Ltd</v>
          </cell>
          <cell r="F1659" t="str">
            <v>Subcontractor</v>
          </cell>
          <cell r="G1659" t="str">
            <v/>
          </cell>
          <cell r="H1659" t="str">
            <v>Complete</v>
          </cell>
          <cell r="I1659" t="str">
            <v/>
          </cell>
          <cell r="J1659">
            <v>0</v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</row>
        <row r="1660">
          <cell r="A1660">
            <v>15567</v>
          </cell>
          <cell r="B1660" t="str">
            <v>06/02/2019</v>
          </cell>
          <cell r="C1660" t="str">
            <v>CALLOUT</v>
          </cell>
          <cell r="D1660" t="str">
            <v>investigate issue with ac in kennels max 5hours</v>
          </cell>
          <cell r="E1660" t="str">
            <v>Commercial Temperature Solutions</v>
          </cell>
          <cell r="F1660" t="str">
            <v>Subcontractor</v>
          </cell>
          <cell r="G1660" t="str">
            <v/>
          </cell>
          <cell r="H1660" t="str">
            <v/>
          </cell>
          <cell r="I1660" t="str">
            <v/>
          </cell>
          <cell r="J1660">
            <v>90</v>
          </cell>
          <cell r="K1660">
            <v>18</v>
          </cell>
          <cell r="L1660">
            <v>90</v>
          </cell>
          <cell r="M1660" t="str">
            <v/>
          </cell>
          <cell r="N1660">
            <v>0</v>
          </cell>
        </row>
        <row r="1661">
          <cell r="A1661">
            <v>15562</v>
          </cell>
          <cell r="B1661" t="str">
            <v>06/02/2019</v>
          </cell>
          <cell r="C1661" t="str">
            <v>CALLOUT</v>
          </cell>
          <cell r="D1661" t="str">
            <v>hot water boiler leaking</v>
          </cell>
          <cell r="E1661" t="str">
            <v>K Gammon Plumbing &amp; Heating Ltd</v>
          </cell>
          <cell r="F1661" t="str">
            <v>Subcontractor</v>
          </cell>
          <cell r="G1661" t="str">
            <v/>
          </cell>
          <cell r="H1661" t="str">
            <v/>
          </cell>
          <cell r="I1661" t="str">
            <v/>
          </cell>
          <cell r="J1661">
            <v>70</v>
          </cell>
          <cell r="K1661">
            <v>14</v>
          </cell>
          <cell r="L1661">
            <v>70</v>
          </cell>
          <cell r="M1661" t="str">
            <v/>
          </cell>
          <cell r="N1661">
            <v>0</v>
          </cell>
        </row>
        <row r="1662">
          <cell r="A1662">
            <v>15541</v>
          </cell>
          <cell r="B1662" t="str">
            <v>05/02/2019</v>
          </cell>
          <cell r="C1662" t="str">
            <v>C1568</v>
          </cell>
          <cell r="D1662" t="str">
            <v>Scope of Works:</v>
          </cell>
          <cell r="E1662" t="str">
            <v>Key Integrated Services North West Ltd</v>
          </cell>
          <cell r="F1662" t="str">
            <v>Subcontractor</v>
          </cell>
          <cell r="G1662" t="str">
            <v/>
          </cell>
          <cell r="H1662" t="str">
            <v>Part</v>
          </cell>
          <cell r="I1662" t="str">
            <v/>
          </cell>
          <cell r="J1662">
            <v>430808.14</v>
          </cell>
          <cell r="K1662">
            <v>86161.63</v>
          </cell>
          <cell r="L1662">
            <v>436472.43</v>
          </cell>
          <cell r="M1662" t="str">
            <v/>
          </cell>
          <cell r="N1662">
            <v>-5664.29</v>
          </cell>
        </row>
        <row r="1663">
          <cell r="A1663">
            <v>15538</v>
          </cell>
          <cell r="B1663" t="str">
            <v>05/02/2019</v>
          </cell>
          <cell r="C1663" t="str">
            <v>C1568</v>
          </cell>
          <cell r="D1663" t="str">
            <v>Scope of Works:</v>
          </cell>
          <cell r="E1663" t="str">
            <v>Enviroplas Limited</v>
          </cell>
          <cell r="F1663" t="str">
            <v>Subcontractor</v>
          </cell>
          <cell r="G1663" t="str">
            <v/>
          </cell>
          <cell r="H1663" t="str">
            <v/>
          </cell>
          <cell r="I1663" t="str">
            <v/>
          </cell>
          <cell r="J1663">
            <v>117000</v>
          </cell>
          <cell r="K1663">
            <v>23400</v>
          </cell>
          <cell r="L1663">
            <v>117000</v>
          </cell>
          <cell r="M1663" t="str">
            <v/>
          </cell>
          <cell r="N1663">
            <v>0</v>
          </cell>
        </row>
        <row r="1664">
          <cell r="A1664">
            <v>15534</v>
          </cell>
          <cell r="B1664" t="str">
            <v>05/02/2019</v>
          </cell>
          <cell r="C1664" t="str">
            <v>CALLOUT</v>
          </cell>
          <cell r="D1664" t="str">
            <v>isolate zip boiler</v>
          </cell>
          <cell r="E1664" t="str">
            <v>Viabl Ltd T/A Able</v>
          </cell>
          <cell r="F1664" t="str">
            <v>Subcontractor</v>
          </cell>
          <cell r="G1664" t="str">
            <v/>
          </cell>
          <cell r="H1664" t="str">
            <v/>
          </cell>
          <cell r="I1664" t="str">
            <v/>
          </cell>
          <cell r="J1664">
            <v>82</v>
          </cell>
          <cell r="K1664">
            <v>16.399999999999999</v>
          </cell>
          <cell r="L1664">
            <v>82</v>
          </cell>
          <cell r="M1664" t="str">
            <v/>
          </cell>
          <cell r="N1664">
            <v>0</v>
          </cell>
        </row>
        <row r="1665">
          <cell r="A1665">
            <v>15533</v>
          </cell>
          <cell r="B1665" t="str">
            <v>05/02/2019</v>
          </cell>
          <cell r="C1665" t="str">
            <v>CALLOUT</v>
          </cell>
          <cell r="D1665" t="str">
            <v>fit zip boiler filter - filter will be delivered to site</v>
          </cell>
          <cell r="E1665" t="str">
            <v>Commercial Temperature Solutions</v>
          </cell>
          <cell r="F1665" t="str">
            <v>Subcontractor</v>
          </cell>
          <cell r="G1665" t="str">
            <v/>
          </cell>
          <cell r="H1665" t="str">
            <v/>
          </cell>
          <cell r="I1665" t="str">
            <v/>
          </cell>
          <cell r="J1665">
            <v>50</v>
          </cell>
          <cell r="K1665">
            <v>10</v>
          </cell>
          <cell r="L1665">
            <v>50</v>
          </cell>
          <cell r="M1665" t="str">
            <v/>
          </cell>
          <cell r="N1665">
            <v>0</v>
          </cell>
        </row>
        <row r="1666">
          <cell r="A1666">
            <v>15528</v>
          </cell>
          <cell r="B1666" t="str">
            <v>04/02/2019</v>
          </cell>
          <cell r="C1666" t="str">
            <v>SERVICE</v>
          </cell>
          <cell r="D1666" t="str">
            <v>EML/L8 Monthly</v>
          </cell>
          <cell r="E1666" t="str">
            <v>Key Integrated Services North West Ltd</v>
          </cell>
          <cell r="F1666" t="str">
            <v>Subcontractor</v>
          </cell>
          <cell r="G1666" t="str">
            <v/>
          </cell>
          <cell r="H1666" t="str">
            <v>Complete</v>
          </cell>
          <cell r="I1666" t="str">
            <v/>
          </cell>
          <cell r="J1666">
            <v>0</v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</row>
        <row r="1667">
          <cell r="A1667">
            <v>15522</v>
          </cell>
          <cell r="B1667" t="str">
            <v>04/02/2019</v>
          </cell>
          <cell r="C1667" t="str">
            <v>CALLOUT</v>
          </cell>
          <cell r="D1667" t="str">
            <v>Replaced immersion rod stat (parts under Warranty/Labour Cah</v>
          </cell>
          <cell r="E1667" t="str">
            <v>AEP (NE) LLP</v>
          </cell>
          <cell r="F1667" t="str">
            <v>Subcontractor</v>
          </cell>
          <cell r="G1667" t="str">
            <v/>
          </cell>
          <cell r="H1667" t="str">
            <v/>
          </cell>
          <cell r="I1667" t="str">
            <v/>
          </cell>
          <cell r="J1667">
            <v>115</v>
          </cell>
          <cell r="K1667">
            <v>23</v>
          </cell>
          <cell r="L1667">
            <v>115</v>
          </cell>
          <cell r="M1667" t="str">
            <v/>
          </cell>
          <cell r="N1667">
            <v>0</v>
          </cell>
        </row>
        <row r="1668">
          <cell r="A1668">
            <v>15519</v>
          </cell>
          <cell r="B1668" t="str">
            <v>04/02/2019</v>
          </cell>
          <cell r="C1668" t="str">
            <v>CALLOUT</v>
          </cell>
          <cell r="D1668" t="str">
            <v>Investigate loud vibration noise boiler no.1</v>
          </cell>
          <cell r="E1668" t="str">
            <v>Premiair Services</v>
          </cell>
          <cell r="F1668" t="str">
            <v>Subcontractor</v>
          </cell>
          <cell r="G1668" t="str">
            <v/>
          </cell>
          <cell r="H1668" t="str">
            <v/>
          </cell>
          <cell r="I1668" t="str">
            <v/>
          </cell>
          <cell r="J1668">
            <v>300</v>
          </cell>
          <cell r="K1668">
            <v>60</v>
          </cell>
          <cell r="L1668">
            <v>300</v>
          </cell>
          <cell r="M1668" t="str">
            <v/>
          </cell>
          <cell r="N1668">
            <v>0</v>
          </cell>
        </row>
        <row r="1669">
          <cell r="A1669">
            <v>15518</v>
          </cell>
          <cell r="B1669" t="str">
            <v>04/02/2019</v>
          </cell>
          <cell r="C1669" t="str">
            <v>CALLOUT</v>
          </cell>
          <cell r="D1669" t="str">
            <v>Replace Pilot Solenoid as per quotation</v>
          </cell>
          <cell r="E1669" t="str">
            <v>Pitkin &amp; Ruddock Ltd</v>
          </cell>
          <cell r="F1669" t="str">
            <v>Subcontractor</v>
          </cell>
          <cell r="G1669" t="str">
            <v/>
          </cell>
          <cell r="H1669" t="str">
            <v/>
          </cell>
          <cell r="I1669" t="str">
            <v/>
          </cell>
          <cell r="J1669">
            <v>380</v>
          </cell>
          <cell r="K1669">
            <v>76</v>
          </cell>
          <cell r="L1669">
            <v>380</v>
          </cell>
          <cell r="M1669" t="str">
            <v/>
          </cell>
          <cell r="N1669">
            <v>0</v>
          </cell>
        </row>
        <row r="1670">
          <cell r="A1670">
            <v>15516</v>
          </cell>
          <cell r="B1670" t="str">
            <v>01/02/2019</v>
          </cell>
          <cell r="C1670" t="str">
            <v>CALLOUT</v>
          </cell>
          <cell r="D1670" t="str">
            <v>wc not flushing 1st floor</v>
          </cell>
          <cell r="E1670" t="str">
            <v>Viabl Ltd T/A Able</v>
          </cell>
          <cell r="F1670" t="str">
            <v>Subcontractor</v>
          </cell>
          <cell r="G1670" t="str">
            <v/>
          </cell>
          <cell r="H1670" t="str">
            <v/>
          </cell>
          <cell r="I1670" t="str">
            <v/>
          </cell>
          <cell r="J1670">
            <v>175.58</v>
          </cell>
          <cell r="K1670">
            <v>35.119999999999997</v>
          </cell>
          <cell r="L1670">
            <v>173.58</v>
          </cell>
          <cell r="M1670" t="str">
            <v/>
          </cell>
          <cell r="N1670">
            <v>2</v>
          </cell>
        </row>
        <row r="1671">
          <cell r="A1671">
            <v>15513</v>
          </cell>
          <cell r="B1671" t="str">
            <v>01/02/2019</v>
          </cell>
          <cell r="C1671" t="str">
            <v>C1568</v>
          </cell>
          <cell r="D1671" t="str">
            <v>Scope of Works:</v>
          </cell>
          <cell r="E1671" t="str">
            <v>Central Insulations Limited</v>
          </cell>
          <cell r="F1671" t="str">
            <v>Subcontractor</v>
          </cell>
          <cell r="G1671" t="str">
            <v/>
          </cell>
          <cell r="H1671" t="str">
            <v/>
          </cell>
          <cell r="I1671" t="str">
            <v/>
          </cell>
          <cell r="J1671">
            <v>67930</v>
          </cell>
          <cell r="K1671">
            <v>13586</v>
          </cell>
          <cell r="L1671">
            <v>67930</v>
          </cell>
          <cell r="M1671" t="str">
            <v/>
          </cell>
          <cell r="N1671">
            <v>0</v>
          </cell>
        </row>
        <row r="1672">
          <cell r="A1672">
            <v>15511</v>
          </cell>
          <cell r="B1672" t="str">
            <v>01/02/2019</v>
          </cell>
          <cell r="C1672" t="str">
            <v>C1560</v>
          </cell>
          <cell r="D1672" t="str">
            <v>Supply all labour to support work requirements on site</v>
          </cell>
          <cell r="E1672" t="str">
            <v>Defabs Engineering Ltd</v>
          </cell>
          <cell r="F1672" t="str">
            <v>Subcontractor</v>
          </cell>
          <cell r="G1672" t="str">
            <v>20/01/2019</v>
          </cell>
          <cell r="H1672" t="str">
            <v/>
          </cell>
          <cell r="I1672" t="str">
            <v/>
          </cell>
          <cell r="J1672">
            <v>10054.25</v>
          </cell>
          <cell r="K1672">
            <v>2010.85</v>
          </cell>
          <cell r="L1672">
            <v>10054.25</v>
          </cell>
          <cell r="M1672" t="str">
            <v/>
          </cell>
          <cell r="N1672">
            <v>0</v>
          </cell>
        </row>
        <row r="1673">
          <cell r="A1673">
            <v>15506</v>
          </cell>
          <cell r="B1673" t="str">
            <v>31/01/2019</v>
          </cell>
          <cell r="C1673" t="str">
            <v>C1560</v>
          </cell>
          <cell r="D1673" t="str">
            <v>Removal of ceiling mounted chiller unit and all asociated pi</v>
          </cell>
          <cell r="E1673" t="str">
            <v>Manchester Refrigeration Techniques Ltd</v>
          </cell>
          <cell r="F1673" t="str">
            <v>Subcontractor</v>
          </cell>
          <cell r="G1673" t="str">
            <v>31/01/2019</v>
          </cell>
          <cell r="H1673" t="str">
            <v/>
          </cell>
          <cell r="I1673" t="str">
            <v/>
          </cell>
          <cell r="J1673">
            <v>3850</v>
          </cell>
          <cell r="K1673">
            <v>770</v>
          </cell>
          <cell r="L1673">
            <v>3850</v>
          </cell>
          <cell r="M1673" t="str">
            <v/>
          </cell>
          <cell r="N1673">
            <v>0</v>
          </cell>
        </row>
        <row r="1674">
          <cell r="A1674">
            <v>15504</v>
          </cell>
          <cell r="B1674" t="str">
            <v>31/01/2019</v>
          </cell>
          <cell r="C1674" t="str">
            <v>CALLOUT</v>
          </cell>
          <cell r="D1674" t="str">
            <v>repair/quote fo rnew water htrs x 2 sales kitchen and prayer</v>
          </cell>
          <cell r="E1674" t="str">
            <v>Viabl Ltd T/A Able</v>
          </cell>
          <cell r="F1674" t="str">
            <v>Subcontractor</v>
          </cell>
          <cell r="G1674" t="str">
            <v/>
          </cell>
          <cell r="H1674" t="str">
            <v/>
          </cell>
          <cell r="I1674" t="str">
            <v/>
          </cell>
          <cell r="J1674">
            <v>130</v>
          </cell>
          <cell r="K1674">
            <v>26</v>
          </cell>
          <cell r="L1674">
            <v>130</v>
          </cell>
          <cell r="M1674" t="str">
            <v/>
          </cell>
          <cell r="N1674">
            <v>0</v>
          </cell>
        </row>
        <row r="1675">
          <cell r="A1675">
            <v>15495</v>
          </cell>
          <cell r="B1675" t="str">
            <v>30/01/2019</v>
          </cell>
          <cell r="C1675" t="str">
            <v>C1590</v>
          </cell>
          <cell r="D1675" t="str">
            <v>Mechanical Commissioning To Ventilation Systems As Enquiry</v>
          </cell>
          <cell r="E1675" t="str">
            <v>Commissioning &amp; Maintenance Services Ltd</v>
          </cell>
          <cell r="F1675" t="str">
            <v>Subcontractor</v>
          </cell>
          <cell r="G1675" t="str">
            <v/>
          </cell>
          <cell r="H1675" t="str">
            <v/>
          </cell>
          <cell r="I1675" t="str">
            <v/>
          </cell>
          <cell r="J1675">
            <v>3204.3</v>
          </cell>
          <cell r="K1675">
            <v>640.86</v>
          </cell>
          <cell r="L1675">
            <v>3204.3</v>
          </cell>
          <cell r="M1675" t="str">
            <v/>
          </cell>
          <cell r="N1675">
            <v>0</v>
          </cell>
        </row>
        <row r="1676">
          <cell r="A1676">
            <v>15494</v>
          </cell>
          <cell r="B1676" t="str">
            <v>30/01/2019</v>
          </cell>
          <cell r="C1676" t="str">
            <v>CALLOUT</v>
          </cell>
          <cell r="D1676" t="str">
            <v>leaking ac archive room</v>
          </cell>
          <cell r="E1676" t="str">
            <v>Adcock Refrigeration &amp; Air Conditioning</v>
          </cell>
          <cell r="F1676" t="str">
            <v>Subcontractor</v>
          </cell>
          <cell r="G1676" t="str">
            <v/>
          </cell>
          <cell r="H1676" t="str">
            <v/>
          </cell>
          <cell r="I1676" t="str">
            <v/>
          </cell>
          <cell r="J1676">
            <v>655.19000000000005</v>
          </cell>
          <cell r="K1676">
            <v>131.04</v>
          </cell>
          <cell r="L1676">
            <v>655.19000000000005</v>
          </cell>
          <cell r="M1676" t="str">
            <v/>
          </cell>
          <cell r="N1676">
            <v>0</v>
          </cell>
        </row>
        <row r="1677">
          <cell r="A1677">
            <v>15493</v>
          </cell>
          <cell r="B1677" t="str">
            <v>30/01/2019</v>
          </cell>
          <cell r="C1677" t="str">
            <v>CALLOUT</v>
          </cell>
          <cell r="D1677" t="str">
            <v>zip tap filter</v>
          </cell>
          <cell r="E1677" t="str">
            <v>Commercial Temperature Solutions</v>
          </cell>
          <cell r="F1677" t="str">
            <v>Subcontractor</v>
          </cell>
          <cell r="G1677" t="str">
            <v/>
          </cell>
          <cell r="H1677" t="str">
            <v/>
          </cell>
          <cell r="I1677" t="str">
            <v/>
          </cell>
          <cell r="J1677">
            <v>50</v>
          </cell>
          <cell r="K1677">
            <v>10</v>
          </cell>
          <cell r="L1677">
            <v>50</v>
          </cell>
          <cell r="M1677" t="str">
            <v/>
          </cell>
          <cell r="N1677">
            <v>0</v>
          </cell>
        </row>
        <row r="1678">
          <cell r="A1678">
            <v>15488</v>
          </cell>
          <cell r="B1678" t="str">
            <v>30/01/2019</v>
          </cell>
          <cell r="C1678" t="str">
            <v>C1547</v>
          </cell>
          <cell r="D1678" t="str">
            <v>Air balancing works on Thursday 31st January 2019</v>
          </cell>
          <cell r="E1678" t="str">
            <v>Combat Commissioning Services Ltd</v>
          </cell>
          <cell r="F1678" t="str">
            <v>Subcontractor</v>
          </cell>
          <cell r="G1678" t="str">
            <v/>
          </cell>
          <cell r="H1678" t="str">
            <v/>
          </cell>
          <cell r="I1678" t="str">
            <v/>
          </cell>
          <cell r="J1678">
            <v>450</v>
          </cell>
          <cell r="K1678">
            <v>90</v>
          </cell>
          <cell r="L1678">
            <v>450</v>
          </cell>
          <cell r="M1678" t="str">
            <v/>
          </cell>
          <cell r="N1678">
            <v>0</v>
          </cell>
        </row>
        <row r="1679">
          <cell r="A1679">
            <v>15477</v>
          </cell>
          <cell r="B1679" t="str">
            <v>29/01/2019</v>
          </cell>
          <cell r="C1679" t="str">
            <v>CALLOUT</v>
          </cell>
          <cell r="D1679" t="str">
            <v>callout to air con issues</v>
          </cell>
          <cell r="E1679" t="str">
            <v>Premiair Services</v>
          </cell>
          <cell r="F1679" t="str">
            <v>Subcontractor</v>
          </cell>
          <cell r="G1679" t="str">
            <v/>
          </cell>
          <cell r="H1679" t="str">
            <v/>
          </cell>
          <cell r="I1679" t="str">
            <v/>
          </cell>
          <cell r="J1679">
            <v>211.5</v>
          </cell>
          <cell r="K1679">
            <v>42.3</v>
          </cell>
          <cell r="L1679">
            <v>211.5</v>
          </cell>
          <cell r="M1679" t="str">
            <v/>
          </cell>
          <cell r="N1679">
            <v>0</v>
          </cell>
        </row>
        <row r="1680">
          <cell r="A1680">
            <v>15463</v>
          </cell>
          <cell r="B1680" t="str">
            <v>25/01/2019</v>
          </cell>
          <cell r="C1680" t="str">
            <v>CALLOUT</v>
          </cell>
          <cell r="D1680" t="str">
            <v>callout to lift 21.1.19</v>
          </cell>
          <cell r="E1680" t="str">
            <v>Ansa Elevators Limited</v>
          </cell>
          <cell r="F1680" t="str">
            <v>Subcontractor</v>
          </cell>
          <cell r="G1680" t="str">
            <v/>
          </cell>
          <cell r="H1680" t="str">
            <v/>
          </cell>
          <cell r="I1680" t="str">
            <v/>
          </cell>
          <cell r="J1680">
            <v>140</v>
          </cell>
          <cell r="K1680">
            <v>28</v>
          </cell>
          <cell r="L1680">
            <v>140</v>
          </cell>
          <cell r="M1680" t="str">
            <v/>
          </cell>
          <cell r="N1680">
            <v>0</v>
          </cell>
        </row>
        <row r="1681">
          <cell r="A1681">
            <v>15461</v>
          </cell>
          <cell r="B1681" t="str">
            <v>25/01/2019</v>
          </cell>
          <cell r="C1681" t="str">
            <v>C1560</v>
          </cell>
          <cell r="D1681" t="str">
            <v>Ac works as quote</v>
          </cell>
          <cell r="E1681" t="str">
            <v>Manchester Refrigeration Techniques Ltd</v>
          </cell>
          <cell r="F1681" t="str">
            <v>Subcontractor</v>
          </cell>
          <cell r="G1681" t="str">
            <v>28/01/2019</v>
          </cell>
          <cell r="H1681" t="str">
            <v/>
          </cell>
          <cell r="I1681" t="str">
            <v/>
          </cell>
          <cell r="J1681">
            <v>3850</v>
          </cell>
          <cell r="K1681">
            <v>770</v>
          </cell>
          <cell r="L1681">
            <v>0</v>
          </cell>
          <cell r="M1681" t="str">
            <v/>
          </cell>
          <cell r="N1681">
            <v>3850</v>
          </cell>
        </row>
        <row r="1682">
          <cell r="A1682">
            <v>15460</v>
          </cell>
          <cell r="B1682" t="str">
            <v>25/01/2019</v>
          </cell>
          <cell r="C1682" t="str">
            <v>C1552</v>
          </cell>
          <cell r="D1682" t="str">
            <v>Additional design works</v>
          </cell>
          <cell r="E1682" t="str">
            <v>Key Integrated Services (Electrical) Ltd</v>
          </cell>
          <cell r="F1682" t="str">
            <v>Subcontractor</v>
          </cell>
          <cell r="G1682" t="str">
            <v/>
          </cell>
          <cell r="H1682" t="str">
            <v/>
          </cell>
          <cell r="I1682" t="str">
            <v/>
          </cell>
          <cell r="J1682">
            <v>4720</v>
          </cell>
          <cell r="K1682">
            <v>944</v>
          </cell>
          <cell r="L1682">
            <v>4720</v>
          </cell>
          <cell r="M1682" t="str">
            <v/>
          </cell>
          <cell r="N1682">
            <v>0</v>
          </cell>
        </row>
        <row r="1683">
          <cell r="A1683">
            <v>15459</v>
          </cell>
          <cell r="B1683" t="str">
            <v>25/01/2019</v>
          </cell>
          <cell r="C1683" t="str">
            <v>C1600</v>
          </cell>
          <cell r="D1683" t="str">
            <v>DWS Insulation as per quote ref: 2886</v>
          </cell>
          <cell r="E1683" t="str">
            <v>Thermal Insulation Covers Ltd</v>
          </cell>
          <cell r="F1683" t="str">
            <v>Subcontractor</v>
          </cell>
          <cell r="G1683" t="str">
            <v>04/02/2019</v>
          </cell>
          <cell r="H1683" t="str">
            <v>Part</v>
          </cell>
          <cell r="I1683" t="str">
            <v/>
          </cell>
          <cell r="J1683">
            <v>565.73</v>
          </cell>
          <cell r="K1683">
            <v>113.15</v>
          </cell>
          <cell r="L1683">
            <v>565.73</v>
          </cell>
          <cell r="M1683" t="str">
            <v/>
          </cell>
          <cell r="N1683">
            <v>0</v>
          </cell>
        </row>
        <row r="1684">
          <cell r="A1684">
            <v>15451</v>
          </cell>
          <cell r="B1684" t="str">
            <v>24/01/2019</v>
          </cell>
          <cell r="C1684" t="str">
            <v>C1518</v>
          </cell>
          <cell r="D1684" t="str">
            <v>Corridor works</v>
          </cell>
          <cell r="E1684" t="str">
            <v>Key Integrated Services (Electrical) Ltd</v>
          </cell>
          <cell r="F1684" t="str">
            <v>Subcontractor</v>
          </cell>
          <cell r="G1684" t="str">
            <v/>
          </cell>
          <cell r="H1684" t="str">
            <v/>
          </cell>
          <cell r="I1684" t="str">
            <v/>
          </cell>
          <cell r="J1684">
            <v>24157</v>
          </cell>
          <cell r="K1684">
            <v>4831.3999999999996</v>
          </cell>
          <cell r="L1684">
            <v>24157</v>
          </cell>
          <cell r="M1684" t="str">
            <v/>
          </cell>
          <cell r="N1684">
            <v>0</v>
          </cell>
        </row>
        <row r="1685">
          <cell r="A1685">
            <v>15438</v>
          </cell>
          <cell r="B1685" t="str">
            <v>23/01/2019</v>
          </cell>
          <cell r="C1685" t="str">
            <v>CALLOUT</v>
          </cell>
          <cell r="D1685" t="str">
            <v>Replace heat detector as per quote</v>
          </cell>
          <cell r="E1685" t="str">
            <v>Abel Alarm Company Limited</v>
          </cell>
          <cell r="F1685" t="str">
            <v>Subcontractor</v>
          </cell>
          <cell r="G1685" t="str">
            <v/>
          </cell>
          <cell r="H1685" t="str">
            <v/>
          </cell>
          <cell r="I1685" t="str">
            <v/>
          </cell>
          <cell r="J1685">
            <v>275</v>
          </cell>
          <cell r="K1685">
            <v>0</v>
          </cell>
          <cell r="L1685">
            <v>0</v>
          </cell>
          <cell r="M1685" t="str">
            <v/>
          </cell>
          <cell r="N1685">
            <v>275</v>
          </cell>
        </row>
        <row r="1686">
          <cell r="A1686">
            <v>15434</v>
          </cell>
          <cell r="B1686" t="str">
            <v>23/01/2019</v>
          </cell>
          <cell r="C1686" t="str">
            <v>CALLOUT</v>
          </cell>
          <cell r="D1686" t="str">
            <v>s+f rad valve as per quote</v>
          </cell>
          <cell r="E1686" t="str">
            <v>K Gammon Plumbing &amp; Heating Ltd</v>
          </cell>
          <cell r="F1686" t="str">
            <v>Subcontractor</v>
          </cell>
          <cell r="G1686" t="str">
            <v/>
          </cell>
          <cell r="H1686" t="str">
            <v/>
          </cell>
          <cell r="I1686" t="str">
            <v/>
          </cell>
          <cell r="J1686">
            <v>96</v>
          </cell>
          <cell r="K1686">
            <v>19.2</v>
          </cell>
          <cell r="L1686">
            <v>96</v>
          </cell>
          <cell r="M1686" t="str">
            <v/>
          </cell>
          <cell r="N1686">
            <v>0</v>
          </cell>
        </row>
        <row r="1687">
          <cell r="A1687">
            <v>15433</v>
          </cell>
          <cell r="B1687" t="str">
            <v>23/01/2019</v>
          </cell>
          <cell r="C1687" t="str">
            <v>C1560</v>
          </cell>
          <cell r="D1687" t="str">
            <v>Quote Ref: 13823 - 22119</v>
          </cell>
          <cell r="E1687" t="str">
            <v>Defabs Engineering Ltd</v>
          </cell>
          <cell r="F1687" t="str">
            <v>Subcontractor</v>
          </cell>
          <cell r="G1687" t="str">
            <v/>
          </cell>
          <cell r="H1687" t="str">
            <v>Complete</v>
          </cell>
          <cell r="I1687" t="str">
            <v/>
          </cell>
          <cell r="J1687">
            <v>0</v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</row>
        <row r="1688">
          <cell r="A1688">
            <v>15429</v>
          </cell>
          <cell r="B1688" t="str">
            <v>22/01/2019</v>
          </cell>
          <cell r="C1688" t="str">
            <v>CALLOUT</v>
          </cell>
          <cell r="D1688" t="str">
            <v>1st Hour Call Out Rate</v>
          </cell>
          <cell r="E1688" t="str">
            <v>Pitkin &amp; Ruddock Ltd</v>
          </cell>
          <cell r="F1688" t="str">
            <v>Subcontractor</v>
          </cell>
          <cell r="G1688" t="str">
            <v/>
          </cell>
          <cell r="H1688" t="str">
            <v/>
          </cell>
          <cell r="I1688" t="str">
            <v/>
          </cell>
          <cell r="J1688">
            <v>634.5</v>
          </cell>
          <cell r="K1688">
            <v>126.9</v>
          </cell>
          <cell r="L1688">
            <v>634.5</v>
          </cell>
          <cell r="M1688" t="str">
            <v/>
          </cell>
          <cell r="N1688">
            <v>0</v>
          </cell>
        </row>
        <row r="1689">
          <cell r="A1689">
            <v>15417</v>
          </cell>
          <cell r="B1689" t="str">
            <v>21/01/2019</v>
          </cell>
          <cell r="C1689" t="str">
            <v>CALLOUT</v>
          </cell>
          <cell r="D1689" t="str">
            <v>wooden fire door on floor 1 will not self close</v>
          </cell>
          <cell r="E1689" t="str">
            <v>Viabl Ltd T/A Able</v>
          </cell>
          <cell r="F1689" t="str">
            <v>Subcontractor</v>
          </cell>
          <cell r="G1689" t="str">
            <v/>
          </cell>
          <cell r="H1689" t="str">
            <v/>
          </cell>
          <cell r="I1689" t="str">
            <v/>
          </cell>
          <cell r="J1689">
            <v>100</v>
          </cell>
          <cell r="K1689">
            <v>20</v>
          </cell>
          <cell r="L1689">
            <v>100</v>
          </cell>
          <cell r="M1689" t="str">
            <v/>
          </cell>
          <cell r="N1689">
            <v>0</v>
          </cell>
        </row>
        <row r="1690">
          <cell r="A1690">
            <v>15413</v>
          </cell>
          <cell r="B1690" t="str">
            <v>21/01/2019</v>
          </cell>
          <cell r="C1690" t="str">
            <v>C1604</v>
          </cell>
          <cell r="D1690" t="str">
            <v>data containment</v>
          </cell>
          <cell r="E1690" t="str">
            <v>Key Integrated Services (Electrical) Ltd</v>
          </cell>
          <cell r="F1690" t="str">
            <v>Subcontractor</v>
          </cell>
          <cell r="G1690" t="str">
            <v/>
          </cell>
          <cell r="H1690" t="str">
            <v/>
          </cell>
          <cell r="I1690" t="str">
            <v/>
          </cell>
          <cell r="J1690">
            <v>8748</v>
          </cell>
          <cell r="K1690">
            <v>1749.6</v>
          </cell>
          <cell r="L1690">
            <v>8748</v>
          </cell>
          <cell r="M1690" t="str">
            <v/>
          </cell>
          <cell r="N1690">
            <v>0</v>
          </cell>
        </row>
        <row r="1691">
          <cell r="A1691">
            <v>15412</v>
          </cell>
          <cell r="B1691" t="str">
            <v>21/01/2019</v>
          </cell>
          <cell r="C1691" t="str">
            <v>C1518</v>
          </cell>
          <cell r="D1691" t="str">
            <v>removal of valtage optimizer unit</v>
          </cell>
          <cell r="E1691" t="str">
            <v>Key Integrated Services (Electrical) Ltd</v>
          </cell>
          <cell r="F1691" t="str">
            <v>Subcontractor</v>
          </cell>
          <cell r="G1691" t="str">
            <v/>
          </cell>
          <cell r="H1691" t="str">
            <v/>
          </cell>
          <cell r="I1691" t="str">
            <v/>
          </cell>
          <cell r="J1691">
            <v>8248</v>
          </cell>
          <cell r="K1691">
            <v>1649.6</v>
          </cell>
          <cell r="L1691">
            <v>8248</v>
          </cell>
          <cell r="M1691" t="str">
            <v/>
          </cell>
          <cell r="N1691">
            <v>0</v>
          </cell>
        </row>
        <row r="1692">
          <cell r="A1692">
            <v>15411</v>
          </cell>
          <cell r="B1692" t="str">
            <v>21/01/2019</v>
          </cell>
          <cell r="C1692" t="str">
            <v>SERVICE</v>
          </cell>
          <cell r="D1692" t="str">
            <v>L8 monthly check 25.1.19</v>
          </cell>
          <cell r="E1692" t="str">
            <v>Commercial Temperature Solutions</v>
          </cell>
          <cell r="F1692" t="str">
            <v>Subcontractor</v>
          </cell>
          <cell r="G1692" t="str">
            <v/>
          </cell>
          <cell r="H1692" t="str">
            <v/>
          </cell>
          <cell r="I1692" t="str">
            <v/>
          </cell>
          <cell r="J1692">
            <v>100</v>
          </cell>
          <cell r="K1692">
            <v>20</v>
          </cell>
          <cell r="L1692">
            <v>100</v>
          </cell>
          <cell r="M1692" t="str">
            <v/>
          </cell>
          <cell r="N1692">
            <v>0</v>
          </cell>
        </row>
        <row r="1693">
          <cell r="A1693">
            <v>15405</v>
          </cell>
          <cell r="B1693" t="str">
            <v>18/01/2019</v>
          </cell>
          <cell r="C1693" t="str">
            <v>C1600</v>
          </cell>
          <cell r="D1693" t="str">
            <v>Supply &amp; Installation of ductwork as per quote ref: E0080</v>
          </cell>
          <cell r="E1693" t="str">
            <v>SV Installations Limited</v>
          </cell>
          <cell r="F1693" t="str">
            <v>Subcontractor</v>
          </cell>
          <cell r="G1693" t="str">
            <v>23/01/2019</v>
          </cell>
          <cell r="H1693" t="str">
            <v/>
          </cell>
          <cell r="I1693" t="str">
            <v/>
          </cell>
          <cell r="J1693">
            <v>4300</v>
          </cell>
          <cell r="K1693">
            <v>860</v>
          </cell>
          <cell r="L1693">
            <v>4300</v>
          </cell>
          <cell r="M1693" t="str">
            <v/>
          </cell>
          <cell r="N1693">
            <v>0</v>
          </cell>
        </row>
        <row r="1694">
          <cell r="A1694">
            <v>15403</v>
          </cell>
          <cell r="B1694" t="str">
            <v>18/01/2019</v>
          </cell>
          <cell r="C1694" t="str">
            <v>CALLOUT</v>
          </cell>
          <cell r="D1694" t="str">
            <v>no heating in library</v>
          </cell>
          <cell r="E1694" t="str">
            <v>Automated Building &amp; Energy Controls Ltd</v>
          </cell>
          <cell r="F1694" t="str">
            <v>Subcontractor</v>
          </cell>
          <cell r="G1694" t="str">
            <v/>
          </cell>
          <cell r="H1694" t="str">
            <v/>
          </cell>
          <cell r="I1694" t="str">
            <v/>
          </cell>
          <cell r="J1694">
            <v>467.2</v>
          </cell>
          <cell r="K1694">
            <v>93.44</v>
          </cell>
          <cell r="L1694">
            <v>467.5</v>
          </cell>
          <cell r="M1694" t="str">
            <v/>
          </cell>
          <cell r="N1694">
            <v>-0.3</v>
          </cell>
        </row>
        <row r="1695">
          <cell r="A1695">
            <v>15396</v>
          </cell>
          <cell r="B1695" t="str">
            <v>18/01/2019</v>
          </cell>
          <cell r="C1695" t="str">
            <v>CALLOUT</v>
          </cell>
          <cell r="D1695" t="str">
            <v>replace t/stat nad thermal cut out as per quote</v>
          </cell>
          <cell r="E1695" t="str">
            <v>Amroc Heating Supplies</v>
          </cell>
          <cell r="F1695" t="str">
            <v>Subcontractor</v>
          </cell>
          <cell r="G1695" t="str">
            <v/>
          </cell>
          <cell r="H1695" t="str">
            <v/>
          </cell>
          <cell r="I1695" t="str">
            <v/>
          </cell>
          <cell r="J1695">
            <v>178.5</v>
          </cell>
          <cell r="K1695">
            <v>35.700000000000003</v>
          </cell>
          <cell r="L1695">
            <v>178.5</v>
          </cell>
          <cell r="M1695" t="str">
            <v/>
          </cell>
          <cell r="N1695">
            <v>0</v>
          </cell>
        </row>
        <row r="1696">
          <cell r="A1696">
            <v>15392</v>
          </cell>
          <cell r="B1696" t="str">
            <v>18/01/2019</v>
          </cell>
          <cell r="C1696" t="str">
            <v>C1532</v>
          </cell>
          <cell r="D1696" t="str">
            <v>Chlorination of Incoming 63mm MDPE water supply as per quote</v>
          </cell>
          <cell r="E1696" t="str">
            <v>MSB Hygiene Ltd</v>
          </cell>
          <cell r="F1696" t="str">
            <v>Subcontractor</v>
          </cell>
          <cell r="G1696" t="str">
            <v>18/01/2019</v>
          </cell>
          <cell r="H1696" t="str">
            <v/>
          </cell>
          <cell r="I1696" t="str">
            <v/>
          </cell>
          <cell r="J1696">
            <v>500</v>
          </cell>
          <cell r="K1696">
            <v>100</v>
          </cell>
          <cell r="L1696">
            <v>500</v>
          </cell>
          <cell r="M1696" t="str">
            <v/>
          </cell>
          <cell r="N1696">
            <v>0</v>
          </cell>
        </row>
        <row r="1697">
          <cell r="A1697">
            <v>15389</v>
          </cell>
          <cell r="B1697" t="str">
            <v>18/01/2019</v>
          </cell>
          <cell r="C1697" t="str">
            <v>C1598</v>
          </cell>
          <cell r="D1697" t="str">
            <v>Thermal insulation as per email quote dated</v>
          </cell>
          <cell r="E1697" t="str">
            <v>NIS Group Services Ltd</v>
          </cell>
          <cell r="F1697" t="str">
            <v>Subcontractor</v>
          </cell>
          <cell r="G1697" t="str">
            <v>22/01/2019</v>
          </cell>
          <cell r="H1697" t="str">
            <v>Complete</v>
          </cell>
          <cell r="I1697" t="str">
            <v/>
          </cell>
          <cell r="J1697">
            <v>0</v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</row>
        <row r="1698">
          <cell r="A1698">
            <v>15379</v>
          </cell>
          <cell r="B1698" t="str">
            <v>17/01/2019</v>
          </cell>
          <cell r="C1698" t="str">
            <v>C1598</v>
          </cell>
          <cell r="D1698" t="str">
            <v>Order</v>
          </cell>
          <cell r="E1698" t="str">
            <v>Key Integrated Services North West Ltd</v>
          </cell>
          <cell r="F1698" t="str">
            <v>Subcontractor</v>
          </cell>
          <cell r="G1698" t="str">
            <v/>
          </cell>
          <cell r="H1698" t="str">
            <v/>
          </cell>
          <cell r="I1698" t="str">
            <v/>
          </cell>
          <cell r="J1698">
            <v>581.59</v>
          </cell>
          <cell r="K1698">
            <v>116.32</v>
          </cell>
          <cell r="L1698">
            <v>581.59</v>
          </cell>
          <cell r="M1698" t="str">
            <v/>
          </cell>
          <cell r="N1698">
            <v>0</v>
          </cell>
        </row>
        <row r="1699">
          <cell r="A1699">
            <v>15365</v>
          </cell>
          <cell r="B1699" t="str">
            <v>16/01/2019</v>
          </cell>
          <cell r="C1699" t="str">
            <v>CALLOUT</v>
          </cell>
          <cell r="D1699" t="str">
            <v>Call Out to investigate dishwasher tripping Fridge</v>
          </cell>
          <cell r="E1699" t="str">
            <v>Viabl Ltd T/A Able</v>
          </cell>
          <cell r="F1699" t="str">
            <v>Subcontractor</v>
          </cell>
          <cell r="G1699" t="str">
            <v/>
          </cell>
          <cell r="H1699" t="str">
            <v/>
          </cell>
          <cell r="I1699" t="str">
            <v/>
          </cell>
          <cell r="J1699">
            <v>65</v>
          </cell>
          <cell r="K1699">
            <v>13</v>
          </cell>
          <cell r="L1699">
            <v>65</v>
          </cell>
          <cell r="M1699" t="str">
            <v/>
          </cell>
          <cell r="N1699">
            <v>0</v>
          </cell>
        </row>
        <row r="1700">
          <cell r="A1700">
            <v>15364</v>
          </cell>
          <cell r="B1700" t="str">
            <v>16/01/2019</v>
          </cell>
          <cell r="C1700" t="str">
            <v>CALLOUT</v>
          </cell>
          <cell r="D1700" t="str">
            <v>Investigate Aircon Unit making a loud noise</v>
          </cell>
          <cell r="E1700" t="str">
            <v>Manchester Refrigeration Techniques Ltd</v>
          </cell>
          <cell r="F1700" t="str">
            <v>Subcontractor</v>
          </cell>
          <cell r="G1700" t="str">
            <v/>
          </cell>
          <cell r="H1700" t="str">
            <v>Part</v>
          </cell>
          <cell r="I1700" t="str">
            <v/>
          </cell>
          <cell r="J1700">
            <v>109</v>
          </cell>
          <cell r="K1700">
            <v>21.8</v>
          </cell>
          <cell r="L1700">
            <v>109</v>
          </cell>
          <cell r="M1700" t="str">
            <v/>
          </cell>
          <cell r="N1700">
            <v>0</v>
          </cell>
        </row>
        <row r="1701">
          <cell r="A1701">
            <v>15359</v>
          </cell>
          <cell r="B1701" t="str">
            <v>15/01/2019</v>
          </cell>
          <cell r="C1701" t="str">
            <v>CALLOUT</v>
          </cell>
          <cell r="D1701" t="str">
            <v>take additional samples for testing as per quote</v>
          </cell>
          <cell r="E1701" t="str">
            <v>Hydraclean Ltd</v>
          </cell>
          <cell r="F1701" t="str">
            <v>Subcontractor</v>
          </cell>
          <cell r="G1701" t="str">
            <v/>
          </cell>
          <cell r="H1701" t="str">
            <v/>
          </cell>
          <cell r="I1701" t="str">
            <v/>
          </cell>
          <cell r="J1701">
            <v>250</v>
          </cell>
          <cell r="K1701">
            <v>50</v>
          </cell>
          <cell r="L1701">
            <v>250</v>
          </cell>
          <cell r="M1701" t="str">
            <v/>
          </cell>
          <cell r="N1701">
            <v>0</v>
          </cell>
        </row>
        <row r="1702">
          <cell r="A1702">
            <v>15354</v>
          </cell>
          <cell r="B1702" t="str">
            <v>15/01/2019</v>
          </cell>
          <cell r="C1702" t="str">
            <v>CALLOUT</v>
          </cell>
          <cell r="D1702" t="str">
            <v>2nd floor 2 sets of lights off</v>
          </cell>
          <cell r="E1702" t="str">
            <v>Barrie Beard Ltd</v>
          </cell>
          <cell r="F1702" t="str">
            <v>Subcontractor</v>
          </cell>
          <cell r="G1702" t="str">
            <v/>
          </cell>
          <cell r="H1702" t="str">
            <v>Part</v>
          </cell>
          <cell r="I1702" t="str">
            <v/>
          </cell>
          <cell r="J1702">
            <v>96.5</v>
          </cell>
          <cell r="K1702">
            <v>19.3</v>
          </cell>
          <cell r="L1702">
            <v>96.5</v>
          </cell>
          <cell r="M1702" t="str">
            <v/>
          </cell>
          <cell r="N1702">
            <v>0</v>
          </cell>
        </row>
        <row r="1703">
          <cell r="A1703">
            <v>15353</v>
          </cell>
          <cell r="B1703" t="str">
            <v>15/01/2019</v>
          </cell>
          <cell r="C1703" t="str">
            <v>CALLOUT</v>
          </cell>
          <cell r="D1703" t="str">
            <v>rad thermostat broken</v>
          </cell>
          <cell r="E1703" t="str">
            <v>K Gammon Plumbing &amp; Heating Ltd</v>
          </cell>
          <cell r="F1703" t="str">
            <v>Subcontractor</v>
          </cell>
          <cell r="G1703" t="str">
            <v/>
          </cell>
          <cell r="H1703" t="str">
            <v>Part</v>
          </cell>
          <cell r="I1703" t="str">
            <v/>
          </cell>
          <cell r="J1703">
            <v>56</v>
          </cell>
          <cell r="K1703">
            <v>11.2</v>
          </cell>
          <cell r="L1703">
            <v>56</v>
          </cell>
          <cell r="M1703" t="str">
            <v/>
          </cell>
          <cell r="N1703">
            <v>0</v>
          </cell>
        </row>
        <row r="1704">
          <cell r="A1704">
            <v>15345</v>
          </cell>
          <cell r="B1704" t="str">
            <v>14/01/2019</v>
          </cell>
          <cell r="C1704" t="str">
            <v>C1560</v>
          </cell>
          <cell r="D1704" t="str">
            <v>Materials &amp; Labour as per refernace 13823</v>
          </cell>
          <cell r="E1704" t="str">
            <v>Defabs Engineering Ltd</v>
          </cell>
          <cell r="F1704" t="str">
            <v>Subcontractor</v>
          </cell>
          <cell r="G1704" t="str">
            <v/>
          </cell>
          <cell r="H1704" t="str">
            <v/>
          </cell>
          <cell r="I1704" t="str">
            <v/>
          </cell>
          <cell r="J1704">
            <v>16536.8</v>
          </cell>
          <cell r="K1704">
            <v>3307.36</v>
          </cell>
          <cell r="L1704">
            <v>16536.8</v>
          </cell>
          <cell r="M1704" t="str">
            <v/>
          </cell>
          <cell r="N1704">
            <v>0</v>
          </cell>
        </row>
        <row r="1705">
          <cell r="A1705">
            <v>15344</v>
          </cell>
          <cell r="B1705" t="str">
            <v>14/01/2019</v>
          </cell>
          <cell r="C1705" t="str">
            <v>CALLOUT</v>
          </cell>
          <cell r="D1705" t="str">
            <v>Attend site to investigate issue with boiler not working - A</v>
          </cell>
          <cell r="E1705" t="str">
            <v>Amroc Heating Supplies</v>
          </cell>
          <cell r="F1705" t="str">
            <v>Subcontractor</v>
          </cell>
          <cell r="G1705" t="str">
            <v/>
          </cell>
          <cell r="H1705" t="str">
            <v>Part</v>
          </cell>
          <cell r="I1705" t="str">
            <v/>
          </cell>
          <cell r="J1705">
            <v>131.25</v>
          </cell>
          <cell r="K1705">
            <v>26.25</v>
          </cell>
          <cell r="L1705">
            <v>131.25</v>
          </cell>
          <cell r="M1705" t="str">
            <v/>
          </cell>
          <cell r="N1705">
            <v>0</v>
          </cell>
        </row>
        <row r="1706">
          <cell r="A1706">
            <v>15337</v>
          </cell>
          <cell r="B1706" t="str">
            <v>14/01/2019</v>
          </cell>
          <cell r="C1706" t="str">
            <v>C1593</v>
          </cell>
          <cell r="D1706" t="str">
            <v>Electrical Works At LWS Costs as agreed with IM</v>
          </cell>
          <cell r="E1706" t="str">
            <v>Key Integrated Services (Electrical) Ltd</v>
          </cell>
          <cell r="F1706" t="str">
            <v>Subcontractor</v>
          </cell>
          <cell r="G1706" t="str">
            <v>21/01/2019</v>
          </cell>
          <cell r="H1706" t="str">
            <v/>
          </cell>
          <cell r="I1706" t="str">
            <v/>
          </cell>
          <cell r="J1706">
            <v>681603.36</v>
          </cell>
          <cell r="K1706">
            <v>136320.67000000001</v>
          </cell>
          <cell r="L1706">
            <v>681603.36</v>
          </cell>
          <cell r="M1706" t="str">
            <v/>
          </cell>
          <cell r="N1706">
            <v>0</v>
          </cell>
        </row>
        <row r="1707">
          <cell r="A1707">
            <v>15336</v>
          </cell>
          <cell r="B1707" t="str">
            <v>14/01/2019</v>
          </cell>
          <cell r="C1707" t="str">
            <v>CALLOUT</v>
          </cell>
          <cell r="D1707" t="str">
            <v>investigate lights with cherrypicker</v>
          </cell>
          <cell r="E1707" t="str">
            <v>Key Integrated Services North West Ltd</v>
          </cell>
          <cell r="F1707" t="str">
            <v>Subcontractor</v>
          </cell>
          <cell r="G1707" t="str">
            <v/>
          </cell>
          <cell r="H1707" t="str">
            <v/>
          </cell>
          <cell r="I1707" t="str">
            <v/>
          </cell>
          <cell r="J1707">
            <v>1194.8699999999999</v>
          </cell>
          <cell r="K1707">
            <v>238.97</v>
          </cell>
          <cell r="L1707">
            <v>1194.8699999999999</v>
          </cell>
          <cell r="M1707" t="str">
            <v/>
          </cell>
          <cell r="N1707">
            <v>0</v>
          </cell>
        </row>
        <row r="1708">
          <cell r="A1708">
            <v>15332</v>
          </cell>
          <cell r="B1708" t="str">
            <v>11/01/2019</v>
          </cell>
          <cell r="C1708" t="str">
            <v>C1568</v>
          </cell>
          <cell r="D1708" t="str">
            <v>All as HCIP Quote Ref Q1385</v>
          </cell>
          <cell r="E1708" t="str">
            <v>HCIP Ltd</v>
          </cell>
          <cell r="F1708" t="str">
            <v>Subcontractor</v>
          </cell>
          <cell r="G1708" t="str">
            <v>07/01/2019</v>
          </cell>
          <cell r="H1708" t="str">
            <v/>
          </cell>
          <cell r="I1708" t="str">
            <v/>
          </cell>
          <cell r="J1708">
            <v>82000</v>
          </cell>
          <cell r="K1708">
            <v>16400</v>
          </cell>
          <cell r="L1708">
            <v>81999.990000000005</v>
          </cell>
          <cell r="M1708" t="str">
            <v/>
          </cell>
          <cell r="N1708">
            <v>0.01</v>
          </cell>
        </row>
        <row r="1709">
          <cell r="A1709">
            <v>15330</v>
          </cell>
          <cell r="B1709" t="str">
            <v>11/01/2019</v>
          </cell>
          <cell r="C1709" t="str">
            <v>CALLOUT</v>
          </cell>
          <cell r="D1709" t="str">
            <v>issue with valve broken on tap new required</v>
          </cell>
          <cell r="E1709" t="str">
            <v>Viabl Ltd T/A Able</v>
          </cell>
          <cell r="F1709" t="str">
            <v>Subcontractor</v>
          </cell>
          <cell r="G1709" t="str">
            <v/>
          </cell>
          <cell r="H1709" t="str">
            <v/>
          </cell>
          <cell r="I1709" t="str">
            <v/>
          </cell>
          <cell r="J1709">
            <v>173.92</v>
          </cell>
          <cell r="K1709">
            <v>34.78</v>
          </cell>
          <cell r="L1709">
            <v>173.92</v>
          </cell>
          <cell r="M1709" t="str">
            <v/>
          </cell>
          <cell r="N1709">
            <v>0</v>
          </cell>
        </row>
        <row r="1710">
          <cell r="A1710">
            <v>15326</v>
          </cell>
          <cell r="B1710" t="str">
            <v>10/01/2019</v>
          </cell>
          <cell r="C1710" t="str">
            <v>CALLOUT</v>
          </cell>
          <cell r="D1710" t="str">
            <v>CArry out Quoted Works ref your email dated 06.12.2018</v>
          </cell>
          <cell r="E1710" t="str">
            <v>Key Integrated Services North West Ltd</v>
          </cell>
          <cell r="F1710" t="str">
            <v>Subcontractor</v>
          </cell>
          <cell r="G1710" t="str">
            <v/>
          </cell>
          <cell r="H1710" t="str">
            <v/>
          </cell>
          <cell r="I1710" t="str">
            <v/>
          </cell>
          <cell r="J1710">
            <v>1168.55</v>
          </cell>
          <cell r="K1710">
            <v>233.71</v>
          </cell>
          <cell r="L1710">
            <v>1168.55</v>
          </cell>
          <cell r="M1710" t="str">
            <v/>
          </cell>
          <cell r="N1710">
            <v>0</v>
          </cell>
        </row>
        <row r="1711">
          <cell r="A1711">
            <v>15302</v>
          </cell>
          <cell r="B1711" t="str">
            <v>08/01/2019</v>
          </cell>
          <cell r="C1711" t="str">
            <v>CALLOUT</v>
          </cell>
          <cell r="D1711" t="str">
            <v>replace occupancy sensor as per quote</v>
          </cell>
          <cell r="E1711" t="str">
            <v>Key Integrated Services North West Ltd</v>
          </cell>
          <cell r="F1711" t="str">
            <v>Subcontractor</v>
          </cell>
          <cell r="G1711" t="str">
            <v/>
          </cell>
          <cell r="H1711" t="str">
            <v/>
          </cell>
          <cell r="I1711" t="str">
            <v/>
          </cell>
          <cell r="J1711">
            <v>195.12</v>
          </cell>
          <cell r="K1711">
            <v>39.020000000000003</v>
          </cell>
          <cell r="L1711">
            <v>195.12</v>
          </cell>
          <cell r="M1711" t="str">
            <v/>
          </cell>
          <cell r="N1711">
            <v>0</v>
          </cell>
        </row>
        <row r="1712">
          <cell r="A1712">
            <v>15300</v>
          </cell>
          <cell r="B1712" t="str">
            <v>08/01/2019</v>
          </cell>
          <cell r="C1712" t="str">
            <v>CALLOUT</v>
          </cell>
          <cell r="D1712" t="str">
            <v>condition report on disbaled lift</v>
          </cell>
          <cell r="E1712" t="str">
            <v>Ansa Elevators Limited</v>
          </cell>
          <cell r="F1712" t="str">
            <v>Subcontractor</v>
          </cell>
          <cell r="G1712" t="str">
            <v/>
          </cell>
          <cell r="H1712" t="str">
            <v/>
          </cell>
          <cell r="I1712" t="str">
            <v/>
          </cell>
          <cell r="J1712">
            <v>336</v>
          </cell>
          <cell r="K1712">
            <v>67.2</v>
          </cell>
          <cell r="L1712">
            <v>336</v>
          </cell>
          <cell r="M1712" t="str">
            <v/>
          </cell>
          <cell r="N1712">
            <v>0</v>
          </cell>
        </row>
        <row r="1713">
          <cell r="A1713">
            <v>15298</v>
          </cell>
          <cell r="B1713" t="str">
            <v>08/01/2019</v>
          </cell>
          <cell r="C1713" t="str">
            <v>CALLOUT</v>
          </cell>
          <cell r="D1713" t="str">
            <v>instal fuse spur for door access as per quote</v>
          </cell>
          <cell r="E1713" t="str">
            <v>Key Integrated Services North West Ltd</v>
          </cell>
          <cell r="F1713" t="str">
            <v>Subcontractor</v>
          </cell>
          <cell r="G1713" t="str">
            <v/>
          </cell>
          <cell r="H1713" t="str">
            <v/>
          </cell>
          <cell r="I1713" t="str">
            <v/>
          </cell>
          <cell r="J1713">
            <v>821.9</v>
          </cell>
          <cell r="K1713">
            <v>164.38</v>
          </cell>
          <cell r="L1713">
            <v>821.9</v>
          </cell>
          <cell r="M1713" t="str">
            <v/>
          </cell>
          <cell r="N1713">
            <v>0</v>
          </cell>
        </row>
        <row r="1714">
          <cell r="A1714">
            <v>15290</v>
          </cell>
          <cell r="B1714" t="str">
            <v>07/01/2019</v>
          </cell>
          <cell r="C1714" t="str">
            <v>SERVICE</v>
          </cell>
          <cell r="D1714" t="str">
            <v>Attend site to carry out Sampling as per quote - 30642/2019</v>
          </cell>
          <cell r="E1714" t="str">
            <v>Hydraclean Ltd</v>
          </cell>
          <cell r="F1714" t="str">
            <v>Subcontractor</v>
          </cell>
          <cell r="G1714" t="str">
            <v/>
          </cell>
          <cell r="H1714" t="str">
            <v/>
          </cell>
          <cell r="I1714" t="str">
            <v/>
          </cell>
          <cell r="J1714">
            <v>240</v>
          </cell>
          <cell r="K1714">
            <v>48</v>
          </cell>
          <cell r="L1714">
            <v>240</v>
          </cell>
          <cell r="M1714" t="str">
            <v/>
          </cell>
          <cell r="N1714">
            <v>0</v>
          </cell>
        </row>
        <row r="1715">
          <cell r="A1715">
            <v>15288</v>
          </cell>
          <cell r="B1715" t="str">
            <v>07/01/2019</v>
          </cell>
          <cell r="C1715" t="str">
            <v>CALLOUT</v>
          </cell>
          <cell r="D1715" t="str">
            <v>Water Risk Assesments at Both Landrover Jaguar</v>
          </cell>
          <cell r="E1715" t="str">
            <v>Hydraclean Ltd</v>
          </cell>
          <cell r="F1715" t="str">
            <v>Subcontractor</v>
          </cell>
          <cell r="G1715" t="str">
            <v/>
          </cell>
          <cell r="H1715" t="str">
            <v/>
          </cell>
          <cell r="I1715" t="str">
            <v/>
          </cell>
          <cell r="J1715">
            <v>550</v>
          </cell>
          <cell r="K1715">
            <v>110</v>
          </cell>
          <cell r="L1715">
            <v>550</v>
          </cell>
          <cell r="M1715" t="str">
            <v/>
          </cell>
          <cell r="N1715">
            <v>0</v>
          </cell>
        </row>
        <row r="1716">
          <cell r="A1716">
            <v>15286</v>
          </cell>
          <cell r="B1716" t="str">
            <v>07/01/2019</v>
          </cell>
          <cell r="C1716" t="str">
            <v>CALLOUT</v>
          </cell>
          <cell r="D1716" t="str">
            <v>repacle 8no emerg fttgs as per quote</v>
          </cell>
          <cell r="E1716" t="str">
            <v>Key Integrated Services North West Ltd</v>
          </cell>
          <cell r="F1716" t="str">
            <v>Subcontractor</v>
          </cell>
          <cell r="G1716" t="str">
            <v/>
          </cell>
          <cell r="H1716" t="str">
            <v/>
          </cell>
          <cell r="I1716" t="str">
            <v/>
          </cell>
          <cell r="J1716">
            <v>570.29999999999995</v>
          </cell>
          <cell r="K1716">
            <v>114.06</v>
          </cell>
          <cell r="L1716">
            <v>570.29999999999995</v>
          </cell>
          <cell r="M1716" t="str">
            <v/>
          </cell>
          <cell r="N1716">
            <v>0</v>
          </cell>
        </row>
        <row r="1717">
          <cell r="A1717">
            <v>15284</v>
          </cell>
          <cell r="B1717" t="str">
            <v>07/01/2019</v>
          </cell>
          <cell r="C1717" t="str">
            <v>CALLOUT</v>
          </cell>
          <cell r="D1717" t="str">
            <v>lift breakdown</v>
          </cell>
          <cell r="E1717" t="str">
            <v>Ansa Elevators Limited</v>
          </cell>
          <cell r="F1717" t="str">
            <v>Subcontractor</v>
          </cell>
          <cell r="G1717" t="str">
            <v/>
          </cell>
          <cell r="H1717" t="str">
            <v/>
          </cell>
          <cell r="I1717" t="str">
            <v/>
          </cell>
          <cell r="J1717">
            <v>35</v>
          </cell>
          <cell r="K1717">
            <v>7</v>
          </cell>
          <cell r="L1717">
            <v>35</v>
          </cell>
          <cell r="M1717" t="str">
            <v/>
          </cell>
          <cell r="N1717">
            <v>0</v>
          </cell>
        </row>
        <row r="1718">
          <cell r="A1718">
            <v>15283</v>
          </cell>
          <cell r="B1718" t="str">
            <v>07/01/2019</v>
          </cell>
          <cell r="C1718" t="str">
            <v>C1518</v>
          </cell>
          <cell r="D1718" t="str">
            <v>Additional electrical supply in Cream room</v>
          </cell>
          <cell r="E1718" t="str">
            <v>Key Integrated Services (Electrical) Ltd</v>
          </cell>
          <cell r="F1718" t="str">
            <v>Subcontractor</v>
          </cell>
          <cell r="G1718" t="str">
            <v/>
          </cell>
          <cell r="H1718" t="str">
            <v/>
          </cell>
          <cell r="I1718" t="str">
            <v/>
          </cell>
          <cell r="J1718">
            <v>6059</v>
          </cell>
          <cell r="K1718">
            <v>1211.8</v>
          </cell>
          <cell r="L1718">
            <v>6059</v>
          </cell>
          <cell r="M1718" t="str">
            <v/>
          </cell>
          <cell r="N1718">
            <v>0</v>
          </cell>
        </row>
        <row r="1719">
          <cell r="A1719">
            <v>15274</v>
          </cell>
          <cell r="B1719" t="str">
            <v>04/01/2019</v>
          </cell>
          <cell r="C1719" t="str">
            <v>CALLOUT</v>
          </cell>
          <cell r="D1719" t="str">
            <v>isue with urinals and tap</v>
          </cell>
          <cell r="E1719" t="str">
            <v>Viabl Ltd T/A Able</v>
          </cell>
          <cell r="F1719" t="str">
            <v>Subcontractor</v>
          </cell>
          <cell r="G1719" t="str">
            <v/>
          </cell>
          <cell r="H1719" t="str">
            <v/>
          </cell>
          <cell r="I1719" t="str">
            <v/>
          </cell>
          <cell r="J1719">
            <v>140</v>
          </cell>
          <cell r="K1719">
            <v>28</v>
          </cell>
          <cell r="L1719">
            <v>140</v>
          </cell>
          <cell r="M1719" t="str">
            <v/>
          </cell>
          <cell r="N1719">
            <v>0</v>
          </cell>
        </row>
        <row r="1720">
          <cell r="A1720">
            <v>15264</v>
          </cell>
          <cell r="B1720" t="str">
            <v>03/01/2019</v>
          </cell>
          <cell r="C1720" t="str">
            <v>CALLOUT</v>
          </cell>
          <cell r="D1720" t="str">
            <v>investiagte lighting problems</v>
          </cell>
          <cell r="E1720" t="str">
            <v>Key Integrated Services North West Ltd</v>
          </cell>
          <cell r="F1720" t="str">
            <v>Subcontractor</v>
          </cell>
          <cell r="G1720" t="str">
            <v/>
          </cell>
          <cell r="H1720" t="str">
            <v/>
          </cell>
          <cell r="I1720" t="str">
            <v/>
          </cell>
          <cell r="J1720">
            <v>50</v>
          </cell>
          <cell r="K1720">
            <v>10</v>
          </cell>
          <cell r="L1720">
            <v>0</v>
          </cell>
          <cell r="M1720" t="str">
            <v/>
          </cell>
          <cell r="N1720">
            <v>50</v>
          </cell>
        </row>
        <row r="1721">
          <cell r="A1721">
            <v>15254</v>
          </cell>
          <cell r="B1721" t="str">
            <v>02/01/2019</v>
          </cell>
          <cell r="C1721" t="str">
            <v>CALLOUT</v>
          </cell>
          <cell r="D1721" t="str">
            <v>repalce tubes in light fttgs</v>
          </cell>
          <cell r="E1721" t="str">
            <v>Viabl Ltd T/A Able</v>
          </cell>
          <cell r="F1721" t="str">
            <v>Subcontractor</v>
          </cell>
          <cell r="G1721" t="str">
            <v/>
          </cell>
          <cell r="H1721" t="str">
            <v/>
          </cell>
          <cell r="I1721" t="str">
            <v/>
          </cell>
          <cell r="J1721">
            <v>194.5</v>
          </cell>
          <cell r="K1721">
            <v>38.9</v>
          </cell>
          <cell r="L1721">
            <v>194.5</v>
          </cell>
          <cell r="M1721" t="str">
            <v/>
          </cell>
          <cell r="N1721">
            <v>0</v>
          </cell>
        </row>
        <row r="1722">
          <cell r="A1722">
            <v>15253</v>
          </cell>
          <cell r="B1722" t="str">
            <v>02/01/2019</v>
          </cell>
          <cell r="C1722" t="str">
            <v>CALLOUT</v>
          </cell>
          <cell r="D1722" t="str">
            <v>LOLER works as per quote</v>
          </cell>
          <cell r="E1722" t="str">
            <v>Ansa Elevators Limited</v>
          </cell>
          <cell r="F1722" t="str">
            <v>Subcontractor</v>
          </cell>
          <cell r="G1722" t="str">
            <v/>
          </cell>
          <cell r="H1722" t="str">
            <v/>
          </cell>
          <cell r="I1722" t="str">
            <v/>
          </cell>
          <cell r="J1722">
            <v>1326</v>
          </cell>
          <cell r="K1722">
            <v>265.2</v>
          </cell>
          <cell r="L1722">
            <v>1326</v>
          </cell>
          <cell r="M1722" t="str">
            <v/>
          </cell>
          <cell r="N1722">
            <v>0</v>
          </cell>
        </row>
        <row r="1723">
          <cell r="A1723">
            <v>15252</v>
          </cell>
          <cell r="B1723" t="str">
            <v>02/01/2019</v>
          </cell>
          <cell r="C1723" t="str">
            <v>CALLOUT</v>
          </cell>
          <cell r="D1723" t="str">
            <v>LOLER items as per quote</v>
          </cell>
          <cell r="E1723" t="str">
            <v>Ansa Elevators Limited</v>
          </cell>
          <cell r="F1723" t="str">
            <v>Subcontractor</v>
          </cell>
          <cell r="G1723" t="str">
            <v/>
          </cell>
          <cell r="H1723" t="str">
            <v/>
          </cell>
          <cell r="I1723" t="str">
            <v/>
          </cell>
          <cell r="J1723">
            <v>235.5</v>
          </cell>
          <cell r="K1723">
            <v>47.1</v>
          </cell>
          <cell r="L1723">
            <v>235.5</v>
          </cell>
          <cell r="M1723" t="str">
            <v/>
          </cell>
          <cell r="N1723">
            <v>0</v>
          </cell>
        </row>
        <row r="1724">
          <cell r="A1724">
            <v>15251</v>
          </cell>
          <cell r="B1724" t="str">
            <v>24/12/2018</v>
          </cell>
          <cell r="C1724" t="str">
            <v>C1592</v>
          </cell>
          <cell r="D1724" t="str">
            <v>Installation only of Ventilation systems</v>
          </cell>
          <cell r="E1724" t="str">
            <v>Coolduct Ltd</v>
          </cell>
          <cell r="F1724" t="str">
            <v>Subcontractor</v>
          </cell>
          <cell r="G1724" t="str">
            <v>10/12/2018</v>
          </cell>
          <cell r="H1724" t="str">
            <v>Part</v>
          </cell>
          <cell r="I1724" t="str">
            <v/>
          </cell>
          <cell r="J1724">
            <v>17300</v>
          </cell>
          <cell r="K1724">
            <v>3460</v>
          </cell>
          <cell r="L1724">
            <v>17300</v>
          </cell>
          <cell r="M1724" t="str">
            <v/>
          </cell>
          <cell r="N1724">
            <v>0</v>
          </cell>
        </row>
        <row r="1725">
          <cell r="A1725">
            <v>15249</v>
          </cell>
          <cell r="B1725" t="str">
            <v>21/12/2018</v>
          </cell>
          <cell r="C1725" t="str">
            <v>C1596</v>
          </cell>
          <cell r="D1725" t="str">
            <v>Ferndale Foods - Armor Innox Pipework</v>
          </cell>
          <cell r="E1725" t="str">
            <v>Enco Ltd</v>
          </cell>
          <cell r="F1725" t="str">
            <v>Subcontractor</v>
          </cell>
          <cell r="G1725" t="str">
            <v/>
          </cell>
          <cell r="H1725" t="str">
            <v/>
          </cell>
          <cell r="I1725" t="str">
            <v/>
          </cell>
          <cell r="J1725">
            <v>44379.15</v>
          </cell>
          <cell r="K1725">
            <v>8875.83</v>
          </cell>
          <cell r="L1725">
            <v>44379.15</v>
          </cell>
          <cell r="M1725" t="str">
            <v/>
          </cell>
          <cell r="N1725">
            <v>0</v>
          </cell>
        </row>
        <row r="1726">
          <cell r="A1726">
            <v>15246</v>
          </cell>
          <cell r="B1726" t="str">
            <v>21/12/2018</v>
          </cell>
          <cell r="C1726" t="str">
            <v>C1590</v>
          </cell>
          <cell r="D1726" t="str">
            <v>Ferndale Foods - 250mm Dia twin wall stainless steel flue.</v>
          </cell>
          <cell r="E1726" t="str">
            <v>Flue-Stax Ltd</v>
          </cell>
          <cell r="F1726" t="str">
            <v>Subcontractor</v>
          </cell>
          <cell r="G1726" t="str">
            <v>07/01/2018</v>
          </cell>
          <cell r="H1726" t="str">
            <v/>
          </cell>
          <cell r="I1726" t="str">
            <v/>
          </cell>
          <cell r="J1726">
            <v>4434</v>
          </cell>
          <cell r="K1726">
            <v>886.8</v>
          </cell>
          <cell r="L1726">
            <v>4434</v>
          </cell>
          <cell r="M1726" t="str">
            <v/>
          </cell>
          <cell r="N1726">
            <v>0</v>
          </cell>
        </row>
        <row r="1727">
          <cell r="A1727">
            <v>15244</v>
          </cell>
          <cell r="B1727" t="str">
            <v>21/12/2018</v>
          </cell>
          <cell r="C1727" t="str">
            <v>C1518</v>
          </cell>
          <cell r="D1727" t="str">
            <v>Supply of 7no 3 Pole MCB's</v>
          </cell>
          <cell r="E1727" t="str">
            <v>Key Integrated Services (Electrical) Ltd</v>
          </cell>
          <cell r="F1727" t="str">
            <v>Subcontractor</v>
          </cell>
          <cell r="G1727" t="str">
            <v/>
          </cell>
          <cell r="H1727" t="str">
            <v/>
          </cell>
          <cell r="I1727" t="str">
            <v/>
          </cell>
          <cell r="J1727">
            <v>288</v>
          </cell>
          <cell r="K1727">
            <v>57.6</v>
          </cell>
          <cell r="L1727">
            <v>288</v>
          </cell>
          <cell r="M1727" t="str">
            <v/>
          </cell>
          <cell r="N1727">
            <v>0</v>
          </cell>
        </row>
        <row r="1728">
          <cell r="A1728">
            <v>15243</v>
          </cell>
          <cell r="B1728" t="str">
            <v>21/12/2018</v>
          </cell>
          <cell r="C1728" t="str">
            <v>C1518</v>
          </cell>
          <cell r="D1728" t="str">
            <v>Ad Pack Corridor Containment</v>
          </cell>
          <cell r="E1728" t="str">
            <v>Key Integrated Services (Electrical) Ltd</v>
          </cell>
          <cell r="F1728" t="str">
            <v>Subcontractor</v>
          </cell>
          <cell r="G1728" t="str">
            <v/>
          </cell>
          <cell r="H1728" t="str">
            <v/>
          </cell>
          <cell r="I1728" t="str">
            <v/>
          </cell>
          <cell r="J1728">
            <v>776</v>
          </cell>
          <cell r="K1728">
            <v>155.19999999999999</v>
          </cell>
          <cell r="L1728">
            <v>776</v>
          </cell>
          <cell r="M1728" t="str">
            <v/>
          </cell>
          <cell r="N1728">
            <v>0</v>
          </cell>
        </row>
        <row r="1729">
          <cell r="A1729">
            <v>15239</v>
          </cell>
          <cell r="B1729" t="str">
            <v>21/12/2018</v>
          </cell>
          <cell r="C1729" t="str">
            <v>CALLOUT</v>
          </cell>
          <cell r="D1729" t="str">
            <v>fauty water heater</v>
          </cell>
          <cell r="E1729" t="str">
            <v>Viabl Ltd T/A Able</v>
          </cell>
          <cell r="F1729" t="str">
            <v>Subcontractor</v>
          </cell>
          <cell r="G1729" t="str">
            <v/>
          </cell>
          <cell r="H1729" t="str">
            <v/>
          </cell>
          <cell r="I1729" t="str">
            <v/>
          </cell>
          <cell r="J1729">
            <v>65</v>
          </cell>
          <cell r="K1729">
            <v>13</v>
          </cell>
          <cell r="L1729">
            <v>65</v>
          </cell>
          <cell r="M1729" t="str">
            <v/>
          </cell>
          <cell r="N1729">
            <v>0</v>
          </cell>
        </row>
        <row r="1730">
          <cell r="A1730">
            <v>15233</v>
          </cell>
          <cell r="B1730" t="str">
            <v>20/12/2018</v>
          </cell>
          <cell r="C1730" t="str">
            <v>CALLOUT</v>
          </cell>
          <cell r="D1730" t="str">
            <v>5th floor lights</v>
          </cell>
          <cell r="E1730" t="str">
            <v>Key Integrated Services North West Ltd</v>
          </cell>
          <cell r="F1730" t="str">
            <v>Subcontractor</v>
          </cell>
          <cell r="G1730" t="str">
            <v/>
          </cell>
          <cell r="H1730" t="str">
            <v/>
          </cell>
          <cell r="I1730" t="str">
            <v/>
          </cell>
          <cell r="J1730">
            <v>50</v>
          </cell>
          <cell r="K1730">
            <v>10</v>
          </cell>
          <cell r="L1730">
            <v>50</v>
          </cell>
          <cell r="M1730" t="str">
            <v/>
          </cell>
          <cell r="N1730">
            <v>0</v>
          </cell>
        </row>
        <row r="1731">
          <cell r="A1731">
            <v>15226</v>
          </cell>
          <cell r="B1731" t="str">
            <v>19/12/2018</v>
          </cell>
          <cell r="C1731" t="str">
            <v>CALLOUT</v>
          </cell>
          <cell r="D1731" t="str">
            <v>install new signalling unit and site commission</v>
          </cell>
          <cell r="E1731" t="str">
            <v>Marlowe Fire &amp; Security Limited</v>
          </cell>
          <cell r="F1731" t="str">
            <v>Subcontractor</v>
          </cell>
          <cell r="G1731" t="str">
            <v/>
          </cell>
          <cell r="H1731" t="str">
            <v/>
          </cell>
          <cell r="I1731" t="str">
            <v/>
          </cell>
          <cell r="J1731">
            <v>565.46</v>
          </cell>
          <cell r="K1731">
            <v>113.09</v>
          </cell>
          <cell r="L1731">
            <v>565.46</v>
          </cell>
          <cell r="M1731" t="str">
            <v/>
          </cell>
          <cell r="N1731">
            <v>0</v>
          </cell>
        </row>
        <row r="1732">
          <cell r="A1732">
            <v>15219</v>
          </cell>
          <cell r="B1732" t="str">
            <v>19/12/2018</v>
          </cell>
          <cell r="C1732" t="str">
            <v>CALLOUT</v>
          </cell>
          <cell r="D1732" t="str">
            <v>works to disabled wc</v>
          </cell>
          <cell r="E1732" t="str">
            <v>Viabl Ltd T/A Able</v>
          </cell>
          <cell r="F1732" t="str">
            <v>Subcontractor</v>
          </cell>
          <cell r="G1732" t="str">
            <v/>
          </cell>
          <cell r="H1732" t="str">
            <v/>
          </cell>
          <cell r="I1732" t="str">
            <v/>
          </cell>
          <cell r="J1732">
            <v>85</v>
          </cell>
          <cell r="K1732">
            <v>17</v>
          </cell>
          <cell r="L1732">
            <v>85</v>
          </cell>
          <cell r="M1732" t="str">
            <v/>
          </cell>
          <cell r="N1732">
            <v>0</v>
          </cell>
        </row>
        <row r="1733">
          <cell r="A1733">
            <v>15217</v>
          </cell>
          <cell r="B1733" t="str">
            <v>18/12/2018</v>
          </cell>
          <cell r="C1733" t="str">
            <v>CALLOUT</v>
          </cell>
          <cell r="D1733" t="str">
            <v>7 x lights out in the carpark</v>
          </cell>
          <cell r="E1733" t="str">
            <v>Key Integrated Services North West Ltd</v>
          </cell>
          <cell r="F1733" t="str">
            <v>Subcontractor</v>
          </cell>
          <cell r="G1733" t="str">
            <v/>
          </cell>
          <cell r="H1733" t="str">
            <v/>
          </cell>
          <cell r="I1733" t="str">
            <v/>
          </cell>
          <cell r="J1733">
            <v>128</v>
          </cell>
          <cell r="K1733">
            <v>25.6</v>
          </cell>
          <cell r="L1733">
            <v>128</v>
          </cell>
          <cell r="M1733" t="str">
            <v/>
          </cell>
          <cell r="N1733">
            <v>0</v>
          </cell>
        </row>
        <row r="1734">
          <cell r="A1734">
            <v>15208</v>
          </cell>
          <cell r="B1734" t="str">
            <v>18/12/2018</v>
          </cell>
          <cell r="C1734" t="str">
            <v>SERVICE</v>
          </cell>
          <cell r="D1734" t="str">
            <v>Carry out maintenance on 3no Gas Heters</v>
          </cell>
          <cell r="E1734" t="str">
            <v>Premiair Services</v>
          </cell>
          <cell r="F1734" t="str">
            <v>Subcontractor</v>
          </cell>
          <cell r="G1734" t="str">
            <v/>
          </cell>
          <cell r="H1734" t="str">
            <v/>
          </cell>
          <cell r="I1734" t="str">
            <v/>
          </cell>
          <cell r="J1734">
            <v>200</v>
          </cell>
          <cell r="K1734">
            <v>40</v>
          </cell>
          <cell r="L1734">
            <v>200</v>
          </cell>
          <cell r="M1734" t="str">
            <v/>
          </cell>
          <cell r="N1734">
            <v>0</v>
          </cell>
        </row>
        <row r="1735">
          <cell r="A1735">
            <v>15207</v>
          </cell>
          <cell r="B1735" t="str">
            <v>18/12/2018</v>
          </cell>
          <cell r="C1735" t="str">
            <v>SERVICE</v>
          </cell>
          <cell r="D1735" t="str">
            <v>Carryout Boiler Maintenance</v>
          </cell>
          <cell r="E1735" t="str">
            <v>Premiair Services</v>
          </cell>
          <cell r="F1735" t="str">
            <v>Subcontractor</v>
          </cell>
          <cell r="G1735" t="str">
            <v/>
          </cell>
          <cell r="H1735" t="str">
            <v/>
          </cell>
          <cell r="I1735" t="str">
            <v/>
          </cell>
          <cell r="J1735">
            <v>120</v>
          </cell>
          <cell r="K1735">
            <v>24</v>
          </cell>
          <cell r="L1735">
            <v>0</v>
          </cell>
          <cell r="M1735" t="str">
            <v/>
          </cell>
          <cell r="N1735">
            <v>120</v>
          </cell>
        </row>
        <row r="1736">
          <cell r="A1736">
            <v>15204</v>
          </cell>
          <cell r="B1736" t="str">
            <v>17/12/2018</v>
          </cell>
          <cell r="C1736" t="str">
            <v>CALLOUT</v>
          </cell>
          <cell r="D1736" t="str">
            <v>carry out quoted works to wcs</v>
          </cell>
          <cell r="E1736" t="str">
            <v>Viabl Ltd T/A Able</v>
          </cell>
          <cell r="F1736" t="str">
            <v>Subcontractor</v>
          </cell>
          <cell r="G1736" t="str">
            <v/>
          </cell>
          <cell r="H1736" t="str">
            <v/>
          </cell>
          <cell r="I1736" t="str">
            <v/>
          </cell>
          <cell r="J1736">
            <v>179.2</v>
          </cell>
          <cell r="K1736">
            <v>35.840000000000003</v>
          </cell>
          <cell r="L1736">
            <v>179.2</v>
          </cell>
          <cell r="M1736" t="str">
            <v/>
          </cell>
          <cell r="N1736">
            <v>0</v>
          </cell>
        </row>
        <row r="1737">
          <cell r="A1737">
            <v>15198</v>
          </cell>
          <cell r="B1737" t="str">
            <v>17/12/2018</v>
          </cell>
          <cell r="C1737" t="str">
            <v>CALLOUT</v>
          </cell>
          <cell r="D1737" t="str">
            <v>supply and fit water heater as per quote</v>
          </cell>
          <cell r="E1737" t="str">
            <v>K Gammon Plumbing &amp; Heating Ltd</v>
          </cell>
          <cell r="F1737" t="str">
            <v>Subcontractor</v>
          </cell>
          <cell r="G1737" t="str">
            <v/>
          </cell>
          <cell r="H1737" t="str">
            <v/>
          </cell>
          <cell r="I1737" t="str">
            <v/>
          </cell>
          <cell r="J1737">
            <v>521.22</v>
          </cell>
          <cell r="K1737">
            <v>104.24</v>
          </cell>
          <cell r="L1737">
            <v>521.22</v>
          </cell>
          <cell r="M1737" t="str">
            <v/>
          </cell>
          <cell r="N1737">
            <v>0</v>
          </cell>
        </row>
        <row r="1738">
          <cell r="A1738">
            <v>15194</v>
          </cell>
          <cell r="B1738" t="str">
            <v>14/12/2018</v>
          </cell>
          <cell r="C1738" t="str">
            <v>C1480</v>
          </cell>
          <cell r="D1738" t="str">
            <v>Quote 170829sb121 REV 3</v>
          </cell>
          <cell r="E1738" t="str">
            <v>Direct Air &amp; Pipework Ltd</v>
          </cell>
          <cell r="F1738" t="str">
            <v>Subcontractor</v>
          </cell>
          <cell r="G1738" t="str">
            <v/>
          </cell>
          <cell r="H1738" t="str">
            <v/>
          </cell>
          <cell r="I1738" t="str">
            <v/>
          </cell>
          <cell r="J1738">
            <v>600</v>
          </cell>
          <cell r="K1738">
            <v>120</v>
          </cell>
          <cell r="L1738">
            <v>600</v>
          </cell>
          <cell r="M1738" t="str">
            <v/>
          </cell>
          <cell r="N1738">
            <v>0</v>
          </cell>
        </row>
        <row r="1739">
          <cell r="A1739">
            <v>15188</v>
          </cell>
          <cell r="B1739" t="str">
            <v>14/12/2018</v>
          </cell>
          <cell r="C1739" t="str">
            <v>CALLOUT</v>
          </cell>
          <cell r="D1739" t="str">
            <v>12 x lights in office</v>
          </cell>
          <cell r="E1739" t="str">
            <v>Barrie Beard Ltd</v>
          </cell>
          <cell r="F1739" t="str">
            <v>Subcontractor</v>
          </cell>
          <cell r="G1739" t="str">
            <v/>
          </cell>
          <cell r="H1739" t="str">
            <v/>
          </cell>
          <cell r="I1739" t="str">
            <v/>
          </cell>
          <cell r="J1739">
            <v>65</v>
          </cell>
          <cell r="K1739">
            <v>13</v>
          </cell>
          <cell r="L1739">
            <v>65</v>
          </cell>
          <cell r="M1739" t="str">
            <v/>
          </cell>
          <cell r="N1739">
            <v>0</v>
          </cell>
        </row>
        <row r="1740">
          <cell r="A1740">
            <v>15187</v>
          </cell>
          <cell r="B1740" t="str">
            <v>14/12/2018</v>
          </cell>
          <cell r="C1740" t="str">
            <v>CALLOUT</v>
          </cell>
          <cell r="D1740" t="str">
            <v>4th floor lights wont stay on</v>
          </cell>
          <cell r="E1740" t="str">
            <v>Key Integrated Services North West Ltd</v>
          </cell>
          <cell r="F1740" t="str">
            <v>Subcontractor</v>
          </cell>
          <cell r="G1740" t="str">
            <v/>
          </cell>
          <cell r="H1740" t="str">
            <v>Part</v>
          </cell>
          <cell r="I1740" t="str">
            <v/>
          </cell>
          <cell r="J1740">
            <v>121</v>
          </cell>
          <cell r="K1740">
            <v>24.2</v>
          </cell>
          <cell r="L1740">
            <v>121</v>
          </cell>
          <cell r="M1740" t="str">
            <v/>
          </cell>
          <cell r="N1740">
            <v>0</v>
          </cell>
        </row>
        <row r="1741">
          <cell r="A1741">
            <v>15182</v>
          </cell>
          <cell r="B1741" t="str">
            <v>13/12/2018</v>
          </cell>
          <cell r="C1741" t="str">
            <v>C1576</v>
          </cell>
          <cell r="D1741" t="str">
            <v>Melton Foods Air Balancing</v>
          </cell>
          <cell r="E1741" t="str">
            <v>Combat Commissioning Services Ltd</v>
          </cell>
          <cell r="F1741" t="str">
            <v>Subcontractor</v>
          </cell>
          <cell r="G1741" t="str">
            <v>14/12/2018</v>
          </cell>
          <cell r="H1741" t="str">
            <v/>
          </cell>
          <cell r="I1741" t="str">
            <v/>
          </cell>
          <cell r="J1741">
            <v>450</v>
          </cell>
          <cell r="K1741">
            <v>90</v>
          </cell>
          <cell r="L1741">
            <v>450</v>
          </cell>
          <cell r="M1741" t="str">
            <v/>
          </cell>
          <cell r="N1741">
            <v>0</v>
          </cell>
        </row>
        <row r="1742">
          <cell r="A1742">
            <v>15181</v>
          </cell>
          <cell r="B1742" t="str">
            <v>13/12/2018</v>
          </cell>
          <cell r="C1742" t="str">
            <v>CALLOUT</v>
          </cell>
          <cell r="D1742" t="str">
            <v>Legionella Risk Assessment as per quote</v>
          </cell>
          <cell r="E1742" t="str">
            <v>Hydraclean Ltd</v>
          </cell>
          <cell r="F1742" t="str">
            <v>Subcontractor</v>
          </cell>
          <cell r="G1742" t="str">
            <v/>
          </cell>
          <cell r="H1742" t="str">
            <v/>
          </cell>
          <cell r="I1742" t="str">
            <v/>
          </cell>
          <cell r="J1742">
            <v>390</v>
          </cell>
          <cell r="K1742">
            <v>78</v>
          </cell>
          <cell r="L1742">
            <v>390</v>
          </cell>
          <cell r="M1742" t="str">
            <v/>
          </cell>
          <cell r="N1742">
            <v>0</v>
          </cell>
        </row>
        <row r="1743">
          <cell r="A1743">
            <v>15179</v>
          </cell>
          <cell r="B1743" t="str">
            <v>13/12/2018</v>
          </cell>
          <cell r="C1743" t="str">
            <v>C1560</v>
          </cell>
          <cell r="D1743" t="str">
            <v>AC Issues at Bedford</v>
          </cell>
          <cell r="E1743" t="str">
            <v>Heat Control Air Conditioning Ltd</v>
          </cell>
          <cell r="F1743" t="str">
            <v>Subcontractor</v>
          </cell>
          <cell r="G1743" t="str">
            <v/>
          </cell>
          <cell r="H1743" t="str">
            <v/>
          </cell>
          <cell r="I1743" t="str">
            <v/>
          </cell>
          <cell r="J1743">
            <v>213</v>
          </cell>
          <cell r="K1743">
            <v>42.6</v>
          </cell>
          <cell r="L1743">
            <v>213</v>
          </cell>
          <cell r="M1743" t="str">
            <v/>
          </cell>
          <cell r="N1743">
            <v>0</v>
          </cell>
        </row>
        <row r="1744">
          <cell r="A1744">
            <v>15178</v>
          </cell>
          <cell r="B1744" t="str">
            <v>13/12/2018</v>
          </cell>
          <cell r="C1744" t="str">
            <v>C1560</v>
          </cell>
          <cell r="D1744" t="str">
            <v>On Ste Air Balancing of NUAIRE AHU At Enfield</v>
          </cell>
          <cell r="E1744" t="str">
            <v>New Era Commissioning Specialists Ltd</v>
          </cell>
          <cell r="F1744" t="str">
            <v>Subcontractor</v>
          </cell>
          <cell r="G1744" t="str">
            <v>03/01/2018</v>
          </cell>
          <cell r="H1744" t="str">
            <v/>
          </cell>
          <cell r="I1744" t="str">
            <v/>
          </cell>
          <cell r="J1744">
            <v>550</v>
          </cell>
          <cell r="K1744">
            <v>110</v>
          </cell>
          <cell r="L1744">
            <v>550</v>
          </cell>
          <cell r="M1744" t="str">
            <v/>
          </cell>
          <cell r="N1744">
            <v>0</v>
          </cell>
        </row>
        <row r="1745">
          <cell r="A1745">
            <v>15177</v>
          </cell>
          <cell r="B1745" t="str">
            <v>13/12/2018</v>
          </cell>
          <cell r="C1745" t="str">
            <v>C1497</v>
          </cell>
          <cell r="D1745" t="str">
            <v>Ref: TN-PH-GL-01</v>
          </cell>
          <cell r="E1745" t="str">
            <v>Scottfab Insulation Ltd</v>
          </cell>
          <cell r="F1745" t="str">
            <v>Subcontractor</v>
          </cell>
          <cell r="G1745" t="str">
            <v/>
          </cell>
          <cell r="H1745" t="str">
            <v/>
          </cell>
          <cell r="I1745" t="str">
            <v/>
          </cell>
          <cell r="J1745">
            <v>1024</v>
          </cell>
          <cell r="K1745">
            <v>204.8</v>
          </cell>
          <cell r="L1745">
            <v>1024</v>
          </cell>
          <cell r="M1745" t="str">
            <v/>
          </cell>
          <cell r="N1745">
            <v>0</v>
          </cell>
        </row>
        <row r="1746">
          <cell r="A1746">
            <v>15159</v>
          </cell>
          <cell r="B1746" t="str">
            <v>12/12/2018</v>
          </cell>
          <cell r="C1746" t="str">
            <v>C1523</v>
          </cell>
          <cell r="D1746" t="str">
            <v>Crane lift on Saturday 22nd December 2018.</v>
          </cell>
          <cell r="E1746" t="str">
            <v>Armquest Industrial Services Ltd</v>
          </cell>
          <cell r="F1746" t="str">
            <v>Subcontractor</v>
          </cell>
          <cell r="G1746" t="str">
            <v/>
          </cell>
          <cell r="H1746" t="str">
            <v/>
          </cell>
          <cell r="I1746" t="str">
            <v/>
          </cell>
          <cell r="J1746">
            <v>2150</v>
          </cell>
          <cell r="K1746">
            <v>430</v>
          </cell>
          <cell r="L1746">
            <v>2150</v>
          </cell>
          <cell r="M1746" t="str">
            <v/>
          </cell>
          <cell r="N1746">
            <v>0</v>
          </cell>
        </row>
        <row r="1747">
          <cell r="A1747">
            <v>15150</v>
          </cell>
          <cell r="B1747" t="str">
            <v>11/12/2018</v>
          </cell>
          <cell r="C1747" t="str">
            <v>C1595</v>
          </cell>
          <cell r="D1747" t="str">
            <v>Ground floor air &amp; water validation</v>
          </cell>
          <cell r="E1747" t="str">
            <v>New Era Commissioning Specialists Ltd</v>
          </cell>
          <cell r="F1747" t="str">
            <v>Subcontractor</v>
          </cell>
          <cell r="G1747" t="str">
            <v>08/01/2019</v>
          </cell>
          <cell r="H1747" t="str">
            <v/>
          </cell>
          <cell r="I1747" t="str">
            <v/>
          </cell>
          <cell r="J1747">
            <v>1350</v>
          </cell>
          <cell r="K1747">
            <v>270</v>
          </cell>
          <cell r="L1747">
            <v>1350</v>
          </cell>
          <cell r="M1747" t="str">
            <v/>
          </cell>
          <cell r="N1747">
            <v>0</v>
          </cell>
        </row>
        <row r="1748">
          <cell r="A1748">
            <v>15149</v>
          </cell>
          <cell r="B1748" t="str">
            <v>11/12/2018</v>
          </cell>
          <cell r="C1748" t="str">
            <v>C1595</v>
          </cell>
          <cell r="D1748" t="str">
            <v>GF validation works on 8/1/19 - 9/1/19</v>
          </cell>
          <cell r="E1748" t="str">
            <v>BG Energy Solutions Limited</v>
          </cell>
          <cell r="F1748" t="str">
            <v>Subcontractor</v>
          </cell>
          <cell r="G1748" t="str">
            <v>08/01/2019</v>
          </cell>
          <cell r="H1748" t="str">
            <v/>
          </cell>
          <cell r="I1748" t="str">
            <v>Posted</v>
          </cell>
          <cell r="J1748">
            <v>1000</v>
          </cell>
          <cell r="K1748">
            <v>200</v>
          </cell>
          <cell r="L1748">
            <v>1200</v>
          </cell>
          <cell r="M1748" t="str">
            <v/>
          </cell>
          <cell r="N1748">
            <v>-200</v>
          </cell>
        </row>
        <row r="1749">
          <cell r="A1749">
            <v>15138</v>
          </cell>
          <cell r="B1749" t="str">
            <v>11/12/2018</v>
          </cell>
          <cell r="C1749" t="str">
            <v>CALLOUT</v>
          </cell>
          <cell r="D1749" t="str">
            <v>plumbing issues</v>
          </cell>
          <cell r="E1749" t="str">
            <v>Viabl Ltd T/A Able</v>
          </cell>
          <cell r="F1749" t="str">
            <v>Subcontractor</v>
          </cell>
          <cell r="G1749" t="str">
            <v/>
          </cell>
          <cell r="H1749" t="str">
            <v/>
          </cell>
          <cell r="I1749" t="str">
            <v/>
          </cell>
          <cell r="J1749">
            <v>65</v>
          </cell>
          <cell r="K1749">
            <v>13</v>
          </cell>
          <cell r="L1749">
            <v>65</v>
          </cell>
          <cell r="M1749" t="str">
            <v/>
          </cell>
          <cell r="N1749">
            <v>0</v>
          </cell>
        </row>
        <row r="1750">
          <cell r="A1750">
            <v>15136</v>
          </cell>
          <cell r="B1750" t="str">
            <v>11/12/2018</v>
          </cell>
          <cell r="C1750" t="str">
            <v>CALLOUT</v>
          </cell>
          <cell r="D1750" t="str">
            <v>8 x lights out inmain office</v>
          </cell>
          <cell r="E1750" t="str">
            <v>Key Integrated Services North West Ltd</v>
          </cell>
          <cell r="F1750" t="str">
            <v>Subcontractor</v>
          </cell>
          <cell r="G1750" t="str">
            <v/>
          </cell>
          <cell r="H1750" t="str">
            <v>Part</v>
          </cell>
          <cell r="I1750" t="str">
            <v/>
          </cell>
          <cell r="J1750">
            <v>41</v>
          </cell>
          <cell r="K1750">
            <v>8.1999999999999993</v>
          </cell>
          <cell r="L1750">
            <v>41</v>
          </cell>
          <cell r="M1750" t="str">
            <v/>
          </cell>
          <cell r="N1750">
            <v>0</v>
          </cell>
        </row>
        <row r="1751">
          <cell r="A1751">
            <v>15134</v>
          </cell>
          <cell r="B1751" t="str">
            <v>11/12/2018</v>
          </cell>
          <cell r="C1751" t="str">
            <v>CALLOUT</v>
          </cell>
          <cell r="D1751" t="str">
            <v>replace bulbs in various locations</v>
          </cell>
          <cell r="E1751" t="str">
            <v>Viabl Ltd T/A Able</v>
          </cell>
          <cell r="F1751" t="str">
            <v>Subcontractor</v>
          </cell>
          <cell r="G1751" t="str">
            <v/>
          </cell>
          <cell r="H1751" t="str">
            <v/>
          </cell>
          <cell r="I1751" t="str">
            <v/>
          </cell>
          <cell r="J1751">
            <v>195</v>
          </cell>
          <cell r="K1751">
            <v>39</v>
          </cell>
          <cell r="L1751">
            <v>195</v>
          </cell>
          <cell r="M1751" t="str">
            <v/>
          </cell>
          <cell r="N1751">
            <v>0</v>
          </cell>
        </row>
        <row r="1752">
          <cell r="A1752">
            <v>15132</v>
          </cell>
          <cell r="B1752" t="str">
            <v>10/12/2018</v>
          </cell>
          <cell r="C1752" t="str">
            <v>CALLOUT</v>
          </cell>
          <cell r="D1752" t="str">
            <v>sani flow not working</v>
          </cell>
          <cell r="E1752" t="str">
            <v>K Gammon Plumbing &amp; Heating Ltd</v>
          </cell>
          <cell r="F1752" t="str">
            <v>Subcontractor</v>
          </cell>
          <cell r="G1752" t="str">
            <v/>
          </cell>
          <cell r="H1752" t="str">
            <v/>
          </cell>
          <cell r="I1752" t="str">
            <v/>
          </cell>
          <cell r="J1752">
            <v>98</v>
          </cell>
          <cell r="K1752">
            <v>19.600000000000001</v>
          </cell>
          <cell r="L1752">
            <v>98</v>
          </cell>
          <cell r="M1752" t="str">
            <v/>
          </cell>
          <cell r="N1752">
            <v>0</v>
          </cell>
        </row>
        <row r="1753">
          <cell r="A1753">
            <v>15125</v>
          </cell>
          <cell r="B1753" t="str">
            <v>10/12/2018</v>
          </cell>
          <cell r="C1753" t="str">
            <v>CALLOUT</v>
          </cell>
          <cell r="D1753" t="str">
            <v>sink not draining and hot and cold taps faulty</v>
          </cell>
          <cell r="E1753" t="str">
            <v>K Gammon Plumbing &amp; Heating Ltd</v>
          </cell>
          <cell r="F1753" t="str">
            <v>Subcontractor</v>
          </cell>
          <cell r="G1753" t="str">
            <v/>
          </cell>
          <cell r="H1753" t="str">
            <v/>
          </cell>
          <cell r="I1753" t="str">
            <v/>
          </cell>
          <cell r="J1753">
            <v>171.28</v>
          </cell>
          <cell r="K1753">
            <v>34.26</v>
          </cell>
          <cell r="L1753">
            <v>171.28</v>
          </cell>
          <cell r="M1753" t="str">
            <v/>
          </cell>
          <cell r="N1753">
            <v>0</v>
          </cell>
        </row>
        <row r="1754">
          <cell r="A1754">
            <v>15122</v>
          </cell>
          <cell r="B1754" t="str">
            <v>10/12/2018</v>
          </cell>
          <cell r="C1754" t="str">
            <v>C1518</v>
          </cell>
          <cell r="D1754" t="str">
            <v>Freezer 3 Lights 4500124712</v>
          </cell>
          <cell r="E1754" t="str">
            <v>Key Integrated Services (Electrical) Ltd</v>
          </cell>
          <cell r="F1754" t="str">
            <v>Subcontractor</v>
          </cell>
          <cell r="G1754" t="str">
            <v/>
          </cell>
          <cell r="H1754" t="str">
            <v/>
          </cell>
          <cell r="I1754" t="str">
            <v/>
          </cell>
          <cell r="J1754">
            <v>5771</v>
          </cell>
          <cell r="K1754">
            <v>1154.2</v>
          </cell>
          <cell r="L1754">
            <v>5771</v>
          </cell>
          <cell r="M1754" t="str">
            <v/>
          </cell>
          <cell r="N1754">
            <v>0</v>
          </cell>
        </row>
        <row r="1755">
          <cell r="A1755">
            <v>15113</v>
          </cell>
          <cell r="B1755" t="str">
            <v>07/12/2018</v>
          </cell>
          <cell r="C1755" t="str">
            <v>CALLOUT</v>
          </cell>
          <cell r="D1755" t="str">
            <v>4 x external lights out</v>
          </cell>
          <cell r="E1755" t="str">
            <v>Key Integrated Services North West Ltd</v>
          </cell>
          <cell r="F1755" t="str">
            <v>Subcontractor</v>
          </cell>
          <cell r="G1755" t="str">
            <v/>
          </cell>
          <cell r="H1755" t="str">
            <v/>
          </cell>
          <cell r="I1755" t="str">
            <v/>
          </cell>
          <cell r="J1755">
            <v>200.12</v>
          </cell>
          <cell r="K1755">
            <v>40.020000000000003</v>
          </cell>
          <cell r="L1755">
            <v>200.12</v>
          </cell>
          <cell r="M1755" t="str">
            <v/>
          </cell>
          <cell r="N1755">
            <v>0</v>
          </cell>
        </row>
        <row r="1756">
          <cell r="A1756">
            <v>15107</v>
          </cell>
          <cell r="B1756" t="str">
            <v>06/12/2018</v>
          </cell>
          <cell r="C1756" t="str">
            <v>C1558</v>
          </cell>
          <cell r="D1756" t="str">
            <v>Order for the commissioning of all water and vent system to</v>
          </cell>
          <cell r="E1756" t="str">
            <v>Primary Water Treatments</v>
          </cell>
          <cell r="F1756" t="str">
            <v>Subcontractor</v>
          </cell>
          <cell r="G1756" t="str">
            <v>25/11/2018</v>
          </cell>
          <cell r="H1756" t="str">
            <v/>
          </cell>
          <cell r="I1756" t="str">
            <v/>
          </cell>
          <cell r="J1756">
            <v>8341</v>
          </cell>
          <cell r="K1756">
            <v>1668.2</v>
          </cell>
          <cell r="L1756">
            <v>8341</v>
          </cell>
          <cell r="M1756" t="str">
            <v/>
          </cell>
          <cell r="N1756">
            <v>0</v>
          </cell>
        </row>
        <row r="1757">
          <cell r="A1757">
            <v>15106</v>
          </cell>
          <cell r="B1757" t="str">
            <v>06/12/2018</v>
          </cell>
          <cell r="C1757" t="str">
            <v>CALLOUT</v>
          </cell>
          <cell r="D1757" t="str">
            <v>install 2 x elec and 2 x data points as per quote</v>
          </cell>
          <cell r="E1757" t="str">
            <v>Key Integrated Services North West Ltd</v>
          </cell>
          <cell r="F1757" t="str">
            <v>Subcontractor</v>
          </cell>
          <cell r="G1757" t="str">
            <v/>
          </cell>
          <cell r="H1757" t="str">
            <v/>
          </cell>
          <cell r="I1757" t="str">
            <v/>
          </cell>
          <cell r="J1757">
            <v>546</v>
          </cell>
          <cell r="K1757">
            <v>109.2</v>
          </cell>
          <cell r="L1757">
            <v>546</v>
          </cell>
          <cell r="M1757" t="str">
            <v/>
          </cell>
          <cell r="N1757">
            <v>0</v>
          </cell>
        </row>
        <row r="1758">
          <cell r="A1758">
            <v>15102</v>
          </cell>
          <cell r="B1758" t="str">
            <v>06/12/2018</v>
          </cell>
          <cell r="C1758" t="str">
            <v>C1590</v>
          </cell>
          <cell r="D1758" t="str">
            <v>Pipework Sub-Contract Package</v>
          </cell>
          <cell r="E1758" t="str">
            <v>Enco Ltd</v>
          </cell>
          <cell r="F1758" t="str">
            <v>Subcontractor</v>
          </cell>
          <cell r="G1758" t="str">
            <v/>
          </cell>
          <cell r="H1758" t="str">
            <v/>
          </cell>
          <cell r="I1758" t="str">
            <v/>
          </cell>
          <cell r="J1758">
            <v>219271.47</v>
          </cell>
          <cell r="K1758">
            <v>43854.29</v>
          </cell>
          <cell r="L1758">
            <v>219271.47</v>
          </cell>
          <cell r="M1758" t="str">
            <v/>
          </cell>
          <cell r="N1758">
            <v>0</v>
          </cell>
        </row>
        <row r="1759">
          <cell r="A1759">
            <v>15092</v>
          </cell>
          <cell r="B1759" t="str">
            <v>05/12/2018</v>
          </cell>
          <cell r="C1759" t="str">
            <v>SERVICE</v>
          </cell>
          <cell r="D1759" t="str">
            <v>Carry out AC Maintenance</v>
          </cell>
          <cell r="E1759" t="str">
            <v>Commercial Temperature Solutions</v>
          </cell>
          <cell r="F1759" t="str">
            <v>Subcontractor</v>
          </cell>
          <cell r="G1759" t="str">
            <v/>
          </cell>
          <cell r="H1759" t="str">
            <v/>
          </cell>
          <cell r="I1759" t="str">
            <v/>
          </cell>
          <cell r="J1759">
            <v>140</v>
          </cell>
          <cell r="K1759">
            <v>28</v>
          </cell>
          <cell r="L1759">
            <v>140</v>
          </cell>
          <cell r="M1759" t="str">
            <v/>
          </cell>
          <cell r="N1759">
            <v>0</v>
          </cell>
        </row>
        <row r="1760">
          <cell r="A1760">
            <v>15091</v>
          </cell>
          <cell r="B1760" t="str">
            <v>05/12/2018</v>
          </cell>
          <cell r="C1760" t="str">
            <v>CALLOUT</v>
          </cell>
          <cell r="D1760" t="str">
            <v>Carry out Quoted Works as per option no.1</v>
          </cell>
          <cell r="E1760" t="str">
            <v>Key Integrated Services North West Ltd</v>
          </cell>
          <cell r="F1760" t="str">
            <v>Subcontractor</v>
          </cell>
          <cell r="G1760" t="str">
            <v/>
          </cell>
          <cell r="H1760" t="str">
            <v/>
          </cell>
          <cell r="I1760" t="str">
            <v/>
          </cell>
          <cell r="J1760">
            <v>220.6</v>
          </cell>
          <cell r="K1760">
            <v>44.12</v>
          </cell>
          <cell r="L1760">
            <v>220.6</v>
          </cell>
          <cell r="M1760" t="str">
            <v/>
          </cell>
          <cell r="N1760">
            <v>0</v>
          </cell>
        </row>
        <row r="1761">
          <cell r="A1761">
            <v>15082</v>
          </cell>
          <cell r="B1761" t="str">
            <v>05/12/2018</v>
          </cell>
          <cell r="C1761" t="str">
            <v>CALLOUT</v>
          </cell>
          <cell r="D1761" t="str">
            <v>AC fault Code 6607</v>
          </cell>
          <cell r="E1761" t="str">
            <v>4 Way Refrigeration Ltd</v>
          </cell>
          <cell r="F1761" t="str">
            <v>Subcontractor</v>
          </cell>
          <cell r="G1761" t="str">
            <v/>
          </cell>
          <cell r="H1761" t="str">
            <v/>
          </cell>
          <cell r="I1761" t="str">
            <v/>
          </cell>
          <cell r="J1761">
            <v>206.15</v>
          </cell>
          <cell r="K1761">
            <v>41.23</v>
          </cell>
          <cell r="L1761">
            <v>0</v>
          </cell>
          <cell r="M1761" t="str">
            <v/>
          </cell>
          <cell r="N1761">
            <v>206.15</v>
          </cell>
        </row>
        <row r="1762">
          <cell r="A1762">
            <v>15054</v>
          </cell>
          <cell r="B1762" t="str">
            <v>03/12/2018</v>
          </cell>
          <cell r="C1762" t="str">
            <v>C1532</v>
          </cell>
          <cell r="D1762" t="str">
            <v>Supply &amp; Installation of pipework as per sub-contractor orde</v>
          </cell>
          <cell r="E1762" t="str">
            <v>Stan Robinson &amp; Son Ltd T/A SRS</v>
          </cell>
          <cell r="F1762" t="str">
            <v>Subcontractor</v>
          </cell>
          <cell r="G1762" t="str">
            <v>03/12/2018</v>
          </cell>
          <cell r="H1762" t="str">
            <v>Part</v>
          </cell>
          <cell r="I1762" t="str">
            <v/>
          </cell>
          <cell r="J1762">
            <v>115577.78</v>
          </cell>
          <cell r="K1762">
            <v>23115.55</v>
          </cell>
          <cell r="L1762">
            <v>115577.78</v>
          </cell>
          <cell r="M1762" t="str">
            <v/>
          </cell>
          <cell r="N1762">
            <v>0</v>
          </cell>
        </row>
        <row r="1763">
          <cell r="A1763">
            <v>15053</v>
          </cell>
          <cell r="B1763" t="str">
            <v>03/12/2018</v>
          </cell>
          <cell r="C1763" t="str">
            <v>C1532</v>
          </cell>
          <cell r="D1763" t="str">
            <v>Supply &amp; Installation of ductwork as per sub-contractor orde</v>
          </cell>
          <cell r="E1763" t="str">
            <v>SV Installations Limited</v>
          </cell>
          <cell r="F1763" t="str">
            <v>Subcontractor</v>
          </cell>
          <cell r="G1763" t="str">
            <v>03/12/2018</v>
          </cell>
          <cell r="H1763" t="str">
            <v/>
          </cell>
          <cell r="I1763" t="str">
            <v/>
          </cell>
          <cell r="J1763">
            <v>64692</v>
          </cell>
          <cell r="K1763">
            <v>12938.4</v>
          </cell>
          <cell r="L1763">
            <v>64692</v>
          </cell>
          <cell r="M1763" t="str">
            <v/>
          </cell>
          <cell r="N1763">
            <v>0</v>
          </cell>
        </row>
        <row r="1764">
          <cell r="A1764">
            <v>15051</v>
          </cell>
          <cell r="B1764" t="str">
            <v>03/12/2018</v>
          </cell>
          <cell r="C1764" t="str">
            <v>CALLOUT</v>
          </cell>
          <cell r="D1764" t="str">
            <v>Call Out - Replace Fire Alarm Break Glass on 1st Floor</v>
          </cell>
          <cell r="E1764" t="str">
            <v>Abel Alarm Company Limited</v>
          </cell>
          <cell r="F1764" t="str">
            <v>Subcontractor</v>
          </cell>
          <cell r="G1764" t="str">
            <v/>
          </cell>
          <cell r="H1764" t="str">
            <v>Complete</v>
          </cell>
          <cell r="I1764" t="str">
            <v/>
          </cell>
          <cell r="J1764">
            <v>0</v>
          </cell>
          <cell r="K1764">
            <v>0</v>
          </cell>
          <cell r="L1764">
            <v>76</v>
          </cell>
          <cell r="M1764" t="str">
            <v/>
          </cell>
          <cell r="N1764">
            <v>-76</v>
          </cell>
        </row>
        <row r="1765">
          <cell r="A1765">
            <v>14997</v>
          </cell>
          <cell r="B1765" t="str">
            <v>03/12/2018</v>
          </cell>
          <cell r="C1765" t="str">
            <v>C1532</v>
          </cell>
          <cell r="D1765" t="str">
            <v>Thermal Insulation works as per quote ref: 20182 Rev 2 on 20</v>
          </cell>
          <cell r="E1765" t="str">
            <v>Grangewood Insulation Services Ltd</v>
          </cell>
          <cell r="F1765" t="str">
            <v>Subcontractor</v>
          </cell>
          <cell r="G1765" t="str">
            <v>17/12/2018</v>
          </cell>
          <cell r="H1765" t="str">
            <v/>
          </cell>
          <cell r="I1765" t="str">
            <v/>
          </cell>
          <cell r="J1765">
            <v>3207</v>
          </cell>
          <cell r="K1765">
            <v>641.4</v>
          </cell>
          <cell r="L1765">
            <v>3207</v>
          </cell>
          <cell r="M1765" t="str">
            <v/>
          </cell>
          <cell r="N1765">
            <v>0</v>
          </cell>
        </row>
        <row r="1766">
          <cell r="A1766">
            <v>15045</v>
          </cell>
          <cell r="B1766" t="str">
            <v>30/11/2018</v>
          </cell>
          <cell r="C1766" t="str">
            <v>C1549</v>
          </cell>
          <cell r="D1766" t="str">
            <v>Service Works as per Quote Ref: FP1800UK79</v>
          </cell>
          <cell r="E1766" t="str">
            <v>Lennox Benelux B.V.</v>
          </cell>
          <cell r="F1766" t="str">
            <v>Subcontractor</v>
          </cell>
          <cell r="G1766" t="str">
            <v/>
          </cell>
          <cell r="H1766" t="str">
            <v>Complete</v>
          </cell>
          <cell r="I1766" t="str">
            <v/>
          </cell>
          <cell r="J1766">
            <v>7542</v>
          </cell>
          <cell r="K1766">
            <v>0</v>
          </cell>
          <cell r="L1766">
            <v>7542</v>
          </cell>
          <cell r="M1766" t="str">
            <v/>
          </cell>
          <cell r="N1766">
            <v>0</v>
          </cell>
        </row>
        <row r="1767">
          <cell r="A1767">
            <v>15040</v>
          </cell>
          <cell r="B1767" t="str">
            <v>29/11/2018</v>
          </cell>
          <cell r="C1767" t="str">
            <v>C1558</v>
          </cell>
          <cell r="D1767" t="str">
            <v>Diamond Drilling in Brick Work</v>
          </cell>
          <cell r="E1767" t="str">
            <v>D-Drill Group</v>
          </cell>
          <cell r="F1767" t="str">
            <v>Subcontractor</v>
          </cell>
          <cell r="G1767" t="str">
            <v/>
          </cell>
          <cell r="H1767" t="str">
            <v/>
          </cell>
          <cell r="I1767" t="str">
            <v/>
          </cell>
          <cell r="J1767">
            <v>340</v>
          </cell>
          <cell r="K1767">
            <v>68</v>
          </cell>
          <cell r="L1767">
            <v>340</v>
          </cell>
          <cell r="M1767" t="str">
            <v/>
          </cell>
          <cell r="N1767">
            <v>0</v>
          </cell>
        </row>
        <row r="1768">
          <cell r="A1768">
            <v>15029</v>
          </cell>
          <cell r="B1768" t="str">
            <v>29/11/2018</v>
          </cell>
          <cell r="C1768" t="str">
            <v>C1590</v>
          </cell>
          <cell r="D1768" t="str">
            <v>Ferndale Foods - Electrical Works</v>
          </cell>
          <cell r="E1768" t="str">
            <v>Key Integrated Services (Electrical) Ltd</v>
          </cell>
          <cell r="F1768" t="str">
            <v>Subcontractor</v>
          </cell>
          <cell r="G1768" t="str">
            <v/>
          </cell>
          <cell r="H1768" t="str">
            <v>Part</v>
          </cell>
          <cell r="I1768" t="str">
            <v/>
          </cell>
          <cell r="J1768">
            <v>411524.42</v>
          </cell>
          <cell r="K1768">
            <v>82304.88</v>
          </cell>
          <cell r="L1768">
            <v>411524.42</v>
          </cell>
          <cell r="M1768" t="str">
            <v/>
          </cell>
          <cell r="N1768">
            <v>0</v>
          </cell>
        </row>
        <row r="1769">
          <cell r="A1769">
            <v>15004</v>
          </cell>
          <cell r="B1769" t="str">
            <v>28/11/2018</v>
          </cell>
          <cell r="C1769" t="str">
            <v>C1558</v>
          </cell>
          <cell r="D1769" t="str">
            <v/>
          </cell>
          <cell r="E1769" t="str">
            <v>Primary Water Treatments</v>
          </cell>
          <cell r="F1769" t="str">
            <v>Subcontractor</v>
          </cell>
          <cell r="G1769" t="str">
            <v>04/12/2018</v>
          </cell>
          <cell r="H1769" t="str">
            <v>Complete</v>
          </cell>
          <cell r="I1769" t="str">
            <v/>
          </cell>
          <cell r="J1769">
            <v>0</v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</row>
        <row r="1770">
          <cell r="A1770">
            <v>15108</v>
          </cell>
          <cell r="B1770" t="str">
            <v>27/11/2018</v>
          </cell>
          <cell r="C1770" t="str">
            <v>C1523</v>
          </cell>
          <cell r="D1770" t="str">
            <v>Commissioning &amp; Water treatment at 33 Wellington Street, Lee</v>
          </cell>
          <cell r="E1770" t="str">
            <v>New Era Commissioning Specialists Ltd</v>
          </cell>
          <cell r="F1770" t="str">
            <v>Subcontractor</v>
          </cell>
          <cell r="G1770" t="str">
            <v>03/12/2018</v>
          </cell>
          <cell r="H1770" t="str">
            <v/>
          </cell>
          <cell r="I1770" t="str">
            <v/>
          </cell>
          <cell r="J1770">
            <v>5950</v>
          </cell>
          <cell r="K1770">
            <v>0</v>
          </cell>
          <cell r="L1770">
            <v>6530</v>
          </cell>
          <cell r="M1770" t="str">
            <v/>
          </cell>
          <cell r="N1770">
            <v>-6530</v>
          </cell>
        </row>
        <row r="1771">
          <cell r="A1771">
            <v>15001</v>
          </cell>
          <cell r="B1771" t="str">
            <v>26/11/2018</v>
          </cell>
          <cell r="C1771" t="str">
            <v>C1558</v>
          </cell>
          <cell r="D1771" t="str">
            <v/>
          </cell>
          <cell r="E1771" t="str">
            <v>Factory Plant Projects Ltd</v>
          </cell>
          <cell r="F1771" t="str">
            <v>Subcontractor</v>
          </cell>
          <cell r="G1771" t="str">
            <v>22/11/2018</v>
          </cell>
          <cell r="H1771" t="str">
            <v/>
          </cell>
          <cell r="I1771" t="str">
            <v/>
          </cell>
          <cell r="J1771">
            <v>1780</v>
          </cell>
          <cell r="K1771">
            <v>356</v>
          </cell>
          <cell r="L1771">
            <v>1780</v>
          </cell>
          <cell r="M1771" t="str">
            <v/>
          </cell>
          <cell r="N1771">
            <v>0</v>
          </cell>
        </row>
        <row r="1772">
          <cell r="A1772">
            <v>14995</v>
          </cell>
          <cell r="B1772" t="str">
            <v>23/11/2018</v>
          </cell>
          <cell r="C1772" t="str">
            <v>CALLOUT</v>
          </cell>
          <cell r="D1772" t="str">
            <v>drop test fire dampers</v>
          </cell>
          <cell r="E1772" t="str">
            <v>OLD COUGAR ACCOUNT- DO NOT USE</v>
          </cell>
          <cell r="F1772" t="str">
            <v>Subcontractor</v>
          </cell>
          <cell r="G1772" t="str">
            <v/>
          </cell>
          <cell r="H1772" t="str">
            <v/>
          </cell>
          <cell r="I1772" t="str">
            <v/>
          </cell>
          <cell r="J1772">
            <v>250</v>
          </cell>
          <cell r="K1772">
            <v>50</v>
          </cell>
          <cell r="L1772">
            <v>250</v>
          </cell>
          <cell r="M1772" t="str">
            <v/>
          </cell>
          <cell r="N1772">
            <v>0</v>
          </cell>
        </row>
        <row r="1773">
          <cell r="A1773">
            <v>14993</v>
          </cell>
          <cell r="B1773" t="str">
            <v>22/11/2018</v>
          </cell>
          <cell r="C1773" t="str">
            <v>C1547</v>
          </cell>
          <cell r="D1773" t="str">
            <v>Re-Commission of N11 System Wednesday 28th November</v>
          </cell>
          <cell r="E1773" t="str">
            <v>Combat Commissioning Services Ltd</v>
          </cell>
          <cell r="F1773" t="str">
            <v>Subcontractor</v>
          </cell>
          <cell r="G1773" t="str">
            <v/>
          </cell>
          <cell r="H1773" t="str">
            <v/>
          </cell>
          <cell r="I1773" t="str">
            <v/>
          </cell>
          <cell r="J1773">
            <v>450</v>
          </cell>
          <cell r="K1773">
            <v>90</v>
          </cell>
          <cell r="L1773">
            <v>450</v>
          </cell>
          <cell r="M1773" t="str">
            <v/>
          </cell>
          <cell r="N1773">
            <v>0</v>
          </cell>
        </row>
        <row r="1774">
          <cell r="A1774">
            <v>14992</v>
          </cell>
          <cell r="B1774" t="str">
            <v>22/11/2018</v>
          </cell>
          <cell r="C1774" t="str">
            <v>CALLOUT</v>
          </cell>
          <cell r="D1774" t="str">
            <v>issue with immersion heater</v>
          </cell>
          <cell r="E1774" t="str">
            <v>K Gammon Plumbing &amp; Heating Ltd</v>
          </cell>
          <cell r="F1774" t="str">
            <v>Subcontractor</v>
          </cell>
          <cell r="G1774" t="str">
            <v/>
          </cell>
          <cell r="H1774" t="str">
            <v/>
          </cell>
          <cell r="I1774" t="str">
            <v/>
          </cell>
          <cell r="J1774">
            <v>112</v>
          </cell>
          <cell r="K1774">
            <v>22.4</v>
          </cell>
          <cell r="L1774">
            <v>112</v>
          </cell>
          <cell r="M1774" t="str">
            <v/>
          </cell>
          <cell r="N1774">
            <v>0</v>
          </cell>
        </row>
        <row r="1775">
          <cell r="A1775">
            <v>14991</v>
          </cell>
          <cell r="B1775" t="str">
            <v>22/11/2018</v>
          </cell>
          <cell r="C1775" t="str">
            <v>CALLOUT</v>
          </cell>
          <cell r="D1775" t="str">
            <v>no hot water</v>
          </cell>
          <cell r="E1775" t="str">
            <v>K Gammon Plumbing &amp; Heating Ltd</v>
          </cell>
          <cell r="F1775" t="str">
            <v>Subcontractor</v>
          </cell>
          <cell r="G1775" t="str">
            <v/>
          </cell>
          <cell r="H1775" t="str">
            <v/>
          </cell>
          <cell r="I1775" t="str">
            <v/>
          </cell>
          <cell r="J1775">
            <v>140</v>
          </cell>
          <cell r="K1775">
            <v>28</v>
          </cell>
          <cell r="L1775">
            <v>140</v>
          </cell>
          <cell r="M1775" t="str">
            <v/>
          </cell>
          <cell r="N1775">
            <v>0</v>
          </cell>
        </row>
        <row r="1776">
          <cell r="A1776">
            <v>14989</v>
          </cell>
          <cell r="B1776" t="str">
            <v>22/11/2018</v>
          </cell>
          <cell r="C1776" t="str">
            <v>CALLOUT</v>
          </cell>
          <cell r="D1776" t="str">
            <v>replace mixer tap</v>
          </cell>
          <cell r="E1776" t="str">
            <v>Viabl Ltd T/A Able</v>
          </cell>
          <cell r="F1776" t="str">
            <v>Subcontractor</v>
          </cell>
          <cell r="G1776" t="str">
            <v/>
          </cell>
          <cell r="H1776" t="str">
            <v/>
          </cell>
          <cell r="I1776" t="str">
            <v/>
          </cell>
          <cell r="J1776">
            <v>218.52</v>
          </cell>
          <cell r="K1776">
            <v>43.7</v>
          </cell>
          <cell r="L1776">
            <v>218.52</v>
          </cell>
          <cell r="M1776" t="str">
            <v/>
          </cell>
          <cell r="N1776">
            <v>0</v>
          </cell>
        </row>
        <row r="1777">
          <cell r="A1777">
            <v>14986</v>
          </cell>
          <cell r="B1777" t="str">
            <v>22/11/2018</v>
          </cell>
          <cell r="C1777" t="str">
            <v>C1523</v>
          </cell>
          <cell r="D1777" t="str">
            <v>Crane Lift Saturday 24th November 2018</v>
          </cell>
          <cell r="E1777" t="str">
            <v>Armquest Industrial Services Ltd</v>
          </cell>
          <cell r="F1777" t="str">
            <v>Subcontractor</v>
          </cell>
          <cell r="G1777" t="str">
            <v>24/11/2018</v>
          </cell>
          <cell r="H1777" t="str">
            <v/>
          </cell>
          <cell r="I1777" t="str">
            <v/>
          </cell>
          <cell r="J1777">
            <v>1850</v>
          </cell>
          <cell r="K1777">
            <v>370</v>
          </cell>
          <cell r="L1777">
            <v>1850</v>
          </cell>
          <cell r="M1777" t="str">
            <v/>
          </cell>
          <cell r="N1777">
            <v>0</v>
          </cell>
        </row>
        <row r="1778">
          <cell r="A1778">
            <v>14979</v>
          </cell>
          <cell r="B1778" t="str">
            <v>21/11/2018</v>
          </cell>
          <cell r="C1778" t="str">
            <v>CALLOUT</v>
          </cell>
          <cell r="D1778" t="str">
            <v>Investigate Fire Door not closing properly</v>
          </cell>
          <cell r="E1778" t="str">
            <v>Viabl Ltd T/A Able</v>
          </cell>
          <cell r="F1778" t="str">
            <v>Subcontractor</v>
          </cell>
          <cell r="G1778" t="str">
            <v/>
          </cell>
          <cell r="H1778" t="str">
            <v/>
          </cell>
          <cell r="I1778" t="str">
            <v/>
          </cell>
          <cell r="J1778">
            <v>99</v>
          </cell>
          <cell r="K1778">
            <v>19.8</v>
          </cell>
          <cell r="L1778">
            <v>99</v>
          </cell>
          <cell r="M1778" t="str">
            <v/>
          </cell>
          <cell r="N1778">
            <v>0</v>
          </cell>
        </row>
        <row r="1779">
          <cell r="A1779">
            <v>14974</v>
          </cell>
          <cell r="B1779" t="str">
            <v>21/11/2018</v>
          </cell>
          <cell r="C1779" t="str">
            <v>CALLOUT</v>
          </cell>
          <cell r="D1779" t="str">
            <v>Attended site to investigate 2nd floor hot water temp to hig</v>
          </cell>
          <cell r="E1779" t="str">
            <v>Viabl Ltd T/A Able</v>
          </cell>
          <cell r="F1779" t="str">
            <v>Subcontractor</v>
          </cell>
          <cell r="G1779" t="str">
            <v/>
          </cell>
          <cell r="H1779" t="str">
            <v/>
          </cell>
          <cell r="I1779" t="str">
            <v/>
          </cell>
          <cell r="J1779">
            <v>130</v>
          </cell>
          <cell r="K1779">
            <v>26</v>
          </cell>
          <cell r="L1779">
            <v>130</v>
          </cell>
          <cell r="M1779" t="str">
            <v/>
          </cell>
          <cell r="N1779">
            <v>0</v>
          </cell>
        </row>
        <row r="1780">
          <cell r="A1780">
            <v>14972</v>
          </cell>
          <cell r="B1780" t="str">
            <v>20/11/2018</v>
          </cell>
          <cell r="C1780" t="str">
            <v>CALLOUT</v>
          </cell>
          <cell r="D1780" t="str">
            <v>To replace carpark bollard - 50w ballast ignitor</v>
          </cell>
          <cell r="E1780" t="str">
            <v>Barrie Beard Ltd</v>
          </cell>
          <cell r="F1780" t="str">
            <v>Subcontractor</v>
          </cell>
          <cell r="G1780" t="str">
            <v/>
          </cell>
          <cell r="H1780" t="str">
            <v/>
          </cell>
          <cell r="I1780" t="str">
            <v/>
          </cell>
          <cell r="J1780">
            <v>155</v>
          </cell>
          <cell r="K1780">
            <v>31</v>
          </cell>
          <cell r="L1780">
            <v>155</v>
          </cell>
          <cell r="M1780" t="str">
            <v/>
          </cell>
          <cell r="N1780">
            <v>0</v>
          </cell>
        </row>
        <row r="1781">
          <cell r="A1781">
            <v>14971</v>
          </cell>
          <cell r="B1781" t="str">
            <v>20/11/2018</v>
          </cell>
          <cell r="C1781" t="str">
            <v>CALLOUT</v>
          </cell>
          <cell r="D1781" t="str">
            <v>Spot Laight not working/External Bollard not wrking</v>
          </cell>
          <cell r="E1781" t="str">
            <v>Barrie Beard Ltd</v>
          </cell>
          <cell r="F1781" t="str">
            <v>Subcontractor</v>
          </cell>
          <cell r="G1781" t="str">
            <v/>
          </cell>
          <cell r="H1781" t="str">
            <v/>
          </cell>
          <cell r="I1781" t="str">
            <v/>
          </cell>
          <cell r="J1781">
            <v>120</v>
          </cell>
          <cell r="K1781">
            <v>24</v>
          </cell>
          <cell r="L1781">
            <v>120</v>
          </cell>
          <cell r="M1781" t="str">
            <v/>
          </cell>
          <cell r="N1781">
            <v>0</v>
          </cell>
        </row>
        <row r="1782">
          <cell r="A1782">
            <v>14966</v>
          </cell>
          <cell r="B1782" t="str">
            <v>20/11/2018</v>
          </cell>
          <cell r="C1782" t="str">
            <v>SERVICE</v>
          </cell>
          <cell r="D1782" t="str">
            <v>carry out maintenance as per quote</v>
          </cell>
          <cell r="E1782" t="str">
            <v>Hydraclean Ltd</v>
          </cell>
          <cell r="F1782" t="str">
            <v>Subcontractor</v>
          </cell>
          <cell r="G1782" t="str">
            <v/>
          </cell>
          <cell r="H1782" t="str">
            <v/>
          </cell>
          <cell r="I1782" t="str">
            <v/>
          </cell>
          <cell r="J1782">
            <v>502</v>
          </cell>
          <cell r="K1782">
            <v>100.4</v>
          </cell>
          <cell r="L1782">
            <v>502</v>
          </cell>
          <cell r="M1782" t="str">
            <v/>
          </cell>
          <cell r="N1782">
            <v>0</v>
          </cell>
        </row>
        <row r="1783">
          <cell r="A1783">
            <v>14962</v>
          </cell>
          <cell r="B1783" t="str">
            <v>20/11/2018</v>
          </cell>
          <cell r="C1783" t="str">
            <v>CALLOUT</v>
          </cell>
          <cell r="D1783" t="str">
            <v>fault with power suppluy</v>
          </cell>
          <cell r="E1783" t="str">
            <v>Key Integrated Services North West Ltd</v>
          </cell>
          <cell r="F1783" t="str">
            <v>Subcontractor</v>
          </cell>
          <cell r="G1783" t="str">
            <v/>
          </cell>
          <cell r="H1783" t="str">
            <v>Part</v>
          </cell>
          <cell r="I1783" t="str">
            <v/>
          </cell>
          <cell r="J1783">
            <v>50</v>
          </cell>
          <cell r="K1783">
            <v>10</v>
          </cell>
          <cell r="L1783">
            <v>50</v>
          </cell>
          <cell r="M1783" t="str">
            <v/>
          </cell>
          <cell r="N1783">
            <v>0</v>
          </cell>
        </row>
        <row r="1784">
          <cell r="A1784">
            <v>14960</v>
          </cell>
          <cell r="B1784" t="str">
            <v>19/11/2018</v>
          </cell>
          <cell r="C1784" t="str">
            <v>C1584</v>
          </cell>
          <cell r="D1784" t="str">
            <v>Ductwork Installation Only</v>
          </cell>
          <cell r="E1784" t="str">
            <v>ExcelVent Solutions Ltd</v>
          </cell>
          <cell r="F1784" t="str">
            <v>Subcontractor</v>
          </cell>
          <cell r="G1784" t="str">
            <v>08/10/2018</v>
          </cell>
          <cell r="H1784" t="str">
            <v>Part</v>
          </cell>
          <cell r="I1784" t="str">
            <v/>
          </cell>
          <cell r="J1784">
            <v>118204.9</v>
          </cell>
          <cell r="K1784">
            <v>23640.98</v>
          </cell>
          <cell r="L1784">
            <v>118204.9</v>
          </cell>
          <cell r="M1784" t="str">
            <v/>
          </cell>
          <cell r="N1784">
            <v>0</v>
          </cell>
        </row>
        <row r="1785">
          <cell r="A1785">
            <v>14959</v>
          </cell>
          <cell r="B1785" t="str">
            <v>19/11/2018</v>
          </cell>
          <cell r="C1785" t="str">
            <v>CALLOUT</v>
          </cell>
          <cell r="D1785" t="str">
            <v>Quoted Works - Replace Sangamo Timeclock</v>
          </cell>
          <cell r="E1785" t="str">
            <v>Barrie Beard Ltd</v>
          </cell>
          <cell r="F1785" t="str">
            <v>Subcontractor</v>
          </cell>
          <cell r="G1785" t="str">
            <v/>
          </cell>
          <cell r="H1785" t="str">
            <v/>
          </cell>
          <cell r="I1785" t="str">
            <v/>
          </cell>
          <cell r="J1785">
            <v>365</v>
          </cell>
          <cell r="K1785">
            <v>73</v>
          </cell>
          <cell r="L1785">
            <v>365</v>
          </cell>
          <cell r="M1785" t="str">
            <v/>
          </cell>
          <cell r="N1785">
            <v>0</v>
          </cell>
        </row>
        <row r="1786">
          <cell r="A1786">
            <v>14958</v>
          </cell>
          <cell r="B1786" t="str">
            <v>19/11/2018</v>
          </cell>
          <cell r="C1786" t="str">
            <v>CALLOUT</v>
          </cell>
          <cell r="D1786" t="str">
            <v>Replaced various lamps - car park lights not working</v>
          </cell>
          <cell r="E1786" t="str">
            <v>Barrie Beard Ltd</v>
          </cell>
          <cell r="F1786" t="str">
            <v>Subcontractor</v>
          </cell>
          <cell r="G1786" t="str">
            <v/>
          </cell>
          <cell r="H1786" t="str">
            <v/>
          </cell>
          <cell r="I1786" t="str">
            <v/>
          </cell>
          <cell r="J1786">
            <v>132</v>
          </cell>
          <cell r="K1786">
            <v>26.4</v>
          </cell>
          <cell r="L1786">
            <v>132</v>
          </cell>
          <cell r="M1786" t="str">
            <v/>
          </cell>
          <cell r="N1786">
            <v>0</v>
          </cell>
        </row>
        <row r="1787">
          <cell r="A1787">
            <v>14954</v>
          </cell>
          <cell r="B1787" t="str">
            <v>19/11/2018</v>
          </cell>
          <cell r="C1787" t="str">
            <v>CALLOUT</v>
          </cell>
          <cell r="D1787" t="str">
            <v>attend site to investigate loose door handles in maclaren me</v>
          </cell>
          <cell r="E1787" t="str">
            <v>Viabl Ltd T/A Able</v>
          </cell>
          <cell r="F1787" t="str">
            <v>Subcontractor</v>
          </cell>
          <cell r="G1787" t="str">
            <v/>
          </cell>
          <cell r="H1787" t="str">
            <v/>
          </cell>
          <cell r="I1787" t="str">
            <v/>
          </cell>
          <cell r="J1787">
            <v>150</v>
          </cell>
          <cell r="K1787">
            <v>30</v>
          </cell>
          <cell r="L1787">
            <v>150</v>
          </cell>
          <cell r="M1787" t="str">
            <v/>
          </cell>
          <cell r="N1787">
            <v>0</v>
          </cell>
        </row>
        <row r="1788">
          <cell r="A1788">
            <v>14947</v>
          </cell>
          <cell r="B1788" t="str">
            <v>16/11/2018</v>
          </cell>
          <cell r="C1788" t="str">
            <v>SERVICE</v>
          </cell>
          <cell r="D1788" t="str">
            <v>1 Year maitnenance Contract 1.11.18 - 30.10.19 1 x visit per</v>
          </cell>
          <cell r="E1788" t="str">
            <v>Automated Building &amp; Energy Controls Ltd</v>
          </cell>
          <cell r="F1788" t="str">
            <v>Subcontractor</v>
          </cell>
          <cell r="G1788" t="str">
            <v/>
          </cell>
          <cell r="H1788" t="str">
            <v>Part</v>
          </cell>
          <cell r="I1788" t="str">
            <v/>
          </cell>
          <cell r="J1788">
            <v>450</v>
          </cell>
          <cell r="K1788">
            <v>90</v>
          </cell>
          <cell r="L1788">
            <v>450</v>
          </cell>
          <cell r="M1788" t="str">
            <v/>
          </cell>
          <cell r="N1788">
            <v>0</v>
          </cell>
        </row>
        <row r="1789">
          <cell r="A1789">
            <v>14946</v>
          </cell>
          <cell r="B1789" t="str">
            <v>16/11/2018</v>
          </cell>
          <cell r="C1789" t="str">
            <v>SERVICE</v>
          </cell>
          <cell r="D1789" t="str">
            <v>To carry out 1 service visit per year as quote</v>
          </cell>
          <cell r="E1789" t="str">
            <v>Lightning Protection UK Ltd</v>
          </cell>
          <cell r="F1789" t="str">
            <v>Subcontractor</v>
          </cell>
          <cell r="G1789" t="str">
            <v/>
          </cell>
          <cell r="H1789" t="str">
            <v>Part</v>
          </cell>
          <cell r="I1789" t="str">
            <v/>
          </cell>
          <cell r="J1789">
            <v>95</v>
          </cell>
          <cell r="K1789">
            <v>19</v>
          </cell>
          <cell r="L1789">
            <v>95</v>
          </cell>
          <cell r="M1789" t="str">
            <v/>
          </cell>
          <cell r="N1789">
            <v>0</v>
          </cell>
        </row>
        <row r="1790">
          <cell r="A1790">
            <v>14945</v>
          </cell>
          <cell r="B1790" t="str">
            <v>16/11/2018</v>
          </cell>
          <cell r="C1790" t="str">
            <v>SERVICE</v>
          </cell>
          <cell r="D1790" t="str">
            <v>1 year maintenance contract 1.11.18 - 30.10.19</v>
          </cell>
          <cell r="E1790" t="str">
            <v>Hoyles Fire + Safety Ltd</v>
          </cell>
          <cell r="F1790" t="str">
            <v>Subcontractor</v>
          </cell>
          <cell r="G1790" t="str">
            <v/>
          </cell>
          <cell r="H1790" t="str">
            <v>Part</v>
          </cell>
          <cell r="I1790" t="str">
            <v/>
          </cell>
          <cell r="J1790">
            <v>354.75</v>
          </cell>
          <cell r="K1790">
            <v>70.95</v>
          </cell>
          <cell r="L1790">
            <v>228.72</v>
          </cell>
          <cell r="M1790" t="str">
            <v/>
          </cell>
          <cell r="N1790">
            <v>126.03</v>
          </cell>
        </row>
        <row r="1791">
          <cell r="A1791">
            <v>14944</v>
          </cell>
          <cell r="B1791" t="str">
            <v>16/11/2018</v>
          </cell>
          <cell r="C1791" t="str">
            <v>SERVICE</v>
          </cell>
          <cell r="D1791" t="str">
            <v>1 year maintenance contract 1.11.18 - 30.10.19</v>
          </cell>
          <cell r="E1791" t="str">
            <v>Ansa Elevators Limited</v>
          </cell>
          <cell r="F1791" t="str">
            <v>Subcontractor</v>
          </cell>
          <cell r="G1791" t="str">
            <v/>
          </cell>
          <cell r="H1791" t="str">
            <v>Part</v>
          </cell>
          <cell r="I1791" t="str">
            <v/>
          </cell>
          <cell r="J1791">
            <v>820</v>
          </cell>
          <cell r="K1791">
            <v>164</v>
          </cell>
          <cell r="L1791">
            <v>820</v>
          </cell>
          <cell r="M1791" t="str">
            <v/>
          </cell>
          <cell r="N1791">
            <v>0</v>
          </cell>
        </row>
        <row r="1792">
          <cell r="A1792">
            <v>14934</v>
          </cell>
          <cell r="B1792" t="str">
            <v>15/11/2018</v>
          </cell>
          <cell r="C1792" t="str">
            <v>C1590</v>
          </cell>
          <cell r="D1792" t="str">
            <v>Maine Engineering Ductwork Package</v>
          </cell>
          <cell r="E1792" t="str">
            <v>Maine Engineering Ltd</v>
          </cell>
          <cell r="F1792" t="str">
            <v>Subcontractor</v>
          </cell>
          <cell r="G1792" t="str">
            <v>25/11/2018</v>
          </cell>
          <cell r="H1792" t="str">
            <v>Complete</v>
          </cell>
          <cell r="I1792" t="str">
            <v/>
          </cell>
          <cell r="J1792">
            <v>0</v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</row>
        <row r="1793">
          <cell r="A1793">
            <v>14929</v>
          </cell>
          <cell r="B1793" t="str">
            <v>15/11/2018</v>
          </cell>
          <cell r="C1793" t="str">
            <v>CALLOUT</v>
          </cell>
          <cell r="D1793" t="str">
            <v>faulty mixer tap in kitchen</v>
          </cell>
          <cell r="E1793" t="str">
            <v>Viabl Ltd T/A Able</v>
          </cell>
          <cell r="F1793" t="str">
            <v>Subcontractor</v>
          </cell>
          <cell r="G1793" t="str">
            <v/>
          </cell>
          <cell r="H1793" t="str">
            <v>Part</v>
          </cell>
          <cell r="I1793" t="str">
            <v/>
          </cell>
          <cell r="J1793">
            <v>65</v>
          </cell>
          <cell r="K1793">
            <v>13</v>
          </cell>
          <cell r="L1793">
            <v>65</v>
          </cell>
          <cell r="M1793" t="str">
            <v/>
          </cell>
          <cell r="N1793">
            <v>0</v>
          </cell>
        </row>
        <row r="1794">
          <cell r="A1794">
            <v>14925</v>
          </cell>
          <cell r="B1794" t="str">
            <v>14/11/2018</v>
          </cell>
          <cell r="C1794" t="str">
            <v>C1548</v>
          </cell>
          <cell r="D1794" t="str">
            <v>Pipe Freeze and Strip Out Of Chilled Water</v>
          </cell>
          <cell r="E1794" t="str">
            <v>JTL Engineering Ltd</v>
          </cell>
          <cell r="F1794" t="str">
            <v>Subcontractor</v>
          </cell>
          <cell r="G1794" t="str">
            <v>15/11/2018</v>
          </cell>
          <cell r="H1794" t="str">
            <v/>
          </cell>
          <cell r="I1794" t="str">
            <v/>
          </cell>
          <cell r="J1794">
            <v>1295</v>
          </cell>
          <cell r="K1794">
            <v>259</v>
          </cell>
          <cell r="L1794">
            <v>850</v>
          </cell>
          <cell r="M1794" t="str">
            <v/>
          </cell>
          <cell r="N1794">
            <v>445</v>
          </cell>
        </row>
        <row r="1795">
          <cell r="A1795">
            <v>14923</v>
          </cell>
          <cell r="B1795" t="str">
            <v>14/11/2018</v>
          </cell>
          <cell r="C1795" t="str">
            <v>SERVICE</v>
          </cell>
          <cell r="D1795" t="str">
            <v>boiler maintenance</v>
          </cell>
          <cell r="E1795" t="str">
            <v>Pole to Pole Climate Control Ltd</v>
          </cell>
          <cell r="F1795" t="str">
            <v>Subcontractor</v>
          </cell>
          <cell r="G1795" t="str">
            <v/>
          </cell>
          <cell r="H1795" t="str">
            <v/>
          </cell>
          <cell r="I1795" t="str">
            <v/>
          </cell>
          <cell r="J1795">
            <v>275</v>
          </cell>
          <cell r="K1795">
            <v>55</v>
          </cell>
          <cell r="L1795">
            <v>275</v>
          </cell>
          <cell r="M1795" t="str">
            <v/>
          </cell>
          <cell r="N1795">
            <v>0</v>
          </cell>
        </row>
        <row r="1796">
          <cell r="A1796">
            <v>14922</v>
          </cell>
          <cell r="B1796" t="str">
            <v>14/11/2018</v>
          </cell>
          <cell r="C1796" t="str">
            <v>SERVICE</v>
          </cell>
          <cell r="D1796" t="str">
            <v>ac maintenance</v>
          </cell>
          <cell r="E1796" t="str">
            <v>Pole to Pole Climate Control Ltd</v>
          </cell>
          <cell r="F1796" t="str">
            <v>Subcontractor</v>
          </cell>
          <cell r="G1796" t="str">
            <v/>
          </cell>
          <cell r="H1796" t="str">
            <v/>
          </cell>
          <cell r="I1796" t="str">
            <v/>
          </cell>
          <cell r="J1796">
            <v>108</v>
          </cell>
          <cell r="K1796">
            <v>21.6</v>
          </cell>
          <cell r="L1796">
            <v>108</v>
          </cell>
          <cell r="M1796" t="str">
            <v/>
          </cell>
          <cell r="N1796">
            <v>0</v>
          </cell>
        </row>
        <row r="1797">
          <cell r="A1797">
            <v>14921</v>
          </cell>
          <cell r="B1797" t="str">
            <v>14/11/2018</v>
          </cell>
          <cell r="C1797" t="str">
            <v>SERVICE</v>
          </cell>
          <cell r="D1797" t="str">
            <v>2018-2019 Interim service due March 2019</v>
          </cell>
          <cell r="E1797" t="str">
            <v>Woodlands Generators</v>
          </cell>
          <cell r="F1797" t="str">
            <v>Subcontractor</v>
          </cell>
          <cell r="G1797" t="str">
            <v/>
          </cell>
          <cell r="H1797" t="str">
            <v>Complete</v>
          </cell>
          <cell r="I1797" t="str">
            <v/>
          </cell>
          <cell r="J1797">
            <v>0</v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</row>
        <row r="1798">
          <cell r="A1798">
            <v>14920</v>
          </cell>
          <cell r="B1798" t="str">
            <v>13/11/2018</v>
          </cell>
          <cell r="C1798" t="str">
            <v>C1558</v>
          </cell>
          <cell r="D1798" t="str">
            <v>Reserved for Primary Water Group- Dean</v>
          </cell>
          <cell r="E1798" t="str">
            <v>Primary Water Treatments</v>
          </cell>
          <cell r="F1798" t="str">
            <v>Subcontractor</v>
          </cell>
          <cell r="G1798" t="str">
            <v/>
          </cell>
          <cell r="H1798" t="str">
            <v>Complete</v>
          </cell>
          <cell r="I1798" t="str">
            <v/>
          </cell>
          <cell r="J1798">
            <v>10668</v>
          </cell>
          <cell r="K1798">
            <v>2133.6</v>
          </cell>
          <cell r="L1798">
            <v>10668</v>
          </cell>
          <cell r="M1798" t="str">
            <v/>
          </cell>
          <cell r="N1798">
            <v>0</v>
          </cell>
        </row>
        <row r="1799">
          <cell r="A1799">
            <v>14903</v>
          </cell>
          <cell r="B1799" t="str">
            <v>12/11/2018</v>
          </cell>
          <cell r="C1799" t="str">
            <v>C1558</v>
          </cell>
          <cell r="D1799" t="str">
            <v>Order for the drilling of two holes at 78mm and 127mmto take</v>
          </cell>
          <cell r="E1799" t="str">
            <v>D-Drill Group</v>
          </cell>
          <cell r="F1799" t="str">
            <v>Subcontractor</v>
          </cell>
          <cell r="G1799" t="str">
            <v>15/11/2018</v>
          </cell>
          <cell r="H1799" t="str">
            <v/>
          </cell>
          <cell r="I1799" t="str">
            <v/>
          </cell>
          <cell r="J1799">
            <v>330</v>
          </cell>
          <cell r="K1799">
            <v>66</v>
          </cell>
          <cell r="L1799">
            <v>330</v>
          </cell>
          <cell r="M1799" t="str">
            <v/>
          </cell>
          <cell r="N1799">
            <v>0</v>
          </cell>
        </row>
        <row r="1800">
          <cell r="A1800">
            <v>14898</v>
          </cell>
          <cell r="B1800" t="str">
            <v>09/11/2018</v>
          </cell>
          <cell r="C1800" t="str">
            <v>C1586</v>
          </cell>
          <cell r="D1800" t="str">
            <v>enabling works</v>
          </cell>
          <cell r="E1800" t="str">
            <v>Key Integrated Services (Electrical) Ltd</v>
          </cell>
          <cell r="F1800" t="str">
            <v>Subcontractor</v>
          </cell>
          <cell r="G1800" t="str">
            <v/>
          </cell>
          <cell r="H1800" t="str">
            <v>Part</v>
          </cell>
          <cell r="I1800" t="str">
            <v/>
          </cell>
          <cell r="J1800">
            <v>3130</v>
          </cell>
          <cell r="K1800">
            <v>626</v>
          </cell>
          <cell r="L1800">
            <v>3130</v>
          </cell>
          <cell r="M1800" t="str">
            <v/>
          </cell>
          <cell r="N1800">
            <v>0</v>
          </cell>
        </row>
        <row r="1801">
          <cell r="A1801">
            <v>14896</v>
          </cell>
          <cell r="B1801" t="str">
            <v>09/11/2018</v>
          </cell>
          <cell r="C1801" t="str">
            <v>C1586</v>
          </cell>
          <cell r="D1801" t="str">
            <v>strip out works est cost</v>
          </cell>
          <cell r="E1801" t="str">
            <v>Enco Ltd</v>
          </cell>
          <cell r="F1801" t="str">
            <v>Subcontractor</v>
          </cell>
          <cell r="G1801" t="str">
            <v/>
          </cell>
          <cell r="H1801" t="str">
            <v>Complete</v>
          </cell>
          <cell r="I1801" t="str">
            <v/>
          </cell>
          <cell r="J1801">
            <v>0</v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</row>
        <row r="1802">
          <cell r="A1802">
            <v>14889</v>
          </cell>
          <cell r="B1802" t="str">
            <v>08/11/2018</v>
          </cell>
          <cell r="C1802" t="str">
            <v>C1490</v>
          </cell>
          <cell r="D1802" t="str">
            <v>Remove 2 x Compressors and Air Receiver at Muller Severnside</v>
          </cell>
          <cell r="E1802" t="str">
            <v>Speedrite NE Ltd</v>
          </cell>
          <cell r="F1802" t="str">
            <v>Subcontractor</v>
          </cell>
          <cell r="G1802" t="str">
            <v/>
          </cell>
          <cell r="H1802" t="str">
            <v/>
          </cell>
          <cell r="I1802" t="str">
            <v/>
          </cell>
          <cell r="J1802">
            <v>950</v>
          </cell>
          <cell r="K1802">
            <v>190</v>
          </cell>
          <cell r="L1802">
            <v>950</v>
          </cell>
          <cell r="M1802" t="str">
            <v/>
          </cell>
          <cell r="N1802">
            <v>0</v>
          </cell>
        </row>
        <row r="1803">
          <cell r="A1803">
            <v>14884</v>
          </cell>
          <cell r="B1803" t="str">
            <v>08/11/2018</v>
          </cell>
          <cell r="C1803" t="str">
            <v>C1383</v>
          </cell>
          <cell r="D1803" t="str">
            <v>call out</v>
          </cell>
          <cell r="E1803" t="str">
            <v>Pitkin &amp; Ruddock Ltd</v>
          </cell>
          <cell r="F1803" t="str">
            <v>Subcontractor</v>
          </cell>
          <cell r="G1803" t="str">
            <v/>
          </cell>
          <cell r="H1803" t="str">
            <v/>
          </cell>
          <cell r="I1803" t="str">
            <v/>
          </cell>
          <cell r="J1803">
            <v>180</v>
          </cell>
          <cell r="K1803">
            <v>36</v>
          </cell>
          <cell r="L1803">
            <v>180</v>
          </cell>
          <cell r="M1803" t="str">
            <v/>
          </cell>
          <cell r="N1803">
            <v>0</v>
          </cell>
        </row>
        <row r="1804">
          <cell r="A1804">
            <v>14872</v>
          </cell>
          <cell r="B1804" t="str">
            <v>07/11/2018</v>
          </cell>
          <cell r="C1804" t="str">
            <v>CALLOUT</v>
          </cell>
          <cell r="D1804" t="str">
            <v>Leak at Randolph House</v>
          </cell>
          <cell r="E1804" t="str">
            <v>Commercial Temperature Solutions</v>
          </cell>
          <cell r="F1804" t="str">
            <v>Subcontractor</v>
          </cell>
          <cell r="G1804" t="str">
            <v/>
          </cell>
          <cell r="H1804" t="str">
            <v/>
          </cell>
          <cell r="I1804" t="str">
            <v/>
          </cell>
          <cell r="J1804">
            <v>59</v>
          </cell>
          <cell r="K1804">
            <v>11.8</v>
          </cell>
          <cell r="L1804">
            <v>59</v>
          </cell>
          <cell r="M1804" t="str">
            <v/>
          </cell>
          <cell r="N1804">
            <v>0</v>
          </cell>
        </row>
        <row r="1805">
          <cell r="A1805">
            <v>14842</v>
          </cell>
          <cell r="B1805" t="str">
            <v>05/11/2018</v>
          </cell>
          <cell r="C1805" t="str">
            <v>C1558</v>
          </cell>
          <cell r="D1805" t="str">
            <v>Mondelez Project Star, Thermal Insulation</v>
          </cell>
          <cell r="E1805" t="str">
            <v>OLD COUGAR ACCOUNT- DO NOT USE</v>
          </cell>
          <cell r="F1805" t="str">
            <v>Subcontractor</v>
          </cell>
          <cell r="G1805" t="str">
            <v/>
          </cell>
          <cell r="H1805" t="str">
            <v/>
          </cell>
          <cell r="I1805" t="str">
            <v/>
          </cell>
          <cell r="J1805">
            <v>74623</v>
          </cell>
          <cell r="K1805">
            <v>14924.6</v>
          </cell>
          <cell r="L1805">
            <v>74623</v>
          </cell>
          <cell r="M1805" t="str">
            <v/>
          </cell>
          <cell r="N1805">
            <v>0</v>
          </cell>
        </row>
        <row r="1806">
          <cell r="A1806">
            <v>14829</v>
          </cell>
          <cell r="B1806" t="str">
            <v>02/11/2018</v>
          </cell>
          <cell r="C1806" t="str">
            <v>CALLOUT</v>
          </cell>
          <cell r="D1806" t="str">
            <v>fire alarm break glass in carpark</v>
          </cell>
          <cell r="E1806" t="str">
            <v>Abel Alarm Company Limited</v>
          </cell>
          <cell r="F1806" t="str">
            <v>Subcontractor</v>
          </cell>
          <cell r="G1806" t="str">
            <v/>
          </cell>
          <cell r="H1806" t="str">
            <v/>
          </cell>
          <cell r="I1806" t="str">
            <v/>
          </cell>
          <cell r="J1806">
            <v>107</v>
          </cell>
          <cell r="K1806">
            <v>21.4</v>
          </cell>
          <cell r="L1806">
            <v>107</v>
          </cell>
          <cell r="M1806" t="str">
            <v/>
          </cell>
          <cell r="N1806">
            <v>0</v>
          </cell>
        </row>
        <row r="1807">
          <cell r="A1807">
            <v>14817</v>
          </cell>
          <cell r="B1807" t="str">
            <v>01/11/2018</v>
          </cell>
          <cell r="C1807" t="str">
            <v>CALLOUT</v>
          </cell>
          <cell r="D1807" t="str">
            <v>Carry out Thermal Imaging as per last visit - Plus IS Racks</v>
          </cell>
          <cell r="E1807" t="str">
            <v>Lantei Ltd</v>
          </cell>
          <cell r="F1807" t="str">
            <v>Subcontractor</v>
          </cell>
          <cell r="G1807" t="str">
            <v/>
          </cell>
          <cell r="H1807" t="str">
            <v/>
          </cell>
          <cell r="I1807" t="str">
            <v/>
          </cell>
          <cell r="J1807">
            <v>300</v>
          </cell>
          <cell r="K1807">
            <v>60</v>
          </cell>
          <cell r="L1807">
            <v>300</v>
          </cell>
          <cell r="M1807" t="str">
            <v/>
          </cell>
          <cell r="N1807">
            <v>0</v>
          </cell>
        </row>
        <row r="1808">
          <cell r="A1808">
            <v>14814</v>
          </cell>
          <cell r="B1808" t="str">
            <v>01/11/2018</v>
          </cell>
          <cell r="C1808" t="str">
            <v>C1586</v>
          </cell>
          <cell r="D1808" t="str">
            <v>site temps</v>
          </cell>
          <cell r="E1808" t="str">
            <v>Key Integrated Services (Electrical) Ltd</v>
          </cell>
          <cell r="F1808" t="str">
            <v>Subcontractor</v>
          </cell>
          <cell r="G1808" t="str">
            <v/>
          </cell>
          <cell r="H1808" t="str">
            <v/>
          </cell>
          <cell r="I1808" t="str">
            <v/>
          </cell>
          <cell r="J1808">
            <v>9176</v>
          </cell>
          <cell r="K1808">
            <v>1835.2</v>
          </cell>
          <cell r="L1808">
            <v>9176</v>
          </cell>
          <cell r="M1808" t="str">
            <v/>
          </cell>
          <cell r="N1808">
            <v>0</v>
          </cell>
        </row>
        <row r="1809">
          <cell r="A1809">
            <v>14813</v>
          </cell>
          <cell r="B1809" t="str">
            <v>01/11/2018</v>
          </cell>
          <cell r="C1809" t="str">
            <v>CALLOUT</v>
          </cell>
          <cell r="D1809" t="str">
            <v>Retunr Visit 01.11.2018 to replace lamps/ballasts in 4 no fi</v>
          </cell>
          <cell r="E1809" t="str">
            <v>Key Integrated Services (Electrical) Ltd</v>
          </cell>
          <cell r="F1809" t="str">
            <v>Subcontractor</v>
          </cell>
          <cell r="G1809" t="str">
            <v/>
          </cell>
          <cell r="H1809" t="str">
            <v/>
          </cell>
          <cell r="I1809" t="str">
            <v/>
          </cell>
          <cell r="J1809">
            <v>156</v>
          </cell>
          <cell r="K1809">
            <v>31.2</v>
          </cell>
          <cell r="L1809">
            <v>156</v>
          </cell>
          <cell r="M1809" t="str">
            <v/>
          </cell>
          <cell r="N1809">
            <v>0</v>
          </cell>
        </row>
        <row r="1810">
          <cell r="A1810">
            <v>14812</v>
          </cell>
          <cell r="B1810" t="str">
            <v>01/11/2018</v>
          </cell>
          <cell r="C1810" t="str">
            <v>CALLOUT</v>
          </cell>
          <cell r="D1810" t="str">
            <v>Attended site 25.10.2018 replaced lamps/ballasts</v>
          </cell>
          <cell r="E1810" t="str">
            <v>Key Integrated Services (Electrical) Ltd</v>
          </cell>
          <cell r="F1810" t="str">
            <v>Subcontractor</v>
          </cell>
          <cell r="G1810" t="str">
            <v/>
          </cell>
          <cell r="H1810" t="str">
            <v/>
          </cell>
          <cell r="I1810" t="str">
            <v/>
          </cell>
          <cell r="J1810">
            <v>141</v>
          </cell>
          <cell r="K1810">
            <v>28.2</v>
          </cell>
          <cell r="L1810">
            <v>141</v>
          </cell>
          <cell r="M1810" t="str">
            <v/>
          </cell>
          <cell r="N1810">
            <v>0</v>
          </cell>
        </row>
        <row r="1811">
          <cell r="A1811">
            <v>14811</v>
          </cell>
          <cell r="B1811" t="str">
            <v>01/11/2018</v>
          </cell>
          <cell r="C1811" t="str">
            <v>CALLOUT</v>
          </cell>
          <cell r="D1811" t="str">
            <v>Attend site to carry out condition report on AC System</v>
          </cell>
          <cell r="E1811" t="str">
            <v>Commercial Temperature Solutions</v>
          </cell>
          <cell r="F1811" t="str">
            <v>Subcontractor</v>
          </cell>
          <cell r="G1811" t="str">
            <v/>
          </cell>
          <cell r="H1811" t="str">
            <v/>
          </cell>
          <cell r="I1811" t="str">
            <v/>
          </cell>
          <cell r="J1811">
            <v>245.1</v>
          </cell>
          <cell r="K1811">
            <v>49.02</v>
          </cell>
          <cell r="L1811">
            <v>245.1</v>
          </cell>
          <cell r="M1811" t="str">
            <v/>
          </cell>
          <cell r="N1811">
            <v>0</v>
          </cell>
        </row>
        <row r="1812">
          <cell r="A1812">
            <v>14795</v>
          </cell>
          <cell r="B1812" t="str">
            <v>31/10/2018</v>
          </cell>
          <cell r="C1812" t="str">
            <v>SERVICE</v>
          </cell>
          <cell r="D1812" t="str">
            <v>Carry out AC Maintenance</v>
          </cell>
          <cell r="E1812" t="str">
            <v>Pole to Pole Climate Control Ltd</v>
          </cell>
          <cell r="F1812" t="str">
            <v>Subcontractor</v>
          </cell>
          <cell r="G1812" t="str">
            <v/>
          </cell>
          <cell r="H1812" t="str">
            <v/>
          </cell>
          <cell r="I1812" t="str">
            <v/>
          </cell>
          <cell r="J1812">
            <v>210</v>
          </cell>
          <cell r="K1812">
            <v>42</v>
          </cell>
          <cell r="L1812">
            <v>210</v>
          </cell>
          <cell r="M1812" t="str">
            <v/>
          </cell>
          <cell r="N1812">
            <v>0</v>
          </cell>
        </row>
        <row r="1813">
          <cell r="A1813">
            <v>14794</v>
          </cell>
          <cell r="B1813" t="str">
            <v>31/10/2018</v>
          </cell>
          <cell r="C1813" t="str">
            <v>C1480</v>
          </cell>
          <cell r="D1813" t="str">
            <v>Supply &amp; Installation od Gas Pipework</v>
          </cell>
          <cell r="E1813" t="str">
            <v>Enco Ltd</v>
          </cell>
          <cell r="F1813" t="str">
            <v>Subcontractor</v>
          </cell>
          <cell r="G1813" t="str">
            <v>31/10/2018</v>
          </cell>
          <cell r="H1813" t="str">
            <v/>
          </cell>
          <cell r="I1813" t="str">
            <v/>
          </cell>
          <cell r="J1813">
            <v>6010</v>
          </cell>
          <cell r="K1813">
            <v>1202</v>
          </cell>
          <cell r="L1813">
            <v>6010</v>
          </cell>
          <cell r="M1813" t="str">
            <v/>
          </cell>
          <cell r="N1813">
            <v>0</v>
          </cell>
        </row>
        <row r="1814">
          <cell r="A1814">
            <v>14793</v>
          </cell>
          <cell r="B1814" t="str">
            <v>31/10/2018</v>
          </cell>
          <cell r="C1814" t="str">
            <v>SERVICE</v>
          </cell>
          <cell r="D1814" t="str">
            <v>AC Maintenance</v>
          </cell>
          <cell r="E1814" t="str">
            <v>Pole to Pole Climate Control Ltd</v>
          </cell>
          <cell r="F1814" t="str">
            <v>Subcontractor</v>
          </cell>
          <cell r="G1814" t="str">
            <v/>
          </cell>
          <cell r="H1814" t="str">
            <v/>
          </cell>
          <cell r="I1814" t="str">
            <v/>
          </cell>
          <cell r="J1814">
            <v>180</v>
          </cell>
          <cell r="K1814">
            <v>36</v>
          </cell>
          <cell r="L1814">
            <v>180</v>
          </cell>
          <cell r="M1814" t="str">
            <v/>
          </cell>
          <cell r="N1814">
            <v>0</v>
          </cell>
        </row>
        <row r="1815">
          <cell r="A1815">
            <v>14778</v>
          </cell>
          <cell r="B1815" t="str">
            <v>31/10/2018</v>
          </cell>
          <cell r="C1815" t="str">
            <v>C1565</v>
          </cell>
          <cell r="D1815" t="str">
            <v>Labour Supplied for Coil Replacement on Munters Unit</v>
          </cell>
          <cell r="E1815" t="str">
            <v>Enco Ltd</v>
          </cell>
          <cell r="F1815" t="str">
            <v>Subcontractor</v>
          </cell>
          <cell r="G1815" t="str">
            <v/>
          </cell>
          <cell r="H1815" t="str">
            <v/>
          </cell>
          <cell r="I1815" t="str">
            <v/>
          </cell>
          <cell r="J1815">
            <v>2387.6</v>
          </cell>
          <cell r="K1815">
            <v>477.52</v>
          </cell>
          <cell r="L1815">
            <v>2387.6</v>
          </cell>
          <cell r="M1815" t="str">
            <v/>
          </cell>
          <cell r="N1815">
            <v>0</v>
          </cell>
        </row>
        <row r="1816">
          <cell r="A1816">
            <v>14777</v>
          </cell>
          <cell r="B1816" t="str">
            <v>31/10/2018</v>
          </cell>
          <cell r="C1816" t="str">
            <v>CALLOUT</v>
          </cell>
          <cell r="D1816" t="str">
            <v>2 x basin mixer taps supply and fit as per quote</v>
          </cell>
          <cell r="E1816" t="str">
            <v>Viabl Ltd T/A Able</v>
          </cell>
          <cell r="F1816" t="str">
            <v>Subcontractor</v>
          </cell>
          <cell r="G1816" t="str">
            <v/>
          </cell>
          <cell r="H1816" t="str">
            <v/>
          </cell>
          <cell r="I1816" t="str">
            <v/>
          </cell>
          <cell r="J1816">
            <v>434.62</v>
          </cell>
          <cell r="K1816">
            <v>86.92</v>
          </cell>
          <cell r="L1816">
            <v>434.62</v>
          </cell>
          <cell r="M1816" t="str">
            <v/>
          </cell>
          <cell r="N1816">
            <v>0</v>
          </cell>
        </row>
        <row r="1817">
          <cell r="A1817">
            <v>14772</v>
          </cell>
          <cell r="B1817" t="str">
            <v>30/10/2018</v>
          </cell>
          <cell r="C1817" t="str">
            <v>CALLOUT</v>
          </cell>
          <cell r="D1817" t="str">
            <v>loop failure</v>
          </cell>
          <cell r="E1817" t="str">
            <v>Hoyles Fire + Safety Ltd</v>
          </cell>
          <cell r="F1817" t="str">
            <v>Subcontractor</v>
          </cell>
          <cell r="G1817" t="str">
            <v/>
          </cell>
          <cell r="H1817" t="str">
            <v/>
          </cell>
          <cell r="I1817" t="str">
            <v/>
          </cell>
          <cell r="J1817">
            <v>209</v>
          </cell>
          <cell r="K1817">
            <v>41.8</v>
          </cell>
          <cell r="L1817">
            <v>209</v>
          </cell>
          <cell r="M1817" t="str">
            <v/>
          </cell>
          <cell r="N1817">
            <v>0</v>
          </cell>
        </row>
        <row r="1818">
          <cell r="A1818">
            <v>14767</v>
          </cell>
          <cell r="B1818" t="str">
            <v>30/10/2018</v>
          </cell>
          <cell r="C1818" t="str">
            <v>C1576</v>
          </cell>
          <cell r="D1818" t="str">
            <v>Suuply Labour</v>
          </cell>
          <cell r="E1818" t="str">
            <v>Enco Ltd</v>
          </cell>
          <cell r="F1818" t="str">
            <v>Subcontractor</v>
          </cell>
          <cell r="G1818" t="str">
            <v/>
          </cell>
          <cell r="H1818" t="str">
            <v/>
          </cell>
          <cell r="I1818" t="str">
            <v/>
          </cell>
          <cell r="J1818">
            <v>800</v>
          </cell>
          <cell r="K1818">
            <v>160</v>
          </cell>
          <cell r="L1818">
            <v>800</v>
          </cell>
          <cell r="M1818" t="str">
            <v/>
          </cell>
          <cell r="N1818">
            <v>0</v>
          </cell>
        </row>
        <row r="1819">
          <cell r="A1819">
            <v>14765</v>
          </cell>
          <cell r="B1819" t="str">
            <v>29/10/2018</v>
          </cell>
          <cell r="C1819" t="str">
            <v>C1560</v>
          </cell>
          <cell r="D1819" t="str">
            <v>Ventilation works as per quotation</v>
          </cell>
          <cell r="E1819" t="str">
            <v>Maine Engineering Ltd</v>
          </cell>
          <cell r="F1819" t="str">
            <v>Subcontractor</v>
          </cell>
          <cell r="G1819" t="str">
            <v>05/11/2018</v>
          </cell>
          <cell r="H1819" t="str">
            <v/>
          </cell>
          <cell r="I1819" t="str">
            <v/>
          </cell>
          <cell r="J1819">
            <v>13750</v>
          </cell>
          <cell r="K1819">
            <v>2750</v>
          </cell>
          <cell r="L1819">
            <v>15030</v>
          </cell>
          <cell r="M1819" t="str">
            <v/>
          </cell>
          <cell r="N1819">
            <v>-1280</v>
          </cell>
        </row>
        <row r="1820">
          <cell r="A1820">
            <v>14762</v>
          </cell>
          <cell r="B1820" t="str">
            <v>29/10/2018</v>
          </cell>
          <cell r="C1820" t="str">
            <v>SERVICE</v>
          </cell>
          <cell r="D1820" t="str">
            <v>L8 Monthly</v>
          </cell>
          <cell r="E1820" t="str">
            <v>Commercial Temperature Solutions</v>
          </cell>
          <cell r="F1820" t="str">
            <v>Subcontractor</v>
          </cell>
          <cell r="G1820" t="str">
            <v/>
          </cell>
          <cell r="H1820" t="str">
            <v/>
          </cell>
          <cell r="I1820" t="str">
            <v/>
          </cell>
          <cell r="J1820">
            <v>100</v>
          </cell>
          <cell r="K1820">
            <v>20</v>
          </cell>
          <cell r="L1820">
            <v>100</v>
          </cell>
          <cell r="M1820" t="str">
            <v/>
          </cell>
          <cell r="N1820">
            <v>0</v>
          </cell>
        </row>
        <row r="1821">
          <cell r="A1821">
            <v>14750</v>
          </cell>
          <cell r="B1821" t="str">
            <v>25/10/2018</v>
          </cell>
          <cell r="C1821" t="str">
            <v>CALLOUT</v>
          </cell>
          <cell r="D1821" t="str">
            <v>various plumbing works</v>
          </cell>
          <cell r="E1821" t="str">
            <v>Viabl Ltd T/A Able</v>
          </cell>
          <cell r="F1821" t="str">
            <v>Subcontractor</v>
          </cell>
          <cell r="G1821" t="str">
            <v/>
          </cell>
          <cell r="H1821" t="str">
            <v/>
          </cell>
          <cell r="I1821" t="str">
            <v/>
          </cell>
          <cell r="J1821">
            <v>65</v>
          </cell>
          <cell r="K1821">
            <v>13</v>
          </cell>
          <cell r="L1821">
            <v>65</v>
          </cell>
          <cell r="M1821" t="str">
            <v/>
          </cell>
          <cell r="N1821">
            <v>0</v>
          </cell>
        </row>
        <row r="1822">
          <cell r="A1822">
            <v>14738</v>
          </cell>
          <cell r="B1822" t="str">
            <v>24/10/2018</v>
          </cell>
          <cell r="C1822" t="str">
            <v>C1560</v>
          </cell>
          <cell r="D1822" t="str">
            <v>Quote: 7318</v>
          </cell>
          <cell r="E1822" t="str">
            <v>Jack Waghorn International Ltd</v>
          </cell>
          <cell r="F1822" t="str">
            <v>Subcontractor</v>
          </cell>
          <cell r="G1822" t="str">
            <v/>
          </cell>
          <cell r="H1822" t="str">
            <v/>
          </cell>
          <cell r="I1822" t="str">
            <v/>
          </cell>
          <cell r="J1822">
            <v>3400</v>
          </cell>
          <cell r="K1822">
            <v>680</v>
          </cell>
          <cell r="L1822">
            <v>3400</v>
          </cell>
          <cell r="M1822" t="str">
            <v/>
          </cell>
          <cell r="N1822">
            <v>0</v>
          </cell>
        </row>
        <row r="1823">
          <cell r="A1823">
            <v>14735</v>
          </cell>
          <cell r="B1823" t="str">
            <v>24/10/2018</v>
          </cell>
          <cell r="C1823" t="str">
            <v>CALLOUT</v>
          </cell>
          <cell r="D1823" t="str">
            <v>Thermal Imaging required in Server Room</v>
          </cell>
          <cell r="E1823" t="str">
            <v>Lantei Ltd</v>
          </cell>
          <cell r="F1823" t="str">
            <v>Subcontractor</v>
          </cell>
          <cell r="G1823" t="str">
            <v/>
          </cell>
          <cell r="H1823" t="str">
            <v/>
          </cell>
          <cell r="I1823" t="str">
            <v/>
          </cell>
          <cell r="J1823">
            <v>300</v>
          </cell>
          <cell r="K1823">
            <v>60</v>
          </cell>
          <cell r="L1823">
            <v>300</v>
          </cell>
          <cell r="M1823" t="str">
            <v/>
          </cell>
          <cell r="N1823">
            <v>0</v>
          </cell>
        </row>
        <row r="1824">
          <cell r="A1824">
            <v>14733</v>
          </cell>
          <cell r="B1824" t="str">
            <v>24/10/2018</v>
          </cell>
          <cell r="C1824" t="str">
            <v>SERVICE</v>
          </cell>
          <cell r="D1824" t="str">
            <v>Carry out AC Maintenance</v>
          </cell>
          <cell r="E1824" t="str">
            <v>Commercial Temperature Solutions</v>
          </cell>
          <cell r="F1824" t="str">
            <v>Subcontractor</v>
          </cell>
          <cell r="G1824" t="str">
            <v/>
          </cell>
          <cell r="H1824" t="str">
            <v/>
          </cell>
          <cell r="I1824" t="str">
            <v/>
          </cell>
          <cell r="J1824">
            <v>130</v>
          </cell>
          <cell r="K1824">
            <v>26</v>
          </cell>
          <cell r="L1824">
            <v>130</v>
          </cell>
          <cell r="M1824" t="str">
            <v/>
          </cell>
          <cell r="N1824">
            <v>0</v>
          </cell>
        </row>
        <row r="1825">
          <cell r="A1825">
            <v>14732</v>
          </cell>
          <cell r="B1825" t="str">
            <v>24/10/2018</v>
          </cell>
          <cell r="C1825" t="str">
            <v>SERVICE</v>
          </cell>
          <cell r="D1825" t="str">
            <v>Carry out AC Maintenance</v>
          </cell>
          <cell r="E1825" t="str">
            <v>Commercial Temperature Solutions</v>
          </cell>
          <cell r="F1825" t="str">
            <v>Subcontractor</v>
          </cell>
          <cell r="G1825" t="str">
            <v/>
          </cell>
          <cell r="H1825" t="str">
            <v/>
          </cell>
          <cell r="I1825" t="str">
            <v/>
          </cell>
          <cell r="J1825">
            <v>330</v>
          </cell>
          <cell r="K1825">
            <v>66</v>
          </cell>
          <cell r="L1825">
            <v>330</v>
          </cell>
          <cell r="M1825" t="str">
            <v/>
          </cell>
          <cell r="N1825">
            <v>0</v>
          </cell>
        </row>
        <row r="1826">
          <cell r="A1826">
            <v>14726</v>
          </cell>
          <cell r="B1826" t="str">
            <v>23/10/2018</v>
          </cell>
          <cell r="C1826" t="str">
            <v>SERVICE</v>
          </cell>
          <cell r="D1826" t="str">
            <v>12mth maintenance contract 2 x visits dec 2018 + june 2019</v>
          </cell>
          <cell r="E1826" t="str">
            <v>Centiel UK Ltd</v>
          </cell>
          <cell r="F1826" t="str">
            <v>Subcontractor</v>
          </cell>
          <cell r="G1826" t="str">
            <v/>
          </cell>
          <cell r="H1826" t="str">
            <v/>
          </cell>
          <cell r="I1826" t="str">
            <v/>
          </cell>
          <cell r="J1826">
            <v>981.35</v>
          </cell>
          <cell r="K1826">
            <v>196.27</v>
          </cell>
          <cell r="L1826">
            <v>490.68</v>
          </cell>
          <cell r="M1826" t="str">
            <v/>
          </cell>
          <cell r="N1826">
            <v>490.67</v>
          </cell>
        </row>
        <row r="1827">
          <cell r="A1827">
            <v>14720</v>
          </cell>
          <cell r="B1827" t="str">
            <v>23/10/2018</v>
          </cell>
          <cell r="C1827" t="str">
            <v>SERVICE</v>
          </cell>
          <cell r="D1827" t="str">
            <v>Carry out AC Maintenance on 5no Units</v>
          </cell>
          <cell r="E1827" t="str">
            <v>Commercial Temperature Solutions</v>
          </cell>
          <cell r="F1827" t="str">
            <v>Subcontractor</v>
          </cell>
          <cell r="G1827" t="str">
            <v/>
          </cell>
          <cell r="H1827" t="str">
            <v/>
          </cell>
          <cell r="I1827" t="str">
            <v/>
          </cell>
          <cell r="J1827">
            <v>125</v>
          </cell>
          <cell r="K1827">
            <v>25</v>
          </cell>
          <cell r="L1827">
            <v>125</v>
          </cell>
          <cell r="M1827" t="str">
            <v/>
          </cell>
          <cell r="N1827">
            <v>0</v>
          </cell>
        </row>
        <row r="1828">
          <cell r="A1828">
            <v>14714</v>
          </cell>
          <cell r="B1828" t="str">
            <v>22/10/2018</v>
          </cell>
          <cell r="C1828" t="str">
            <v>CALLOUT</v>
          </cell>
          <cell r="D1828" t="str">
            <v>leaking tap - upstairs kitchen</v>
          </cell>
          <cell r="E1828" t="str">
            <v>Viabl Ltd T/A Able</v>
          </cell>
          <cell r="F1828" t="str">
            <v>Subcontractor</v>
          </cell>
          <cell r="G1828" t="str">
            <v/>
          </cell>
          <cell r="H1828" t="str">
            <v/>
          </cell>
          <cell r="I1828" t="str">
            <v/>
          </cell>
          <cell r="J1828">
            <v>65</v>
          </cell>
          <cell r="K1828">
            <v>13</v>
          </cell>
          <cell r="L1828">
            <v>65</v>
          </cell>
          <cell r="M1828" t="str">
            <v/>
          </cell>
          <cell r="N1828">
            <v>0</v>
          </cell>
        </row>
        <row r="1829">
          <cell r="A1829">
            <v>14711</v>
          </cell>
          <cell r="B1829" t="str">
            <v>22/10/2018</v>
          </cell>
          <cell r="C1829" t="str">
            <v>CALLOUT</v>
          </cell>
          <cell r="D1829" t="str">
            <v>2 x mixer taps and 1 x leaking tap</v>
          </cell>
          <cell r="E1829" t="str">
            <v>Viabl Ltd T/A Able</v>
          </cell>
          <cell r="F1829" t="str">
            <v>Subcontractor</v>
          </cell>
          <cell r="G1829" t="str">
            <v/>
          </cell>
          <cell r="H1829" t="str">
            <v/>
          </cell>
          <cell r="I1829" t="str">
            <v/>
          </cell>
          <cell r="J1829">
            <v>65</v>
          </cell>
          <cell r="K1829">
            <v>13</v>
          </cell>
          <cell r="L1829">
            <v>65</v>
          </cell>
          <cell r="M1829" t="str">
            <v/>
          </cell>
          <cell r="N1829">
            <v>0</v>
          </cell>
        </row>
        <row r="1830">
          <cell r="A1830">
            <v>14710</v>
          </cell>
          <cell r="B1830" t="str">
            <v>22/10/2018</v>
          </cell>
          <cell r="C1830" t="str">
            <v>CALLOUT</v>
          </cell>
          <cell r="D1830" t="str">
            <v>s+f fuse spur for door access</v>
          </cell>
          <cell r="E1830" t="str">
            <v>Key Integrated Services North West Ltd</v>
          </cell>
          <cell r="F1830" t="str">
            <v>Subcontractor</v>
          </cell>
          <cell r="G1830" t="str">
            <v/>
          </cell>
          <cell r="H1830" t="str">
            <v/>
          </cell>
          <cell r="I1830" t="str">
            <v/>
          </cell>
          <cell r="J1830">
            <v>409.6</v>
          </cell>
          <cell r="K1830">
            <v>81.92</v>
          </cell>
          <cell r="L1830">
            <v>409.6</v>
          </cell>
          <cell r="M1830" t="str">
            <v/>
          </cell>
          <cell r="N1830">
            <v>0</v>
          </cell>
        </row>
        <row r="1831">
          <cell r="A1831">
            <v>14706</v>
          </cell>
          <cell r="B1831" t="str">
            <v>19/10/2018</v>
          </cell>
          <cell r="C1831" t="str">
            <v>CALLOUT</v>
          </cell>
          <cell r="D1831" t="str">
            <v>leaking tap</v>
          </cell>
          <cell r="E1831" t="str">
            <v>Viabl Ltd T/A Able</v>
          </cell>
          <cell r="F1831" t="str">
            <v>Subcontractor</v>
          </cell>
          <cell r="G1831" t="str">
            <v/>
          </cell>
          <cell r="H1831" t="str">
            <v/>
          </cell>
          <cell r="I1831" t="str">
            <v/>
          </cell>
          <cell r="J1831">
            <v>175.26</v>
          </cell>
          <cell r="K1831">
            <v>35.049999999999997</v>
          </cell>
          <cell r="L1831">
            <v>175.26</v>
          </cell>
          <cell r="M1831" t="str">
            <v/>
          </cell>
          <cell r="N1831">
            <v>0</v>
          </cell>
        </row>
        <row r="1832">
          <cell r="A1832">
            <v>14700</v>
          </cell>
          <cell r="B1832" t="str">
            <v>19/10/2018</v>
          </cell>
          <cell r="C1832" t="str">
            <v>CALLOUT</v>
          </cell>
          <cell r="D1832" t="str">
            <v>leaking sink</v>
          </cell>
          <cell r="E1832" t="str">
            <v>Viabl Ltd T/A Able</v>
          </cell>
          <cell r="F1832" t="str">
            <v>Subcontractor</v>
          </cell>
          <cell r="G1832" t="str">
            <v/>
          </cell>
          <cell r="H1832" t="str">
            <v/>
          </cell>
          <cell r="I1832" t="str">
            <v/>
          </cell>
          <cell r="J1832">
            <v>67</v>
          </cell>
          <cell r="K1832">
            <v>13.4</v>
          </cell>
          <cell r="L1832">
            <v>67</v>
          </cell>
          <cell r="M1832" t="str">
            <v/>
          </cell>
          <cell r="N1832">
            <v>0</v>
          </cell>
        </row>
        <row r="1833">
          <cell r="A1833">
            <v>14692</v>
          </cell>
          <cell r="B1833" t="str">
            <v>18/10/2018</v>
          </cell>
          <cell r="C1833" t="str">
            <v>CALLOUT</v>
          </cell>
          <cell r="D1833" t="str">
            <v>faulty food counter</v>
          </cell>
          <cell r="E1833" t="str">
            <v>Key Integrated Services North West Ltd</v>
          </cell>
          <cell r="F1833" t="str">
            <v>Subcontractor</v>
          </cell>
          <cell r="G1833" t="str">
            <v/>
          </cell>
          <cell r="H1833" t="str">
            <v/>
          </cell>
          <cell r="I1833" t="str">
            <v/>
          </cell>
          <cell r="J1833">
            <v>50</v>
          </cell>
          <cell r="K1833">
            <v>10</v>
          </cell>
          <cell r="L1833">
            <v>50</v>
          </cell>
          <cell r="M1833" t="str">
            <v/>
          </cell>
          <cell r="N1833">
            <v>0</v>
          </cell>
        </row>
        <row r="1834">
          <cell r="A1834">
            <v>14690</v>
          </cell>
          <cell r="B1834" t="str">
            <v>18/10/2018</v>
          </cell>
          <cell r="C1834" t="str">
            <v>C1480</v>
          </cell>
          <cell r="D1834" t="str">
            <v>Provide Labour to Assist with Plumbing Package</v>
          </cell>
          <cell r="E1834" t="str">
            <v>North West Renewables Ltd</v>
          </cell>
          <cell r="F1834" t="str">
            <v>Subcontractor</v>
          </cell>
          <cell r="G1834" t="str">
            <v/>
          </cell>
          <cell r="H1834" t="str">
            <v>Part</v>
          </cell>
          <cell r="I1834" t="str">
            <v/>
          </cell>
          <cell r="J1834">
            <v>15738.29</v>
          </cell>
          <cell r="K1834">
            <v>3147.66</v>
          </cell>
          <cell r="L1834">
            <v>15738.29</v>
          </cell>
          <cell r="M1834" t="str">
            <v/>
          </cell>
          <cell r="N1834">
            <v>0</v>
          </cell>
        </row>
        <row r="1835">
          <cell r="A1835">
            <v>14688</v>
          </cell>
          <cell r="B1835" t="str">
            <v>18/10/2018</v>
          </cell>
          <cell r="C1835" t="str">
            <v>C1480</v>
          </cell>
          <cell r="D1835" t="str">
            <v>Provide Ductwork Fitters to assist vent installation</v>
          </cell>
          <cell r="E1835" t="str">
            <v>Coolduct Ltd</v>
          </cell>
          <cell r="F1835" t="str">
            <v>Subcontractor</v>
          </cell>
          <cell r="G1835" t="str">
            <v>08/10/2018</v>
          </cell>
          <cell r="H1835" t="str">
            <v>Part</v>
          </cell>
          <cell r="I1835" t="str">
            <v/>
          </cell>
          <cell r="J1835">
            <v>4600</v>
          </cell>
          <cell r="K1835">
            <v>920</v>
          </cell>
          <cell r="L1835">
            <v>4600</v>
          </cell>
          <cell r="M1835" t="str">
            <v/>
          </cell>
          <cell r="N1835">
            <v>0</v>
          </cell>
        </row>
        <row r="1836">
          <cell r="A1836">
            <v>14686</v>
          </cell>
          <cell r="B1836" t="str">
            <v>17/10/2018</v>
          </cell>
          <cell r="C1836" t="str">
            <v>C1518</v>
          </cell>
          <cell r="D1836" t="str">
            <v>Traywash DB</v>
          </cell>
          <cell r="E1836" t="str">
            <v>Key Integrated Services (Electrical) Ltd</v>
          </cell>
          <cell r="F1836" t="str">
            <v>Subcontractor</v>
          </cell>
          <cell r="G1836" t="str">
            <v/>
          </cell>
          <cell r="H1836" t="str">
            <v/>
          </cell>
          <cell r="I1836" t="str">
            <v/>
          </cell>
          <cell r="J1836">
            <v>868</v>
          </cell>
          <cell r="K1836">
            <v>173.6</v>
          </cell>
          <cell r="L1836">
            <v>868</v>
          </cell>
          <cell r="M1836" t="str">
            <v/>
          </cell>
          <cell r="N1836">
            <v>0</v>
          </cell>
        </row>
        <row r="1837">
          <cell r="A1837">
            <v>14684</v>
          </cell>
          <cell r="B1837" t="str">
            <v>17/10/2018</v>
          </cell>
          <cell r="C1837" t="str">
            <v>C1523</v>
          </cell>
          <cell r="D1837" t="str">
            <v>Crane Lift at 33, Wellington Street, Leeds. Sunday 11th Nove</v>
          </cell>
          <cell r="E1837" t="str">
            <v>Armquest Industrial Services Ltd</v>
          </cell>
          <cell r="F1837" t="str">
            <v>Subcontractor</v>
          </cell>
          <cell r="G1837" t="str">
            <v>11/11/2018</v>
          </cell>
          <cell r="H1837" t="str">
            <v/>
          </cell>
          <cell r="I1837" t="str">
            <v/>
          </cell>
          <cell r="J1837">
            <v>5750</v>
          </cell>
          <cell r="K1837">
            <v>1150</v>
          </cell>
          <cell r="L1837">
            <v>10700</v>
          </cell>
          <cell r="M1837" t="str">
            <v/>
          </cell>
          <cell r="N1837">
            <v>-4950</v>
          </cell>
        </row>
        <row r="1838">
          <cell r="A1838">
            <v>14678</v>
          </cell>
          <cell r="B1838" t="str">
            <v>17/10/2018</v>
          </cell>
          <cell r="C1838" t="str">
            <v>C1518</v>
          </cell>
          <cell r="D1838" t="str">
            <v>Elec supply cable</v>
          </cell>
          <cell r="E1838" t="str">
            <v>Key Integrated Services (Electrical) Ltd</v>
          </cell>
          <cell r="F1838" t="str">
            <v>Subcontractor</v>
          </cell>
          <cell r="G1838" t="str">
            <v/>
          </cell>
          <cell r="H1838" t="str">
            <v/>
          </cell>
          <cell r="I1838" t="str">
            <v/>
          </cell>
          <cell r="J1838">
            <v>998</v>
          </cell>
          <cell r="K1838">
            <v>199.6</v>
          </cell>
          <cell r="L1838">
            <v>998</v>
          </cell>
          <cell r="M1838" t="str">
            <v/>
          </cell>
          <cell r="N1838">
            <v>0</v>
          </cell>
        </row>
        <row r="1839">
          <cell r="A1839">
            <v>14675</v>
          </cell>
          <cell r="B1839" t="str">
            <v>17/10/2018</v>
          </cell>
          <cell r="C1839" t="str">
            <v>C1573</v>
          </cell>
          <cell r="D1839" t="str">
            <v>Insulation of pipework services as subcontract document</v>
          </cell>
          <cell r="E1839" t="str">
            <v>Grangewood Insulation Services Ltd</v>
          </cell>
          <cell r="F1839" t="str">
            <v>Subcontractor</v>
          </cell>
          <cell r="G1839" t="str">
            <v/>
          </cell>
          <cell r="H1839" t="str">
            <v/>
          </cell>
          <cell r="I1839" t="str">
            <v/>
          </cell>
          <cell r="J1839">
            <v>26450</v>
          </cell>
          <cell r="K1839">
            <v>5290</v>
          </cell>
          <cell r="L1839">
            <v>26000</v>
          </cell>
          <cell r="M1839" t="str">
            <v/>
          </cell>
          <cell r="N1839">
            <v>450</v>
          </cell>
        </row>
        <row r="1840">
          <cell r="A1840">
            <v>14674</v>
          </cell>
          <cell r="B1840" t="str">
            <v>17/10/2018</v>
          </cell>
          <cell r="C1840" t="str">
            <v>SERVICE</v>
          </cell>
          <cell r="D1840" t="str">
            <v>AC Maintenance</v>
          </cell>
          <cell r="E1840" t="str">
            <v>ADS Aircon Ltd</v>
          </cell>
          <cell r="F1840" t="str">
            <v>Subcontractor</v>
          </cell>
          <cell r="G1840" t="str">
            <v/>
          </cell>
          <cell r="H1840" t="str">
            <v/>
          </cell>
          <cell r="I1840" t="str">
            <v/>
          </cell>
          <cell r="J1840">
            <v>774.9</v>
          </cell>
          <cell r="K1840">
            <v>154.97999999999999</v>
          </cell>
          <cell r="L1840">
            <v>774.9</v>
          </cell>
          <cell r="M1840" t="str">
            <v/>
          </cell>
          <cell r="N1840">
            <v>0</v>
          </cell>
        </row>
        <row r="1841">
          <cell r="A1841">
            <v>14672</v>
          </cell>
          <cell r="B1841" t="str">
            <v>17/10/2018</v>
          </cell>
          <cell r="C1841" t="str">
            <v>CALLOUT</v>
          </cell>
          <cell r="D1841" t="str">
            <v>bank of lights flashing</v>
          </cell>
          <cell r="E1841" t="str">
            <v>Barrie Beard Ltd</v>
          </cell>
          <cell r="F1841" t="str">
            <v>Subcontractor</v>
          </cell>
          <cell r="G1841" t="str">
            <v/>
          </cell>
          <cell r="H1841" t="str">
            <v/>
          </cell>
          <cell r="I1841" t="str">
            <v/>
          </cell>
          <cell r="J1841">
            <v>60</v>
          </cell>
          <cell r="K1841">
            <v>12</v>
          </cell>
          <cell r="L1841">
            <v>0</v>
          </cell>
          <cell r="M1841" t="str">
            <v/>
          </cell>
          <cell r="N1841">
            <v>60</v>
          </cell>
        </row>
        <row r="1842">
          <cell r="A1842">
            <v>14668</v>
          </cell>
          <cell r="B1842" t="str">
            <v>17/10/2018</v>
          </cell>
          <cell r="C1842" t="str">
            <v>C1480</v>
          </cell>
          <cell r="D1842" t="str">
            <v>Provide 2 no. Ductwork Fitters at LCOB £550.00 per day</v>
          </cell>
          <cell r="E1842" t="str">
            <v>Mersey Vent Ltd</v>
          </cell>
          <cell r="F1842" t="str">
            <v>Subcontractor</v>
          </cell>
          <cell r="G1842" t="str">
            <v>08/10/2018</v>
          </cell>
          <cell r="H1842" t="str">
            <v/>
          </cell>
          <cell r="I1842" t="str">
            <v/>
          </cell>
          <cell r="J1842">
            <v>2750</v>
          </cell>
          <cell r="K1842">
            <v>550</v>
          </cell>
          <cell r="L1842">
            <v>2750</v>
          </cell>
          <cell r="M1842" t="str">
            <v/>
          </cell>
          <cell r="N1842">
            <v>0</v>
          </cell>
        </row>
        <row r="1843">
          <cell r="A1843">
            <v>14656</v>
          </cell>
          <cell r="B1843" t="str">
            <v>16/10/2018</v>
          </cell>
          <cell r="C1843" t="str">
            <v>CALLOUT</v>
          </cell>
          <cell r="D1843" t="str">
            <v>Decommission AC Unit</v>
          </cell>
          <cell r="E1843" t="str">
            <v>Pole to Pole Climate Control Ltd</v>
          </cell>
          <cell r="F1843" t="str">
            <v>Subcontractor</v>
          </cell>
          <cell r="G1843" t="str">
            <v/>
          </cell>
          <cell r="H1843" t="str">
            <v/>
          </cell>
          <cell r="I1843" t="str">
            <v/>
          </cell>
          <cell r="J1843">
            <v>398</v>
          </cell>
          <cell r="K1843">
            <v>79.599999999999994</v>
          </cell>
          <cell r="L1843">
            <v>398</v>
          </cell>
          <cell r="M1843" t="str">
            <v/>
          </cell>
          <cell r="N1843">
            <v>0</v>
          </cell>
        </row>
        <row r="1844">
          <cell r="A1844">
            <v>14651</v>
          </cell>
          <cell r="B1844" t="str">
            <v>16/10/2018</v>
          </cell>
          <cell r="C1844" t="str">
            <v>CALLOUT</v>
          </cell>
          <cell r="D1844" t="str">
            <v>Attend site to investigate toilet not wlushing/takes to long</v>
          </cell>
          <cell r="E1844" t="str">
            <v>Viabl Ltd T/A Able</v>
          </cell>
          <cell r="F1844" t="str">
            <v>Subcontractor</v>
          </cell>
          <cell r="G1844" t="str">
            <v/>
          </cell>
          <cell r="H1844" t="str">
            <v>Part</v>
          </cell>
          <cell r="I1844" t="str">
            <v/>
          </cell>
          <cell r="J1844">
            <v>150</v>
          </cell>
          <cell r="K1844">
            <v>30</v>
          </cell>
          <cell r="L1844">
            <v>150</v>
          </cell>
          <cell r="M1844" t="str">
            <v/>
          </cell>
          <cell r="N1844">
            <v>0</v>
          </cell>
        </row>
        <row r="1845">
          <cell r="A1845">
            <v>14640</v>
          </cell>
          <cell r="B1845" t="str">
            <v>12/10/2018</v>
          </cell>
          <cell r="C1845" t="str">
            <v>C1518</v>
          </cell>
          <cell r="D1845" t="str">
            <v>New power cable to vehicle wash</v>
          </cell>
          <cell r="E1845" t="str">
            <v>Key Integrated Services (Electrical) Ltd</v>
          </cell>
          <cell r="F1845" t="str">
            <v>Subcontractor</v>
          </cell>
          <cell r="G1845" t="str">
            <v/>
          </cell>
          <cell r="H1845" t="str">
            <v/>
          </cell>
          <cell r="I1845" t="str">
            <v/>
          </cell>
          <cell r="J1845">
            <v>3800</v>
          </cell>
          <cell r="K1845">
            <v>760</v>
          </cell>
          <cell r="L1845">
            <v>3800</v>
          </cell>
          <cell r="M1845" t="str">
            <v/>
          </cell>
          <cell r="N1845">
            <v>0</v>
          </cell>
        </row>
        <row r="1846">
          <cell r="A1846">
            <v>14639</v>
          </cell>
          <cell r="B1846" t="str">
            <v>12/10/2018</v>
          </cell>
          <cell r="C1846" t="str">
            <v>C1518</v>
          </cell>
          <cell r="D1846" t="str">
            <v>Supply of effluent pump</v>
          </cell>
          <cell r="E1846" t="str">
            <v>Key Integrated Services (Electrical) Ltd</v>
          </cell>
          <cell r="F1846" t="str">
            <v>Subcontractor</v>
          </cell>
          <cell r="G1846" t="str">
            <v/>
          </cell>
          <cell r="H1846" t="str">
            <v/>
          </cell>
          <cell r="I1846" t="str">
            <v/>
          </cell>
          <cell r="J1846">
            <v>977</v>
          </cell>
          <cell r="K1846">
            <v>195.4</v>
          </cell>
          <cell r="L1846">
            <v>977</v>
          </cell>
          <cell r="M1846" t="str">
            <v/>
          </cell>
          <cell r="N1846">
            <v>0</v>
          </cell>
        </row>
        <row r="1847">
          <cell r="A1847">
            <v>14638</v>
          </cell>
          <cell r="B1847" t="str">
            <v>12/10/2018</v>
          </cell>
          <cell r="C1847" t="str">
            <v>C1518</v>
          </cell>
          <cell r="D1847" t="str">
            <v>Freezer airlock data containment</v>
          </cell>
          <cell r="E1847" t="str">
            <v>Key Integrated Services (Electrical) Ltd</v>
          </cell>
          <cell r="F1847" t="str">
            <v>Subcontractor</v>
          </cell>
          <cell r="G1847" t="str">
            <v/>
          </cell>
          <cell r="H1847" t="str">
            <v/>
          </cell>
          <cell r="I1847" t="str">
            <v/>
          </cell>
          <cell r="J1847">
            <v>384</v>
          </cell>
          <cell r="K1847">
            <v>76.8</v>
          </cell>
          <cell r="L1847">
            <v>384</v>
          </cell>
          <cell r="M1847" t="str">
            <v/>
          </cell>
          <cell r="N1847">
            <v>0</v>
          </cell>
        </row>
        <row r="1848">
          <cell r="A1848">
            <v>14637</v>
          </cell>
          <cell r="B1848" t="str">
            <v>12/10/2018</v>
          </cell>
          <cell r="C1848" t="str">
            <v>C1518</v>
          </cell>
          <cell r="D1848" t="str">
            <v>Supply to bag lifter</v>
          </cell>
          <cell r="E1848" t="str">
            <v>Key Integrated Services (Electrical) Ltd</v>
          </cell>
          <cell r="F1848" t="str">
            <v>Subcontractor</v>
          </cell>
          <cell r="G1848" t="str">
            <v/>
          </cell>
          <cell r="H1848" t="str">
            <v/>
          </cell>
          <cell r="I1848" t="str">
            <v/>
          </cell>
          <cell r="J1848">
            <v>868</v>
          </cell>
          <cell r="K1848">
            <v>173.6</v>
          </cell>
          <cell r="L1848">
            <v>868</v>
          </cell>
          <cell r="M1848" t="str">
            <v/>
          </cell>
          <cell r="N1848">
            <v>0</v>
          </cell>
        </row>
        <row r="1849">
          <cell r="A1849">
            <v>14636</v>
          </cell>
          <cell r="B1849" t="str">
            <v>12/10/2018</v>
          </cell>
          <cell r="C1849" t="str">
            <v>C1582</v>
          </cell>
          <cell r="D1849" t="str">
            <v>Installation only of Ductwork Systems</v>
          </cell>
          <cell r="E1849" t="str">
            <v>Ventworks Limited</v>
          </cell>
          <cell r="F1849" t="str">
            <v>Subcontractor</v>
          </cell>
          <cell r="G1849" t="str">
            <v>17/09/2018</v>
          </cell>
          <cell r="H1849" t="str">
            <v/>
          </cell>
          <cell r="I1849" t="str">
            <v/>
          </cell>
          <cell r="J1849">
            <v>4740</v>
          </cell>
          <cell r="K1849">
            <v>948</v>
          </cell>
          <cell r="L1849">
            <v>4740</v>
          </cell>
          <cell r="M1849" t="str">
            <v/>
          </cell>
          <cell r="N1849">
            <v>0</v>
          </cell>
        </row>
        <row r="1850">
          <cell r="A1850">
            <v>14620</v>
          </cell>
          <cell r="B1850" t="str">
            <v>10/10/2018</v>
          </cell>
          <cell r="C1850" t="str">
            <v>CALLOUT</v>
          </cell>
          <cell r="D1850" t="str">
            <v>Trend system at CHS South is flashing an alarm.</v>
          </cell>
          <cell r="E1850" t="str">
            <v>Automated Building &amp; Energy Controls Ltd</v>
          </cell>
          <cell r="F1850" t="str">
            <v>Subcontractor</v>
          </cell>
          <cell r="G1850" t="str">
            <v/>
          </cell>
          <cell r="H1850" t="str">
            <v/>
          </cell>
          <cell r="I1850" t="str">
            <v/>
          </cell>
          <cell r="J1850">
            <v>525</v>
          </cell>
          <cell r="K1850">
            <v>105</v>
          </cell>
          <cell r="L1850">
            <v>525</v>
          </cell>
          <cell r="M1850" t="str">
            <v/>
          </cell>
          <cell r="N1850">
            <v>0</v>
          </cell>
        </row>
        <row r="1851">
          <cell r="A1851">
            <v>14611</v>
          </cell>
          <cell r="B1851" t="str">
            <v>10/10/2018</v>
          </cell>
          <cell r="C1851" t="str">
            <v>CALLOUT</v>
          </cell>
          <cell r="D1851" t="str">
            <v>leaking wc</v>
          </cell>
          <cell r="E1851" t="str">
            <v>K Gammon Plumbing &amp; Heating Ltd</v>
          </cell>
          <cell r="F1851" t="str">
            <v>Subcontractor</v>
          </cell>
          <cell r="G1851" t="str">
            <v/>
          </cell>
          <cell r="H1851" t="str">
            <v/>
          </cell>
          <cell r="I1851" t="str">
            <v/>
          </cell>
          <cell r="J1851">
            <v>56</v>
          </cell>
          <cell r="K1851">
            <v>11.2</v>
          </cell>
          <cell r="L1851">
            <v>0</v>
          </cell>
          <cell r="M1851" t="str">
            <v/>
          </cell>
          <cell r="N1851">
            <v>56</v>
          </cell>
        </row>
        <row r="1852">
          <cell r="A1852">
            <v>14604</v>
          </cell>
          <cell r="B1852" t="str">
            <v>09/10/2018</v>
          </cell>
          <cell r="C1852" t="str">
            <v>CALLOUT</v>
          </cell>
          <cell r="D1852" t="str">
            <v>broken hot water tap</v>
          </cell>
          <cell r="E1852" t="str">
            <v>Viabl Ltd T/A Able</v>
          </cell>
          <cell r="F1852" t="str">
            <v>Subcontractor</v>
          </cell>
          <cell r="G1852" t="str">
            <v/>
          </cell>
          <cell r="H1852" t="str">
            <v>Part</v>
          </cell>
          <cell r="I1852" t="str">
            <v/>
          </cell>
          <cell r="J1852">
            <v>142</v>
          </cell>
          <cell r="K1852">
            <v>28.4</v>
          </cell>
          <cell r="L1852">
            <v>142</v>
          </cell>
          <cell r="M1852" t="str">
            <v/>
          </cell>
          <cell r="N1852">
            <v>0</v>
          </cell>
        </row>
        <row r="1853">
          <cell r="A1853">
            <v>14603</v>
          </cell>
          <cell r="B1853" t="str">
            <v>09/10/2018</v>
          </cell>
          <cell r="C1853" t="str">
            <v>C1523</v>
          </cell>
          <cell r="D1853" t="str">
            <v>Design, Supply, Installation of BMS Controls System in accor</v>
          </cell>
          <cell r="E1853" t="str">
            <v>Impact Control Systems Ltd</v>
          </cell>
          <cell r="F1853" t="str">
            <v>Subcontractor</v>
          </cell>
          <cell r="G1853" t="str">
            <v>15/10/2018</v>
          </cell>
          <cell r="H1853" t="str">
            <v>Complete</v>
          </cell>
          <cell r="I1853" t="str">
            <v>Posted</v>
          </cell>
          <cell r="J1853">
            <v>50000</v>
          </cell>
          <cell r="K1853">
            <v>10000</v>
          </cell>
          <cell r="L1853">
            <v>54349</v>
          </cell>
          <cell r="M1853" t="str">
            <v/>
          </cell>
          <cell r="N1853">
            <v>-4349</v>
          </cell>
        </row>
        <row r="1854">
          <cell r="A1854">
            <v>14600</v>
          </cell>
          <cell r="B1854" t="str">
            <v>09/10/2018</v>
          </cell>
          <cell r="C1854" t="str">
            <v>C1450</v>
          </cell>
          <cell r="D1854" t="str">
            <v>Ductwork and pipework lagging</v>
          </cell>
          <cell r="E1854" t="str">
            <v>OLD COUGAR ACCOUNT- DO NOT USE</v>
          </cell>
          <cell r="F1854" t="str">
            <v>Subcontractor</v>
          </cell>
          <cell r="G1854" t="str">
            <v/>
          </cell>
          <cell r="H1854" t="str">
            <v/>
          </cell>
          <cell r="I1854" t="str">
            <v/>
          </cell>
          <cell r="J1854">
            <v>2250</v>
          </cell>
          <cell r="K1854">
            <v>450</v>
          </cell>
          <cell r="L1854">
            <v>2250</v>
          </cell>
          <cell r="M1854" t="str">
            <v/>
          </cell>
          <cell r="N1854">
            <v>0</v>
          </cell>
        </row>
        <row r="1855">
          <cell r="A1855">
            <v>14599</v>
          </cell>
          <cell r="B1855" t="str">
            <v>09/10/2018</v>
          </cell>
          <cell r="C1855" t="str">
            <v>CALLOUT</v>
          </cell>
          <cell r="D1855" t="str">
            <v>ladies wc handle broken off</v>
          </cell>
          <cell r="E1855" t="str">
            <v>Viabl Ltd T/A Able</v>
          </cell>
          <cell r="F1855" t="str">
            <v>Subcontractor</v>
          </cell>
          <cell r="G1855" t="str">
            <v/>
          </cell>
          <cell r="H1855" t="str">
            <v>Part</v>
          </cell>
          <cell r="I1855" t="str">
            <v/>
          </cell>
          <cell r="J1855">
            <v>135</v>
          </cell>
          <cell r="K1855">
            <v>27</v>
          </cell>
          <cell r="L1855">
            <v>135</v>
          </cell>
          <cell r="M1855" t="str">
            <v/>
          </cell>
          <cell r="N1855">
            <v>0</v>
          </cell>
        </row>
        <row r="1856">
          <cell r="A1856">
            <v>14597</v>
          </cell>
          <cell r="B1856" t="str">
            <v>09/10/2018</v>
          </cell>
          <cell r="C1856" t="str">
            <v>CALLOUT</v>
          </cell>
          <cell r="D1856" t="str">
            <v>blcoked wc</v>
          </cell>
          <cell r="E1856" t="str">
            <v>Viabl Ltd T/A Able</v>
          </cell>
          <cell r="F1856" t="str">
            <v>Subcontractor</v>
          </cell>
          <cell r="G1856" t="str">
            <v/>
          </cell>
          <cell r="H1856" t="str">
            <v/>
          </cell>
          <cell r="I1856" t="str">
            <v/>
          </cell>
          <cell r="J1856">
            <v>125</v>
          </cell>
          <cell r="K1856">
            <v>25</v>
          </cell>
          <cell r="L1856">
            <v>125</v>
          </cell>
          <cell r="M1856" t="str">
            <v/>
          </cell>
          <cell r="N1856">
            <v>0</v>
          </cell>
        </row>
        <row r="1857">
          <cell r="A1857">
            <v>14580</v>
          </cell>
          <cell r="B1857" t="str">
            <v>05/10/2018</v>
          </cell>
          <cell r="C1857" t="str">
            <v>C1571</v>
          </cell>
          <cell r="D1857" t="str">
            <v>Installation of Ductwork as per email dated 16/08/18</v>
          </cell>
          <cell r="E1857" t="str">
            <v>ExcelVent Solutions Ltd</v>
          </cell>
          <cell r="F1857" t="str">
            <v>Subcontractor</v>
          </cell>
          <cell r="G1857" t="str">
            <v>27/08/2018</v>
          </cell>
          <cell r="H1857" t="str">
            <v>Part</v>
          </cell>
          <cell r="I1857" t="str">
            <v/>
          </cell>
          <cell r="J1857">
            <v>146960.59</v>
          </cell>
          <cell r="K1857">
            <v>29392.12</v>
          </cell>
          <cell r="L1857">
            <v>146960.59</v>
          </cell>
          <cell r="M1857" t="str">
            <v/>
          </cell>
          <cell r="N1857">
            <v>0</v>
          </cell>
        </row>
        <row r="1858">
          <cell r="A1858">
            <v>14579</v>
          </cell>
          <cell r="B1858" t="str">
            <v>05/10/2018</v>
          </cell>
          <cell r="C1858" t="str">
            <v>C1566</v>
          </cell>
          <cell r="D1858" t="str">
            <v>Installation</v>
          </cell>
          <cell r="E1858" t="str">
            <v>OLD COUGAR ACCOUNT- DO NOT USE</v>
          </cell>
          <cell r="F1858" t="str">
            <v>Subcontractor</v>
          </cell>
          <cell r="G1858" t="str">
            <v>09/09/2018</v>
          </cell>
          <cell r="H1858" t="str">
            <v/>
          </cell>
          <cell r="I1858" t="str">
            <v/>
          </cell>
          <cell r="J1858">
            <v>20464</v>
          </cell>
          <cell r="K1858">
            <v>4092.8</v>
          </cell>
          <cell r="L1858">
            <v>20464</v>
          </cell>
          <cell r="M1858" t="str">
            <v/>
          </cell>
          <cell r="N1858">
            <v>0</v>
          </cell>
        </row>
        <row r="1859">
          <cell r="A1859">
            <v>14573</v>
          </cell>
          <cell r="B1859" t="str">
            <v>05/10/2018</v>
          </cell>
          <cell r="C1859" t="str">
            <v>C1497</v>
          </cell>
          <cell r="D1859" t="str">
            <v/>
          </cell>
          <cell r="E1859" t="str">
            <v>Flue-Stax Ltd</v>
          </cell>
          <cell r="F1859" t="str">
            <v>Subcontractor</v>
          </cell>
          <cell r="G1859" t="str">
            <v>15/10/2018</v>
          </cell>
          <cell r="H1859" t="str">
            <v>Complete</v>
          </cell>
          <cell r="I1859" t="str">
            <v/>
          </cell>
          <cell r="J1859">
            <v>0</v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</row>
        <row r="1860">
          <cell r="A1860">
            <v>14562</v>
          </cell>
          <cell r="B1860" t="str">
            <v>04/10/2018</v>
          </cell>
          <cell r="C1860" t="str">
            <v>CALLOUT</v>
          </cell>
          <cell r="D1860" t="str">
            <v>carry out works as per quote</v>
          </cell>
          <cell r="E1860" t="str">
            <v>Ansa Elevators Limited</v>
          </cell>
          <cell r="F1860" t="str">
            <v>Subcontractor</v>
          </cell>
          <cell r="G1860" t="str">
            <v/>
          </cell>
          <cell r="H1860" t="str">
            <v/>
          </cell>
          <cell r="I1860" t="str">
            <v/>
          </cell>
          <cell r="J1860">
            <v>370.5</v>
          </cell>
          <cell r="K1860">
            <v>74.099999999999994</v>
          </cell>
          <cell r="L1860">
            <v>0</v>
          </cell>
          <cell r="M1860" t="str">
            <v/>
          </cell>
          <cell r="N1860">
            <v>370.5</v>
          </cell>
        </row>
        <row r="1861">
          <cell r="A1861">
            <v>14558</v>
          </cell>
          <cell r="B1861" t="str">
            <v>03/10/2018</v>
          </cell>
          <cell r="C1861" t="str">
            <v>CALLOUT</v>
          </cell>
          <cell r="D1861" t="str">
            <v>faulty timeclock on carpark lights</v>
          </cell>
          <cell r="E1861" t="str">
            <v>Barrie Beard Ltd</v>
          </cell>
          <cell r="F1861" t="str">
            <v>Subcontractor</v>
          </cell>
          <cell r="G1861" t="str">
            <v/>
          </cell>
          <cell r="H1861" t="str">
            <v/>
          </cell>
          <cell r="I1861" t="str">
            <v/>
          </cell>
          <cell r="J1861">
            <v>290</v>
          </cell>
          <cell r="K1861">
            <v>58</v>
          </cell>
          <cell r="L1861">
            <v>290</v>
          </cell>
          <cell r="M1861" t="str">
            <v/>
          </cell>
          <cell r="N1861">
            <v>0</v>
          </cell>
        </row>
        <row r="1862">
          <cell r="A1862">
            <v>14552</v>
          </cell>
          <cell r="B1862" t="str">
            <v>03/10/2018</v>
          </cell>
          <cell r="C1862" t="str">
            <v>CALLOUT</v>
          </cell>
          <cell r="D1862" t="str">
            <v>carry out 1 x visit "health check" on BMS contact Dave Kay 0</v>
          </cell>
          <cell r="E1862" t="str">
            <v>Automated Building &amp; Energy Controls Ltd</v>
          </cell>
          <cell r="F1862" t="str">
            <v>Subcontractor</v>
          </cell>
          <cell r="G1862" t="str">
            <v/>
          </cell>
          <cell r="H1862" t="str">
            <v/>
          </cell>
          <cell r="I1862" t="str">
            <v/>
          </cell>
          <cell r="J1862">
            <v>450</v>
          </cell>
          <cell r="K1862">
            <v>90</v>
          </cell>
          <cell r="L1862">
            <v>450</v>
          </cell>
          <cell r="M1862" t="str">
            <v/>
          </cell>
          <cell r="N1862">
            <v>0</v>
          </cell>
        </row>
        <row r="1863">
          <cell r="A1863">
            <v>14534</v>
          </cell>
          <cell r="B1863" t="str">
            <v>01/10/2018</v>
          </cell>
          <cell r="C1863" t="str">
            <v>C1560</v>
          </cell>
          <cell r="D1863" t="str">
            <v>Offloading, lifting &amp;Positioning of AHU Plant as quote numbe</v>
          </cell>
          <cell r="E1863" t="str">
            <v>Jack Waghorn International Ltd</v>
          </cell>
          <cell r="F1863" t="str">
            <v>Subcontractor</v>
          </cell>
          <cell r="G1863" t="str">
            <v>09/10/2018</v>
          </cell>
          <cell r="H1863" t="str">
            <v/>
          </cell>
          <cell r="I1863" t="str">
            <v/>
          </cell>
          <cell r="J1863">
            <v>4340</v>
          </cell>
          <cell r="K1863">
            <v>868</v>
          </cell>
          <cell r="L1863">
            <v>4340</v>
          </cell>
          <cell r="M1863" t="str">
            <v/>
          </cell>
          <cell r="N1863">
            <v>0</v>
          </cell>
        </row>
        <row r="1864">
          <cell r="A1864">
            <v>14518</v>
          </cell>
          <cell r="B1864" t="str">
            <v>01/10/2018</v>
          </cell>
          <cell r="C1864" t="str">
            <v>CALLOUT</v>
          </cell>
          <cell r="D1864" t="str">
            <v>Contact Mark Manifold 07809 659 847. instruct on use of fire</v>
          </cell>
          <cell r="E1864" t="str">
            <v>Hoyles Fire + Safety Ltd</v>
          </cell>
          <cell r="F1864" t="str">
            <v>Subcontractor</v>
          </cell>
          <cell r="G1864" t="str">
            <v/>
          </cell>
          <cell r="H1864" t="str">
            <v/>
          </cell>
          <cell r="I1864" t="str">
            <v/>
          </cell>
          <cell r="J1864">
            <v>130</v>
          </cell>
          <cell r="K1864">
            <v>26</v>
          </cell>
          <cell r="L1864">
            <v>260</v>
          </cell>
          <cell r="M1864" t="str">
            <v/>
          </cell>
          <cell r="N1864">
            <v>-130</v>
          </cell>
        </row>
        <row r="1865">
          <cell r="A1865">
            <v>14512</v>
          </cell>
          <cell r="B1865" t="str">
            <v>28/09/2018</v>
          </cell>
          <cell r="C1865" t="str">
            <v>CALLOUT</v>
          </cell>
          <cell r="D1865" t="str">
            <v>window handle come off</v>
          </cell>
          <cell r="E1865" t="str">
            <v>Viabl Ltd T/A Able</v>
          </cell>
          <cell r="F1865" t="str">
            <v>Subcontractor</v>
          </cell>
          <cell r="G1865" t="str">
            <v/>
          </cell>
          <cell r="H1865" t="str">
            <v/>
          </cell>
          <cell r="I1865" t="str">
            <v/>
          </cell>
          <cell r="J1865">
            <v>130</v>
          </cell>
          <cell r="K1865">
            <v>26</v>
          </cell>
          <cell r="L1865">
            <v>130</v>
          </cell>
          <cell r="M1865" t="str">
            <v/>
          </cell>
          <cell r="N1865">
            <v>0</v>
          </cell>
        </row>
        <row r="1866">
          <cell r="A1866">
            <v>14511</v>
          </cell>
          <cell r="B1866" t="str">
            <v>28/09/2018</v>
          </cell>
          <cell r="C1866" t="str">
            <v>C1567</v>
          </cell>
          <cell r="D1866" t="str">
            <v>Enabling works</v>
          </cell>
          <cell r="E1866" t="str">
            <v>Key Integrated Services (Electrical) Ltd</v>
          </cell>
          <cell r="F1866" t="str">
            <v>Subcontractor</v>
          </cell>
          <cell r="G1866" t="str">
            <v/>
          </cell>
          <cell r="H1866" t="str">
            <v/>
          </cell>
          <cell r="I1866" t="str">
            <v/>
          </cell>
          <cell r="J1866">
            <v>9660</v>
          </cell>
          <cell r="K1866">
            <v>1932</v>
          </cell>
          <cell r="L1866">
            <v>0</v>
          </cell>
          <cell r="M1866" t="str">
            <v/>
          </cell>
          <cell r="N1866">
            <v>9660</v>
          </cell>
        </row>
        <row r="1867">
          <cell r="A1867">
            <v>14509</v>
          </cell>
          <cell r="B1867" t="str">
            <v>28/09/2018</v>
          </cell>
          <cell r="C1867" t="str">
            <v>CALLOUT</v>
          </cell>
          <cell r="D1867" t="str">
            <v>grd floor fg watts light faulty</v>
          </cell>
          <cell r="E1867" t="str">
            <v>Barrie Beard Ltd</v>
          </cell>
          <cell r="F1867" t="str">
            <v>Subcontractor</v>
          </cell>
          <cell r="G1867" t="str">
            <v/>
          </cell>
          <cell r="H1867" t="str">
            <v/>
          </cell>
          <cell r="I1867" t="str">
            <v/>
          </cell>
          <cell r="J1867">
            <v>172.5</v>
          </cell>
          <cell r="K1867">
            <v>34.5</v>
          </cell>
          <cell r="L1867">
            <v>172.5</v>
          </cell>
          <cell r="M1867" t="str">
            <v/>
          </cell>
          <cell r="N1867">
            <v>0</v>
          </cell>
        </row>
        <row r="1868">
          <cell r="A1868">
            <v>14498</v>
          </cell>
          <cell r="B1868" t="str">
            <v>27/09/2018</v>
          </cell>
          <cell r="C1868" t="str">
            <v>C1573</v>
          </cell>
          <cell r="D1868" t="str">
            <v>LTHW Main through factory</v>
          </cell>
          <cell r="E1868" t="str">
            <v>JTL Engineering Ltd</v>
          </cell>
          <cell r="F1868" t="str">
            <v>Subcontractor</v>
          </cell>
          <cell r="G1868" t="str">
            <v>02/10/2018</v>
          </cell>
          <cell r="H1868" t="str">
            <v/>
          </cell>
          <cell r="I1868" t="str">
            <v/>
          </cell>
          <cell r="J1868">
            <v>91022</v>
          </cell>
          <cell r="K1868">
            <v>18204.400000000001</v>
          </cell>
          <cell r="L1868">
            <v>84372</v>
          </cell>
          <cell r="M1868" t="str">
            <v/>
          </cell>
          <cell r="N1868">
            <v>6650</v>
          </cell>
        </row>
        <row r="1869">
          <cell r="A1869">
            <v>14497</v>
          </cell>
          <cell r="B1869" t="str">
            <v>26/09/2018</v>
          </cell>
          <cell r="C1869" t="str">
            <v>C1549</v>
          </cell>
          <cell r="D1869" t="str">
            <v>Air/water balancing works</v>
          </cell>
          <cell r="E1869" t="str">
            <v>New Era Commissioning Specialists Ltd</v>
          </cell>
          <cell r="F1869" t="str">
            <v>Subcontractor</v>
          </cell>
          <cell r="G1869" t="str">
            <v>05/09/2018</v>
          </cell>
          <cell r="H1869" t="str">
            <v/>
          </cell>
          <cell r="I1869" t="str">
            <v/>
          </cell>
          <cell r="J1869">
            <v>4600</v>
          </cell>
          <cell r="K1869">
            <v>920</v>
          </cell>
          <cell r="L1869">
            <v>4600</v>
          </cell>
          <cell r="M1869" t="str">
            <v/>
          </cell>
          <cell r="N1869">
            <v>0</v>
          </cell>
        </row>
        <row r="1870">
          <cell r="A1870">
            <v>14496</v>
          </cell>
          <cell r="B1870" t="str">
            <v>26/09/2018</v>
          </cell>
          <cell r="C1870" t="str">
            <v>SERVICE</v>
          </cell>
          <cell r="D1870" t="str">
            <v>Carry out AC Maintenance on 16.10.2018</v>
          </cell>
          <cell r="E1870" t="str">
            <v>Adcock Refrigeration &amp; Air Conditioning</v>
          </cell>
          <cell r="F1870" t="str">
            <v>Subcontractor</v>
          </cell>
          <cell r="G1870" t="str">
            <v/>
          </cell>
          <cell r="H1870" t="str">
            <v/>
          </cell>
          <cell r="I1870" t="str">
            <v/>
          </cell>
          <cell r="J1870">
            <v>250</v>
          </cell>
          <cell r="K1870">
            <v>50</v>
          </cell>
          <cell r="L1870">
            <v>250</v>
          </cell>
          <cell r="M1870" t="str">
            <v/>
          </cell>
          <cell r="N1870">
            <v>0</v>
          </cell>
        </row>
        <row r="1871">
          <cell r="A1871">
            <v>14495</v>
          </cell>
          <cell r="B1871" t="str">
            <v>26/09/2018</v>
          </cell>
          <cell r="C1871" t="str">
            <v>SERVICE</v>
          </cell>
          <cell r="D1871" t="str">
            <v>Carry out AC Maintenance on 16.10.2018</v>
          </cell>
          <cell r="E1871" t="str">
            <v>Adcock Refrigeration &amp; Air Conditioning</v>
          </cell>
          <cell r="F1871" t="str">
            <v>Subcontractor</v>
          </cell>
          <cell r="G1871" t="str">
            <v/>
          </cell>
          <cell r="H1871" t="str">
            <v/>
          </cell>
          <cell r="I1871" t="str">
            <v/>
          </cell>
          <cell r="J1871">
            <v>120</v>
          </cell>
          <cell r="K1871">
            <v>24</v>
          </cell>
          <cell r="L1871">
            <v>120</v>
          </cell>
          <cell r="M1871" t="str">
            <v/>
          </cell>
          <cell r="N1871">
            <v>0</v>
          </cell>
        </row>
        <row r="1872">
          <cell r="A1872">
            <v>14493</v>
          </cell>
          <cell r="B1872" t="str">
            <v>26/09/2018</v>
          </cell>
          <cell r="C1872" t="str">
            <v>CALLOUT</v>
          </cell>
          <cell r="D1872" t="str">
            <v>Attend site on Friday 12th October 2018</v>
          </cell>
          <cell r="E1872" t="str">
            <v>Clover Controls Limited</v>
          </cell>
          <cell r="F1872" t="str">
            <v>Subcontractor</v>
          </cell>
          <cell r="G1872" t="str">
            <v/>
          </cell>
          <cell r="H1872" t="str">
            <v/>
          </cell>
          <cell r="I1872" t="str">
            <v/>
          </cell>
          <cell r="J1872">
            <v>480</v>
          </cell>
          <cell r="K1872">
            <v>96</v>
          </cell>
          <cell r="L1872">
            <v>480</v>
          </cell>
          <cell r="M1872" t="str">
            <v/>
          </cell>
          <cell r="N1872">
            <v>0</v>
          </cell>
        </row>
        <row r="1873">
          <cell r="A1873">
            <v>14492</v>
          </cell>
          <cell r="B1873" t="str">
            <v>26/09/2018</v>
          </cell>
          <cell r="C1873" t="str">
            <v>CALLOUT</v>
          </cell>
          <cell r="D1873" t="str">
            <v>callout lift ooo</v>
          </cell>
          <cell r="E1873" t="str">
            <v>Ansa Elevators Limited</v>
          </cell>
          <cell r="F1873" t="str">
            <v>Subcontractor</v>
          </cell>
          <cell r="G1873" t="str">
            <v/>
          </cell>
          <cell r="H1873" t="str">
            <v/>
          </cell>
          <cell r="I1873" t="str">
            <v/>
          </cell>
          <cell r="J1873">
            <v>87.5</v>
          </cell>
          <cell r="K1873">
            <v>17.5</v>
          </cell>
          <cell r="L1873">
            <v>87.5</v>
          </cell>
          <cell r="M1873" t="str">
            <v/>
          </cell>
          <cell r="N1873">
            <v>0</v>
          </cell>
        </row>
        <row r="1874">
          <cell r="A1874">
            <v>14484</v>
          </cell>
          <cell r="B1874" t="str">
            <v>25/09/2018</v>
          </cell>
          <cell r="C1874" t="str">
            <v>C1547</v>
          </cell>
          <cell r="D1874" t="str">
            <v>Commissioning of N11 Project and T3 Project.</v>
          </cell>
          <cell r="E1874" t="str">
            <v>Combat Commissioning Services Ltd</v>
          </cell>
          <cell r="F1874" t="str">
            <v>Subcontractor</v>
          </cell>
          <cell r="G1874" t="str">
            <v/>
          </cell>
          <cell r="H1874" t="str">
            <v/>
          </cell>
          <cell r="I1874" t="str">
            <v/>
          </cell>
          <cell r="J1874">
            <v>450</v>
          </cell>
          <cell r="K1874">
            <v>90</v>
          </cell>
          <cell r="L1874">
            <v>450</v>
          </cell>
          <cell r="M1874" t="str">
            <v/>
          </cell>
          <cell r="N1874">
            <v>0</v>
          </cell>
        </row>
        <row r="1875">
          <cell r="A1875">
            <v>14476</v>
          </cell>
          <cell r="B1875" t="str">
            <v>24/09/2018</v>
          </cell>
          <cell r="C1875" t="str">
            <v>CALLOUT</v>
          </cell>
          <cell r="D1875" t="str">
            <v>fit pole</v>
          </cell>
          <cell r="E1875" t="str">
            <v>K Gammon Plumbing &amp; Heating Ltd</v>
          </cell>
          <cell r="F1875" t="str">
            <v>Subcontractor</v>
          </cell>
          <cell r="G1875" t="str">
            <v/>
          </cell>
          <cell r="H1875" t="str">
            <v/>
          </cell>
          <cell r="I1875" t="str">
            <v/>
          </cell>
          <cell r="J1875">
            <v>132</v>
          </cell>
          <cell r="K1875">
            <v>26.4</v>
          </cell>
          <cell r="L1875">
            <v>132</v>
          </cell>
          <cell r="M1875" t="str">
            <v/>
          </cell>
          <cell r="N1875">
            <v>0</v>
          </cell>
        </row>
        <row r="1876">
          <cell r="A1876">
            <v>14468</v>
          </cell>
          <cell r="B1876" t="str">
            <v>21/09/2018</v>
          </cell>
          <cell r="C1876" t="str">
            <v>CALLOUT</v>
          </cell>
          <cell r="D1876" t="str">
            <v>emerg light fttg replace as per quote</v>
          </cell>
          <cell r="E1876" t="str">
            <v>Key Integrated Services North West Ltd</v>
          </cell>
          <cell r="F1876" t="str">
            <v>Subcontractor</v>
          </cell>
          <cell r="G1876" t="str">
            <v/>
          </cell>
          <cell r="H1876" t="str">
            <v/>
          </cell>
          <cell r="I1876" t="str">
            <v/>
          </cell>
          <cell r="J1876">
            <v>248.22</v>
          </cell>
          <cell r="K1876">
            <v>49.64</v>
          </cell>
          <cell r="L1876">
            <v>248.22</v>
          </cell>
          <cell r="M1876" t="str">
            <v/>
          </cell>
          <cell r="N1876">
            <v>0</v>
          </cell>
        </row>
        <row r="1877">
          <cell r="A1877">
            <v>14467</v>
          </cell>
          <cell r="B1877" t="str">
            <v>21/09/2018</v>
          </cell>
          <cell r="C1877" t="str">
            <v>CALLOUT</v>
          </cell>
          <cell r="D1877" t="str">
            <v>LED light fttg as per quote</v>
          </cell>
          <cell r="E1877" t="str">
            <v>Key Integrated Services North West Ltd</v>
          </cell>
          <cell r="F1877" t="str">
            <v>Subcontractor</v>
          </cell>
          <cell r="G1877" t="str">
            <v/>
          </cell>
          <cell r="H1877" t="str">
            <v/>
          </cell>
          <cell r="I1877" t="str">
            <v/>
          </cell>
          <cell r="J1877">
            <v>184.5</v>
          </cell>
          <cell r="K1877">
            <v>36.9</v>
          </cell>
          <cell r="L1877">
            <v>184.5</v>
          </cell>
          <cell r="M1877" t="str">
            <v/>
          </cell>
          <cell r="N1877">
            <v>0</v>
          </cell>
        </row>
        <row r="1878">
          <cell r="A1878">
            <v>14457</v>
          </cell>
          <cell r="B1878" t="str">
            <v>20/09/2018</v>
          </cell>
          <cell r="C1878" t="str">
            <v>C1533</v>
          </cell>
          <cell r="D1878" t="str">
            <v>Butchers Pet Care Commisioning</v>
          </cell>
          <cell r="E1878" t="str">
            <v>New Era Commissioning Specialists Ltd</v>
          </cell>
          <cell r="F1878" t="str">
            <v>Subcontractor</v>
          </cell>
          <cell r="G1878" t="str">
            <v>08/09/2018</v>
          </cell>
          <cell r="H1878" t="str">
            <v>Complete</v>
          </cell>
          <cell r="I1878" t="str">
            <v/>
          </cell>
          <cell r="J1878">
            <v>0</v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</row>
        <row r="1879">
          <cell r="A1879">
            <v>14445</v>
          </cell>
          <cell r="B1879" t="str">
            <v>18/09/2018</v>
          </cell>
          <cell r="C1879" t="str">
            <v>C1547</v>
          </cell>
          <cell r="D1879" t="str">
            <v>pipework installation</v>
          </cell>
          <cell r="E1879" t="str">
            <v>JTL Engineering Ltd</v>
          </cell>
          <cell r="F1879" t="str">
            <v>Subcontractor</v>
          </cell>
          <cell r="G1879" t="str">
            <v>19/09/2018</v>
          </cell>
          <cell r="H1879" t="str">
            <v/>
          </cell>
          <cell r="I1879" t="str">
            <v/>
          </cell>
          <cell r="J1879">
            <v>16645</v>
          </cell>
          <cell r="K1879">
            <v>3329</v>
          </cell>
          <cell r="L1879">
            <v>16645</v>
          </cell>
          <cell r="M1879" t="str">
            <v/>
          </cell>
          <cell r="N1879">
            <v>0</v>
          </cell>
        </row>
        <row r="1880">
          <cell r="A1880">
            <v>14443</v>
          </cell>
          <cell r="B1880" t="str">
            <v>18/09/2018</v>
          </cell>
          <cell r="C1880" t="str">
            <v>CALLOUT</v>
          </cell>
          <cell r="D1880" t="str">
            <v>leaking wc</v>
          </cell>
          <cell r="E1880" t="str">
            <v>Viabl Ltd T/A Able</v>
          </cell>
          <cell r="F1880" t="str">
            <v>Subcontractor</v>
          </cell>
          <cell r="G1880" t="str">
            <v/>
          </cell>
          <cell r="H1880" t="str">
            <v>Part</v>
          </cell>
          <cell r="I1880" t="str">
            <v/>
          </cell>
          <cell r="J1880">
            <v>153</v>
          </cell>
          <cell r="K1880">
            <v>30.6</v>
          </cell>
          <cell r="L1880">
            <v>0</v>
          </cell>
          <cell r="M1880" t="str">
            <v/>
          </cell>
          <cell r="N1880">
            <v>153</v>
          </cell>
        </row>
        <row r="1881">
          <cell r="A1881">
            <v>14440</v>
          </cell>
          <cell r="B1881" t="str">
            <v>18/09/2018</v>
          </cell>
          <cell r="C1881" t="str">
            <v>CALLOUT</v>
          </cell>
          <cell r="D1881" t="str">
            <v>handyman works</v>
          </cell>
          <cell r="E1881" t="str">
            <v>Key Integrated Services North West Ltd</v>
          </cell>
          <cell r="F1881" t="str">
            <v>Subcontractor</v>
          </cell>
          <cell r="G1881" t="str">
            <v/>
          </cell>
          <cell r="H1881" t="str">
            <v>Part</v>
          </cell>
          <cell r="I1881" t="str">
            <v/>
          </cell>
          <cell r="J1881">
            <v>250.75</v>
          </cell>
          <cell r="K1881">
            <v>50.15</v>
          </cell>
          <cell r="L1881">
            <v>250.75</v>
          </cell>
          <cell r="M1881" t="str">
            <v/>
          </cell>
          <cell r="N1881">
            <v>0</v>
          </cell>
        </row>
        <row r="1882">
          <cell r="A1882">
            <v>14439</v>
          </cell>
          <cell r="B1882" t="str">
            <v>18/09/2018</v>
          </cell>
          <cell r="C1882" t="str">
            <v>CALLOUT</v>
          </cell>
          <cell r="D1882" t="str">
            <v>handyman works - lights out etc</v>
          </cell>
          <cell r="E1882" t="str">
            <v>Key Integrated Services North West Ltd</v>
          </cell>
          <cell r="F1882" t="str">
            <v>Subcontractor</v>
          </cell>
          <cell r="G1882" t="str">
            <v/>
          </cell>
          <cell r="H1882" t="str">
            <v>Part</v>
          </cell>
          <cell r="I1882" t="str">
            <v/>
          </cell>
          <cell r="J1882">
            <v>391.5</v>
          </cell>
          <cell r="K1882">
            <v>78.3</v>
          </cell>
          <cell r="L1882">
            <v>391.5</v>
          </cell>
          <cell r="M1882" t="str">
            <v/>
          </cell>
          <cell r="N1882">
            <v>0</v>
          </cell>
        </row>
        <row r="1883">
          <cell r="A1883">
            <v>14429</v>
          </cell>
          <cell r="B1883" t="str">
            <v>14/09/2018</v>
          </cell>
          <cell r="C1883" t="str">
            <v>C1523</v>
          </cell>
          <cell r="D1883" t="str">
            <v>Thermal Insulation of Pipework &amp; Ductwork Services. Trace He</v>
          </cell>
          <cell r="E1883" t="str">
            <v>Thermal Insulation Covers Ltd</v>
          </cell>
          <cell r="F1883" t="str">
            <v>Subcontractor</v>
          </cell>
          <cell r="G1883" t="str">
            <v/>
          </cell>
          <cell r="H1883" t="str">
            <v>Part</v>
          </cell>
          <cell r="I1883" t="str">
            <v>Posted</v>
          </cell>
          <cell r="J1883">
            <v>45000</v>
          </cell>
          <cell r="K1883">
            <v>9000</v>
          </cell>
          <cell r="L1883">
            <v>50000</v>
          </cell>
          <cell r="M1883" t="str">
            <v/>
          </cell>
          <cell r="N1883">
            <v>-5000</v>
          </cell>
        </row>
        <row r="1884">
          <cell r="A1884">
            <v>14427</v>
          </cell>
          <cell r="B1884" t="str">
            <v>14/09/2018</v>
          </cell>
          <cell r="C1884" t="str">
            <v>C1450</v>
          </cell>
          <cell r="D1884" t="str">
            <v>Commissioning of duct mounted supply fan and grilles</v>
          </cell>
          <cell r="E1884" t="str">
            <v>New Era Commissioning Specialists Ltd</v>
          </cell>
          <cell r="F1884" t="str">
            <v>Subcontractor</v>
          </cell>
          <cell r="G1884" t="str">
            <v>15/09/2018</v>
          </cell>
          <cell r="H1884" t="str">
            <v/>
          </cell>
          <cell r="I1884" t="str">
            <v/>
          </cell>
          <cell r="J1884">
            <v>450</v>
          </cell>
          <cell r="K1884">
            <v>90</v>
          </cell>
          <cell r="L1884">
            <v>450</v>
          </cell>
          <cell r="M1884" t="str">
            <v/>
          </cell>
          <cell r="N1884">
            <v>0</v>
          </cell>
        </row>
        <row r="1885">
          <cell r="A1885">
            <v>14425</v>
          </cell>
          <cell r="B1885" t="str">
            <v>14/09/2018</v>
          </cell>
          <cell r="C1885" t="str">
            <v>C1523</v>
          </cell>
          <cell r="D1885" t="str">
            <v>To Supply, Install and Commission 1 Dry Riser from the inlet</v>
          </cell>
          <cell r="E1885" t="str">
            <v>UK Dry Risers Ltd</v>
          </cell>
          <cell r="F1885" t="str">
            <v>Subcontractor</v>
          </cell>
          <cell r="G1885" t="str">
            <v/>
          </cell>
          <cell r="H1885" t="str">
            <v>Part</v>
          </cell>
          <cell r="I1885" t="str">
            <v/>
          </cell>
          <cell r="J1885">
            <v>5090</v>
          </cell>
          <cell r="K1885">
            <v>1018</v>
          </cell>
          <cell r="L1885">
            <v>5090</v>
          </cell>
          <cell r="M1885" t="str">
            <v/>
          </cell>
          <cell r="N1885">
            <v>0</v>
          </cell>
        </row>
        <row r="1886">
          <cell r="A1886">
            <v>14395</v>
          </cell>
          <cell r="B1886" t="str">
            <v>11/09/2018</v>
          </cell>
          <cell r="C1886" t="str">
            <v>C1548</v>
          </cell>
          <cell r="D1886" t="str">
            <v>Compressing Bay 0 Air Balancing</v>
          </cell>
          <cell r="E1886" t="str">
            <v>Combat Commissioning Services Ltd</v>
          </cell>
          <cell r="F1886" t="str">
            <v>Subcontractor</v>
          </cell>
          <cell r="G1886" t="str">
            <v/>
          </cell>
          <cell r="H1886" t="str">
            <v/>
          </cell>
          <cell r="I1886" t="str">
            <v/>
          </cell>
          <cell r="J1886">
            <v>450</v>
          </cell>
          <cell r="K1886">
            <v>90</v>
          </cell>
          <cell r="L1886">
            <v>450</v>
          </cell>
          <cell r="M1886" t="str">
            <v/>
          </cell>
          <cell r="N1886">
            <v>0</v>
          </cell>
        </row>
        <row r="1887">
          <cell r="A1887">
            <v>14392</v>
          </cell>
          <cell r="B1887" t="str">
            <v>11/09/2018</v>
          </cell>
          <cell r="C1887" t="str">
            <v>SERVICE</v>
          </cell>
          <cell r="D1887" t="str">
            <v>Carry out Maintenance on AHU/Reznor Burner/Air Shunt Fan/Ext</v>
          </cell>
          <cell r="E1887" t="str">
            <v>Commercial Temperature Solutions</v>
          </cell>
          <cell r="F1887" t="str">
            <v>Subcontractor</v>
          </cell>
          <cell r="G1887" t="str">
            <v/>
          </cell>
          <cell r="H1887" t="str">
            <v/>
          </cell>
          <cell r="I1887" t="str">
            <v/>
          </cell>
          <cell r="J1887">
            <v>350</v>
          </cell>
          <cell r="K1887">
            <v>70</v>
          </cell>
          <cell r="L1887">
            <v>0</v>
          </cell>
          <cell r="M1887" t="str">
            <v/>
          </cell>
          <cell r="N1887">
            <v>350</v>
          </cell>
        </row>
        <row r="1888">
          <cell r="A1888">
            <v>14372</v>
          </cell>
          <cell r="B1888" t="str">
            <v>07/09/2018</v>
          </cell>
          <cell r="C1888" t="str">
            <v>CALLOUT</v>
          </cell>
          <cell r="D1888" t="str">
            <v>S&amp;F new ex-or lighting module as per quote</v>
          </cell>
          <cell r="E1888" t="str">
            <v>Barrie Beard Ltd</v>
          </cell>
          <cell r="F1888" t="str">
            <v>Subcontractor</v>
          </cell>
          <cell r="G1888" t="str">
            <v/>
          </cell>
          <cell r="H1888" t="str">
            <v/>
          </cell>
          <cell r="I1888" t="str">
            <v/>
          </cell>
          <cell r="J1888">
            <v>195</v>
          </cell>
          <cell r="K1888">
            <v>39</v>
          </cell>
          <cell r="L1888">
            <v>195</v>
          </cell>
          <cell r="M1888" t="str">
            <v/>
          </cell>
          <cell r="N1888">
            <v>0</v>
          </cell>
        </row>
        <row r="1889">
          <cell r="A1889">
            <v>14364</v>
          </cell>
          <cell r="B1889" t="str">
            <v>06/09/2018</v>
          </cell>
          <cell r="C1889" t="str">
            <v>C1490</v>
          </cell>
          <cell r="D1889" t="str">
            <v/>
          </cell>
          <cell r="E1889" t="str">
            <v>Energy Compliance Solutions Ltd</v>
          </cell>
          <cell r="F1889" t="str">
            <v>Subcontractor</v>
          </cell>
          <cell r="G1889" t="str">
            <v>20/09/2018</v>
          </cell>
          <cell r="H1889" t="str">
            <v/>
          </cell>
          <cell r="I1889" t="str">
            <v/>
          </cell>
          <cell r="J1889">
            <v>13000</v>
          </cell>
          <cell r="K1889">
            <v>2600</v>
          </cell>
          <cell r="L1889">
            <v>13000</v>
          </cell>
          <cell r="M1889" t="str">
            <v/>
          </cell>
          <cell r="N1889">
            <v>0</v>
          </cell>
        </row>
        <row r="1890">
          <cell r="A1890">
            <v>14363</v>
          </cell>
          <cell r="B1890" t="str">
            <v>06/09/2018</v>
          </cell>
          <cell r="C1890" t="str">
            <v>CALLOUT</v>
          </cell>
          <cell r="D1890" t="str">
            <v>quote to investigate lights</v>
          </cell>
          <cell r="E1890" t="str">
            <v>Viabl Ltd T/A Able</v>
          </cell>
          <cell r="F1890" t="str">
            <v>Subcontractor</v>
          </cell>
          <cell r="G1890" t="str">
            <v/>
          </cell>
          <cell r="H1890" t="str">
            <v/>
          </cell>
          <cell r="I1890" t="str">
            <v/>
          </cell>
          <cell r="J1890">
            <v>150</v>
          </cell>
          <cell r="K1890">
            <v>30</v>
          </cell>
          <cell r="L1890">
            <v>0</v>
          </cell>
          <cell r="M1890" t="str">
            <v/>
          </cell>
          <cell r="N1890">
            <v>150</v>
          </cell>
        </row>
        <row r="1891">
          <cell r="A1891">
            <v>14347</v>
          </cell>
          <cell r="B1891" t="str">
            <v>05/09/2018</v>
          </cell>
          <cell r="C1891" t="str">
            <v>C1577</v>
          </cell>
          <cell r="D1891" t="str">
            <v/>
          </cell>
          <cell r="E1891" t="str">
            <v>Jack Waghorn International Ltd</v>
          </cell>
          <cell r="F1891" t="str">
            <v>Subcontractor</v>
          </cell>
          <cell r="G1891" t="str">
            <v>21/09/2018</v>
          </cell>
          <cell r="H1891" t="str">
            <v/>
          </cell>
          <cell r="I1891" t="str">
            <v/>
          </cell>
          <cell r="J1891">
            <v>3000</v>
          </cell>
          <cell r="K1891">
            <v>600</v>
          </cell>
          <cell r="L1891">
            <v>3000</v>
          </cell>
          <cell r="M1891" t="str">
            <v/>
          </cell>
          <cell r="N1891">
            <v>0</v>
          </cell>
        </row>
        <row r="1892">
          <cell r="A1892">
            <v>14345</v>
          </cell>
          <cell r="B1892" t="str">
            <v>05/09/2018</v>
          </cell>
          <cell r="C1892" t="str">
            <v>SERVICE</v>
          </cell>
          <cell r="D1892" t="str">
            <v>Carry out AC Maintenance</v>
          </cell>
          <cell r="E1892" t="str">
            <v>Pole to Pole Climate Control Ltd</v>
          </cell>
          <cell r="F1892" t="str">
            <v>Subcontractor</v>
          </cell>
          <cell r="G1892" t="str">
            <v/>
          </cell>
          <cell r="H1892" t="str">
            <v/>
          </cell>
          <cell r="I1892" t="str">
            <v/>
          </cell>
          <cell r="J1892">
            <v>300</v>
          </cell>
          <cell r="K1892">
            <v>60</v>
          </cell>
          <cell r="L1892">
            <v>300</v>
          </cell>
          <cell r="M1892" t="str">
            <v/>
          </cell>
          <cell r="N1892">
            <v>0</v>
          </cell>
        </row>
        <row r="1893">
          <cell r="A1893">
            <v>14342</v>
          </cell>
          <cell r="B1893" t="str">
            <v>05/09/2018</v>
          </cell>
          <cell r="C1893" t="str">
            <v>CALLOUT</v>
          </cell>
          <cell r="D1893" t="str">
            <v>Installation of 8no Large Drip Trays as discussed - Supply D</v>
          </cell>
          <cell r="E1893" t="str">
            <v>Manchester Refrigeration Techniques Ltd</v>
          </cell>
          <cell r="F1893" t="str">
            <v>Subcontractor</v>
          </cell>
          <cell r="G1893" t="str">
            <v/>
          </cell>
          <cell r="H1893" t="str">
            <v/>
          </cell>
          <cell r="I1893" t="str">
            <v/>
          </cell>
          <cell r="J1893">
            <v>600</v>
          </cell>
          <cell r="K1893">
            <v>120</v>
          </cell>
          <cell r="L1893">
            <v>0</v>
          </cell>
          <cell r="M1893" t="str">
            <v/>
          </cell>
          <cell r="N1893">
            <v>600</v>
          </cell>
        </row>
        <row r="1894">
          <cell r="A1894">
            <v>14341</v>
          </cell>
          <cell r="B1894" t="str">
            <v>05/09/2018</v>
          </cell>
          <cell r="C1894" t="str">
            <v>CALLOUT</v>
          </cell>
          <cell r="D1894" t="str">
            <v>investigate fire exit door</v>
          </cell>
          <cell r="E1894" t="str">
            <v>Viabl Ltd T/A Able</v>
          </cell>
          <cell r="F1894" t="str">
            <v>Subcontractor</v>
          </cell>
          <cell r="G1894" t="str">
            <v/>
          </cell>
          <cell r="H1894" t="str">
            <v>Part</v>
          </cell>
          <cell r="I1894" t="str">
            <v/>
          </cell>
          <cell r="J1894">
            <v>72</v>
          </cell>
          <cell r="K1894">
            <v>14.4</v>
          </cell>
          <cell r="L1894">
            <v>72</v>
          </cell>
          <cell r="M1894" t="str">
            <v/>
          </cell>
          <cell r="N1894">
            <v>0</v>
          </cell>
        </row>
        <row r="1895">
          <cell r="A1895">
            <v>14339</v>
          </cell>
          <cell r="B1895" t="str">
            <v>04/09/2018</v>
          </cell>
          <cell r="C1895" t="str">
            <v>CALLOUT</v>
          </cell>
          <cell r="D1895" t="str">
            <v>S&amp;F replacement heater</v>
          </cell>
          <cell r="E1895" t="str">
            <v>Key Integrated Services North West Ltd</v>
          </cell>
          <cell r="F1895" t="str">
            <v>Subcontractor</v>
          </cell>
          <cell r="G1895" t="str">
            <v/>
          </cell>
          <cell r="H1895" t="str">
            <v/>
          </cell>
          <cell r="I1895" t="str">
            <v/>
          </cell>
          <cell r="J1895">
            <v>267.63</v>
          </cell>
          <cell r="K1895">
            <v>53.53</v>
          </cell>
          <cell r="L1895">
            <v>267.63</v>
          </cell>
          <cell r="M1895" t="str">
            <v/>
          </cell>
          <cell r="N1895">
            <v>0</v>
          </cell>
        </row>
        <row r="1896">
          <cell r="A1896">
            <v>14338</v>
          </cell>
          <cell r="B1896" t="str">
            <v>04/09/2018</v>
          </cell>
          <cell r="C1896" t="str">
            <v>C1533</v>
          </cell>
          <cell r="D1896" t="str">
            <v>Air Balancing at Butchers Pet Care</v>
          </cell>
          <cell r="E1896" t="str">
            <v>New Era Commissioning Specialists Ltd</v>
          </cell>
          <cell r="F1896" t="str">
            <v>Subcontractor</v>
          </cell>
          <cell r="G1896" t="str">
            <v>09/09/2018</v>
          </cell>
          <cell r="H1896" t="str">
            <v/>
          </cell>
          <cell r="I1896" t="str">
            <v/>
          </cell>
          <cell r="J1896">
            <v>900</v>
          </cell>
          <cell r="K1896">
            <v>180</v>
          </cell>
          <cell r="L1896">
            <v>900</v>
          </cell>
          <cell r="M1896" t="str">
            <v/>
          </cell>
          <cell r="N1896">
            <v>0</v>
          </cell>
        </row>
        <row r="1897">
          <cell r="A1897">
            <v>14334</v>
          </cell>
          <cell r="B1897" t="str">
            <v>04/09/2018</v>
          </cell>
          <cell r="C1897" t="str">
            <v>CALLOUT</v>
          </cell>
          <cell r="D1897" t="str">
            <v>Carried out Weekend Works - Saturday/Sunday 30th/31st August</v>
          </cell>
          <cell r="E1897" t="str">
            <v>Manchester Refrigeration Techniques Ltd</v>
          </cell>
          <cell r="F1897" t="str">
            <v>Subcontractor</v>
          </cell>
          <cell r="G1897" t="str">
            <v/>
          </cell>
          <cell r="H1897" t="str">
            <v/>
          </cell>
          <cell r="I1897" t="str">
            <v/>
          </cell>
          <cell r="J1897">
            <v>700</v>
          </cell>
          <cell r="K1897">
            <v>140</v>
          </cell>
          <cell r="L1897">
            <v>700</v>
          </cell>
          <cell r="M1897" t="str">
            <v/>
          </cell>
          <cell r="N1897">
            <v>0</v>
          </cell>
        </row>
        <row r="1898">
          <cell r="A1898">
            <v>14333</v>
          </cell>
          <cell r="B1898" t="str">
            <v>04/09/2018</v>
          </cell>
          <cell r="C1898" t="str">
            <v>CALLOUT</v>
          </cell>
          <cell r="D1898" t="str">
            <v>eml remedials</v>
          </cell>
          <cell r="E1898" t="str">
            <v>Key Integrated Services North West Ltd</v>
          </cell>
          <cell r="F1898" t="str">
            <v>Subcontractor</v>
          </cell>
          <cell r="G1898" t="str">
            <v/>
          </cell>
          <cell r="H1898" t="str">
            <v/>
          </cell>
          <cell r="I1898" t="str">
            <v/>
          </cell>
          <cell r="J1898">
            <v>225.14</v>
          </cell>
          <cell r="K1898">
            <v>45.03</v>
          </cell>
          <cell r="L1898">
            <v>225.14</v>
          </cell>
          <cell r="M1898" t="str">
            <v/>
          </cell>
          <cell r="N1898">
            <v>0</v>
          </cell>
        </row>
        <row r="1899">
          <cell r="A1899">
            <v>14321</v>
          </cell>
          <cell r="B1899" t="str">
            <v>31/08/2018</v>
          </cell>
          <cell r="C1899" t="str">
            <v>C1490</v>
          </cell>
          <cell r="D1899" t="str">
            <v/>
          </cell>
          <cell r="E1899" t="str">
            <v>Armquest Industrial Services Ltd</v>
          </cell>
          <cell r="F1899" t="str">
            <v>Subcontractor</v>
          </cell>
          <cell r="G1899" t="str">
            <v>03/09/2018</v>
          </cell>
          <cell r="H1899" t="str">
            <v>Part</v>
          </cell>
          <cell r="I1899" t="str">
            <v/>
          </cell>
          <cell r="J1899">
            <v>2950</v>
          </cell>
          <cell r="K1899">
            <v>590</v>
          </cell>
          <cell r="L1899">
            <v>2950</v>
          </cell>
          <cell r="M1899" t="str">
            <v/>
          </cell>
          <cell r="N1899">
            <v>0</v>
          </cell>
        </row>
        <row r="1900">
          <cell r="A1900">
            <v>14320</v>
          </cell>
          <cell r="B1900" t="str">
            <v>31/08/2018</v>
          </cell>
          <cell r="C1900" t="str">
            <v>C1558</v>
          </cell>
          <cell r="D1900" t="str">
            <v/>
          </cell>
          <cell r="E1900" t="str">
            <v>Jack Waghorn International Ltd</v>
          </cell>
          <cell r="F1900" t="str">
            <v>Subcontractor</v>
          </cell>
          <cell r="G1900" t="str">
            <v>05/09/2018</v>
          </cell>
          <cell r="H1900" t="str">
            <v/>
          </cell>
          <cell r="I1900" t="str">
            <v/>
          </cell>
          <cell r="J1900">
            <v>28000</v>
          </cell>
          <cell r="K1900">
            <v>5600</v>
          </cell>
          <cell r="L1900">
            <v>28000</v>
          </cell>
          <cell r="M1900" t="str">
            <v/>
          </cell>
          <cell r="N1900">
            <v>0</v>
          </cell>
        </row>
        <row r="1901">
          <cell r="A1901">
            <v>14317</v>
          </cell>
          <cell r="B1901" t="str">
            <v>30/08/2018</v>
          </cell>
          <cell r="C1901" t="str">
            <v>CALLOUT</v>
          </cell>
          <cell r="D1901" t="str">
            <v>GF mens wc leaking</v>
          </cell>
          <cell r="E1901" t="str">
            <v>Viabl Ltd T/A Able</v>
          </cell>
          <cell r="F1901" t="str">
            <v>Subcontractor</v>
          </cell>
          <cell r="G1901" t="str">
            <v/>
          </cell>
          <cell r="H1901" t="str">
            <v/>
          </cell>
          <cell r="I1901" t="str">
            <v/>
          </cell>
          <cell r="J1901">
            <v>169.2</v>
          </cell>
          <cell r="K1901">
            <v>33.840000000000003</v>
          </cell>
          <cell r="L1901">
            <v>169.2</v>
          </cell>
          <cell r="M1901" t="str">
            <v/>
          </cell>
          <cell r="N1901">
            <v>0</v>
          </cell>
        </row>
        <row r="1902">
          <cell r="A1902">
            <v>14313</v>
          </cell>
          <cell r="B1902" t="str">
            <v>29/08/2018</v>
          </cell>
          <cell r="C1902" t="str">
            <v>CALLOUT</v>
          </cell>
          <cell r="D1902" t="str">
            <v>no water hot tap</v>
          </cell>
          <cell r="E1902" t="str">
            <v>Viabl Ltd T/A Able</v>
          </cell>
          <cell r="F1902" t="str">
            <v>Subcontractor</v>
          </cell>
          <cell r="G1902" t="str">
            <v/>
          </cell>
          <cell r="H1902" t="str">
            <v/>
          </cell>
          <cell r="I1902" t="str">
            <v/>
          </cell>
          <cell r="J1902">
            <v>150</v>
          </cell>
          <cell r="K1902">
            <v>30</v>
          </cell>
          <cell r="L1902">
            <v>0</v>
          </cell>
          <cell r="M1902" t="str">
            <v/>
          </cell>
          <cell r="N1902">
            <v>150</v>
          </cell>
        </row>
        <row r="1903">
          <cell r="A1903">
            <v>14311</v>
          </cell>
          <cell r="B1903" t="str">
            <v>29/08/2018</v>
          </cell>
          <cell r="C1903" t="str">
            <v>CALLOUT</v>
          </cell>
          <cell r="D1903" t="str">
            <v>carry out to wc fit iso etc as per quote</v>
          </cell>
          <cell r="E1903" t="str">
            <v>Viabl Ltd T/A Able</v>
          </cell>
          <cell r="F1903" t="str">
            <v>Subcontractor</v>
          </cell>
          <cell r="G1903" t="str">
            <v/>
          </cell>
          <cell r="H1903" t="str">
            <v/>
          </cell>
          <cell r="I1903" t="str">
            <v/>
          </cell>
          <cell r="J1903">
            <v>350.66</v>
          </cell>
          <cell r="K1903">
            <v>70.13</v>
          </cell>
          <cell r="L1903">
            <v>350.66</v>
          </cell>
          <cell r="M1903" t="str">
            <v/>
          </cell>
          <cell r="N1903">
            <v>0</v>
          </cell>
        </row>
        <row r="1904">
          <cell r="A1904">
            <v>14308</v>
          </cell>
          <cell r="B1904" t="str">
            <v>29/08/2018</v>
          </cell>
          <cell r="C1904" t="str">
            <v>CALLOUT</v>
          </cell>
          <cell r="D1904" t="str">
            <v>lights out in office</v>
          </cell>
          <cell r="E1904" t="str">
            <v>Viabl Ltd T/A Able</v>
          </cell>
          <cell r="F1904" t="str">
            <v>Subcontractor</v>
          </cell>
          <cell r="G1904" t="str">
            <v/>
          </cell>
          <cell r="H1904" t="str">
            <v/>
          </cell>
          <cell r="I1904" t="str">
            <v/>
          </cell>
          <cell r="J1904">
            <v>293.29000000000002</v>
          </cell>
          <cell r="K1904">
            <v>58.66</v>
          </cell>
          <cell r="L1904">
            <v>293.29000000000002</v>
          </cell>
          <cell r="M1904" t="str">
            <v/>
          </cell>
          <cell r="N1904">
            <v>0</v>
          </cell>
        </row>
        <row r="1905">
          <cell r="A1905">
            <v>14306</v>
          </cell>
          <cell r="B1905" t="str">
            <v>28/08/2018</v>
          </cell>
          <cell r="C1905" t="str">
            <v>CALLOUT</v>
          </cell>
          <cell r="D1905" t="str">
            <v>investigate roofleak as per email</v>
          </cell>
          <cell r="E1905" t="str">
            <v>Roofing Consultants Ltd</v>
          </cell>
          <cell r="F1905" t="str">
            <v>Subcontractor</v>
          </cell>
          <cell r="G1905" t="str">
            <v/>
          </cell>
          <cell r="H1905" t="str">
            <v/>
          </cell>
          <cell r="I1905" t="str">
            <v/>
          </cell>
          <cell r="J1905">
            <v>250</v>
          </cell>
          <cell r="K1905">
            <v>50</v>
          </cell>
          <cell r="L1905">
            <v>250</v>
          </cell>
          <cell r="M1905" t="str">
            <v/>
          </cell>
          <cell r="N1905">
            <v>0</v>
          </cell>
        </row>
        <row r="1906">
          <cell r="A1906">
            <v>14302</v>
          </cell>
          <cell r="B1906" t="str">
            <v>28/08/2018</v>
          </cell>
          <cell r="C1906" t="str">
            <v>CALLOUT</v>
          </cell>
          <cell r="D1906" t="str">
            <v>investigate dishwasher and flooring</v>
          </cell>
          <cell r="E1906" t="str">
            <v>Viabl Ltd T/A Able</v>
          </cell>
          <cell r="F1906" t="str">
            <v>Subcontractor</v>
          </cell>
          <cell r="G1906" t="str">
            <v/>
          </cell>
          <cell r="H1906" t="str">
            <v/>
          </cell>
          <cell r="I1906" t="str">
            <v/>
          </cell>
          <cell r="J1906">
            <v>65</v>
          </cell>
          <cell r="K1906">
            <v>13</v>
          </cell>
          <cell r="L1906">
            <v>65</v>
          </cell>
          <cell r="M1906" t="str">
            <v/>
          </cell>
          <cell r="N1906">
            <v>0</v>
          </cell>
        </row>
        <row r="1907">
          <cell r="A1907">
            <v>14298</v>
          </cell>
          <cell r="B1907" t="str">
            <v>24/08/2018</v>
          </cell>
          <cell r="C1907" t="str">
            <v>C1549</v>
          </cell>
          <cell r="D1907" t="str">
            <v>For flushing works as per quote ref: 18160R1</v>
          </cell>
          <cell r="E1907" t="str">
            <v>MSB Hygiene Ltd</v>
          </cell>
          <cell r="F1907" t="str">
            <v>Subcontractor</v>
          </cell>
          <cell r="G1907" t="str">
            <v>28/08/2018</v>
          </cell>
          <cell r="H1907" t="str">
            <v/>
          </cell>
          <cell r="I1907" t="str">
            <v/>
          </cell>
          <cell r="J1907">
            <v>6175</v>
          </cell>
          <cell r="K1907">
            <v>1235</v>
          </cell>
          <cell r="L1907">
            <v>6175</v>
          </cell>
          <cell r="M1907" t="str">
            <v/>
          </cell>
          <cell r="N1907">
            <v>0</v>
          </cell>
        </row>
        <row r="1908">
          <cell r="A1908">
            <v>14296</v>
          </cell>
          <cell r="B1908" t="str">
            <v>23/08/2018</v>
          </cell>
          <cell r="C1908" t="str">
            <v>SERVICE</v>
          </cell>
          <cell r="D1908" t="str">
            <v>L8 Monthly</v>
          </cell>
          <cell r="E1908" t="str">
            <v>Commercial Temperature Solutions</v>
          </cell>
          <cell r="F1908" t="str">
            <v>Subcontractor</v>
          </cell>
          <cell r="G1908" t="str">
            <v/>
          </cell>
          <cell r="H1908" t="str">
            <v/>
          </cell>
          <cell r="I1908" t="str">
            <v/>
          </cell>
          <cell r="J1908">
            <v>100</v>
          </cell>
          <cell r="K1908">
            <v>20</v>
          </cell>
          <cell r="L1908">
            <v>100</v>
          </cell>
          <cell r="M1908" t="str">
            <v/>
          </cell>
          <cell r="N1908">
            <v>0</v>
          </cell>
        </row>
        <row r="1909">
          <cell r="A1909">
            <v>14295</v>
          </cell>
          <cell r="B1909" t="str">
            <v>23/08/2018</v>
          </cell>
          <cell r="C1909" t="str">
            <v>SERVICE</v>
          </cell>
          <cell r="D1909" t="str">
            <v>Under Sink Water Heater/Hot Water Boiler Maintenance</v>
          </cell>
          <cell r="E1909" t="str">
            <v>Commercial Temperature Solutions</v>
          </cell>
          <cell r="F1909" t="str">
            <v>Subcontractor</v>
          </cell>
          <cell r="G1909" t="str">
            <v/>
          </cell>
          <cell r="H1909" t="str">
            <v/>
          </cell>
          <cell r="I1909" t="str">
            <v/>
          </cell>
          <cell r="J1909">
            <v>200</v>
          </cell>
          <cell r="K1909">
            <v>40</v>
          </cell>
          <cell r="L1909">
            <v>200</v>
          </cell>
          <cell r="M1909" t="str">
            <v/>
          </cell>
          <cell r="N1909">
            <v>0</v>
          </cell>
        </row>
        <row r="1910">
          <cell r="A1910">
            <v>14294</v>
          </cell>
          <cell r="B1910" t="str">
            <v>23/08/2018</v>
          </cell>
          <cell r="C1910" t="str">
            <v>SERVICE</v>
          </cell>
          <cell r="D1910" t="str">
            <v>Carry out AC Maintennace on 6no Units</v>
          </cell>
          <cell r="E1910" t="str">
            <v>Commercial Temperature Solutions</v>
          </cell>
          <cell r="F1910" t="str">
            <v>Subcontractor</v>
          </cell>
          <cell r="G1910" t="str">
            <v/>
          </cell>
          <cell r="H1910" t="str">
            <v/>
          </cell>
          <cell r="I1910" t="str">
            <v/>
          </cell>
          <cell r="J1910">
            <v>150</v>
          </cell>
          <cell r="K1910">
            <v>30</v>
          </cell>
          <cell r="L1910">
            <v>150</v>
          </cell>
          <cell r="M1910" t="str">
            <v/>
          </cell>
          <cell r="N1910">
            <v>0</v>
          </cell>
        </row>
        <row r="1911">
          <cell r="A1911">
            <v>14280</v>
          </cell>
          <cell r="B1911" t="str">
            <v>22/08/2018</v>
          </cell>
          <cell r="C1911" t="str">
            <v>CALLOUT</v>
          </cell>
          <cell r="D1911" t="str">
            <v>faulty strip light in kitchen</v>
          </cell>
          <cell r="E1911" t="str">
            <v>Key Integrated Services North West Ltd</v>
          </cell>
          <cell r="F1911" t="str">
            <v>Subcontractor</v>
          </cell>
          <cell r="G1911" t="str">
            <v/>
          </cell>
          <cell r="H1911" t="str">
            <v/>
          </cell>
          <cell r="I1911" t="str">
            <v/>
          </cell>
          <cell r="J1911">
            <v>80.56</v>
          </cell>
          <cell r="K1911">
            <v>16.11</v>
          </cell>
          <cell r="L1911">
            <v>0</v>
          </cell>
          <cell r="M1911" t="str">
            <v/>
          </cell>
          <cell r="N1911">
            <v>80.56</v>
          </cell>
        </row>
        <row r="1912">
          <cell r="A1912">
            <v>14279</v>
          </cell>
          <cell r="B1912" t="str">
            <v>22/08/2018</v>
          </cell>
          <cell r="C1912" t="str">
            <v>SERVICE</v>
          </cell>
          <cell r="D1912" t="str">
            <v>PPM works</v>
          </cell>
          <cell r="E1912" t="str">
            <v>Key Integrated Services North West Ltd</v>
          </cell>
          <cell r="F1912" t="str">
            <v>Subcontractor</v>
          </cell>
          <cell r="G1912" t="str">
            <v/>
          </cell>
          <cell r="H1912" t="str">
            <v/>
          </cell>
          <cell r="I1912" t="str">
            <v/>
          </cell>
          <cell r="J1912">
            <v>200</v>
          </cell>
          <cell r="K1912">
            <v>40</v>
          </cell>
          <cell r="L1912">
            <v>0</v>
          </cell>
          <cell r="M1912" t="str">
            <v/>
          </cell>
          <cell r="N1912">
            <v>200</v>
          </cell>
        </row>
        <row r="1913">
          <cell r="A1913">
            <v>14267</v>
          </cell>
          <cell r="B1913" t="str">
            <v>21/08/2018</v>
          </cell>
          <cell r="C1913" t="str">
            <v>C1523</v>
          </cell>
          <cell r="D1913" t="str">
            <v>To Supply:</v>
          </cell>
          <cell r="E1913" t="str">
            <v>Armquest Industrial Services Ltd</v>
          </cell>
          <cell r="F1913" t="str">
            <v>Subcontractor</v>
          </cell>
          <cell r="G1913" t="str">
            <v/>
          </cell>
          <cell r="H1913" t="str">
            <v/>
          </cell>
          <cell r="I1913" t="str">
            <v/>
          </cell>
          <cell r="J1913">
            <v>7735</v>
          </cell>
          <cell r="K1913">
            <v>1547</v>
          </cell>
          <cell r="L1913">
            <v>7735</v>
          </cell>
          <cell r="M1913" t="str">
            <v/>
          </cell>
          <cell r="N1913">
            <v>0</v>
          </cell>
        </row>
        <row r="1914">
          <cell r="A1914">
            <v>14266</v>
          </cell>
          <cell r="B1914" t="str">
            <v>21/08/2018</v>
          </cell>
          <cell r="C1914" t="str">
            <v>C1558</v>
          </cell>
          <cell r="D1914" t="str">
            <v/>
          </cell>
          <cell r="E1914" t="str">
            <v>Enco Ltd</v>
          </cell>
          <cell r="F1914" t="str">
            <v>Subcontractor</v>
          </cell>
          <cell r="G1914" t="str">
            <v>16/07/2018</v>
          </cell>
          <cell r="H1914" t="str">
            <v>Part</v>
          </cell>
          <cell r="I1914" t="str">
            <v/>
          </cell>
          <cell r="J1914">
            <v>311631.99</v>
          </cell>
          <cell r="K1914">
            <v>62326.400000000001</v>
          </cell>
          <cell r="L1914">
            <v>311631.99</v>
          </cell>
          <cell r="M1914" t="str">
            <v/>
          </cell>
          <cell r="N1914">
            <v>0</v>
          </cell>
        </row>
        <row r="1915">
          <cell r="A1915">
            <v>14265</v>
          </cell>
          <cell r="B1915" t="str">
            <v>21/08/2018</v>
          </cell>
          <cell r="C1915" t="str">
            <v>C1552</v>
          </cell>
          <cell r="D1915" t="str">
            <v>Kerry Foods Design Proposal</v>
          </cell>
          <cell r="E1915" t="str">
            <v>Key Integrated Services (Electrical) Ltd</v>
          </cell>
          <cell r="F1915" t="str">
            <v>Subcontractor</v>
          </cell>
          <cell r="G1915" t="str">
            <v/>
          </cell>
          <cell r="H1915" t="str">
            <v/>
          </cell>
          <cell r="I1915" t="str">
            <v/>
          </cell>
          <cell r="J1915">
            <v>7040</v>
          </cell>
          <cell r="K1915">
            <v>1408</v>
          </cell>
          <cell r="L1915">
            <v>7040</v>
          </cell>
          <cell r="M1915" t="str">
            <v/>
          </cell>
          <cell r="N1915">
            <v>0</v>
          </cell>
        </row>
        <row r="1916">
          <cell r="A1916">
            <v>14263</v>
          </cell>
          <cell r="B1916" t="str">
            <v>21/08/2018</v>
          </cell>
          <cell r="C1916" t="str">
            <v>C1547</v>
          </cell>
          <cell r="D1916" t="str">
            <v>Controls Wiring</v>
          </cell>
          <cell r="E1916" t="str">
            <v>Eamonn Reilly</v>
          </cell>
          <cell r="F1916" t="str">
            <v>Subcontractor</v>
          </cell>
          <cell r="G1916" t="str">
            <v/>
          </cell>
          <cell r="H1916" t="str">
            <v/>
          </cell>
          <cell r="I1916" t="str">
            <v/>
          </cell>
          <cell r="J1916">
            <v>8207</v>
          </cell>
          <cell r="K1916">
            <v>1641.4</v>
          </cell>
          <cell r="L1916">
            <v>8207</v>
          </cell>
          <cell r="M1916" t="str">
            <v/>
          </cell>
          <cell r="N1916">
            <v>0</v>
          </cell>
        </row>
        <row r="1917">
          <cell r="A1917">
            <v>14259</v>
          </cell>
          <cell r="B1917" t="str">
            <v>20/08/2018</v>
          </cell>
          <cell r="C1917" t="str">
            <v>CALLOUT</v>
          </cell>
          <cell r="D1917" t="str">
            <v>Issue with Water coming out of Ducting in Male Toilets</v>
          </cell>
          <cell r="E1917" t="str">
            <v>4 Way Refrigeration Ltd</v>
          </cell>
          <cell r="F1917" t="str">
            <v>Subcontractor</v>
          </cell>
          <cell r="G1917" t="str">
            <v/>
          </cell>
          <cell r="H1917" t="str">
            <v/>
          </cell>
          <cell r="I1917" t="str">
            <v/>
          </cell>
          <cell r="J1917">
            <v>100</v>
          </cell>
          <cell r="K1917">
            <v>20</v>
          </cell>
          <cell r="L1917">
            <v>96</v>
          </cell>
          <cell r="M1917" t="str">
            <v/>
          </cell>
          <cell r="N1917">
            <v>4</v>
          </cell>
        </row>
        <row r="1918">
          <cell r="A1918">
            <v>14255</v>
          </cell>
          <cell r="B1918" t="str">
            <v>20/08/2018</v>
          </cell>
          <cell r="C1918" t="str">
            <v>SERVICE</v>
          </cell>
          <cell r="D1918" t="str">
            <v>AC Maintenance on 3no Units</v>
          </cell>
          <cell r="E1918" t="str">
            <v>Commercial Temperature Solutions</v>
          </cell>
          <cell r="F1918" t="str">
            <v>Subcontractor</v>
          </cell>
          <cell r="G1918" t="str">
            <v/>
          </cell>
          <cell r="H1918" t="str">
            <v/>
          </cell>
          <cell r="I1918" t="str">
            <v/>
          </cell>
          <cell r="J1918">
            <v>75</v>
          </cell>
          <cell r="K1918">
            <v>15</v>
          </cell>
          <cell r="L1918">
            <v>75</v>
          </cell>
          <cell r="M1918" t="str">
            <v/>
          </cell>
          <cell r="N1918">
            <v>0</v>
          </cell>
        </row>
        <row r="1919">
          <cell r="A1919">
            <v>14254</v>
          </cell>
          <cell r="B1919" t="str">
            <v>20/08/2018</v>
          </cell>
          <cell r="C1919" t="str">
            <v>SERVICE</v>
          </cell>
          <cell r="D1919" t="str">
            <v>Maintenance on 7no AC Units</v>
          </cell>
          <cell r="E1919" t="str">
            <v>Commercial Temperature Solutions</v>
          </cell>
          <cell r="F1919" t="str">
            <v>Subcontractor</v>
          </cell>
          <cell r="G1919" t="str">
            <v/>
          </cell>
          <cell r="H1919" t="str">
            <v/>
          </cell>
          <cell r="I1919" t="str">
            <v/>
          </cell>
          <cell r="J1919">
            <v>175</v>
          </cell>
          <cell r="K1919">
            <v>35</v>
          </cell>
          <cell r="L1919">
            <v>175</v>
          </cell>
          <cell r="M1919" t="str">
            <v/>
          </cell>
          <cell r="N1919">
            <v>0</v>
          </cell>
        </row>
        <row r="1920">
          <cell r="A1920">
            <v>14251</v>
          </cell>
          <cell r="B1920" t="str">
            <v>17/08/2018</v>
          </cell>
          <cell r="C1920" t="str">
            <v>C1518</v>
          </cell>
          <cell r="D1920" t="str">
            <v>Freezer and chill lighting upgrade</v>
          </cell>
          <cell r="E1920" t="str">
            <v>Key Integrated Services (Electrical) Ltd</v>
          </cell>
          <cell r="F1920" t="str">
            <v>Subcontractor</v>
          </cell>
          <cell r="G1920" t="str">
            <v/>
          </cell>
          <cell r="H1920" t="str">
            <v/>
          </cell>
          <cell r="I1920" t="str">
            <v/>
          </cell>
          <cell r="J1920">
            <v>10556</v>
          </cell>
          <cell r="K1920">
            <v>2111.1999999999998</v>
          </cell>
          <cell r="L1920">
            <v>10556</v>
          </cell>
          <cell r="M1920" t="str">
            <v/>
          </cell>
          <cell r="N1920">
            <v>0</v>
          </cell>
        </row>
        <row r="1921">
          <cell r="A1921">
            <v>14244</v>
          </cell>
          <cell r="B1921" t="str">
            <v>17/08/2018</v>
          </cell>
          <cell r="C1921" t="str">
            <v>CALLOUT</v>
          </cell>
          <cell r="D1921" t="str">
            <v>blocked wc</v>
          </cell>
          <cell r="E1921" t="str">
            <v>Viabl Ltd T/A Able</v>
          </cell>
          <cell r="F1921" t="str">
            <v>Subcontractor</v>
          </cell>
          <cell r="G1921" t="str">
            <v/>
          </cell>
          <cell r="H1921" t="str">
            <v/>
          </cell>
          <cell r="I1921" t="str">
            <v/>
          </cell>
          <cell r="J1921">
            <v>125</v>
          </cell>
          <cell r="K1921">
            <v>25</v>
          </cell>
          <cell r="L1921">
            <v>125</v>
          </cell>
          <cell r="M1921" t="str">
            <v/>
          </cell>
          <cell r="N1921">
            <v>0</v>
          </cell>
        </row>
        <row r="1922">
          <cell r="A1922">
            <v>14239</v>
          </cell>
          <cell r="B1922" t="str">
            <v>16/08/2018</v>
          </cell>
          <cell r="C1922" t="str">
            <v>CALLOUT</v>
          </cell>
          <cell r="D1922" t="str">
            <v>ladies washroom - leak</v>
          </cell>
          <cell r="E1922" t="str">
            <v>Viabl Ltd T/A Able</v>
          </cell>
          <cell r="F1922" t="str">
            <v>Subcontractor</v>
          </cell>
          <cell r="G1922" t="str">
            <v/>
          </cell>
          <cell r="H1922" t="str">
            <v/>
          </cell>
          <cell r="I1922" t="str">
            <v/>
          </cell>
          <cell r="J1922">
            <v>65</v>
          </cell>
          <cell r="K1922">
            <v>13</v>
          </cell>
          <cell r="L1922">
            <v>65</v>
          </cell>
          <cell r="M1922" t="str">
            <v/>
          </cell>
          <cell r="N1922">
            <v>0</v>
          </cell>
        </row>
        <row r="1923">
          <cell r="A1923">
            <v>14230</v>
          </cell>
          <cell r="B1923" t="str">
            <v>15/08/2018</v>
          </cell>
          <cell r="C1923" t="str">
            <v>CALLOUT</v>
          </cell>
          <cell r="D1923" t="str">
            <v>Error Code 6607 showing on 1st floor Aircon Controls/main pa</v>
          </cell>
          <cell r="E1923" t="str">
            <v>4 Way Refrigeration Ltd</v>
          </cell>
          <cell r="F1923" t="str">
            <v>Subcontractor</v>
          </cell>
          <cell r="G1923" t="str">
            <v/>
          </cell>
          <cell r="H1923" t="str">
            <v>Part</v>
          </cell>
          <cell r="I1923" t="str">
            <v/>
          </cell>
          <cell r="J1923">
            <v>156</v>
          </cell>
          <cell r="K1923">
            <v>31.2</v>
          </cell>
          <cell r="L1923">
            <v>156</v>
          </cell>
          <cell r="M1923" t="str">
            <v/>
          </cell>
          <cell r="N1923">
            <v>0</v>
          </cell>
        </row>
        <row r="1924">
          <cell r="A1924">
            <v>14227</v>
          </cell>
          <cell r="B1924" t="str">
            <v>14/08/2018</v>
          </cell>
          <cell r="C1924" t="str">
            <v>CALLOUT</v>
          </cell>
          <cell r="D1924" t="str">
            <v>leaking tap</v>
          </cell>
          <cell r="E1924" t="str">
            <v>Viabl Ltd T/A Able</v>
          </cell>
          <cell r="F1924" t="str">
            <v>Subcontractor</v>
          </cell>
          <cell r="G1924" t="str">
            <v/>
          </cell>
          <cell r="H1924" t="str">
            <v/>
          </cell>
          <cell r="I1924" t="str">
            <v/>
          </cell>
          <cell r="J1924">
            <v>88.04</v>
          </cell>
          <cell r="K1924">
            <v>17.61</v>
          </cell>
          <cell r="L1924">
            <v>88.04</v>
          </cell>
          <cell r="M1924" t="str">
            <v/>
          </cell>
          <cell r="N1924">
            <v>0</v>
          </cell>
        </row>
        <row r="1925">
          <cell r="A1925">
            <v>14226</v>
          </cell>
          <cell r="B1925" t="str">
            <v>14/08/2018</v>
          </cell>
          <cell r="C1925" t="str">
            <v>SERVICE</v>
          </cell>
          <cell r="D1925" t="str">
            <v>Carry out Annual EML Test</v>
          </cell>
          <cell r="E1925" t="str">
            <v>Key Integrated Services North West Ltd</v>
          </cell>
          <cell r="F1925" t="str">
            <v>Subcontractor</v>
          </cell>
          <cell r="G1925" t="str">
            <v/>
          </cell>
          <cell r="H1925" t="str">
            <v/>
          </cell>
          <cell r="I1925" t="str">
            <v/>
          </cell>
          <cell r="J1925">
            <v>175</v>
          </cell>
          <cell r="K1925">
            <v>35</v>
          </cell>
          <cell r="L1925">
            <v>175</v>
          </cell>
          <cell r="M1925" t="str">
            <v/>
          </cell>
          <cell r="N1925">
            <v>0</v>
          </cell>
        </row>
        <row r="1926">
          <cell r="A1926">
            <v>14223</v>
          </cell>
          <cell r="B1926" t="str">
            <v>14/08/2018</v>
          </cell>
          <cell r="C1926" t="str">
            <v>C1548</v>
          </cell>
          <cell r="D1926" t="str">
            <v>Pipework and Insulation Installation</v>
          </cell>
          <cell r="E1926" t="str">
            <v>JTL Engineering Ltd</v>
          </cell>
          <cell r="F1926" t="str">
            <v>Subcontractor</v>
          </cell>
          <cell r="G1926" t="str">
            <v/>
          </cell>
          <cell r="H1926" t="str">
            <v/>
          </cell>
          <cell r="I1926" t="str">
            <v/>
          </cell>
          <cell r="J1926">
            <v>18630</v>
          </cell>
          <cell r="K1926">
            <v>3726</v>
          </cell>
          <cell r="L1926">
            <v>18630</v>
          </cell>
          <cell r="M1926" t="str">
            <v/>
          </cell>
          <cell r="N1926">
            <v>0</v>
          </cell>
        </row>
        <row r="1927">
          <cell r="A1927">
            <v>14222</v>
          </cell>
          <cell r="B1927" t="str">
            <v>14/08/2018</v>
          </cell>
          <cell r="C1927" t="str">
            <v>C1523</v>
          </cell>
          <cell r="D1927" t="str">
            <v>Electrical installation</v>
          </cell>
          <cell r="E1927" t="str">
            <v>Key Integrated Services North West Ltd</v>
          </cell>
          <cell r="F1927" t="str">
            <v>Subcontractor</v>
          </cell>
          <cell r="G1927" t="str">
            <v/>
          </cell>
          <cell r="H1927" t="str">
            <v/>
          </cell>
          <cell r="I1927" t="str">
            <v/>
          </cell>
          <cell r="J1927">
            <v>696422.19</v>
          </cell>
          <cell r="K1927">
            <v>139284.44</v>
          </cell>
          <cell r="L1927">
            <v>733767.76</v>
          </cell>
          <cell r="M1927" t="str">
            <v/>
          </cell>
          <cell r="N1927">
            <v>-37345.57</v>
          </cell>
        </row>
        <row r="1928">
          <cell r="A1928">
            <v>14199</v>
          </cell>
          <cell r="B1928" t="str">
            <v>09/08/2018</v>
          </cell>
          <cell r="C1928" t="str">
            <v>C1548</v>
          </cell>
          <cell r="D1928" t="str">
            <v>Ductwork Insulation</v>
          </cell>
          <cell r="E1928" t="str">
            <v>OLD COUGAR ACCOUNT- DO NOT USE</v>
          </cell>
          <cell r="F1928" t="str">
            <v>Subcontractor</v>
          </cell>
          <cell r="G1928" t="str">
            <v>12/08/2018</v>
          </cell>
          <cell r="H1928" t="str">
            <v/>
          </cell>
          <cell r="I1928" t="str">
            <v/>
          </cell>
          <cell r="J1928">
            <v>17500</v>
          </cell>
          <cell r="K1928">
            <v>3500</v>
          </cell>
          <cell r="L1928">
            <v>17500</v>
          </cell>
          <cell r="M1928" t="str">
            <v/>
          </cell>
          <cell r="N1928">
            <v>0</v>
          </cell>
        </row>
        <row r="1929">
          <cell r="A1929">
            <v>14198</v>
          </cell>
          <cell r="B1929" t="str">
            <v>09/08/2018</v>
          </cell>
          <cell r="C1929" t="str">
            <v>C1490</v>
          </cell>
          <cell r="D1929" t="str">
            <v>Order for the supply, install and commission of the fire sup</v>
          </cell>
          <cell r="E1929" t="str">
            <v>Fire Suppression Limited</v>
          </cell>
          <cell r="F1929" t="str">
            <v>Subcontractor</v>
          </cell>
          <cell r="G1929" t="str">
            <v>20/08/2018</v>
          </cell>
          <cell r="H1929" t="str">
            <v>Part</v>
          </cell>
          <cell r="I1929" t="str">
            <v/>
          </cell>
          <cell r="J1929">
            <v>16306</v>
          </cell>
          <cell r="K1929">
            <v>3261.2</v>
          </cell>
          <cell r="L1929">
            <v>16306</v>
          </cell>
          <cell r="M1929" t="str">
            <v/>
          </cell>
          <cell r="N1929">
            <v>0</v>
          </cell>
        </row>
        <row r="1930">
          <cell r="A1930">
            <v>14197</v>
          </cell>
          <cell r="B1930" t="str">
            <v>09/08/2018</v>
          </cell>
          <cell r="C1930" t="str">
            <v>C1383</v>
          </cell>
          <cell r="D1930" t="str">
            <v>Attended site to replace Warranty PCB</v>
          </cell>
          <cell r="E1930" t="str">
            <v>Pitkin &amp; Ruddock Ltd</v>
          </cell>
          <cell r="F1930" t="str">
            <v>Subcontractor</v>
          </cell>
          <cell r="G1930" t="str">
            <v/>
          </cell>
          <cell r="H1930" t="str">
            <v/>
          </cell>
          <cell r="I1930" t="str">
            <v/>
          </cell>
          <cell r="J1930">
            <v>165</v>
          </cell>
          <cell r="K1930">
            <v>33</v>
          </cell>
          <cell r="L1930">
            <v>165</v>
          </cell>
          <cell r="M1930" t="str">
            <v/>
          </cell>
          <cell r="N1930">
            <v>0</v>
          </cell>
        </row>
        <row r="1931">
          <cell r="A1931">
            <v>14174</v>
          </cell>
          <cell r="B1931" t="str">
            <v>07/08/2018</v>
          </cell>
          <cell r="C1931" t="str">
            <v>C1548</v>
          </cell>
          <cell r="D1931" t="str">
            <v>Compressing Bay 0 Electrical and Control Wiring.</v>
          </cell>
          <cell r="E1931" t="str">
            <v>Eamonn Reilly</v>
          </cell>
          <cell r="F1931" t="str">
            <v>Subcontractor</v>
          </cell>
          <cell r="G1931" t="str">
            <v>07/08/2018</v>
          </cell>
          <cell r="H1931" t="str">
            <v/>
          </cell>
          <cell r="I1931" t="str">
            <v/>
          </cell>
          <cell r="J1931">
            <v>12415.61</v>
          </cell>
          <cell r="K1931">
            <v>2483.12</v>
          </cell>
          <cell r="L1931">
            <v>12415.61</v>
          </cell>
          <cell r="M1931" t="str">
            <v/>
          </cell>
          <cell r="N1931">
            <v>0</v>
          </cell>
        </row>
        <row r="1932">
          <cell r="A1932">
            <v>14171</v>
          </cell>
          <cell r="B1932" t="str">
            <v>07/08/2018</v>
          </cell>
          <cell r="C1932" t="str">
            <v>C1518</v>
          </cell>
          <cell r="D1932" t="str">
            <v>Sockets and network for locker</v>
          </cell>
          <cell r="E1932" t="str">
            <v>Key Integrated Services (Electrical) Ltd</v>
          </cell>
          <cell r="F1932" t="str">
            <v>Subcontractor</v>
          </cell>
          <cell r="G1932" t="str">
            <v/>
          </cell>
          <cell r="H1932" t="str">
            <v/>
          </cell>
          <cell r="I1932" t="str">
            <v/>
          </cell>
          <cell r="J1932">
            <v>1367</v>
          </cell>
          <cell r="K1932">
            <v>273.39999999999998</v>
          </cell>
          <cell r="L1932">
            <v>1367</v>
          </cell>
          <cell r="M1932" t="str">
            <v/>
          </cell>
          <cell r="N1932">
            <v>0</v>
          </cell>
        </row>
        <row r="1933">
          <cell r="A1933">
            <v>14170</v>
          </cell>
          <cell r="B1933" t="str">
            <v>07/08/2018</v>
          </cell>
          <cell r="C1933" t="str">
            <v>C1518</v>
          </cell>
          <cell r="D1933" t="str">
            <v>Upgrade fire alarm to plantrooms</v>
          </cell>
          <cell r="E1933" t="str">
            <v>Key Integrated Services (Electrical) Ltd</v>
          </cell>
          <cell r="F1933" t="str">
            <v>Subcontractor</v>
          </cell>
          <cell r="G1933" t="str">
            <v/>
          </cell>
          <cell r="H1933" t="str">
            <v/>
          </cell>
          <cell r="I1933" t="str">
            <v/>
          </cell>
          <cell r="J1933">
            <v>2300</v>
          </cell>
          <cell r="K1933">
            <v>460</v>
          </cell>
          <cell r="L1933">
            <v>2300</v>
          </cell>
          <cell r="M1933" t="str">
            <v/>
          </cell>
          <cell r="N1933">
            <v>0</v>
          </cell>
        </row>
        <row r="1934">
          <cell r="A1934">
            <v>14169</v>
          </cell>
          <cell r="B1934" t="str">
            <v>07/08/2018</v>
          </cell>
          <cell r="C1934" t="str">
            <v>C1518</v>
          </cell>
          <cell r="D1934" t="str">
            <v>Elec fit out of boiler room</v>
          </cell>
          <cell r="E1934" t="str">
            <v>Key Integrated Services (Electrical) Ltd</v>
          </cell>
          <cell r="F1934" t="str">
            <v>Subcontractor</v>
          </cell>
          <cell r="G1934" t="str">
            <v/>
          </cell>
          <cell r="H1934" t="str">
            <v/>
          </cell>
          <cell r="I1934" t="str">
            <v/>
          </cell>
          <cell r="J1934">
            <v>7912</v>
          </cell>
          <cell r="K1934">
            <v>1582.4</v>
          </cell>
          <cell r="L1934">
            <v>7912</v>
          </cell>
          <cell r="M1934" t="str">
            <v/>
          </cell>
          <cell r="N1934">
            <v>0</v>
          </cell>
        </row>
        <row r="1935">
          <cell r="A1935">
            <v>14162</v>
          </cell>
          <cell r="B1935" t="str">
            <v>06/08/2018</v>
          </cell>
          <cell r="C1935" t="str">
            <v>CALLOUT</v>
          </cell>
          <cell r="D1935" t="str">
            <v>install fuse spurs as per quote</v>
          </cell>
          <cell r="E1935" t="str">
            <v>Key Integrated Services North West Ltd</v>
          </cell>
          <cell r="F1935" t="str">
            <v>Subcontractor</v>
          </cell>
          <cell r="G1935" t="str">
            <v/>
          </cell>
          <cell r="H1935" t="str">
            <v/>
          </cell>
          <cell r="I1935" t="str">
            <v/>
          </cell>
          <cell r="J1935">
            <v>868.6</v>
          </cell>
          <cell r="K1935">
            <v>173.72</v>
          </cell>
          <cell r="L1935">
            <v>868.6</v>
          </cell>
          <cell r="M1935" t="str">
            <v/>
          </cell>
          <cell r="N1935">
            <v>0</v>
          </cell>
        </row>
        <row r="1936">
          <cell r="A1936">
            <v>14161</v>
          </cell>
          <cell r="B1936" t="str">
            <v>06/08/2018</v>
          </cell>
          <cell r="C1936" t="str">
            <v>SERVICE</v>
          </cell>
          <cell r="D1936" t="str">
            <v>carry out boiler serive and provide gas cert as per quote</v>
          </cell>
          <cell r="E1936" t="str">
            <v>Pole to Pole Climate Control Ltd</v>
          </cell>
          <cell r="F1936" t="str">
            <v>Subcontractor</v>
          </cell>
          <cell r="G1936" t="str">
            <v/>
          </cell>
          <cell r="H1936" t="str">
            <v/>
          </cell>
          <cell r="I1936" t="str">
            <v/>
          </cell>
          <cell r="J1936">
            <v>228</v>
          </cell>
          <cell r="K1936">
            <v>45.6</v>
          </cell>
          <cell r="L1936">
            <v>228</v>
          </cell>
          <cell r="M1936" t="str">
            <v/>
          </cell>
          <cell r="N1936">
            <v>0</v>
          </cell>
        </row>
        <row r="1937">
          <cell r="A1937">
            <v>14154</v>
          </cell>
          <cell r="B1937" t="str">
            <v>02/08/2018</v>
          </cell>
          <cell r="C1937" t="str">
            <v>C1446</v>
          </cell>
          <cell r="D1937" t="str">
            <v>Key elec panel mods</v>
          </cell>
          <cell r="E1937" t="str">
            <v>Key Integrated Services (Electrical) Ltd</v>
          </cell>
          <cell r="F1937" t="str">
            <v>Subcontractor</v>
          </cell>
          <cell r="G1937" t="str">
            <v/>
          </cell>
          <cell r="H1937" t="str">
            <v/>
          </cell>
          <cell r="I1937" t="str">
            <v/>
          </cell>
          <cell r="J1937">
            <v>4233</v>
          </cell>
          <cell r="K1937">
            <v>846.6</v>
          </cell>
          <cell r="L1937">
            <v>4233</v>
          </cell>
          <cell r="M1937" t="str">
            <v/>
          </cell>
          <cell r="N1937">
            <v>0</v>
          </cell>
        </row>
        <row r="1938">
          <cell r="A1938">
            <v>14138</v>
          </cell>
          <cell r="B1938" t="str">
            <v>02/08/2018</v>
          </cell>
          <cell r="C1938" t="str">
            <v>SERVICE</v>
          </cell>
          <cell r="D1938" t="str">
            <v>Faulty HS005 Zip Hydroboil</v>
          </cell>
          <cell r="E1938" t="str">
            <v>Zip Heaters (UK) Ltd</v>
          </cell>
          <cell r="F1938" t="str">
            <v>Subcontractor</v>
          </cell>
          <cell r="G1938" t="str">
            <v/>
          </cell>
          <cell r="H1938" t="str">
            <v/>
          </cell>
          <cell r="I1938" t="str">
            <v/>
          </cell>
          <cell r="J1938">
            <v>150</v>
          </cell>
          <cell r="K1938">
            <v>30</v>
          </cell>
          <cell r="L1938">
            <v>0</v>
          </cell>
          <cell r="M1938" t="str">
            <v/>
          </cell>
          <cell r="N1938">
            <v>150</v>
          </cell>
        </row>
        <row r="1939">
          <cell r="A1939">
            <v>14135</v>
          </cell>
          <cell r="B1939" t="str">
            <v>01/08/2018</v>
          </cell>
          <cell r="C1939" t="str">
            <v>C1383</v>
          </cell>
          <cell r="D1939" t="str">
            <v>callout - ground floor united all in fault</v>
          </cell>
          <cell r="E1939" t="str">
            <v>Pitkin &amp; Ruddock Ltd</v>
          </cell>
          <cell r="F1939" t="str">
            <v>Subcontractor</v>
          </cell>
          <cell r="G1939" t="str">
            <v/>
          </cell>
          <cell r="H1939" t="str">
            <v/>
          </cell>
          <cell r="I1939" t="str">
            <v/>
          </cell>
          <cell r="J1939">
            <v>231</v>
          </cell>
          <cell r="K1939">
            <v>46.2</v>
          </cell>
          <cell r="L1939">
            <v>231</v>
          </cell>
          <cell r="M1939" t="str">
            <v/>
          </cell>
          <cell r="N1939">
            <v>0</v>
          </cell>
        </row>
        <row r="1940">
          <cell r="A1940">
            <v>14134</v>
          </cell>
          <cell r="B1940" t="str">
            <v>01/08/2018</v>
          </cell>
          <cell r="C1940" t="str">
            <v>C1383</v>
          </cell>
          <cell r="D1940" t="str">
            <v>Attend Site to investigate various AC Issues</v>
          </cell>
          <cell r="E1940" t="str">
            <v>Pitkin &amp; Ruddock Ltd</v>
          </cell>
          <cell r="F1940" t="str">
            <v>Subcontractor</v>
          </cell>
          <cell r="G1940" t="str">
            <v/>
          </cell>
          <cell r="H1940" t="str">
            <v/>
          </cell>
          <cell r="I1940" t="str">
            <v/>
          </cell>
          <cell r="J1940">
            <v>528</v>
          </cell>
          <cell r="K1940">
            <v>105.6</v>
          </cell>
          <cell r="L1940">
            <v>528</v>
          </cell>
          <cell r="M1940" t="str">
            <v/>
          </cell>
          <cell r="N1940">
            <v>0</v>
          </cell>
        </row>
        <row r="1941">
          <cell r="A1941">
            <v>14133</v>
          </cell>
          <cell r="B1941" t="str">
            <v>01/08/2018</v>
          </cell>
          <cell r="C1941" t="str">
            <v>C1383</v>
          </cell>
          <cell r="D1941" t="str">
            <v>another breakdown visit to leaks as per email</v>
          </cell>
          <cell r="E1941" t="str">
            <v>Pitkin &amp; Ruddock Ltd</v>
          </cell>
          <cell r="F1941" t="str">
            <v>Subcontractor</v>
          </cell>
          <cell r="G1941" t="str">
            <v/>
          </cell>
          <cell r="H1941" t="str">
            <v/>
          </cell>
          <cell r="I1941" t="str">
            <v/>
          </cell>
          <cell r="J1941">
            <v>198</v>
          </cell>
          <cell r="K1941">
            <v>39.6</v>
          </cell>
          <cell r="L1941">
            <v>198</v>
          </cell>
          <cell r="M1941" t="str">
            <v/>
          </cell>
          <cell r="N1941">
            <v>0</v>
          </cell>
        </row>
        <row r="1942">
          <cell r="A1942">
            <v>14132</v>
          </cell>
          <cell r="B1942" t="str">
            <v>01/08/2018</v>
          </cell>
          <cell r="C1942" t="str">
            <v>C1383</v>
          </cell>
          <cell r="D1942" t="str">
            <v>Attend to ac issue as per email 5.7.18</v>
          </cell>
          <cell r="E1942" t="str">
            <v>Pitkin &amp; Ruddock Ltd</v>
          </cell>
          <cell r="F1942" t="str">
            <v>Subcontractor</v>
          </cell>
          <cell r="G1942" t="str">
            <v/>
          </cell>
          <cell r="H1942" t="str">
            <v/>
          </cell>
          <cell r="I1942" t="str">
            <v/>
          </cell>
          <cell r="J1942">
            <v>264</v>
          </cell>
          <cell r="K1942">
            <v>52.8</v>
          </cell>
          <cell r="L1942">
            <v>264</v>
          </cell>
          <cell r="M1942" t="str">
            <v/>
          </cell>
          <cell r="N1942">
            <v>0</v>
          </cell>
        </row>
        <row r="1943">
          <cell r="A1943">
            <v>14129</v>
          </cell>
          <cell r="B1943" t="str">
            <v>01/08/2018</v>
          </cell>
          <cell r="C1943" t="str">
            <v>CALLOUT</v>
          </cell>
          <cell r="D1943" t="str">
            <v>faulty tap in kitchen</v>
          </cell>
          <cell r="E1943" t="str">
            <v>Viabl Ltd T/A Able</v>
          </cell>
          <cell r="F1943" t="str">
            <v>Subcontractor</v>
          </cell>
          <cell r="G1943" t="str">
            <v/>
          </cell>
          <cell r="H1943" t="str">
            <v/>
          </cell>
          <cell r="I1943" t="str">
            <v/>
          </cell>
          <cell r="J1943">
            <v>149.19999999999999</v>
          </cell>
          <cell r="K1943">
            <v>29.84</v>
          </cell>
          <cell r="L1943">
            <v>149.19999999999999</v>
          </cell>
          <cell r="M1943" t="str">
            <v/>
          </cell>
          <cell r="N1943">
            <v>0</v>
          </cell>
        </row>
        <row r="1944">
          <cell r="A1944">
            <v>14127</v>
          </cell>
          <cell r="B1944" t="str">
            <v>01/08/2018</v>
          </cell>
          <cell r="C1944" t="str">
            <v>CALLOUT</v>
          </cell>
          <cell r="D1944" t="str">
            <v>Supply/Install Ducts to 8no AC Units in Bike Sheds inc Egg C</v>
          </cell>
          <cell r="E1944" t="str">
            <v>Manchester Refrigeration Techniques Ltd</v>
          </cell>
          <cell r="F1944" t="str">
            <v>Subcontractor</v>
          </cell>
          <cell r="G1944" t="str">
            <v/>
          </cell>
          <cell r="H1944" t="str">
            <v/>
          </cell>
          <cell r="I1944" t="str">
            <v/>
          </cell>
          <cell r="J1944">
            <v>1148.5</v>
          </cell>
          <cell r="K1944">
            <v>229.7</v>
          </cell>
          <cell r="L1944">
            <v>1148.5</v>
          </cell>
          <cell r="M1944" t="str">
            <v/>
          </cell>
          <cell r="N1944">
            <v>0</v>
          </cell>
        </row>
        <row r="1945">
          <cell r="A1945">
            <v>14125</v>
          </cell>
          <cell r="B1945" t="str">
            <v>01/08/2018</v>
          </cell>
          <cell r="C1945" t="str">
            <v>CALLOUT</v>
          </cell>
          <cell r="D1945" t="str">
            <v>repalce tubes etc as per quote</v>
          </cell>
          <cell r="E1945" t="str">
            <v>Viabl Ltd T/A Able</v>
          </cell>
          <cell r="F1945" t="str">
            <v>Subcontractor</v>
          </cell>
          <cell r="G1945" t="str">
            <v/>
          </cell>
          <cell r="H1945" t="str">
            <v/>
          </cell>
          <cell r="I1945" t="str">
            <v/>
          </cell>
          <cell r="J1945">
            <v>690.38</v>
          </cell>
          <cell r="K1945">
            <v>138.08000000000001</v>
          </cell>
          <cell r="L1945">
            <v>690.38</v>
          </cell>
          <cell r="M1945" t="str">
            <v/>
          </cell>
          <cell r="N1945">
            <v>0</v>
          </cell>
        </row>
        <row r="1946">
          <cell r="A1946">
            <v>14118</v>
          </cell>
          <cell r="B1946" t="str">
            <v>31/07/2018</v>
          </cell>
          <cell r="C1946" t="str">
            <v>C1543</v>
          </cell>
          <cell r="D1946" t="str">
            <v>Testing and Purging of Gas Pipework</v>
          </cell>
          <cell r="E1946" t="str">
            <v>RMD Contracts Limited</v>
          </cell>
          <cell r="F1946" t="str">
            <v>Subcontractor</v>
          </cell>
          <cell r="G1946" t="str">
            <v/>
          </cell>
          <cell r="H1946" t="str">
            <v/>
          </cell>
          <cell r="I1946" t="str">
            <v/>
          </cell>
          <cell r="J1946">
            <v>484</v>
          </cell>
          <cell r="K1946">
            <v>96.8</v>
          </cell>
          <cell r="L1946">
            <v>0</v>
          </cell>
          <cell r="M1946" t="str">
            <v/>
          </cell>
          <cell r="N1946">
            <v>484</v>
          </cell>
        </row>
        <row r="1947">
          <cell r="A1947">
            <v>14099</v>
          </cell>
          <cell r="B1947" t="str">
            <v>27/07/2018</v>
          </cell>
          <cell r="C1947" t="str">
            <v>C1549</v>
          </cell>
          <cell r="D1947" t="str">
            <v>Supply &amp; Installation of ductwork services as per email on 2</v>
          </cell>
          <cell r="E1947" t="str">
            <v>Auto-Vent Limited</v>
          </cell>
          <cell r="F1947" t="str">
            <v>Subcontractor</v>
          </cell>
          <cell r="G1947" t="str">
            <v>30/07/2018</v>
          </cell>
          <cell r="H1947" t="str">
            <v/>
          </cell>
          <cell r="I1947" t="str">
            <v/>
          </cell>
          <cell r="J1947">
            <v>37835</v>
          </cell>
          <cell r="K1947">
            <v>7567</v>
          </cell>
          <cell r="L1947">
            <v>37835</v>
          </cell>
          <cell r="M1947" t="str">
            <v/>
          </cell>
          <cell r="N1947">
            <v>0</v>
          </cell>
        </row>
        <row r="1948">
          <cell r="A1948">
            <v>14097</v>
          </cell>
          <cell r="B1948" t="str">
            <v>27/07/2018</v>
          </cell>
          <cell r="C1948" t="str">
            <v>C1490</v>
          </cell>
          <cell r="D1948" t="str">
            <v>Order for the supply and install of the insulation</v>
          </cell>
          <cell r="E1948" t="str">
            <v>Southern Insulation Solutions Ltd</v>
          </cell>
          <cell r="F1948" t="str">
            <v>Subcontractor</v>
          </cell>
          <cell r="G1948" t="str">
            <v>01/08/2018</v>
          </cell>
          <cell r="H1948" t="str">
            <v>Part</v>
          </cell>
          <cell r="I1948" t="str">
            <v/>
          </cell>
          <cell r="J1948">
            <v>62849.75</v>
          </cell>
          <cell r="K1948">
            <v>12569.96</v>
          </cell>
          <cell r="L1948">
            <v>62849.75</v>
          </cell>
          <cell r="M1948" t="str">
            <v/>
          </cell>
          <cell r="N1948">
            <v>0</v>
          </cell>
        </row>
        <row r="1949">
          <cell r="A1949">
            <v>14096</v>
          </cell>
          <cell r="B1949" t="str">
            <v>27/07/2018</v>
          </cell>
          <cell r="C1949" t="str">
            <v>CALLOUT</v>
          </cell>
          <cell r="D1949" t="str">
            <v>Relace the faulty SDU display with IQVIEW 4 as per quote</v>
          </cell>
          <cell r="E1949" t="str">
            <v>Automated Building &amp; Energy Controls Ltd</v>
          </cell>
          <cell r="F1949" t="str">
            <v>Subcontractor</v>
          </cell>
          <cell r="G1949" t="str">
            <v/>
          </cell>
          <cell r="H1949" t="str">
            <v/>
          </cell>
          <cell r="I1949" t="str">
            <v/>
          </cell>
          <cell r="J1949">
            <v>929.17</v>
          </cell>
          <cell r="K1949">
            <v>185.83</v>
          </cell>
          <cell r="L1949">
            <v>929.17</v>
          </cell>
          <cell r="M1949" t="str">
            <v/>
          </cell>
          <cell r="N1949">
            <v>0</v>
          </cell>
        </row>
        <row r="1950">
          <cell r="A1950">
            <v>14092</v>
          </cell>
          <cell r="B1950" t="str">
            <v>26/07/2018</v>
          </cell>
          <cell r="C1950" t="str">
            <v>C1549</v>
          </cell>
          <cell r="D1950" t="str">
            <v>Ductwork cleaning as per quote ref: 29915 on 26/7/18.</v>
          </cell>
          <cell r="E1950" t="str">
            <v>Duct Busters</v>
          </cell>
          <cell r="F1950" t="str">
            <v>Subcontractor</v>
          </cell>
          <cell r="G1950" t="str">
            <v>06/08/2018</v>
          </cell>
          <cell r="H1950" t="str">
            <v/>
          </cell>
          <cell r="I1950" t="str">
            <v/>
          </cell>
          <cell r="J1950">
            <v>5799</v>
          </cell>
          <cell r="K1950">
            <v>1159.8</v>
          </cell>
          <cell r="L1950">
            <v>5799</v>
          </cell>
          <cell r="M1950" t="str">
            <v/>
          </cell>
          <cell r="N1950">
            <v>0</v>
          </cell>
        </row>
        <row r="1951">
          <cell r="A1951">
            <v>14088</v>
          </cell>
          <cell r="B1951" t="str">
            <v>26/07/2018</v>
          </cell>
          <cell r="C1951" t="str">
            <v>C1547</v>
          </cell>
          <cell r="D1951" t="str">
            <v>RB Crane Lift</v>
          </cell>
          <cell r="E1951" t="str">
            <v>Armquest Industrial Services Ltd</v>
          </cell>
          <cell r="F1951" t="str">
            <v>Subcontractor</v>
          </cell>
          <cell r="G1951" t="str">
            <v/>
          </cell>
          <cell r="H1951" t="str">
            <v/>
          </cell>
          <cell r="I1951" t="str">
            <v/>
          </cell>
          <cell r="J1951">
            <v>1750</v>
          </cell>
          <cell r="K1951">
            <v>350</v>
          </cell>
          <cell r="L1951">
            <v>1750</v>
          </cell>
          <cell r="M1951" t="str">
            <v/>
          </cell>
          <cell r="N1951">
            <v>0</v>
          </cell>
        </row>
        <row r="1952">
          <cell r="A1952">
            <v>14076</v>
          </cell>
          <cell r="B1952" t="str">
            <v>25/07/2018</v>
          </cell>
          <cell r="C1952" t="str">
            <v>C1549</v>
          </cell>
          <cell r="D1952" t="str">
            <v>Supply, Installation &amp; commissioning of HVAC controls</v>
          </cell>
          <cell r="E1952" t="str">
            <v>BG Energy Solutions Limited</v>
          </cell>
          <cell r="F1952" t="str">
            <v>Subcontractor</v>
          </cell>
          <cell r="G1952" t="str">
            <v>30/07/2018</v>
          </cell>
          <cell r="H1952" t="str">
            <v>Part</v>
          </cell>
          <cell r="I1952" t="str">
            <v>Posted</v>
          </cell>
          <cell r="J1952">
            <v>44439</v>
          </cell>
          <cell r="K1952">
            <v>8887.7999999999993</v>
          </cell>
          <cell r="L1952">
            <v>45179</v>
          </cell>
          <cell r="M1952" t="str">
            <v/>
          </cell>
          <cell r="N1952">
            <v>-740</v>
          </cell>
        </row>
        <row r="1953">
          <cell r="A1953">
            <v>14072</v>
          </cell>
          <cell r="B1953" t="str">
            <v>25/07/2018</v>
          </cell>
          <cell r="C1953" t="str">
            <v>CALLOUT</v>
          </cell>
          <cell r="D1953" t="str">
            <v>workshop lights faulty poss switch</v>
          </cell>
          <cell r="E1953" t="str">
            <v>Key Integrated Services North West Ltd</v>
          </cell>
          <cell r="F1953" t="str">
            <v>Subcontractor</v>
          </cell>
          <cell r="G1953" t="str">
            <v/>
          </cell>
          <cell r="H1953" t="str">
            <v/>
          </cell>
          <cell r="I1953" t="str">
            <v/>
          </cell>
          <cell r="J1953">
            <v>66.45</v>
          </cell>
          <cell r="K1953">
            <v>13.29</v>
          </cell>
          <cell r="L1953">
            <v>66.45</v>
          </cell>
          <cell r="M1953" t="str">
            <v/>
          </cell>
          <cell r="N1953">
            <v>0</v>
          </cell>
        </row>
        <row r="1954">
          <cell r="A1954">
            <v>14071</v>
          </cell>
          <cell r="B1954" t="str">
            <v>25/07/2018</v>
          </cell>
          <cell r="C1954" t="str">
            <v>CALLOUT</v>
          </cell>
          <cell r="D1954" t="str">
            <v>wire up pump</v>
          </cell>
          <cell r="E1954" t="str">
            <v>Key Integrated Services North West Ltd</v>
          </cell>
          <cell r="F1954" t="str">
            <v>Subcontractor</v>
          </cell>
          <cell r="G1954" t="str">
            <v/>
          </cell>
          <cell r="H1954" t="str">
            <v/>
          </cell>
          <cell r="I1954" t="str">
            <v/>
          </cell>
          <cell r="J1954">
            <v>158.68</v>
          </cell>
          <cell r="K1954">
            <v>31.74</v>
          </cell>
          <cell r="L1954">
            <v>0</v>
          </cell>
          <cell r="M1954" t="str">
            <v/>
          </cell>
          <cell r="N1954">
            <v>158.68</v>
          </cell>
        </row>
        <row r="1955">
          <cell r="A1955">
            <v>14070</v>
          </cell>
          <cell r="B1955" t="str">
            <v>25/07/2018</v>
          </cell>
          <cell r="C1955" t="str">
            <v>C1523</v>
          </cell>
          <cell r="D1955" t="str">
            <v>Labour &amp; Materials to Undertake Plumbing Works</v>
          </cell>
          <cell r="E1955" t="str">
            <v>North West Renewables Ltd</v>
          </cell>
          <cell r="F1955" t="str">
            <v>Subcontractor</v>
          </cell>
          <cell r="G1955" t="str">
            <v>15/07/2018</v>
          </cell>
          <cell r="H1955" t="str">
            <v/>
          </cell>
          <cell r="I1955" t="str">
            <v/>
          </cell>
          <cell r="J1955">
            <v>70000</v>
          </cell>
          <cell r="K1955">
            <v>14000</v>
          </cell>
          <cell r="L1955">
            <v>90000</v>
          </cell>
          <cell r="M1955" t="str">
            <v/>
          </cell>
          <cell r="N1955">
            <v>-20000</v>
          </cell>
        </row>
        <row r="1956">
          <cell r="A1956">
            <v>14061</v>
          </cell>
          <cell r="B1956" t="str">
            <v>24/07/2018</v>
          </cell>
          <cell r="C1956" t="str">
            <v>CALLOUT</v>
          </cell>
          <cell r="D1956" t="str">
            <v>Replace callpoint and break glass</v>
          </cell>
          <cell r="E1956" t="str">
            <v>Abel Alarm Company Limited</v>
          </cell>
          <cell r="F1956" t="str">
            <v>Subcontractor</v>
          </cell>
          <cell r="G1956" t="str">
            <v/>
          </cell>
          <cell r="H1956" t="str">
            <v/>
          </cell>
          <cell r="I1956" t="str">
            <v/>
          </cell>
          <cell r="J1956">
            <v>175</v>
          </cell>
          <cell r="K1956">
            <v>35</v>
          </cell>
          <cell r="L1956">
            <v>175</v>
          </cell>
          <cell r="M1956" t="str">
            <v/>
          </cell>
          <cell r="N1956">
            <v>0</v>
          </cell>
        </row>
        <row r="1957">
          <cell r="A1957">
            <v>14052</v>
          </cell>
          <cell r="B1957" t="str">
            <v>23/07/2018</v>
          </cell>
          <cell r="C1957" t="str">
            <v>CALLOUT</v>
          </cell>
          <cell r="D1957" t="str">
            <v>replace wc seat</v>
          </cell>
          <cell r="E1957" t="str">
            <v>Viabl Ltd T/A Able</v>
          </cell>
          <cell r="F1957" t="str">
            <v>Subcontractor</v>
          </cell>
          <cell r="G1957" t="str">
            <v/>
          </cell>
          <cell r="H1957" t="str">
            <v/>
          </cell>
          <cell r="I1957" t="str">
            <v/>
          </cell>
          <cell r="J1957">
            <v>102.98</v>
          </cell>
          <cell r="K1957">
            <v>20.6</v>
          </cell>
          <cell r="L1957">
            <v>102.98</v>
          </cell>
          <cell r="M1957" t="str">
            <v/>
          </cell>
          <cell r="N1957">
            <v>0</v>
          </cell>
        </row>
        <row r="1958">
          <cell r="A1958">
            <v>14048</v>
          </cell>
          <cell r="B1958" t="str">
            <v>21/07/2018</v>
          </cell>
          <cell r="C1958" t="str">
            <v>C1549</v>
          </cell>
          <cell r="D1958" t="str">
            <v>1. Electrical design drawings</v>
          </cell>
          <cell r="E1958" t="str">
            <v>Key Integrated Services North West Ltd</v>
          </cell>
          <cell r="F1958" t="str">
            <v>Subcontractor</v>
          </cell>
          <cell r="G1958" t="str">
            <v>02/07/2018</v>
          </cell>
          <cell r="H1958" t="str">
            <v>Part</v>
          </cell>
          <cell r="I1958" t="str">
            <v/>
          </cell>
          <cell r="J1958">
            <v>111925.32</v>
          </cell>
          <cell r="K1958">
            <v>22385.06</v>
          </cell>
          <cell r="L1958">
            <v>111461.2</v>
          </cell>
          <cell r="M1958" t="str">
            <v/>
          </cell>
          <cell r="N1958">
            <v>464.12</v>
          </cell>
        </row>
        <row r="1959">
          <cell r="A1959">
            <v>14047</v>
          </cell>
          <cell r="B1959" t="str">
            <v>20/07/2018</v>
          </cell>
          <cell r="C1959" t="str">
            <v>C1446</v>
          </cell>
          <cell r="D1959" t="str">
            <v>Remedial works to live bird vents</v>
          </cell>
          <cell r="E1959" t="str">
            <v>Key Integrated Services (Electrical) Ltd</v>
          </cell>
          <cell r="F1959" t="str">
            <v>Subcontractor</v>
          </cell>
          <cell r="G1959" t="str">
            <v/>
          </cell>
          <cell r="H1959" t="str">
            <v/>
          </cell>
          <cell r="I1959" t="str">
            <v/>
          </cell>
          <cell r="J1959">
            <v>4683</v>
          </cell>
          <cell r="K1959">
            <v>936.6</v>
          </cell>
          <cell r="L1959">
            <v>0</v>
          </cell>
          <cell r="M1959" t="str">
            <v/>
          </cell>
          <cell r="N1959">
            <v>4683</v>
          </cell>
        </row>
        <row r="1960">
          <cell r="A1960">
            <v>14043</v>
          </cell>
          <cell r="B1960" t="str">
            <v>20/07/2018</v>
          </cell>
          <cell r="C1960" t="str">
            <v>C1549</v>
          </cell>
          <cell r="D1960" t="str">
            <v>Mechanical services Installation as per email on 17/7/18.</v>
          </cell>
          <cell r="E1960" t="str">
            <v>PH17 LTD</v>
          </cell>
          <cell r="F1960" t="str">
            <v>Subcontractor</v>
          </cell>
          <cell r="G1960" t="str">
            <v>30/07/2018</v>
          </cell>
          <cell r="H1960" t="str">
            <v/>
          </cell>
          <cell r="I1960" t="str">
            <v/>
          </cell>
          <cell r="J1960">
            <v>34437</v>
          </cell>
          <cell r="K1960">
            <v>6887.4</v>
          </cell>
          <cell r="L1960">
            <v>34437</v>
          </cell>
          <cell r="M1960" t="str">
            <v/>
          </cell>
          <cell r="N1960">
            <v>0</v>
          </cell>
        </row>
        <row r="1961">
          <cell r="A1961">
            <v>14042</v>
          </cell>
          <cell r="B1961" t="str">
            <v>20/07/2018</v>
          </cell>
          <cell r="C1961" t="str">
            <v>C1558</v>
          </cell>
          <cell r="D1961" t="str">
            <v/>
          </cell>
          <cell r="E1961" t="str">
            <v>Eco-I Limited</v>
          </cell>
          <cell r="F1961" t="str">
            <v>Subcontractor</v>
          </cell>
          <cell r="G1961" t="str">
            <v>31/08/2018</v>
          </cell>
          <cell r="H1961" t="str">
            <v>Part</v>
          </cell>
          <cell r="I1961" t="str">
            <v/>
          </cell>
          <cell r="J1961">
            <v>33800</v>
          </cell>
          <cell r="K1961">
            <v>6760</v>
          </cell>
          <cell r="L1961">
            <v>33800</v>
          </cell>
          <cell r="M1961" t="str">
            <v/>
          </cell>
          <cell r="N1961">
            <v>0</v>
          </cell>
        </row>
        <row r="1962">
          <cell r="A1962">
            <v>14035</v>
          </cell>
          <cell r="B1962" t="str">
            <v>19/07/2018</v>
          </cell>
          <cell r="C1962" t="str">
            <v>CALLOUT</v>
          </cell>
          <cell r="D1962" t="str">
            <v>broken wc</v>
          </cell>
          <cell r="E1962" t="str">
            <v>Viabl Ltd T/A Able</v>
          </cell>
          <cell r="F1962" t="str">
            <v>Subcontractor</v>
          </cell>
          <cell r="G1962" t="str">
            <v/>
          </cell>
          <cell r="H1962" t="str">
            <v/>
          </cell>
          <cell r="I1962" t="str">
            <v/>
          </cell>
          <cell r="J1962">
            <v>149.5</v>
          </cell>
          <cell r="K1962">
            <v>29.9</v>
          </cell>
          <cell r="L1962">
            <v>149.5</v>
          </cell>
          <cell r="M1962" t="str">
            <v/>
          </cell>
          <cell r="N1962">
            <v>0</v>
          </cell>
        </row>
        <row r="1963">
          <cell r="A1963">
            <v>14034</v>
          </cell>
          <cell r="B1963" t="str">
            <v>19/07/2018</v>
          </cell>
          <cell r="C1963" t="str">
            <v>CALLOUT</v>
          </cell>
          <cell r="D1963" t="str">
            <v>relamp as required 7th floor</v>
          </cell>
          <cell r="E1963" t="str">
            <v>Viabl Ltd T/A Able</v>
          </cell>
          <cell r="F1963" t="str">
            <v>Subcontractor</v>
          </cell>
          <cell r="G1963" t="str">
            <v/>
          </cell>
          <cell r="H1963" t="str">
            <v/>
          </cell>
          <cell r="I1963" t="str">
            <v/>
          </cell>
          <cell r="J1963">
            <v>150</v>
          </cell>
          <cell r="K1963">
            <v>30</v>
          </cell>
          <cell r="L1963">
            <v>150</v>
          </cell>
          <cell r="M1963" t="str">
            <v/>
          </cell>
          <cell r="N1963">
            <v>0</v>
          </cell>
        </row>
        <row r="1964">
          <cell r="A1964">
            <v>14031</v>
          </cell>
          <cell r="B1964" t="str">
            <v>19/07/2018</v>
          </cell>
          <cell r="C1964" t="str">
            <v>CALLOUT</v>
          </cell>
          <cell r="D1964" t="str">
            <v>renew tap as per quote</v>
          </cell>
          <cell r="E1964" t="str">
            <v>Viabl Ltd T/A Able</v>
          </cell>
          <cell r="F1964" t="str">
            <v>Subcontractor</v>
          </cell>
          <cell r="G1964" t="str">
            <v/>
          </cell>
          <cell r="H1964" t="str">
            <v/>
          </cell>
          <cell r="I1964" t="str">
            <v/>
          </cell>
          <cell r="J1964">
            <v>258.36</v>
          </cell>
          <cell r="K1964">
            <v>51.67</v>
          </cell>
          <cell r="L1964">
            <v>258.36</v>
          </cell>
          <cell r="M1964" t="str">
            <v/>
          </cell>
          <cell r="N1964">
            <v>0</v>
          </cell>
        </row>
        <row r="1965">
          <cell r="A1965">
            <v>14030</v>
          </cell>
          <cell r="B1965" t="str">
            <v>19/07/2018</v>
          </cell>
          <cell r="C1965" t="str">
            <v>C1490</v>
          </cell>
          <cell r="D1965" t="str">
            <v>Order for the supply install and commissiom of the Data and</v>
          </cell>
          <cell r="E1965" t="str">
            <v>Sudlows Enterprise Services Limited</v>
          </cell>
          <cell r="F1965" t="str">
            <v>Subcontractor</v>
          </cell>
          <cell r="G1965" t="str">
            <v>06/08/2018</v>
          </cell>
          <cell r="H1965" t="str">
            <v>Part</v>
          </cell>
          <cell r="I1965" t="str">
            <v/>
          </cell>
          <cell r="J1965">
            <v>113984.46</v>
          </cell>
          <cell r="K1965">
            <v>22796.89</v>
          </cell>
          <cell r="L1965">
            <v>113984.46</v>
          </cell>
          <cell r="M1965" t="str">
            <v/>
          </cell>
          <cell r="N1965">
            <v>0</v>
          </cell>
        </row>
        <row r="1966">
          <cell r="A1966">
            <v>14029</v>
          </cell>
          <cell r="B1966" t="str">
            <v>19/07/2018</v>
          </cell>
          <cell r="C1966" t="str">
            <v>CALLOUT</v>
          </cell>
          <cell r="D1966" t="str">
            <v>OPTION 1 as per quote disable 2nd floor landing button</v>
          </cell>
          <cell r="E1966" t="str">
            <v>Ansa Elevators Limited</v>
          </cell>
          <cell r="F1966" t="str">
            <v>Subcontractor</v>
          </cell>
          <cell r="G1966" t="str">
            <v/>
          </cell>
          <cell r="H1966" t="str">
            <v/>
          </cell>
          <cell r="I1966" t="str">
            <v/>
          </cell>
          <cell r="J1966">
            <v>168</v>
          </cell>
          <cell r="K1966">
            <v>33.6</v>
          </cell>
          <cell r="L1966">
            <v>168</v>
          </cell>
          <cell r="M1966" t="str">
            <v/>
          </cell>
          <cell r="N1966">
            <v>0</v>
          </cell>
        </row>
        <row r="1967">
          <cell r="A1967">
            <v>14027</v>
          </cell>
          <cell r="B1967" t="str">
            <v>19/07/2018</v>
          </cell>
          <cell r="C1967" t="str">
            <v>C1518</v>
          </cell>
          <cell r="D1967" t="str">
            <v>Install containment for IT insfrastructure</v>
          </cell>
          <cell r="E1967" t="str">
            <v>Key Integrated Services (Electrical) Ltd</v>
          </cell>
          <cell r="F1967" t="str">
            <v>Subcontractor</v>
          </cell>
          <cell r="G1967" t="str">
            <v/>
          </cell>
          <cell r="H1967" t="str">
            <v/>
          </cell>
          <cell r="I1967" t="str">
            <v/>
          </cell>
          <cell r="J1967">
            <v>1736</v>
          </cell>
          <cell r="K1967">
            <v>347.2</v>
          </cell>
          <cell r="L1967">
            <v>1736</v>
          </cell>
          <cell r="M1967" t="str">
            <v/>
          </cell>
          <cell r="N1967">
            <v>0</v>
          </cell>
        </row>
        <row r="1968">
          <cell r="A1968">
            <v>14024</v>
          </cell>
          <cell r="B1968" t="str">
            <v>18/07/2018</v>
          </cell>
          <cell r="C1968" t="str">
            <v>C1560</v>
          </cell>
          <cell r="D1968" t="str">
            <v>Electrical installation as tender 17.7.18</v>
          </cell>
          <cell r="E1968" t="str">
            <v>Key Integrated Services (Electrical) Ltd</v>
          </cell>
          <cell r="F1968" t="str">
            <v>Subcontractor</v>
          </cell>
          <cell r="G1968" t="str">
            <v/>
          </cell>
          <cell r="H1968" t="str">
            <v/>
          </cell>
          <cell r="I1968" t="str">
            <v/>
          </cell>
          <cell r="J1968">
            <v>282475.25</v>
          </cell>
          <cell r="K1968">
            <v>56495.05</v>
          </cell>
          <cell r="L1968">
            <v>282475.25</v>
          </cell>
          <cell r="M1968" t="str">
            <v/>
          </cell>
          <cell r="N1968">
            <v>0</v>
          </cell>
        </row>
        <row r="1969">
          <cell r="A1969">
            <v>14019</v>
          </cell>
          <cell r="B1969" t="str">
            <v>18/07/2018</v>
          </cell>
          <cell r="C1969" t="str">
            <v>CALLOUT</v>
          </cell>
          <cell r="D1969" t="str">
            <v>lights out on 3rd/4th/5th floors</v>
          </cell>
          <cell r="E1969" t="str">
            <v>Viabl Ltd T/A Able</v>
          </cell>
          <cell r="F1969" t="str">
            <v>Subcontractor</v>
          </cell>
          <cell r="G1969" t="str">
            <v/>
          </cell>
          <cell r="H1969" t="str">
            <v/>
          </cell>
          <cell r="I1969" t="str">
            <v/>
          </cell>
          <cell r="J1969">
            <v>100</v>
          </cell>
          <cell r="K1969">
            <v>20</v>
          </cell>
          <cell r="L1969">
            <v>0</v>
          </cell>
          <cell r="M1969" t="str">
            <v/>
          </cell>
          <cell r="N1969">
            <v>100</v>
          </cell>
        </row>
        <row r="1970">
          <cell r="A1970">
            <v>14018</v>
          </cell>
          <cell r="B1970" t="str">
            <v>17/07/2018</v>
          </cell>
          <cell r="C1970" t="str">
            <v>CALLOUT</v>
          </cell>
          <cell r="D1970" t="str">
            <v>passenger lift not working</v>
          </cell>
          <cell r="E1970" t="str">
            <v>Ansa Elevators Limited</v>
          </cell>
          <cell r="F1970" t="str">
            <v>Subcontractor</v>
          </cell>
          <cell r="G1970" t="str">
            <v/>
          </cell>
          <cell r="H1970" t="str">
            <v/>
          </cell>
          <cell r="I1970" t="str">
            <v/>
          </cell>
          <cell r="J1970">
            <v>105</v>
          </cell>
          <cell r="K1970">
            <v>21</v>
          </cell>
          <cell r="L1970">
            <v>0</v>
          </cell>
          <cell r="M1970" t="str">
            <v/>
          </cell>
          <cell r="N1970">
            <v>105</v>
          </cell>
        </row>
        <row r="1971">
          <cell r="A1971">
            <v>14016</v>
          </cell>
          <cell r="B1971" t="str">
            <v>17/07/2018</v>
          </cell>
          <cell r="C1971" t="str">
            <v>CALLOUT</v>
          </cell>
          <cell r="D1971" t="str">
            <v>call point and the break glass will need replacing. as per q</v>
          </cell>
          <cell r="E1971" t="str">
            <v>Abel Alarm Company Limited</v>
          </cell>
          <cell r="F1971" t="str">
            <v>Subcontractor</v>
          </cell>
          <cell r="G1971" t="str">
            <v/>
          </cell>
          <cell r="H1971" t="str">
            <v/>
          </cell>
          <cell r="I1971" t="str">
            <v/>
          </cell>
          <cell r="J1971">
            <v>175</v>
          </cell>
          <cell r="K1971">
            <v>35</v>
          </cell>
          <cell r="L1971">
            <v>0</v>
          </cell>
          <cell r="M1971" t="str">
            <v/>
          </cell>
          <cell r="N1971">
            <v>175</v>
          </cell>
        </row>
        <row r="1972">
          <cell r="A1972">
            <v>14015</v>
          </cell>
          <cell r="B1972" t="str">
            <v>17/07/2018</v>
          </cell>
          <cell r="C1972" t="str">
            <v>C1554</v>
          </cell>
          <cell r="D1972" t="str">
            <v>Ventilation survey</v>
          </cell>
          <cell r="E1972" t="str">
            <v>Combat Commissioning Services Ltd</v>
          </cell>
          <cell r="F1972" t="str">
            <v>Subcontractor</v>
          </cell>
          <cell r="G1972" t="str">
            <v>23/07/2018</v>
          </cell>
          <cell r="H1972" t="str">
            <v/>
          </cell>
          <cell r="I1972" t="str">
            <v/>
          </cell>
          <cell r="J1972">
            <v>800</v>
          </cell>
          <cell r="K1972">
            <v>160</v>
          </cell>
          <cell r="L1972">
            <v>800</v>
          </cell>
          <cell r="M1972" t="str">
            <v/>
          </cell>
          <cell r="N1972">
            <v>0</v>
          </cell>
        </row>
        <row r="1973">
          <cell r="A1973">
            <v>14012</v>
          </cell>
          <cell r="B1973" t="str">
            <v>17/07/2018</v>
          </cell>
          <cell r="C1973" t="str">
            <v>C1497</v>
          </cell>
          <cell r="D1973" t="str">
            <v/>
          </cell>
          <cell r="E1973" t="str">
            <v>Armquest Industrial Services Ltd</v>
          </cell>
          <cell r="F1973" t="str">
            <v>Subcontractor</v>
          </cell>
          <cell r="G1973" t="str">
            <v>23/07/2018</v>
          </cell>
          <cell r="H1973" t="str">
            <v>Complete</v>
          </cell>
          <cell r="I1973" t="str">
            <v/>
          </cell>
          <cell r="J1973">
            <v>0</v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</row>
        <row r="1974">
          <cell r="A1974">
            <v>14007</v>
          </cell>
          <cell r="B1974" t="str">
            <v>16/07/2018</v>
          </cell>
          <cell r="C1974" t="str">
            <v>C1527</v>
          </cell>
          <cell r="D1974" t="str">
            <v>Thermal Insulation to Phase 1-5 of all the Ductwork &amp; Pipewo</v>
          </cell>
          <cell r="E1974" t="str">
            <v>OLD COUGAR ACCOUNT- DO NOT USE</v>
          </cell>
          <cell r="F1974" t="str">
            <v>Subcontractor</v>
          </cell>
          <cell r="G1974" t="str">
            <v>17/07/2018</v>
          </cell>
          <cell r="H1974" t="str">
            <v/>
          </cell>
          <cell r="I1974" t="str">
            <v/>
          </cell>
          <cell r="J1974">
            <v>11350</v>
          </cell>
          <cell r="K1974">
            <v>2270</v>
          </cell>
          <cell r="L1974">
            <v>11350</v>
          </cell>
          <cell r="M1974" t="str">
            <v/>
          </cell>
          <cell r="N1974">
            <v>0</v>
          </cell>
        </row>
        <row r="1975">
          <cell r="A1975">
            <v>13996</v>
          </cell>
          <cell r="B1975" t="str">
            <v>16/07/2018</v>
          </cell>
          <cell r="C1975" t="str">
            <v>C1548</v>
          </cell>
          <cell r="D1975" t="str">
            <v>Compressing Bay 0 BMS Controls</v>
          </cell>
          <cell r="E1975" t="str">
            <v>Schneider Electric Ltd</v>
          </cell>
          <cell r="F1975" t="str">
            <v>Subcontractor</v>
          </cell>
          <cell r="G1975" t="str">
            <v>16/07/2018</v>
          </cell>
          <cell r="H1975" t="str">
            <v/>
          </cell>
          <cell r="I1975" t="str">
            <v/>
          </cell>
          <cell r="J1975">
            <v>23877</v>
          </cell>
          <cell r="K1975">
            <v>4775.3999999999996</v>
          </cell>
          <cell r="L1975">
            <v>23877</v>
          </cell>
          <cell r="M1975" t="str">
            <v/>
          </cell>
          <cell r="N1975">
            <v>0</v>
          </cell>
        </row>
        <row r="1976">
          <cell r="A1976">
            <v>13994</v>
          </cell>
          <cell r="B1976" t="str">
            <v>16/07/2018</v>
          </cell>
          <cell r="C1976" t="str">
            <v>C1533</v>
          </cell>
          <cell r="D1976" t="str">
            <v>Air Balancing at Butchers Pet Care</v>
          </cell>
          <cell r="E1976" t="str">
            <v>New Era Commissioning Specialists Ltd</v>
          </cell>
          <cell r="F1976" t="str">
            <v>Subcontractor</v>
          </cell>
          <cell r="G1976" t="str">
            <v>19/07/2018</v>
          </cell>
          <cell r="H1976" t="str">
            <v/>
          </cell>
          <cell r="I1976" t="str">
            <v/>
          </cell>
          <cell r="J1976">
            <v>1350</v>
          </cell>
          <cell r="K1976">
            <v>270</v>
          </cell>
          <cell r="L1976">
            <v>1350</v>
          </cell>
          <cell r="M1976" t="str">
            <v/>
          </cell>
          <cell r="N1976">
            <v>0</v>
          </cell>
        </row>
        <row r="1977">
          <cell r="A1977">
            <v>13993</v>
          </cell>
          <cell r="B1977" t="str">
            <v>16/07/2018</v>
          </cell>
          <cell r="C1977" t="str">
            <v>C1527</v>
          </cell>
          <cell r="D1977" t="str">
            <v>Air Balancing at Lantmannen Unibake</v>
          </cell>
          <cell r="E1977" t="str">
            <v>New Era Commissioning Specialists Ltd</v>
          </cell>
          <cell r="F1977" t="str">
            <v>Subcontractor</v>
          </cell>
          <cell r="G1977" t="str">
            <v>23/07/2018</v>
          </cell>
          <cell r="H1977" t="str">
            <v/>
          </cell>
          <cell r="I1977" t="str">
            <v/>
          </cell>
          <cell r="J1977">
            <v>1350</v>
          </cell>
          <cell r="K1977">
            <v>270</v>
          </cell>
          <cell r="L1977">
            <v>1350</v>
          </cell>
          <cell r="M1977" t="str">
            <v/>
          </cell>
          <cell r="N1977">
            <v>0</v>
          </cell>
        </row>
        <row r="1978">
          <cell r="A1978">
            <v>13987</v>
          </cell>
          <cell r="B1978" t="str">
            <v>13/07/2018</v>
          </cell>
          <cell r="C1978" t="str">
            <v>C1497</v>
          </cell>
          <cell r="D1978" t="str">
            <v>Invoice</v>
          </cell>
          <cell r="E1978" t="str">
            <v>Harroquip Pump Systems</v>
          </cell>
          <cell r="F1978" t="str">
            <v>Subcontractor</v>
          </cell>
          <cell r="G1978" t="str">
            <v/>
          </cell>
          <cell r="H1978" t="str">
            <v/>
          </cell>
          <cell r="I1978" t="str">
            <v/>
          </cell>
          <cell r="J1978">
            <v>330</v>
          </cell>
          <cell r="K1978">
            <v>66</v>
          </cell>
          <cell r="L1978">
            <v>330</v>
          </cell>
          <cell r="M1978" t="str">
            <v/>
          </cell>
          <cell r="N1978">
            <v>0</v>
          </cell>
        </row>
        <row r="1979">
          <cell r="A1979">
            <v>13986</v>
          </cell>
          <cell r="B1979" t="str">
            <v>13/07/2018</v>
          </cell>
          <cell r="C1979" t="str">
            <v>CALLOUT</v>
          </cell>
          <cell r="D1979" t="str">
            <v>5 sites to be PAT tested</v>
          </cell>
          <cell r="E1979" t="str">
            <v>Lantei Ltd</v>
          </cell>
          <cell r="F1979" t="str">
            <v>Subcontractor</v>
          </cell>
          <cell r="G1979" t="str">
            <v/>
          </cell>
          <cell r="H1979" t="str">
            <v/>
          </cell>
          <cell r="I1979" t="str">
            <v/>
          </cell>
          <cell r="J1979">
            <v>199.68</v>
          </cell>
          <cell r="K1979">
            <v>39.94</v>
          </cell>
          <cell r="L1979">
            <v>199.68</v>
          </cell>
          <cell r="M1979" t="str">
            <v/>
          </cell>
          <cell r="N1979">
            <v>0</v>
          </cell>
        </row>
        <row r="1980">
          <cell r="A1980">
            <v>13980</v>
          </cell>
          <cell r="B1980" t="str">
            <v>12/07/2018</v>
          </cell>
          <cell r="C1980" t="str">
            <v>C1523</v>
          </cell>
          <cell r="D1980" t="str">
            <v>Mechanical Ventialtion as Per Sub Contract Order</v>
          </cell>
          <cell r="E1980" t="str">
            <v>Coolduct Ltd</v>
          </cell>
          <cell r="F1980" t="str">
            <v>Subcontractor</v>
          </cell>
          <cell r="G1980" t="str">
            <v>12/07/2018</v>
          </cell>
          <cell r="H1980" t="str">
            <v/>
          </cell>
          <cell r="I1980" t="str">
            <v/>
          </cell>
          <cell r="J1980">
            <v>155000</v>
          </cell>
          <cell r="K1980">
            <v>31000</v>
          </cell>
          <cell r="L1980">
            <v>197000</v>
          </cell>
          <cell r="M1980" t="str">
            <v/>
          </cell>
          <cell r="N1980">
            <v>-42000</v>
          </cell>
        </row>
        <row r="1981">
          <cell r="A1981">
            <v>13979</v>
          </cell>
          <cell r="B1981" t="str">
            <v>12/07/2018</v>
          </cell>
          <cell r="C1981" t="str">
            <v>C1543</v>
          </cell>
          <cell r="D1981" t="str">
            <v>Commissioning of ventilation and pressure stabilisers as per</v>
          </cell>
          <cell r="E1981" t="str">
            <v>Combat Commissioning Services Ltd</v>
          </cell>
          <cell r="F1981" t="str">
            <v>Subcontractor</v>
          </cell>
          <cell r="G1981" t="str">
            <v>28/07/2018</v>
          </cell>
          <cell r="H1981" t="str">
            <v/>
          </cell>
          <cell r="I1981" t="str">
            <v/>
          </cell>
          <cell r="J1981">
            <v>980</v>
          </cell>
          <cell r="K1981">
            <v>196</v>
          </cell>
          <cell r="L1981">
            <v>980</v>
          </cell>
          <cell r="M1981" t="str">
            <v/>
          </cell>
          <cell r="N1981">
            <v>0</v>
          </cell>
        </row>
        <row r="1982">
          <cell r="A1982">
            <v>13973</v>
          </cell>
          <cell r="B1982" t="str">
            <v>11/07/2018</v>
          </cell>
          <cell r="C1982" t="str">
            <v>CALLOUT</v>
          </cell>
          <cell r="D1982" t="str">
            <v>Investigated Kitchen Lights Out in Basement</v>
          </cell>
          <cell r="E1982" t="str">
            <v>Key Integrated Services North West Ltd</v>
          </cell>
          <cell r="F1982" t="str">
            <v>Subcontractor</v>
          </cell>
          <cell r="G1982" t="str">
            <v/>
          </cell>
          <cell r="H1982" t="str">
            <v/>
          </cell>
          <cell r="I1982" t="str">
            <v/>
          </cell>
          <cell r="J1982">
            <v>87.12</v>
          </cell>
          <cell r="K1982">
            <v>17.420000000000002</v>
          </cell>
          <cell r="L1982">
            <v>0</v>
          </cell>
          <cell r="M1982" t="str">
            <v/>
          </cell>
          <cell r="N1982">
            <v>87.12</v>
          </cell>
        </row>
        <row r="1983">
          <cell r="A1983">
            <v>13971</v>
          </cell>
          <cell r="B1983" t="str">
            <v>11/07/2018</v>
          </cell>
          <cell r="C1983" t="str">
            <v>CALLOUT</v>
          </cell>
          <cell r="D1983" t="str">
            <v>Investigated lighting issues in Disabled Lift</v>
          </cell>
          <cell r="E1983" t="str">
            <v>Key Integrated Services North West Ltd</v>
          </cell>
          <cell r="F1983" t="str">
            <v>Subcontractor</v>
          </cell>
          <cell r="G1983" t="str">
            <v/>
          </cell>
          <cell r="H1983" t="str">
            <v/>
          </cell>
          <cell r="I1983" t="str">
            <v/>
          </cell>
          <cell r="J1983">
            <v>93.4</v>
          </cell>
          <cell r="K1983">
            <v>18.68</v>
          </cell>
          <cell r="L1983">
            <v>0</v>
          </cell>
          <cell r="M1983" t="str">
            <v/>
          </cell>
          <cell r="N1983">
            <v>93.4</v>
          </cell>
        </row>
        <row r="1984">
          <cell r="A1984">
            <v>13965</v>
          </cell>
          <cell r="B1984" t="str">
            <v>11/07/2018</v>
          </cell>
          <cell r="C1984" t="str">
            <v>CALLOUT</v>
          </cell>
          <cell r="D1984" t="str">
            <v>Attended site to carry out Survey</v>
          </cell>
          <cell r="E1984" t="str">
            <v>OLD COUGAR ACCOUNT- DO NOT USE</v>
          </cell>
          <cell r="F1984" t="str">
            <v>Subcontractor</v>
          </cell>
          <cell r="G1984" t="str">
            <v/>
          </cell>
          <cell r="H1984" t="str">
            <v/>
          </cell>
          <cell r="I1984" t="str">
            <v/>
          </cell>
          <cell r="J1984">
            <v>750</v>
          </cell>
          <cell r="K1984">
            <v>150</v>
          </cell>
          <cell r="L1984">
            <v>750</v>
          </cell>
          <cell r="M1984" t="str">
            <v/>
          </cell>
          <cell r="N1984">
            <v>0</v>
          </cell>
        </row>
        <row r="1985">
          <cell r="A1985">
            <v>13964</v>
          </cell>
          <cell r="B1985" t="str">
            <v>11/07/2018</v>
          </cell>
          <cell r="C1985" t="str">
            <v>CALLOUT</v>
          </cell>
          <cell r="D1985" t="str">
            <v>investigate possible gas leak</v>
          </cell>
          <cell r="E1985" t="str">
            <v>Pole to Pole Climate Control Ltd</v>
          </cell>
          <cell r="F1985" t="str">
            <v>Subcontractor</v>
          </cell>
          <cell r="G1985" t="str">
            <v/>
          </cell>
          <cell r="H1985" t="str">
            <v/>
          </cell>
          <cell r="I1985" t="str">
            <v/>
          </cell>
          <cell r="J1985">
            <v>97.5</v>
          </cell>
          <cell r="K1985">
            <v>19.5</v>
          </cell>
          <cell r="L1985">
            <v>97.5</v>
          </cell>
          <cell r="M1985" t="str">
            <v/>
          </cell>
          <cell r="N1985">
            <v>0</v>
          </cell>
        </row>
        <row r="1986">
          <cell r="A1986">
            <v>13963</v>
          </cell>
          <cell r="B1986" t="str">
            <v>10/07/2018</v>
          </cell>
          <cell r="C1986" t="str">
            <v>C1535</v>
          </cell>
          <cell r="D1986" t="str">
            <v>Chlorination works</v>
          </cell>
          <cell r="E1986" t="str">
            <v>MSB Hygiene Ltd</v>
          </cell>
          <cell r="F1986" t="str">
            <v>Subcontractor</v>
          </cell>
          <cell r="G1986" t="str">
            <v/>
          </cell>
          <cell r="H1986" t="str">
            <v/>
          </cell>
          <cell r="I1986" t="str">
            <v/>
          </cell>
          <cell r="J1986">
            <v>450</v>
          </cell>
          <cell r="K1986">
            <v>90</v>
          </cell>
          <cell r="L1986">
            <v>450</v>
          </cell>
          <cell r="M1986" t="str">
            <v/>
          </cell>
          <cell r="N1986">
            <v>0</v>
          </cell>
        </row>
        <row r="1987">
          <cell r="A1987">
            <v>13962</v>
          </cell>
          <cell r="B1987" t="str">
            <v>10/07/2018</v>
          </cell>
          <cell r="C1987" t="str">
            <v>C1497</v>
          </cell>
          <cell r="D1987" t="str">
            <v>Chlorination works</v>
          </cell>
          <cell r="E1987" t="str">
            <v>MSB Hygiene Ltd</v>
          </cell>
          <cell r="F1987" t="str">
            <v>Subcontractor</v>
          </cell>
          <cell r="G1987" t="str">
            <v/>
          </cell>
          <cell r="H1987" t="str">
            <v/>
          </cell>
          <cell r="I1987" t="str">
            <v/>
          </cell>
          <cell r="J1987">
            <v>500</v>
          </cell>
          <cell r="K1987">
            <v>100</v>
          </cell>
          <cell r="L1987">
            <v>500</v>
          </cell>
          <cell r="M1987" t="str">
            <v/>
          </cell>
          <cell r="N1987">
            <v>0</v>
          </cell>
        </row>
        <row r="1988">
          <cell r="A1988">
            <v>13961</v>
          </cell>
          <cell r="B1988" t="str">
            <v>10/07/2018</v>
          </cell>
          <cell r="C1988" t="str">
            <v>CALLOUT</v>
          </cell>
          <cell r="D1988" t="str">
            <v>tap not working (replaced whilst on site)</v>
          </cell>
          <cell r="E1988" t="str">
            <v>Viabl Ltd T/A Able</v>
          </cell>
          <cell r="F1988" t="str">
            <v>Subcontractor</v>
          </cell>
          <cell r="G1988" t="str">
            <v/>
          </cell>
          <cell r="H1988" t="str">
            <v/>
          </cell>
          <cell r="I1988" t="str">
            <v/>
          </cell>
          <cell r="J1988">
            <v>173.95</v>
          </cell>
          <cell r="K1988">
            <v>34.79</v>
          </cell>
          <cell r="L1988">
            <v>173.95</v>
          </cell>
          <cell r="M1988" t="str">
            <v/>
          </cell>
          <cell r="N1988">
            <v>0</v>
          </cell>
        </row>
        <row r="1989">
          <cell r="A1989">
            <v>13952</v>
          </cell>
          <cell r="B1989" t="str">
            <v>10/07/2018</v>
          </cell>
          <cell r="C1989" t="str">
            <v>CALLOUT</v>
          </cell>
          <cell r="D1989" t="str">
            <v>abortive charge and repair leak on hot water unit</v>
          </cell>
          <cell r="E1989" t="str">
            <v>Viabl Ltd T/A Able</v>
          </cell>
          <cell r="F1989" t="str">
            <v>Subcontractor</v>
          </cell>
          <cell r="G1989" t="str">
            <v/>
          </cell>
          <cell r="H1989" t="str">
            <v/>
          </cell>
          <cell r="I1989" t="str">
            <v/>
          </cell>
          <cell r="J1989">
            <v>190</v>
          </cell>
          <cell r="K1989">
            <v>38</v>
          </cell>
          <cell r="L1989">
            <v>190</v>
          </cell>
          <cell r="M1989" t="str">
            <v/>
          </cell>
          <cell r="N1989">
            <v>0</v>
          </cell>
        </row>
        <row r="1990">
          <cell r="A1990">
            <v>13934</v>
          </cell>
          <cell r="B1990" t="str">
            <v>06/07/2018</v>
          </cell>
          <cell r="C1990" t="str">
            <v>C1450</v>
          </cell>
          <cell r="D1990" t="str">
            <v/>
          </cell>
          <cell r="E1990" t="str">
            <v>Specialist Welding Services Ltd</v>
          </cell>
          <cell r="F1990" t="str">
            <v>Subcontractor</v>
          </cell>
          <cell r="G1990" t="str">
            <v>09/07/2018</v>
          </cell>
          <cell r="H1990" t="str">
            <v/>
          </cell>
          <cell r="I1990" t="str">
            <v/>
          </cell>
          <cell r="J1990">
            <v>3860</v>
          </cell>
          <cell r="K1990">
            <v>772</v>
          </cell>
          <cell r="L1990">
            <v>3860</v>
          </cell>
          <cell r="M1990" t="str">
            <v/>
          </cell>
          <cell r="N1990">
            <v>0</v>
          </cell>
        </row>
        <row r="1991">
          <cell r="A1991">
            <v>13932</v>
          </cell>
          <cell r="B1991" t="str">
            <v>06/07/2018</v>
          </cell>
          <cell r="C1991" t="str">
            <v>C1548</v>
          </cell>
          <cell r="D1991" t="str">
            <v>Compressing Bay 0 Refrigeration System.</v>
          </cell>
          <cell r="E1991" t="str">
            <v>Building Environmental Solutions Limited</v>
          </cell>
          <cell r="F1991" t="str">
            <v>Subcontractor</v>
          </cell>
          <cell r="G1991" t="str">
            <v/>
          </cell>
          <cell r="H1991" t="str">
            <v/>
          </cell>
          <cell r="I1991" t="str">
            <v/>
          </cell>
          <cell r="J1991">
            <v>10000.9</v>
          </cell>
          <cell r="K1991">
            <v>2000.18</v>
          </cell>
          <cell r="L1991">
            <v>10000.9</v>
          </cell>
          <cell r="M1991" t="str">
            <v/>
          </cell>
          <cell r="N1991">
            <v>0</v>
          </cell>
        </row>
        <row r="1992">
          <cell r="A1992">
            <v>13929</v>
          </cell>
          <cell r="B1992" t="str">
            <v>06/07/2018</v>
          </cell>
          <cell r="C1992" t="str">
            <v>C1523</v>
          </cell>
          <cell r="D1992" t="str">
            <v>Air Conditioning to 5 Floors, including Labour, Materilas &amp;</v>
          </cell>
          <cell r="E1992" t="str">
            <v>Haydn Case Air Conditioning Ltd</v>
          </cell>
          <cell r="F1992" t="str">
            <v>Subcontractor</v>
          </cell>
          <cell r="G1992" t="str">
            <v>16/07/2018</v>
          </cell>
          <cell r="H1992" t="str">
            <v>Part</v>
          </cell>
          <cell r="I1992" t="str">
            <v/>
          </cell>
          <cell r="J1992">
            <v>169400</v>
          </cell>
          <cell r="K1992">
            <v>33880</v>
          </cell>
          <cell r="L1992">
            <v>198000</v>
          </cell>
          <cell r="M1992" t="str">
            <v/>
          </cell>
          <cell r="N1992">
            <v>-28600</v>
          </cell>
        </row>
        <row r="1993">
          <cell r="A1993">
            <v>13927</v>
          </cell>
          <cell r="B1993" t="str">
            <v>06/07/2018</v>
          </cell>
          <cell r="C1993" t="str">
            <v>C1547</v>
          </cell>
          <cell r="D1993" t="str">
            <v>Refrigeration Equipment for the N11/N12 Project</v>
          </cell>
          <cell r="E1993" t="str">
            <v>Building Environmental Solutions Limited</v>
          </cell>
          <cell r="F1993" t="str">
            <v>Subcontractor</v>
          </cell>
          <cell r="G1993" t="str">
            <v>09/07/2018</v>
          </cell>
          <cell r="H1993" t="str">
            <v/>
          </cell>
          <cell r="I1993" t="str">
            <v/>
          </cell>
          <cell r="J1993">
            <v>41661.919999999998</v>
          </cell>
          <cell r="K1993">
            <v>8332.3799999999992</v>
          </cell>
          <cell r="L1993">
            <v>41661.919999999998</v>
          </cell>
          <cell r="M1993" t="str">
            <v/>
          </cell>
          <cell r="N1993">
            <v>0</v>
          </cell>
        </row>
        <row r="1994">
          <cell r="A1994">
            <v>13917</v>
          </cell>
          <cell r="B1994" t="str">
            <v>05/07/2018</v>
          </cell>
          <cell r="C1994" t="str">
            <v>C1497</v>
          </cell>
          <cell r="D1994" t="str">
            <v>Welding service for gas pipework installation</v>
          </cell>
          <cell r="E1994" t="str">
            <v>Enco Ltd</v>
          </cell>
          <cell r="F1994" t="str">
            <v>Subcontractor</v>
          </cell>
          <cell r="G1994" t="str">
            <v/>
          </cell>
          <cell r="H1994" t="str">
            <v>Complete</v>
          </cell>
          <cell r="I1994" t="str">
            <v/>
          </cell>
          <cell r="J1994">
            <v>0</v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</row>
        <row r="1995">
          <cell r="A1995">
            <v>13897</v>
          </cell>
          <cell r="B1995" t="str">
            <v>03/07/2018</v>
          </cell>
          <cell r="C1995" t="str">
            <v>CALLOUT</v>
          </cell>
          <cell r="D1995" t="str">
            <v>lightsout</v>
          </cell>
          <cell r="E1995" t="str">
            <v>Key Integrated Services North West Ltd</v>
          </cell>
          <cell r="F1995" t="str">
            <v>Subcontractor</v>
          </cell>
          <cell r="G1995" t="str">
            <v/>
          </cell>
          <cell r="H1995" t="str">
            <v/>
          </cell>
          <cell r="I1995" t="str">
            <v/>
          </cell>
          <cell r="J1995">
            <v>153</v>
          </cell>
          <cell r="K1995">
            <v>30.6</v>
          </cell>
          <cell r="L1995">
            <v>153</v>
          </cell>
          <cell r="M1995" t="str">
            <v/>
          </cell>
          <cell r="N1995">
            <v>0</v>
          </cell>
        </row>
        <row r="1996">
          <cell r="A1996">
            <v>13894</v>
          </cell>
          <cell r="B1996" t="str">
            <v>03/07/2018</v>
          </cell>
          <cell r="C1996" t="str">
            <v>C1549</v>
          </cell>
          <cell r="D1996" t="str">
            <v>For validation of 1st floor FCU controls</v>
          </cell>
          <cell r="E1996" t="str">
            <v>BG Energy Solutions Limited</v>
          </cell>
          <cell r="F1996" t="str">
            <v>Subcontractor</v>
          </cell>
          <cell r="G1996" t="str">
            <v>05/07/2018</v>
          </cell>
          <cell r="H1996" t="str">
            <v/>
          </cell>
          <cell r="I1996" t="str">
            <v/>
          </cell>
          <cell r="J1996">
            <v>1600</v>
          </cell>
          <cell r="K1996">
            <v>320</v>
          </cell>
          <cell r="L1996">
            <v>1600</v>
          </cell>
          <cell r="M1996" t="str">
            <v/>
          </cell>
          <cell r="N1996">
            <v>0</v>
          </cell>
        </row>
        <row r="1997">
          <cell r="A1997">
            <v>13889</v>
          </cell>
          <cell r="B1997" t="str">
            <v>03/07/2018</v>
          </cell>
          <cell r="C1997" t="str">
            <v>C1549</v>
          </cell>
          <cell r="D1997" t="str">
            <v>For validation of HVAC services as per email scope of works</v>
          </cell>
          <cell r="E1997" t="str">
            <v>New Era Commissioning Specialists Ltd</v>
          </cell>
          <cell r="F1997" t="str">
            <v>Subcontractor</v>
          </cell>
          <cell r="G1997" t="str">
            <v>05/07/2018</v>
          </cell>
          <cell r="H1997" t="str">
            <v/>
          </cell>
          <cell r="I1997" t="str">
            <v/>
          </cell>
          <cell r="J1997">
            <v>1350</v>
          </cell>
          <cell r="K1997">
            <v>270</v>
          </cell>
          <cell r="L1997">
            <v>1350</v>
          </cell>
          <cell r="M1997" t="str">
            <v/>
          </cell>
          <cell r="N1997">
            <v>0</v>
          </cell>
        </row>
        <row r="1998">
          <cell r="A1998">
            <v>13886</v>
          </cell>
          <cell r="B1998" t="str">
            <v>02/07/2018</v>
          </cell>
          <cell r="C1998" t="str">
            <v>CALLOUT</v>
          </cell>
          <cell r="D1998" t="str">
            <v>inhibitor, sampling etc as per quote</v>
          </cell>
          <cell r="E1998" t="str">
            <v>Hydraclean Ltd</v>
          </cell>
          <cell r="F1998" t="str">
            <v>Subcontractor</v>
          </cell>
          <cell r="G1998" t="str">
            <v/>
          </cell>
          <cell r="H1998" t="str">
            <v/>
          </cell>
          <cell r="I1998" t="str">
            <v/>
          </cell>
          <cell r="J1998">
            <v>495</v>
          </cell>
          <cell r="K1998">
            <v>99</v>
          </cell>
          <cell r="L1998">
            <v>495</v>
          </cell>
          <cell r="M1998" t="str">
            <v/>
          </cell>
          <cell r="N1998">
            <v>0</v>
          </cell>
        </row>
        <row r="1999">
          <cell r="A1999">
            <v>13872</v>
          </cell>
          <cell r="B1999" t="str">
            <v>29/06/2018</v>
          </cell>
          <cell r="C1999" t="str">
            <v>C1447</v>
          </cell>
          <cell r="D1999" t="str">
            <v>Fume extract works within the lab</v>
          </cell>
          <cell r="E1999" t="str">
            <v>Enviroplas Limited</v>
          </cell>
          <cell r="F1999" t="str">
            <v>Subcontractor</v>
          </cell>
          <cell r="G1999" t="str">
            <v/>
          </cell>
          <cell r="H1999" t="str">
            <v/>
          </cell>
          <cell r="I1999" t="str">
            <v/>
          </cell>
          <cell r="J1999">
            <v>1442.6</v>
          </cell>
          <cell r="K1999">
            <v>288.52</v>
          </cell>
          <cell r="L1999">
            <v>1442.6</v>
          </cell>
          <cell r="M1999" t="str">
            <v/>
          </cell>
          <cell r="N1999">
            <v>0</v>
          </cell>
        </row>
        <row r="2000">
          <cell r="A2000">
            <v>13863</v>
          </cell>
          <cell r="B2000" t="str">
            <v>29/06/2018</v>
          </cell>
          <cell r="C2000" t="str">
            <v>CALLOUT</v>
          </cell>
          <cell r="D2000" t="str">
            <v>issue with air after power outage</v>
          </cell>
          <cell r="E2000" t="str">
            <v>4 Way Refrigeration Ltd</v>
          </cell>
          <cell r="F2000" t="str">
            <v>Subcontractor</v>
          </cell>
          <cell r="G2000" t="str">
            <v/>
          </cell>
          <cell r="H2000" t="str">
            <v/>
          </cell>
          <cell r="I2000" t="str">
            <v/>
          </cell>
          <cell r="J2000">
            <v>228</v>
          </cell>
          <cell r="K2000">
            <v>45.6</v>
          </cell>
          <cell r="L2000">
            <v>228</v>
          </cell>
          <cell r="M2000" t="str">
            <v/>
          </cell>
          <cell r="N2000">
            <v>0</v>
          </cell>
        </row>
        <row r="2001">
          <cell r="A2001">
            <v>13859</v>
          </cell>
          <cell r="B2001" t="str">
            <v>29/06/2018</v>
          </cell>
          <cell r="C2001" t="str">
            <v>C1547</v>
          </cell>
          <cell r="D2001" t="str">
            <v>N11 &amp; N12 BMS Controls</v>
          </cell>
          <cell r="E2001" t="str">
            <v>Schneider Electric Ltd</v>
          </cell>
          <cell r="F2001" t="str">
            <v>Subcontractor</v>
          </cell>
          <cell r="G2001" t="str">
            <v>01/07/2018</v>
          </cell>
          <cell r="H2001" t="str">
            <v>Part</v>
          </cell>
          <cell r="I2001" t="str">
            <v/>
          </cell>
          <cell r="J2001">
            <v>28487</v>
          </cell>
          <cell r="K2001">
            <v>5697.4</v>
          </cell>
          <cell r="L2001">
            <v>28487</v>
          </cell>
          <cell r="M2001" t="str">
            <v/>
          </cell>
          <cell r="N2001">
            <v>0</v>
          </cell>
        </row>
        <row r="2002">
          <cell r="A2002">
            <v>13831</v>
          </cell>
          <cell r="B2002" t="str">
            <v>26/06/2018</v>
          </cell>
          <cell r="C2002" t="str">
            <v>C1490</v>
          </cell>
          <cell r="D2002" t="str">
            <v>SUPPLY:Crane,labour &amp; equipment to lift &amp; position rooftop a</v>
          </cell>
          <cell r="E2002" t="str">
            <v>Armquest Industrial Services Ltd</v>
          </cell>
          <cell r="F2002" t="str">
            <v>Subcontractor</v>
          </cell>
          <cell r="G2002" t="str">
            <v/>
          </cell>
          <cell r="H2002" t="str">
            <v>Part</v>
          </cell>
          <cell r="I2002" t="str">
            <v/>
          </cell>
          <cell r="J2002">
            <v>2250</v>
          </cell>
          <cell r="K2002">
            <v>450</v>
          </cell>
          <cell r="L2002">
            <v>2250</v>
          </cell>
          <cell r="M2002" t="str">
            <v/>
          </cell>
          <cell r="N2002">
            <v>0</v>
          </cell>
        </row>
        <row r="2003">
          <cell r="A2003">
            <v>13825</v>
          </cell>
          <cell r="B2003" t="str">
            <v>26/06/2018</v>
          </cell>
          <cell r="C2003" t="str">
            <v>CALLOUT</v>
          </cell>
          <cell r="D2003" t="str">
            <v>lights out</v>
          </cell>
          <cell r="E2003" t="str">
            <v>Key Integrated Services North West Ltd</v>
          </cell>
          <cell r="F2003" t="str">
            <v>Subcontractor</v>
          </cell>
          <cell r="G2003" t="str">
            <v/>
          </cell>
          <cell r="H2003" t="str">
            <v/>
          </cell>
          <cell r="I2003" t="str">
            <v/>
          </cell>
          <cell r="J2003">
            <v>80.56</v>
          </cell>
          <cell r="K2003">
            <v>16.11</v>
          </cell>
          <cell r="L2003">
            <v>80.56</v>
          </cell>
          <cell r="M2003" t="str">
            <v/>
          </cell>
          <cell r="N2003">
            <v>0</v>
          </cell>
        </row>
        <row r="2004">
          <cell r="A2004">
            <v>13824</v>
          </cell>
          <cell r="B2004" t="str">
            <v>26/06/2018</v>
          </cell>
          <cell r="C2004" t="str">
            <v>CALLOUT</v>
          </cell>
          <cell r="D2004" t="str">
            <v>light gone out</v>
          </cell>
          <cell r="E2004" t="str">
            <v>Key Integrated Services North West Ltd</v>
          </cell>
          <cell r="F2004" t="str">
            <v>Subcontractor</v>
          </cell>
          <cell r="G2004" t="str">
            <v/>
          </cell>
          <cell r="H2004" t="str">
            <v/>
          </cell>
          <cell r="I2004" t="str">
            <v/>
          </cell>
          <cell r="J2004">
            <v>156.36000000000001</v>
          </cell>
          <cell r="K2004">
            <v>31.27</v>
          </cell>
          <cell r="L2004">
            <v>156.36000000000001</v>
          </cell>
          <cell r="M2004" t="str">
            <v/>
          </cell>
          <cell r="N2004">
            <v>0</v>
          </cell>
        </row>
        <row r="2005">
          <cell r="A2005">
            <v>13823</v>
          </cell>
          <cell r="B2005" t="str">
            <v>26/06/2018</v>
          </cell>
          <cell r="C2005" t="str">
            <v>CALLOUT</v>
          </cell>
          <cell r="D2005" t="str">
            <v>repair/replace emerg lighs following monthly test</v>
          </cell>
          <cell r="E2005" t="str">
            <v>Key Integrated Services North West Ltd</v>
          </cell>
          <cell r="F2005" t="str">
            <v>Subcontractor</v>
          </cell>
          <cell r="G2005" t="str">
            <v/>
          </cell>
          <cell r="H2005" t="str">
            <v/>
          </cell>
          <cell r="I2005" t="str">
            <v/>
          </cell>
          <cell r="J2005">
            <v>294.7</v>
          </cell>
          <cell r="K2005">
            <v>58.94</v>
          </cell>
          <cell r="L2005">
            <v>294.7</v>
          </cell>
          <cell r="M2005" t="str">
            <v/>
          </cell>
          <cell r="N2005">
            <v>0</v>
          </cell>
        </row>
        <row r="2006">
          <cell r="A2006">
            <v>13818</v>
          </cell>
          <cell r="B2006" t="str">
            <v>25/06/2018</v>
          </cell>
          <cell r="C2006" t="str">
            <v>CALLOUT</v>
          </cell>
          <cell r="D2006" t="str">
            <v>Repiping Units 8 Units on H Frame</v>
          </cell>
          <cell r="E2006" t="str">
            <v>Manchester Refrigeration Techniques Ltd</v>
          </cell>
          <cell r="F2006" t="str">
            <v>Subcontractor</v>
          </cell>
          <cell r="G2006" t="str">
            <v/>
          </cell>
          <cell r="H2006" t="str">
            <v/>
          </cell>
          <cell r="I2006" t="str">
            <v/>
          </cell>
          <cell r="J2006">
            <v>650</v>
          </cell>
          <cell r="K2006">
            <v>130</v>
          </cell>
          <cell r="L2006">
            <v>650</v>
          </cell>
          <cell r="M2006" t="str">
            <v/>
          </cell>
          <cell r="N2006">
            <v>0</v>
          </cell>
        </row>
        <row r="2007">
          <cell r="A2007">
            <v>13814</v>
          </cell>
          <cell r="B2007" t="str">
            <v>22/06/2018</v>
          </cell>
          <cell r="C2007" t="str">
            <v>C1518</v>
          </cell>
          <cell r="D2007" t="str">
            <v>Extra lights to finishing area</v>
          </cell>
          <cell r="E2007" t="str">
            <v>Key Integrated Services (Electrical) Ltd</v>
          </cell>
          <cell r="F2007" t="str">
            <v>Subcontractor</v>
          </cell>
          <cell r="G2007" t="str">
            <v/>
          </cell>
          <cell r="H2007" t="str">
            <v>Part</v>
          </cell>
          <cell r="I2007" t="str">
            <v/>
          </cell>
          <cell r="J2007">
            <v>2655</v>
          </cell>
          <cell r="K2007">
            <v>531</v>
          </cell>
          <cell r="L2007">
            <v>2655</v>
          </cell>
          <cell r="M2007" t="str">
            <v/>
          </cell>
          <cell r="N2007">
            <v>0</v>
          </cell>
        </row>
        <row r="2008">
          <cell r="A2008">
            <v>13813</v>
          </cell>
          <cell r="B2008" t="str">
            <v>22/06/2018</v>
          </cell>
          <cell r="C2008" t="str">
            <v>C1518</v>
          </cell>
          <cell r="D2008" t="str">
            <v>New supply to comas cooling fans</v>
          </cell>
          <cell r="E2008" t="str">
            <v>Key Integrated Services (Electrical) Ltd</v>
          </cell>
          <cell r="F2008" t="str">
            <v>Subcontractor</v>
          </cell>
          <cell r="G2008" t="str">
            <v/>
          </cell>
          <cell r="H2008" t="str">
            <v/>
          </cell>
          <cell r="I2008" t="str">
            <v/>
          </cell>
          <cell r="J2008">
            <v>1168</v>
          </cell>
          <cell r="K2008">
            <v>233.6</v>
          </cell>
          <cell r="L2008">
            <v>1168</v>
          </cell>
          <cell r="M2008" t="str">
            <v/>
          </cell>
          <cell r="N2008">
            <v>0</v>
          </cell>
        </row>
        <row r="2009">
          <cell r="A2009">
            <v>13812</v>
          </cell>
          <cell r="B2009" t="str">
            <v>22/06/2018</v>
          </cell>
          <cell r="C2009" t="str">
            <v>C1518</v>
          </cell>
          <cell r="D2009" t="str">
            <v>Re-feed pick by light DB</v>
          </cell>
          <cell r="E2009" t="str">
            <v>Key Integrated Services (Electrical) Ltd</v>
          </cell>
          <cell r="F2009" t="str">
            <v>Subcontractor</v>
          </cell>
          <cell r="G2009" t="str">
            <v/>
          </cell>
          <cell r="H2009" t="str">
            <v>Part</v>
          </cell>
          <cell r="I2009" t="str">
            <v/>
          </cell>
          <cell r="J2009">
            <v>1718</v>
          </cell>
          <cell r="K2009">
            <v>343.6</v>
          </cell>
          <cell r="L2009">
            <v>1718</v>
          </cell>
          <cell r="M2009" t="str">
            <v/>
          </cell>
          <cell r="N2009">
            <v>0</v>
          </cell>
        </row>
        <row r="2010">
          <cell r="A2010">
            <v>13811</v>
          </cell>
          <cell r="B2010" t="str">
            <v>22/06/2018</v>
          </cell>
          <cell r="C2010" t="str">
            <v>C1518</v>
          </cell>
          <cell r="D2010" t="str">
            <v>Re-route main LV cables to Bakery</v>
          </cell>
          <cell r="E2010" t="str">
            <v>Key Integrated Services (Electrical) Ltd</v>
          </cell>
          <cell r="F2010" t="str">
            <v>Subcontractor</v>
          </cell>
          <cell r="G2010" t="str">
            <v/>
          </cell>
          <cell r="H2010" t="str">
            <v/>
          </cell>
          <cell r="I2010" t="str">
            <v/>
          </cell>
          <cell r="J2010">
            <v>7116</v>
          </cell>
          <cell r="K2010">
            <v>1423.2</v>
          </cell>
          <cell r="L2010">
            <v>7116</v>
          </cell>
          <cell r="M2010" t="str">
            <v/>
          </cell>
          <cell r="N2010">
            <v>0</v>
          </cell>
        </row>
        <row r="2011">
          <cell r="A2011">
            <v>13797</v>
          </cell>
          <cell r="B2011" t="str">
            <v>21/06/2018</v>
          </cell>
          <cell r="C2011" t="str">
            <v>C1545</v>
          </cell>
          <cell r="D2011" t="str">
            <v>Labour Only Installation of Ductwork and</v>
          </cell>
          <cell r="E2011" t="str">
            <v>DH Ducting Ltd</v>
          </cell>
          <cell r="F2011" t="str">
            <v>Subcontractor</v>
          </cell>
          <cell r="G2011" t="str">
            <v/>
          </cell>
          <cell r="H2011" t="str">
            <v>Part</v>
          </cell>
          <cell r="I2011" t="str">
            <v/>
          </cell>
          <cell r="J2011">
            <v>15175</v>
          </cell>
          <cell r="K2011">
            <v>0</v>
          </cell>
          <cell r="L2011">
            <v>15175</v>
          </cell>
          <cell r="M2011" t="str">
            <v/>
          </cell>
          <cell r="N2011">
            <v>0</v>
          </cell>
        </row>
        <row r="2012">
          <cell r="A2012">
            <v>13793</v>
          </cell>
          <cell r="B2012" t="str">
            <v>21/06/2018</v>
          </cell>
          <cell r="C2012" t="str">
            <v>CALLOUT</v>
          </cell>
          <cell r="D2012" t="str">
            <v>out of hours issue with floor boxes</v>
          </cell>
          <cell r="E2012" t="str">
            <v>Barrie Beard Ltd</v>
          </cell>
          <cell r="F2012" t="str">
            <v>Subcontractor</v>
          </cell>
          <cell r="G2012" t="str">
            <v/>
          </cell>
          <cell r="H2012" t="str">
            <v/>
          </cell>
          <cell r="I2012" t="str">
            <v/>
          </cell>
          <cell r="J2012">
            <v>95</v>
          </cell>
          <cell r="K2012">
            <v>19</v>
          </cell>
          <cell r="L2012">
            <v>95</v>
          </cell>
          <cell r="M2012" t="str">
            <v/>
          </cell>
          <cell r="N2012">
            <v>0</v>
          </cell>
        </row>
        <row r="2013">
          <cell r="A2013">
            <v>13792</v>
          </cell>
          <cell r="B2013" t="str">
            <v>21/06/2018</v>
          </cell>
          <cell r="C2013" t="str">
            <v>CALLOUT</v>
          </cell>
          <cell r="D2013" t="str">
            <v>burning smell from lights</v>
          </cell>
          <cell r="E2013" t="str">
            <v>Barrie Beard Ltd</v>
          </cell>
          <cell r="F2013" t="str">
            <v>Subcontractor</v>
          </cell>
          <cell r="G2013" t="str">
            <v/>
          </cell>
          <cell r="H2013" t="str">
            <v/>
          </cell>
          <cell r="I2013" t="str">
            <v/>
          </cell>
          <cell r="J2013">
            <v>150</v>
          </cell>
          <cell r="K2013">
            <v>30</v>
          </cell>
          <cell r="L2013">
            <v>150</v>
          </cell>
          <cell r="M2013" t="str">
            <v/>
          </cell>
          <cell r="N2013">
            <v>0</v>
          </cell>
        </row>
        <row r="2014">
          <cell r="A2014">
            <v>13784</v>
          </cell>
          <cell r="B2014" t="str">
            <v>20/06/2018</v>
          </cell>
          <cell r="C2014" t="str">
            <v>CALLOUT</v>
          </cell>
          <cell r="D2014" t="str">
            <v>3 x taps to tighten</v>
          </cell>
          <cell r="E2014" t="str">
            <v>Viabl Ltd T/A Able</v>
          </cell>
          <cell r="F2014" t="str">
            <v>Subcontractor</v>
          </cell>
          <cell r="G2014" t="str">
            <v/>
          </cell>
          <cell r="H2014" t="str">
            <v/>
          </cell>
          <cell r="I2014" t="str">
            <v/>
          </cell>
          <cell r="J2014">
            <v>130</v>
          </cell>
          <cell r="K2014">
            <v>26</v>
          </cell>
          <cell r="L2014">
            <v>130</v>
          </cell>
          <cell r="M2014" t="str">
            <v/>
          </cell>
          <cell r="N2014">
            <v>0</v>
          </cell>
        </row>
        <row r="2015">
          <cell r="A2015">
            <v>13772</v>
          </cell>
          <cell r="B2015" t="str">
            <v>19/06/2018</v>
          </cell>
          <cell r="C2015" t="str">
            <v>CALLOUT</v>
          </cell>
          <cell r="D2015" t="str">
            <v>blocked wc gents</v>
          </cell>
          <cell r="E2015" t="str">
            <v>Viabl Ltd T/A Able</v>
          </cell>
          <cell r="F2015" t="str">
            <v>Subcontractor</v>
          </cell>
          <cell r="G2015" t="str">
            <v/>
          </cell>
          <cell r="H2015" t="str">
            <v/>
          </cell>
          <cell r="I2015" t="str">
            <v/>
          </cell>
          <cell r="J2015">
            <v>125</v>
          </cell>
          <cell r="K2015">
            <v>25</v>
          </cell>
          <cell r="L2015">
            <v>125</v>
          </cell>
          <cell r="M2015" t="str">
            <v/>
          </cell>
          <cell r="N2015">
            <v>0</v>
          </cell>
        </row>
        <row r="2016">
          <cell r="A2016">
            <v>13767</v>
          </cell>
          <cell r="B2016" t="str">
            <v>19/06/2018</v>
          </cell>
          <cell r="C2016" t="str">
            <v>CALLOUT</v>
          </cell>
          <cell r="D2016" t="str">
            <v>grd floor genst wc - handryer faulty</v>
          </cell>
          <cell r="E2016" t="str">
            <v>Barrie Beard Ltd</v>
          </cell>
          <cell r="F2016" t="str">
            <v>Subcontractor</v>
          </cell>
          <cell r="G2016" t="str">
            <v/>
          </cell>
          <cell r="H2016" t="str">
            <v/>
          </cell>
          <cell r="I2016" t="str">
            <v/>
          </cell>
          <cell r="J2016">
            <v>255</v>
          </cell>
          <cell r="K2016">
            <v>51</v>
          </cell>
          <cell r="L2016">
            <v>0</v>
          </cell>
          <cell r="M2016" t="str">
            <v/>
          </cell>
          <cell r="N2016">
            <v>255</v>
          </cell>
        </row>
        <row r="2017">
          <cell r="A2017">
            <v>13765</v>
          </cell>
          <cell r="B2017" t="str">
            <v>19/06/2018</v>
          </cell>
          <cell r="C2017" t="str">
            <v>CALLOUT</v>
          </cell>
          <cell r="D2017" t="str">
            <v>1st floor lights off</v>
          </cell>
          <cell r="E2017" t="str">
            <v>Key Integrated Services North West Ltd</v>
          </cell>
          <cell r="F2017" t="str">
            <v>Subcontractor</v>
          </cell>
          <cell r="G2017" t="str">
            <v/>
          </cell>
          <cell r="H2017" t="str">
            <v/>
          </cell>
          <cell r="I2017" t="str">
            <v/>
          </cell>
          <cell r="J2017">
            <v>50</v>
          </cell>
          <cell r="K2017">
            <v>10</v>
          </cell>
          <cell r="L2017">
            <v>50</v>
          </cell>
          <cell r="M2017" t="str">
            <v/>
          </cell>
          <cell r="N2017">
            <v>0</v>
          </cell>
        </row>
        <row r="2018">
          <cell r="A2018">
            <v>13764</v>
          </cell>
          <cell r="B2018" t="str">
            <v>19/06/2018</v>
          </cell>
          <cell r="C2018" t="str">
            <v>CALLOUT</v>
          </cell>
          <cell r="D2018" t="str">
            <v>issue with extract in kitchen? fire alarm gone off</v>
          </cell>
          <cell r="E2018" t="str">
            <v>Key Integrated Services North West Ltd</v>
          </cell>
          <cell r="F2018" t="str">
            <v>Subcontractor</v>
          </cell>
          <cell r="G2018" t="str">
            <v/>
          </cell>
          <cell r="H2018" t="str">
            <v/>
          </cell>
          <cell r="I2018" t="str">
            <v/>
          </cell>
          <cell r="J2018">
            <v>50</v>
          </cell>
          <cell r="K2018">
            <v>10</v>
          </cell>
          <cell r="L2018">
            <v>50</v>
          </cell>
          <cell r="M2018" t="str">
            <v/>
          </cell>
          <cell r="N2018">
            <v>0</v>
          </cell>
        </row>
        <row r="2019">
          <cell r="A2019">
            <v>13760</v>
          </cell>
          <cell r="B2019" t="str">
            <v>15/06/2018</v>
          </cell>
          <cell r="C2019" t="str">
            <v>C1497</v>
          </cell>
          <cell r="D2019" t="str">
            <v>Chlorination of water services as surveyed</v>
          </cell>
          <cell r="E2019" t="str">
            <v>New Era Commissioning Specialists Ltd</v>
          </cell>
          <cell r="F2019" t="str">
            <v>Subcontractor</v>
          </cell>
          <cell r="G2019" t="str">
            <v/>
          </cell>
          <cell r="H2019" t="str">
            <v/>
          </cell>
          <cell r="I2019" t="str">
            <v/>
          </cell>
          <cell r="J2019">
            <v>450</v>
          </cell>
          <cell r="K2019">
            <v>90</v>
          </cell>
          <cell r="L2019">
            <v>450</v>
          </cell>
          <cell r="M2019" t="str">
            <v/>
          </cell>
          <cell r="N2019">
            <v>0</v>
          </cell>
        </row>
        <row r="2020">
          <cell r="A2020">
            <v>13759</v>
          </cell>
          <cell r="B2020" t="str">
            <v>15/06/2018</v>
          </cell>
          <cell r="C2020" t="str">
            <v>CALLOUT</v>
          </cell>
          <cell r="D2020" t="str">
            <v>4 x fire extinguishers as per quote ref 465480</v>
          </cell>
          <cell r="E2020" t="str">
            <v>Hoyles Fire + Safety Ltd</v>
          </cell>
          <cell r="F2020" t="str">
            <v>Subcontractor</v>
          </cell>
          <cell r="G2020" t="str">
            <v/>
          </cell>
          <cell r="H2020" t="str">
            <v/>
          </cell>
          <cell r="I2020" t="str">
            <v/>
          </cell>
          <cell r="J2020">
            <v>226</v>
          </cell>
          <cell r="K2020">
            <v>45.2</v>
          </cell>
          <cell r="L2020">
            <v>226</v>
          </cell>
          <cell r="M2020" t="str">
            <v/>
          </cell>
          <cell r="N2020">
            <v>0</v>
          </cell>
        </row>
        <row r="2021">
          <cell r="A2021">
            <v>13748</v>
          </cell>
          <cell r="B2021" t="str">
            <v>14/06/2018</v>
          </cell>
          <cell r="C2021" t="str">
            <v>CALLOUT</v>
          </cell>
          <cell r="D2021" t="str">
            <v>repalce light fttgs as per quote exclude access equip</v>
          </cell>
          <cell r="E2021" t="str">
            <v>Key Integrated Services North West Ltd</v>
          </cell>
          <cell r="F2021" t="str">
            <v>Subcontractor</v>
          </cell>
          <cell r="G2021" t="str">
            <v/>
          </cell>
          <cell r="H2021" t="str">
            <v/>
          </cell>
          <cell r="I2021" t="str">
            <v/>
          </cell>
          <cell r="J2021">
            <v>323.23</v>
          </cell>
          <cell r="K2021">
            <v>64.650000000000006</v>
          </cell>
          <cell r="L2021">
            <v>323.23</v>
          </cell>
          <cell r="M2021" t="str">
            <v/>
          </cell>
          <cell r="N2021">
            <v>0</v>
          </cell>
        </row>
        <row r="2022">
          <cell r="A2022">
            <v>13746</v>
          </cell>
          <cell r="B2022" t="str">
            <v>14/06/2018</v>
          </cell>
          <cell r="C2022" t="str">
            <v>C1535</v>
          </cell>
          <cell r="D2022" t="str">
            <v>Trace heating and lagging</v>
          </cell>
          <cell r="E2022" t="str">
            <v>Scottfab Insulation Ltd</v>
          </cell>
          <cell r="F2022" t="str">
            <v>Subcontractor</v>
          </cell>
          <cell r="G2022" t="str">
            <v/>
          </cell>
          <cell r="H2022" t="str">
            <v/>
          </cell>
          <cell r="I2022" t="str">
            <v/>
          </cell>
          <cell r="J2022">
            <v>1075</v>
          </cell>
          <cell r="K2022">
            <v>215</v>
          </cell>
          <cell r="L2022">
            <v>1075</v>
          </cell>
          <cell r="M2022" t="str">
            <v/>
          </cell>
          <cell r="N2022">
            <v>0</v>
          </cell>
        </row>
        <row r="2023">
          <cell r="A2023">
            <v>13742</v>
          </cell>
          <cell r="B2023" t="str">
            <v>13/06/2018</v>
          </cell>
          <cell r="C2023" t="str">
            <v>C1541</v>
          </cell>
          <cell r="D2023" t="str">
            <v>Installation of all Ductwork systems</v>
          </cell>
          <cell r="E2023" t="str">
            <v>ExcelVent Solutions Ltd</v>
          </cell>
          <cell r="F2023" t="str">
            <v>Subcontractor</v>
          </cell>
          <cell r="G2023" t="str">
            <v/>
          </cell>
          <cell r="H2023" t="str">
            <v/>
          </cell>
          <cell r="I2023" t="str">
            <v/>
          </cell>
          <cell r="J2023">
            <v>33813.18</v>
          </cell>
          <cell r="K2023">
            <v>6762.64</v>
          </cell>
          <cell r="L2023">
            <v>33813.18</v>
          </cell>
          <cell r="M2023" t="str">
            <v/>
          </cell>
          <cell r="N2023">
            <v>0</v>
          </cell>
        </row>
        <row r="2024">
          <cell r="A2024">
            <v>13736</v>
          </cell>
          <cell r="B2024" t="str">
            <v>13/06/2018</v>
          </cell>
          <cell r="C2024" t="str">
            <v>CALLOUT</v>
          </cell>
          <cell r="D2024" t="str">
            <v>Attended site to investigate AC Leaking</v>
          </cell>
          <cell r="E2024" t="str">
            <v>AEP (NE) LLP</v>
          </cell>
          <cell r="F2024" t="str">
            <v>Subcontractor</v>
          </cell>
          <cell r="G2024" t="str">
            <v/>
          </cell>
          <cell r="H2024" t="str">
            <v/>
          </cell>
          <cell r="I2024" t="str">
            <v/>
          </cell>
          <cell r="J2024">
            <v>90</v>
          </cell>
          <cell r="K2024">
            <v>18</v>
          </cell>
          <cell r="L2024">
            <v>90</v>
          </cell>
          <cell r="M2024" t="str">
            <v/>
          </cell>
          <cell r="N2024">
            <v>0</v>
          </cell>
        </row>
        <row r="2025">
          <cell r="A2025">
            <v>13727</v>
          </cell>
          <cell r="B2025" t="str">
            <v>12/06/2018</v>
          </cell>
          <cell r="C2025" t="str">
            <v>A1000</v>
          </cell>
          <cell r="D2025" t="str">
            <v>Supply labour and materials to fabricate 5mm stainless steel</v>
          </cell>
          <cell r="E2025" t="str">
            <v>Defabs Engineering Ltd</v>
          </cell>
          <cell r="F2025" t="str">
            <v>Subcontractor</v>
          </cell>
          <cell r="G2025" t="str">
            <v/>
          </cell>
          <cell r="H2025" t="str">
            <v>Part</v>
          </cell>
          <cell r="I2025" t="str">
            <v/>
          </cell>
          <cell r="J2025">
            <v>1320</v>
          </cell>
          <cell r="K2025">
            <v>264</v>
          </cell>
          <cell r="L2025">
            <v>1320</v>
          </cell>
          <cell r="M2025" t="str">
            <v/>
          </cell>
          <cell r="N2025">
            <v>0</v>
          </cell>
        </row>
        <row r="2026">
          <cell r="A2026">
            <v>13726</v>
          </cell>
          <cell r="B2026" t="str">
            <v>12/06/2018</v>
          </cell>
          <cell r="C2026" t="str">
            <v>CALLOUT</v>
          </cell>
          <cell r="D2026" t="str">
            <v>replace light fitting as per quote</v>
          </cell>
          <cell r="E2026" t="str">
            <v>Key Integrated Services North West Ltd</v>
          </cell>
          <cell r="F2026" t="str">
            <v>Subcontractor</v>
          </cell>
          <cell r="G2026" t="str">
            <v/>
          </cell>
          <cell r="H2026" t="str">
            <v/>
          </cell>
          <cell r="I2026" t="str">
            <v/>
          </cell>
          <cell r="J2026">
            <v>339.38</v>
          </cell>
          <cell r="K2026">
            <v>67.88</v>
          </cell>
          <cell r="L2026">
            <v>339.38</v>
          </cell>
          <cell r="M2026" t="str">
            <v/>
          </cell>
          <cell r="N2026">
            <v>0</v>
          </cell>
        </row>
        <row r="2027">
          <cell r="A2027">
            <v>13716</v>
          </cell>
          <cell r="B2027" t="str">
            <v>11/06/2018</v>
          </cell>
          <cell r="C2027" t="str">
            <v>CALLOUT</v>
          </cell>
          <cell r="D2027" t="str">
            <v>lights tripped grd floor - burning smell</v>
          </cell>
          <cell r="E2027" t="str">
            <v>Key Integrated Services North West Ltd</v>
          </cell>
          <cell r="F2027" t="str">
            <v>Subcontractor</v>
          </cell>
          <cell r="G2027" t="str">
            <v/>
          </cell>
          <cell r="H2027" t="str">
            <v/>
          </cell>
          <cell r="I2027" t="str">
            <v/>
          </cell>
          <cell r="J2027">
            <v>153.69999999999999</v>
          </cell>
          <cell r="K2027">
            <v>30.74</v>
          </cell>
          <cell r="L2027">
            <v>153.69999999999999</v>
          </cell>
          <cell r="M2027" t="str">
            <v/>
          </cell>
          <cell r="N2027">
            <v>0</v>
          </cell>
        </row>
        <row r="2028">
          <cell r="A2028">
            <v>13686</v>
          </cell>
          <cell r="B2028" t="str">
            <v>05/06/2018</v>
          </cell>
          <cell r="C2028" t="str">
            <v>C1535</v>
          </cell>
          <cell r="D2028" t="str">
            <v>Chorination of water main</v>
          </cell>
          <cell r="E2028" t="str">
            <v>New Era Commissioning Specialists Ltd</v>
          </cell>
          <cell r="F2028" t="str">
            <v>Subcontractor</v>
          </cell>
          <cell r="G2028" t="str">
            <v/>
          </cell>
          <cell r="H2028" t="str">
            <v>Complete</v>
          </cell>
          <cell r="I2028" t="str">
            <v/>
          </cell>
          <cell r="J2028">
            <v>0</v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</row>
        <row r="2029">
          <cell r="A2029">
            <v>13675</v>
          </cell>
          <cell r="B2029" t="str">
            <v>05/06/2018</v>
          </cell>
          <cell r="C2029" t="str">
            <v>C1490</v>
          </cell>
          <cell r="D2029" t="str">
            <v/>
          </cell>
          <cell r="E2029" t="str">
            <v>Defabs Engineering Ltd</v>
          </cell>
          <cell r="F2029" t="str">
            <v>Subcontractor</v>
          </cell>
          <cell r="G2029" t="str">
            <v>06/06/2018</v>
          </cell>
          <cell r="H2029" t="str">
            <v>Part</v>
          </cell>
          <cell r="I2029" t="str">
            <v/>
          </cell>
          <cell r="J2029">
            <v>361007.04</v>
          </cell>
          <cell r="K2029">
            <v>72201.41</v>
          </cell>
          <cell r="L2029">
            <v>361007.04</v>
          </cell>
          <cell r="M2029" t="str">
            <v/>
          </cell>
          <cell r="N2029">
            <v>0</v>
          </cell>
        </row>
        <row r="2030">
          <cell r="A2030">
            <v>13671</v>
          </cell>
          <cell r="B2030" t="str">
            <v>04/06/2018</v>
          </cell>
          <cell r="C2030" t="str">
            <v>SERVICE</v>
          </cell>
          <cell r="D2030" t="str">
            <v>AC Maintenance</v>
          </cell>
          <cell r="E2030" t="str">
            <v>ADS Aircon Ltd</v>
          </cell>
          <cell r="F2030" t="str">
            <v>Subcontractor</v>
          </cell>
          <cell r="G2030" t="str">
            <v/>
          </cell>
          <cell r="H2030" t="str">
            <v/>
          </cell>
          <cell r="I2030" t="str">
            <v/>
          </cell>
          <cell r="J2030">
            <v>215</v>
          </cell>
          <cell r="K2030">
            <v>43</v>
          </cell>
          <cell r="L2030">
            <v>0</v>
          </cell>
          <cell r="M2030" t="str">
            <v/>
          </cell>
          <cell r="N2030">
            <v>215</v>
          </cell>
        </row>
        <row r="2031">
          <cell r="A2031">
            <v>13669</v>
          </cell>
          <cell r="B2031" t="str">
            <v>01/06/2018</v>
          </cell>
          <cell r="C2031" t="str">
            <v>C1533</v>
          </cell>
          <cell r="D2031" t="str">
            <v>Supply &amp; Delivery of 2 no Stainless steel Canopies</v>
          </cell>
          <cell r="E2031" t="str">
            <v>NP Services (Leicester) Ltd</v>
          </cell>
          <cell r="F2031" t="str">
            <v>Subcontractor</v>
          </cell>
          <cell r="G2031" t="str">
            <v>03/06/2018</v>
          </cell>
          <cell r="H2031" t="str">
            <v/>
          </cell>
          <cell r="I2031" t="str">
            <v/>
          </cell>
          <cell r="J2031">
            <v>3892</v>
          </cell>
          <cell r="K2031">
            <v>778.4</v>
          </cell>
          <cell r="L2031">
            <v>3892</v>
          </cell>
          <cell r="M2031" t="str">
            <v/>
          </cell>
          <cell r="N2031">
            <v>0</v>
          </cell>
        </row>
        <row r="2032">
          <cell r="A2032">
            <v>13717</v>
          </cell>
          <cell r="B2032" t="str">
            <v>31/05/2018</v>
          </cell>
          <cell r="C2032" t="str">
            <v>CALLOUT</v>
          </cell>
          <cell r="D2032" t="str">
            <v>number of lights out</v>
          </cell>
          <cell r="E2032" t="str">
            <v>Key Integrated Services North West Ltd</v>
          </cell>
          <cell r="F2032" t="str">
            <v>Subcontractor</v>
          </cell>
          <cell r="G2032" t="str">
            <v/>
          </cell>
          <cell r="H2032" t="str">
            <v/>
          </cell>
          <cell r="I2032" t="str">
            <v/>
          </cell>
          <cell r="J2032">
            <v>202.18</v>
          </cell>
          <cell r="K2032">
            <v>40.44</v>
          </cell>
          <cell r="L2032">
            <v>202.18</v>
          </cell>
          <cell r="M2032" t="str">
            <v/>
          </cell>
          <cell r="N2032">
            <v>0</v>
          </cell>
        </row>
        <row r="2033">
          <cell r="A2033">
            <v>13656</v>
          </cell>
          <cell r="B2033" t="str">
            <v>31/05/2018</v>
          </cell>
          <cell r="C2033" t="str">
            <v>CALLOUT</v>
          </cell>
          <cell r="D2033" t="str">
            <v>to complete all the LOLER recommendations as identified in t</v>
          </cell>
          <cell r="E2033" t="str">
            <v>Ansa Elevators Limited</v>
          </cell>
          <cell r="F2033" t="str">
            <v>Subcontractor</v>
          </cell>
          <cell r="G2033" t="str">
            <v/>
          </cell>
          <cell r="H2033" t="str">
            <v/>
          </cell>
          <cell r="I2033" t="str">
            <v/>
          </cell>
          <cell r="J2033">
            <v>2005.5</v>
          </cell>
          <cell r="K2033">
            <v>401.1</v>
          </cell>
          <cell r="L2033">
            <v>2005.5</v>
          </cell>
          <cell r="M2033" t="str">
            <v/>
          </cell>
          <cell r="N2033">
            <v>0</v>
          </cell>
        </row>
        <row r="2034">
          <cell r="A2034">
            <v>13631</v>
          </cell>
          <cell r="B2034" t="str">
            <v>29/05/2018</v>
          </cell>
          <cell r="C2034" t="str">
            <v>CALLOUT</v>
          </cell>
          <cell r="D2034" t="str">
            <v>Supply and fit IQView8 asper quote</v>
          </cell>
          <cell r="E2034" t="str">
            <v>Automated Building &amp; Energy Controls Ltd</v>
          </cell>
          <cell r="F2034" t="str">
            <v>Subcontractor</v>
          </cell>
          <cell r="G2034" t="str">
            <v/>
          </cell>
          <cell r="H2034" t="str">
            <v/>
          </cell>
          <cell r="I2034" t="str">
            <v/>
          </cell>
          <cell r="J2034">
            <v>1758.87</v>
          </cell>
          <cell r="K2034">
            <v>351.77</v>
          </cell>
          <cell r="L2034">
            <v>1758.87</v>
          </cell>
          <cell r="M2034" t="str">
            <v/>
          </cell>
          <cell r="N2034">
            <v>0</v>
          </cell>
        </row>
        <row r="2035">
          <cell r="A2035">
            <v>13630</v>
          </cell>
          <cell r="B2035" t="str">
            <v>29/05/2018</v>
          </cell>
          <cell r="C2035" t="str">
            <v>CALLOUT</v>
          </cell>
          <cell r="D2035" t="str">
            <v>carry out works as identified on LOLER Examination on the pa</v>
          </cell>
          <cell r="E2035" t="str">
            <v>Ansa Elevators Limited</v>
          </cell>
          <cell r="F2035" t="str">
            <v>Subcontractor</v>
          </cell>
          <cell r="G2035" t="str">
            <v/>
          </cell>
          <cell r="H2035" t="str">
            <v/>
          </cell>
          <cell r="I2035" t="str">
            <v/>
          </cell>
          <cell r="J2035">
            <v>3463.5</v>
          </cell>
          <cell r="K2035">
            <v>692.7</v>
          </cell>
          <cell r="L2035">
            <v>3463.5</v>
          </cell>
          <cell r="M2035" t="str">
            <v/>
          </cell>
          <cell r="N2035">
            <v>0</v>
          </cell>
        </row>
        <row r="2036">
          <cell r="A2036">
            <v>13618</v>
          </cell>
          <cell r="B2036" t="str">
            <v>24/05/2018</v>
          </cell>
          <cell r="C2036" t="str">
            <v>CALLOUT</v>
          </cell>
          <cell r="D2036" t="str">
            <v>Weekend Works as agreed</v>
          </cell>
          <cell r="E2036" t="str">
            <v>Manchester Refrigeration Techniques Ltd</v>
          </cell>
          <cell r="F2036" t="str">
            <v>Subcontractor</v>
          </cell>
          <cell r="G2036" t="str">
            <v/>
          </cell>
          <cell r="H2036" t="str">
            <v/>
          </cell>
          <cell r="I2036" t="str">
            <v/>
          </cell>
          <cell r="J2036">
            <v>700</v>
          </cell>
          <cell r="K2036">
            <v>140</v>
          </cell>
          <cell r="L2036">
            <v>700</v>
          </cell>
          <cell r="M2036" t="str">
            <v/>
          </cell>
          <cell r="N2036">
            <v>0</v>
          </cell>
        </row>
        <row r="2037">
          <cell r="A2037">
            <v>13616</v>
          </cell>
          <cell r="B2037" t="str">
            <v>24/05/2018</v>
          </cell>
          <cell r="C2037" t="str">
            <v>CALLOUT</v>
          </cell>
          <cell r="D2037" t="str">
            <v>replace joints on boiler</v>
          </cell>
          <cell r="E2037" t="str">
            <v>K Gammon Plumbing &amp; Heating Ltd</v>
          </cell>
          <cell r="F2037" t="str">
            <v>Subcontractor</v>
          </cell>
          <cell r="G2037" t="str">
            <v/>
          </cell>
          <cell r="H2037" t="str">
            <v/>
          </cell>
          <cell r="I2037" t="str">
            <v/>
          </cell>
          <cell r="J2037">
            <v>174.15</v>
          </cell>
          <cell r="K2037">
            <v>34.83</v>
          </cell>
          <cell r="L2037">
            <v>0</v>
          </cell>
          <cell r="M2037" t="str">
            <v/>
          </cell>
          <cell r="N2037">
            <v>174.15</v>
          </cell>
        </row>
        <row r="2038">
          <cell r="A2038">
            <v>13614</v>
          </cell>
          <cell r="B2038" t="str">
            <v>24/05/2018</v>
          </cell>
          <cell r="C2038" t="str">
            <v>CALLOUT</v>
          </cell>
          <cell r="D2038" t="str">
            <v>leak in boiler room</v>
          </cell>
          <cell r="E2038" t="str">
            <v>K Gammon Plumbing &amp; Heating Ltd</v>
          </cell>
          <cell r="F2038" t="str">
            <v>Subcontractor</v>
          </cell>
          <cell r="G2038" t="str">
            <v/>
          </cell>
          <cell r="H2038" t="str">
            <v/>
          </cell>
          <cell r="I2038" t="str">
            <v/>
          </cell>
          <cell r="J2038">
            <v>84</v>
          </cell>
          <cell r="K2038">
            <v>16.8</v>
          </cell>
          <cell r="L2038">
            <v>0</v>
          </cell>
          <cell r="M2038" t="str">
            <v/>
          </cell>
          <cell r="N2038">
            <v>84</v>
          </cell>
        </row>
        <row r="2039">
          <cell r="A2039">
            <v>13592</v>
          </cell>
          <cell r="B2039" t="str">
            <v>22/05/2018</v>
          </cell>
          <cell r="C2039" t="str">
            <v>CALLOUT</v>
          </cell>
          <cell r="D2039" t="str">
            <v>strip out elecs following decommission</v>
          </cell>
          <cell r="E2039" t="str">
            <v>Key Integrated Services North West Ltd</v>
          </cell>
          <cell r="F2039" t="str">
            <v>Subcontractor</v>
          </cell>
          <cell r="G2039" t="str">
            <v/>
          </cell>
          <cell r="H2039" t="str">
            <v/>
          </cell>
          <cell r="I2039" t="str">
            <v/>
          </cell>
          <cell r="J2039">
            <v>200</v>
          </cell>
          <cell r="K2039">
            <v>40</v>
          </cell>
          <cell r="L2039">
            <v>200</v>
          </cell>
          <cell r="M2039" t="str">
            <v/>
          </cell>
          <cell r="N2039">
            <v>0</v>
          </cell>
        </row>
        <row r="2040">
          <cell r="A2040">
            <v>13591</v>
          </cell>
          <cell r="B2040" t="str">
            <v>22/05/2018</v>
          </cell>
          <cell r="C2040" t="str">
            <v>CALLOUT</v>
          </cell>
          <cell r="D2040" t="str">
            <v>remove elecs from AC 2men 2hrs</v>
          </cell>
          <cell r="E2040" t="str">
            <v>Key Integrated Services North West Ltd</v>
          </cell>
          <cell r="F2040" t="str">
            <v>Subcontractor</v>
          </cell>
          <cell r="G2040" t="str">
            <v/>
          </cell>
          <cell r="H2040" t="str">
            <v/>
          </cell>
          <cell r="I2040" t="str">
            <v/>
          </cell>
          <cell r="J2040">
            <v>100</v>
          </cell>
          <cell r="K2040">
            <v>20</v>
          </cell>
          <cell r="L2040">
            <v>100</v>
          </cell>
          <cell r="M2040" t="str">
            <v/>
          </cell>
          <cell r="N2040">
            <v>0</v>
          </cell>
        </row>
        <row r="2041">
          <cell r="A2041">
            <v>13590</v>
          </cell>
          <cell r="B2041" t="str">
            <v>22/05/2018</v>
          </cell>
          <cell r="C2041" t="str">
            <v>CALLOUT</v>
          </cell>
          <cell r="D2041" t="str">
            <v>additional emerg lighting</v>
          </cell>
          <cell r="E2041" t="str">
            <v>Key Integrated Services North West Ltd</v>
          </cell>
          <cell r="F2041" t="str">
            <v>Subcontractor</v>
          </cell>
          <cell r="G2041" t="str">
            <v/>
          </cell>
          <cell r="H2041" t="str">
            <v/>
          </cell>
          <cell r="I2041" t="str">
            <v/>
          </cell>
          <cell r="J2041">
            <v>936.23</v>
          </cell>
          <cell r="K2041">
            <v>187.25</v>
          </cell>
          <cell r="L2041">
            <v>936.23</v>
          </cell>
          <cell r="M2041" t="str">
            <v/>
          </cell>
          <cell r="N2041">
            <v>0</v>
          </cell>
        </row>
        <row r="2042">
          <cell r="A2042">
            <v>13589</v>
          </cell>
          <cell r="B2042" t="str">
            <v>22/05/2018</v>
          </cell>
          <cell r="C2042" t="str">
            <v>CALLOUT</v>
          </cell>
          <cell r="D2042" t="str">
            <v>investigate suspect leak</v>
          </cell>
          <cell r="E2042" t="str">
            <v>Viabl Ltd T/A Able</v>
          </cell>
          <cell r="F2042" t="str">
            <v>Subcontractor</v>
          </cell>
          <cell r="G2042" t="str">
            <v/>
          </cell>
          <cell r="H2042" t="str">
            <v/>
          </cell>
          <cell r="I2042" t="str">
            <v/>
          </cell>
          <cell r="J2042">
            <v>65</v>
          </cell>
          <cell r="K2042">
            <v>13</v>
          </cell>
          <cell r="L2042">
            <v>65</v>
          </cell>
          <cell r="M2042" t="str">
            <v/>
          </cell>
          <cell r="N2042">
            <v>0</v>
          </cell>
        </row>
        <row r="2043">
          <cell r="A2043">
            <v>13588</v>
          </cell>
          <cell r="B2043" t="str">
            <v>21/05/2018</v>
          </cell>
          <cell r="C2043" t="str">
            <v>CALLOUT</v>
          </cell>
          <cell r="D2043" t="str">
            <v>Supply lift barrier to be stored on site</v>
          </cell>
          <cell r="E2043" t="str">
            <v>Ansa Elevators Limited</v>
          </cell>
          <cell r="F2043" t="str">
            <v>Subcontractor</v>
          </cell>
          <cell r="G2043" t="str">
            <v/>
          </cell>
          <cell r="H2043" t="str">
            <v/>
          </cell>
          <cell r="I2043" t="str">
            <v/>
          </cell>
          <cell r="J2043">
            <v>867</v>
          </cell>
          <cell r="K2043">
            <v>173.4</v>
          </cell>
          <cell r="L2043">
            <v>867</v>
          </cell>
          <cell r="M2043" t="str">
            <v/>
          </cell>
          <cell r="N2043">
            <v>0</v>
          </cell>
        </row>
        <row r="2044">
          <cell r="A2044">
            <v>13587</v>
          </cell>
          <cell r="B2044" t="str">
            <v>21/05/2018</v>
          </cell>
          <cell r="C2044" t="str">
            <v>CALLOUT</v>
          </cell>
          <cell r="D2044" t="str">
            <v>relamp 5th floor lights</v>
          </cell>
          <cell r="E2044" t="str">
            <v>Key Integrated Services North West Ltd</v>
          </cell>
          <cell r="F2044" t="str">
            <v>Subcontractor</v>
          </cell>
          <cell r="G2044" t="str">
            <v/>
          </cell>
          <cell r="H2044" t="str">
            <v/>
          </cell>
          <cell r="I2044" t="str">
            <v/>
          </cell>
          <cell r="J2044">
            <v>213.85</v>
          </cell>
          <cell r="K2044">
            <v>42.77</v>
          </cell>
          <cell r="L2044">
            <v>213.85</v>
          </cell>
          <cell r="M2044" t="str">
            <v/>
          </cell>
          <cell r="N2044">
            <v>0</v>
          </cell>
        </row>
        <row r="2045">
          <cell r="A2045">
            <v>13586</v>
          </cell>
          <cell r="B2045" t="str">
            <v>21/05/2018</v>
          </cell>
          <cell r="C2045" t="str">
            <v>CALLOUT</v>
          </cell>
          <cell r="D2045" t="str">
            <v>install fork lift chager</v>
          </cell>
          <cell r="E2045" t="str">
            <v>Key Integrated Services North West Ltd</v>
          </cell>
          <cell r="F2045" t="str">
            <v>Subcontractor</v>
          </cell>
          <cell r="G2045" t="str">
            <v/>
          </cell>
          <cell r="H2045" t="str">
            <v/>
          </cell>
          <cell r="I2045" t="str">
            <v/>
          </cell>
          <cell r="J2045">
            <v>114.4</v>
          </cell>
          <cell r="K2045">
            <v>22.88</v>
          </cell>
          <cell r="L2045">
            <v>114.4</v>
          </cell>
          <cell r="M2045" t="str">
            <v/>
          </cell>
          <cell r="N2045">
            <v>0</v>
          </cell>
        </row>
        <row r="2046">
          <cell r="A2046">
            <v>13450</v>
          </cell>
          <cell r="B2046" t="str">
            <v>20/05/2018</v>
          </cell>
          <cell r="C2046" t="str">
            <v>C1490</v>
          </cell>
          <cell r="D2046" t="str">
            <v>Insulation and trace heating to foul discharge pipe</v>
          </cell>
          <cell r="E2046" t="str">
            <v>Southern Insulation Solutions Ltd</v>
          </cell>
          <cell r="F2046" t="str">
            <v>Subcontractor</v>
          </cell>
          <cell r="G2046" t="str">
            <v>27/04/2018</v>
          </cell>
          <cell r="H2046" t="str">
            <v/>
          </cell>
          <cell r="I2046" t="str">
            <v/>
          </cell>
          <cell r="J2046">
            <v>2290</v>
          </cell>
          <cell r="K2046">
            <v>458</v>
          </cell>
          <cell r="L2046">
            <v>2290</v>
          </cell>
          <cell r="M2046" t="str">
            <v/>
          </cell>
          <cell r="N2046">
            <v>0</v>
          </cell>
        </row>
        <row r="2047">
          <cell r="A2047">
            <v>13578</v>
          </cell>
          <cell r="B2047" t="str">
            <v>18/05/2018</v>
          </cell>
          <cell r="C2047" t="str">
            <v>SERVICE</v>
          </cell>
          <cell r="D2047" t="str">
            <v>'	Express Net</v>
          </cell>
          <cell r="E2047" t="str">
            <v>Hoyles Fire + Safety Ltd</v>
          </cell>
          <cell r="F2047" t="str">
            <v>Subcontractor</v>
          </cell>
          <cell r="G2047" t="str">
            <v/>
          </cell>
          <cell r="H2047" t="str">
            <v/>
          </cell>
          <cell r="I2047" t="str">
            <v/>
          </cell>
          <cell r="J2047">
            <v>98.75</v>
          </cell>
          <cell r="K2047">
            <v>19.75</v>
          </cell>
          <cell r="L2047">
            <v>42.82</v>
          </cell>
          <cell r="M2047" t="str">
            <v/>
          </cell>
          <cell r="N2047">
            <v>55.93</v>
          </cell>
        </row>
        <row r="2048">
          <cell r="A2048">
            <v>13577</v>
          </cell>
          <cell r="B2048" t="str">
            <v>18/05/2018</v>
          </cell>
          <cell r="C2048" t="str">
            <v>SERVICE</v>
          </cell>
          <cell r="D2048" t="str">
            <v>service 25no extinguishers to be done by 10.7.18</v>
          </cell>
          <cell r="E2048" t="str">
            <v>Hoyles Fire + Safety Ltd</v>
          </cell>
          <cell r="F2048" t="str">
            <v>Subcontractor</v>
          </cell>
          <cell r="G2048" t="str">
            <v/>
          </cell>
          <cell r="H2048" t="str">
            <v/>
          </cell>
          <cell r="I2048" t="str">
            <v/>
          </cell>
          <cell r="J2048">
            <v>299.27</v>
          </cell>
          <cell r="K2048">
            <v>59.85</v>
          </cell>
          <cell r="L2048">
            <v>299.27</v>
          </cell>
          <cell r="M2048" t="str">
            <v/>
          </cell>
          <cell r="N2048">
            <v>0</v>
          </cell>
        </row>
        <row r="2049">
          <cell r="A2049">
            <v>13576</v>
          </cell>
          <cell r="B2049" t="str">
            <v>18/05/2018</v>
          </cell>
          <cell r="C2049" t="str">
            <v>SERVICE</v>
          </cell>
          <cell r="D2049" t="str">
            <v>service the dry risers to be done in June</v>
          </cell>
          <cell r="E2049" t="str">
            <v>Hoyles Fire + Safety Ltd</v>
          </cell>
          <cell r="F2049" t="str">
            <v>Subcontractor</v>
          </cell>
          <cell r="G2049" t="str">
            <v/>
          </cell>
          <cell r="H2049" t="str">
            <v/>
          </cell>
          <cell r="I2049" t="str">
            <v/>
          </cell>
          <cell r="J2049">
            <v>175</v>
          </cell>
          <cell r="K2049">
            <v>35</v>
          </cell>
          <cell r="L2049">
            <v>0</v>
          </cell>
          <cell r="M2049" t="str">
            <v/>
          </cell>
          <cell r="N2049">
            <v>175</v>
          </cell>
        </row>
        <row r="2050">
          <cell r="A2050">
            <v>13575</v>
          </cell>
          <cell r="B2050" t="str">
            <v>18/05/2018</v>
          </cell>
          <cell r="C2050" t="str">
            <v>SERVICE</v>
          </cell>
          <cell r="D2050" t="str">
            <v>Service dry risers as per quote</v>
          </cell>
          <cell r="E2050" t="str">
            <v>Hoyles Fire + Safety Ltd</v>
          </cell>
          <cell r="F2050" t="str">
            <v>Subcontractor</v>
          </cell>
          <cell r="G2050" t="str">
            <v/>
          </cell>
          <cell r="H2050" t="str">
            <v>Complete</v>
          </cell>
          <cell r="I2050" t="str">
            <v/>
          </cell>
          <cell r="J2050">
            <v>0</v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</row>
        <row r="2051">
          <cell r="A2051">
            <v>13574</v>
          </cell>
          <cell r="B2051" t="str">
            <v>18/05/2018</v>
          </cell>
          <cell r="C2051" t="str">
            <v>SERVICE</v>
          </cell>
          <cell r="D2051" t="str">
            <v>carry out PAT testing at EP1 and EP2 as per quote</v>
          </cell>
          <cell r="E2051" t="str">
            <v>Lantei Ltd</v>
          </cell>
          <cell r="F2051" t="str">
            <v>Subcontractor</v>
          </cell>
          <cell r="G2051" t="str">
            <v/>
          </cell>
          <cell r="H2051" t="str">
            <v>Complete</v>
          </cell>
          <cell r="I2051" t="str">
            <v/>
          </cell>
          <cell r="J2051">
            <v>0</v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</row>
        <row r="2052">
          <cell r="A2052">
            <v>13573</v>
          </cell>
          <cell r="B2052" t="str">
            <v>18/05/2018</v>
          </cell>
          <cell r="C2052" t="str">
            <v>SERVICE</v>
          </cell>
          <cell r="D2052" t="str">
            <v>Lighting protection to be carried out before 13.6.18</v>
          </cell>
          <cell r="E2052" t="str">
            <v>Lightning Protection UK Ltd</v>
          </cell>
          <cell r="F2052" t="str">
            <v>Subcontractor</v>
          </cell>
          <cell r="G2052" t="str">
            <v/>
          </cell>
          <cell r="H2052" t="str">
            <v/>
          </cell>
          <cell r="I2052" t="str">
            <v/>
          </cell>
          <cell r="J2052">
            <v>95</v>
          </cell>
          <cell r="K2052">
            <v>19</v>
          </cell>
          <cell r="L2052">
            <v>95</v>
          </cell>
          <cell r="M2052" t="str">
            <v/>
          </cell>
          <cell r="N2052">
            <v>0</v>
          </cell>
        </row>
        <row r="2053">
          <cell r="A2053">
            <v>13569</v>
          </cell>
          <cell r="B2053" t="str">
            <v>17/05/2018</v>
          </cell>
          <cell r="C2053" t="str">
            <v>SERVICE</v>
          </cell>
          <cell r="D2053" t="str">
            <v>Carry out AC Maintenance</v>
          </cell>
          <cell r="E2053" t="str">
            <v>Amroc Heating Supplies</v>
          </cell>
          <cell r="F2053" t="str">
            <v>Subcontractor</v>
          </cell>
          <cell r="G2053" t="str">
            <v/>
          </cell>
          <cell r="H2053" t="str">
            <v/>
          </cell>
          <cell r="I2053" t="str">
            <v/>
          </cell>
          <cell r="J2053">
            <v>210</v>
          </cell>
          <cell r="K2053">
            <v>42</v>
          </cell>
          <cell r="L2053">
            <v>210</v>
          </cell>
          <cell r="M2053" t="str">
            <v/>
          </cell>
          <cell r="N2053">
            <v>0</v>
          </cell>
        </row>
        <row r="2054">
          <cell r="A2054">
            <v>13566</v>
          </cell>
          <cell r="B2054" t="str">
            <v>17/05/2018</v>
          </cell>
          <cell r="C2054" t="str">
            <v>C1480</v>
          </cell>
          <cell r="D2054" t="str">
            <v>Design supply and installatin and commissioning of 11 flue d</v>
          </cell>
          <cell r="E2054" t="str">
            <v>A1 Flue Systems</v>
          </cell>
          <cell r="F2054" t="str">
            <v>Subcontractor</v>
          </cell>
          <cell r="G2054" t="str">
            <v/>
          </cell>
          <cell r="H2054" t="str">
            <v/>
          </cell>
          <cell r="I2054" t="str">
            <v/>
          </cell>
          <cell r="J2054">
            <v>78354.7</v>
          </cell>
          <cell r="K2054">
            <v>15670.94</v>
          </cell>
          <cell r="L2054">
            <v>78354.7</v>
          </cell>
          <cell r="M2054" t="str">
            <v/>
          </cell>
          <cell r="N2054">
            <v>0</v>
          </cell>
        </row>
        <row r="2055">
          <cell r="A2055">
            <v>13559</v>
          </cell>
          <cell r="B2055" t="str">
            <v>17/05/2018</v>
          </cell>
          <cell r="C2055" t="str">
            <v>SERVICE</v>
          </cell>
          <cell r="D2055" t="str">
            <v>EP2 maitnenance 4 visits per annum 1st visit june 2018</v>
          </cell>
          <cell r="E2055" t="str">
            <v>Abel Alarm Company Limited</v>
          </cell>
          <cell r="F2055" t="str">
            <v>Subcontractor</v>
          </cell>
          <cell r="G2055" t="str">
            <v/>
          </cell>
          <cell r="H2055" t="str">
            <v/>
          </cell>
          <cell r="I2055" t="str">
            <v/>
          </cell>
          <cell r="J2055">
            <v>720</v>
          </cell>
          <cell r="K2055">
            <v>144</v>
          </cell>
          <cell r="L2055">
            <v>720</v>
          </cell>
          <cell r="M2055" t="str">
            <v/>
          </cell>
          <cell r="N2055">
            <v>0</v>
          </cell>
        </row>
        <row r="2056">
          <cell r="A2056">
            <v>13558</v>
          </cell>
          <cell r="B2056" t="str">
            <v>17/05/2018</v>
          </cell>
          <cell r="C2056" t="str">
            <v>SERVICE</v>
          </cell>
          <cell r="D2056" t="str">
            <v>EP2 monitoring (Grade 4 dualcom)</v>
          </cell>
          <cell r="E2056" t="str">
            <v>Abel Alarm Company Limited</v>
          </cell>
          <cell r="F2056" t="str">
            <v>Subcontractor</v>
          </cell>
          <cell r="G2056" t="str">
            <v/>
          </cell>
          <cell r="H2056" t="str">
            <v/>
          </cell>
          <cell r="I2056" t="str">
            <v/>
          </cell>
          <cell r="J2056">
            <v>256</v>
          </cell>
          <cell r="K2056">
            <v>51.2</v>
          </cell>
          <cell r="L2056">
            <v>256</v>
          </cell>
          <cell r="M2056" t="str">
            <v/>
          </cell>
          <cell r="N2056">
            <v>0</v>
          </cell>
        </row>
        <row r="2057">
          <cell r="A2057">
            <v>13557</v>
          </cell>
          <cell r="B2057" t="str">
            <v>17/05/2018</v>
          </cell>
          <cell r="C2057" t="str">
            <v>SERVICE</v>
          </cell>
          <cell r="D2057" t="str">
            <v>EP1 Maintenance 4 x visits per annum 1st visit June 2018</v>
          </cell>
          <cell r="E2057" t="str">
            <v>Abel Alarm Company Limited</v>
          </cell>
          <cell r="F2057" t="str">
            <v>Subcontractor</v>
          </cell>
          <cell r="G2057" t="str">
            <v/>
          </cell>
          <cell r="H2057" t="str">
            <v/>
          </cell>
          <cell r="I2057" t="str">
            <v/>
          </cell>
          <cell r="J2057">
            <v>720</v>
          </cell>
          <cell r="K2057">
            <v>144</v>
          </cell>
          <cell r="L2057">
            <v>720</v>
          </cell>
          <cell r="M2057" t="str">
            <v/>
          </cell>
          <cell r="N2057">
            <v>0</v>
          </cell>
        </row>
        <row r="2058">
          <cell r="A2058">
            <v>13556</v>
          </cell>
          <cell r="B2058" t="str">
            <v>17/05/2018</v>
          </cell>
          <cell r="C2058" t="str">
            <v>SERVICE</v>
          </cell>
          <cell r="D2058" t="str">
            <v>Monitoring EP1 - (Grade 4 Dualcom)</v>
          </cell>
          <cell r="E2058" t="str">
            <v>Abel Alarm Company Limited</v>
          </cell>
          <cell r="F2058" t="str">
            <v>Subcontractor</v>
          </cell>
          <cell r="G2058" t="str">
            <v/>
          </cell>
          <cell r="H2058" t="str">
            <v/>
          </cell>
          <cell r="I2058" t="str">
            <v/>
          </cell>
          <cell r="J2058">
            <v>256</v>
          </cell>
          <cell r="K2058">
            <v>51.2</v>
          </cell>
          <cell r="L2058">
            <v>256</v>
          </cell>
          <cell r="M2058" t="str">
            <v/>
          </cell>
          <cell r="N2058">
            <v>0</v>
          </cell>
        </row>
        <row r="2059">
          <cell r="A2059">
            <v>13555</v>
          </cell>
          <cell r="B2059" t="str">
            <v>17/05/2018</v>
          </cell>
          <cell r="C2059" t="str">
            <v>CALLOUT</v>
          </cell>
          <cell r="D2059" t="str">
            <v>supply and install drive belts as per quote</v>
          </cell>
          <cell r="E2059" t="str">
            <v>Amber Doors &amp; Loading Bay Services Limited</v>
          </cell>
          <cell r="F2059" t="str">
            <v>Subcontractor</v>
          </cell>
          <cell r="G2059" t="str">
            <v/>
          </cell>
          <cell r="H2059" t="str">
            <v/>
          </cell>
          <cell r="I2059" t="str">
            <v/>
          </cell>
          <cell r="J2059">
            <v>690</v>
          </cell>
          <cell r="K2059">
            <v>138</v>
          </cell>
          <cell r="L2059">
            <v>690</v>
          </cell>
          <cell r="M2059" t="str">
            <v/>
          </cell>
          <cell r="N2059">
            <v>0</v>
          </cell>
        </row>
        <row r="2060">
          <cell r="A2060">
            <v>13552</v>
          </cell>
          <cell r="B2060" t="str">
            <v>17/05/2018</v>
          </cell>
          <cell r="C2060" t="str">
            <v>CALLOUT</v>
          </cell>
          <cell r="D2060" t="str">
            <v>replace urinal pipework</v>
          </cell>
          <cell r="E2060" t="str">
            <v>K Gammon Plumbing &amp; Heating Ltd</v>
          </cell>
          <cell r="F2060" t="str">
            <v>Subcontractor</v>
          </cell>
          <cell r="G2060" t="str">
            <v/>
          </cell>
          <cell r="H2060" t="str">
            <v/>
          </cell>
          <cell r="I2060" t="str">
            <v/>
          </cell>
          <cell r="J2060">
            <v>280</v>
          </cell>
          <cell r="K2060">
            <v>56</v>
          </cell>
          <cell r="L2060">
            <v>280</v>
          </cell>
          <cell r="M2060" t="str">
            <v/>
          </cell>
          <cell r="N2060">
            <v>0</v>
          </cell>
        </row>
        <row r="2061">
          <cell r="A2061">
            <v>13547</v>
          </cell>
          <cell r="B2061" t="str">
            <v>16/05/2018</v>
          </cell>
          <cell r="C2061" t="str">
            <v>CALLOUT</v>
          </cell>
          <cell r="D2061" t="str">
            <v>12.5.18 booked job - charge for abortive visit</v>
          </cell>
          <cell r="E2061" t="str">
            <v>Key Integrated Services North West Ltd</v>
          </cell>
          <cell r="F2061" t="str">
            <v>Subcontractor</v>
          </cell>
          <cell r="G2061" t="str">
            <v/>
          </cell>
          <cell r="H2061" t="str">
            <v/>
          </cell>
          <cell r="I2061" t="str">
            <v/>
          </cell>
          <cell r="J2061">
            <v>260</v>
          </cell>
          <cell r="K2061">
            <v>52</v>
          </cell>
          <cell r="L2061">
            <v>260</v>
          </cell>
          <cell r="M2061" t="str">
            <v/>
          </cell>
          <cell r="N2061">
            <v>0</v>
          </cell>
        </row>
        <row r="2062">
          <cell r="A2062">
            <v>13546</v>
          </cell>
          <cell r="B2062" t="str">
            <v>16/05/2018</v>
          </cell>
          <cell r="C2062" t="str">
            <v>CALLOUT</v>
          </cell>
          <cell r="D2062" t="str">
            <v>carry out remainder of works on a saturday</v>
          </cell>
          <cell r="E2062" t="str">
            <v>Key Integrated Services North West Ltd</v>
          </cell>
          <cell r="F2062" t="str">
            <v>Subcontractor</v>
          </cell>
          <cell r="G2062" t="str">
            <v/>
          </cell>
          <cell r="H2062" t="str">
            <v/>
          </cell>
          <cell r="I2062" t="str">
            <v/>
          </cell>
          <cell r="J2062">
            <v>260</v>
          </cell>
          <cell r="K2062">
            <v>52</v>
          </cell>
          <cell r="L2062">
            <v>260</v>
          </cell>
          <cell r="M2062" t="str">
            <v/>
          </cell>
          <cell r="N2062">
            <v>0</v>
          </cell>
        </row>
        <row r="2063">
          <cell r="A2063">
            <v>13544</v>
          </cell>
          <cell r="B2063" t="str">
            <v>16/05/2018</v>
          </cell>
          <cell r="C2063" t="str">
            <v>C1480</v>
          </cell>
          <cell r="D2063" t="str">
            <v>Re - Run Part L</v>
          </cell>
          <cell r="E2063" t="str">
            <v>Couch Perry &amp; Wilkes Environmental LLP</v>
          </cell>
          <cell r="F2063" t="str">
            <v>Subcontractor</v>
          </cell>
          <cell r="G2063" t="str">
            <v/>
          </cell>
          <cell r="H2063" t="str">
            <v>Complete</v>
          </cell>
          <cell r="I2063" t="str">
            <v/>
          </cell>
          <cell r="J2063">
            <v>0</v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</row>
        <row r="2064">
          <cell r="A2064">
            <v>13543</v>
          </cell>
          <cell r="B2064" t="str">
            <v>16/05/2018</v>
          </cell>
          <cell r="C2064" t="str">
            <v>C1480</v>
          </cell>
          <cell r="D2064" t="str">
            <v>Parl Re - Run</v>
          </cell>
          <cell r="E2064" t="str">
            <v>Couch Perry &amp; Wilkes Environmental LLP</v>
          </cell>
          <cell r="F2064" t="str">
            <v>Subcontractor</v>
          </cell>
          <cell r="G2064" t="str">
            <v/>
          </cell>
          <cell r="H2064" t="str">
            <v>Complete</v>
          </cell>
          <cell r="I2064" t="str">
            <v/>
          </cell>
          <cell r="J2064">
            <v>0</v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</row>
        <row r="2065">
          <cell r="A2065">
            <v>13525</v>
          </cell>
          <cell r="B2065" t="str">
            <v>15/05/2018</v>
          </cell>
          <cell r="C2065" t="str">
            <v>CALLOUT</v>
          </cell>
          <cell r="D2065" t="str">
            <v>WRA for Lowry House</v>
          </cell>
          <cell r="E2065" t="str">
            <v>Hydraclean Ltd</v>
          </cell>
          <cell r="F2065" t="str">
            <v>Subcontractor</v>
          </cell>
          <cell r="G2065" t="str">
            <v/>
          </cell>
          <cell r="H2065" t="str">
            <v/>
          </cell>
          <cell r="I2065" t="str">
            <v/>
          </cell>
          <cell r="J2065">
            <v>390</v>
          </cell>
          <cell r="K2065">
            <v>78</v>
          </cell>
          <cell r="L2065">
            <v>390</v>
          </cell>
          <cell r="M2065" t="str">
            <v/>
          </cell>
          <cell r="N2065">
            <v>0</v>
          </cell>
        </row>
        <row r="2066">
          <cell r="A2066">
            <v>13524</v>
          </cell>
          <cell r="B2066" t="str">
            <v>14/05/2018</v>
          </cell>
          <cell r="C2066" t="str">
            <v>C1507</v>
          </cell>
          <cell r="D2066" t="str">
            <v>chlorination works</v>
          </cell>
          <cell r="E2066" t="str">
            <v>New Era Commissioning Specialists Ltd</v>
          </cell>
          <cell r="F2066" t="str">
            <v>Subcontractor</v>
          </cell>
          <cell r="G2066" t="str">
            <v/>
          </cell>
          <cell r="H2066" t="str">
            <v/>
          </cell>
          <cell r="I2066" t="str">
            <v/>
          </cell>
          <cell r="J2066">
            <v>450</v>
          </cell>
          <cell r="K2066">
            <v>90</v>
          </cell>
          <cell r="L2066">
            <v>450</v>
          </cell>
          <cell r="M2066" t="str">
            <v/>
          </cell>
          <cell r="N2066">
            <v>0</v>
          </cell>
        </row>
        <row r="2067">
          <cell r="A2067">
            <v>13518</v>
          </cell>
          <cell r="B2067" t="str">
            <v>14/05/2018</v>
          </cell>
          <cell r="C2067" t="str">
            <v>CALLOUT</v>
          </cell>
          <cell r="D2067" t="str">
            <v>Attend site to replace various lamps &amp; Tubes as per quotatio</v>
          </cell>
          <cell r="E2067" t="str">
            <v>Key Integrated Services North West Ltd</v>
          </cell>
          <cell r="F2067" t="str">
            <v>Subcontractor</v>
          </cell>
          <cell r="G2067" t="str">
            <v/>
          </cell>
          <cell r="H2067" t="str">
            <v/>
          </cell>
          <cell r="I2067" t="str">
            <v/>
          </cell>
          <cell r="J2067">
            <v>528.24</v>
          </cell>
          <cell r="K2067">
            <v>105.65</v>
          </cell>
          <cell r="L2067">
            <v>528.24</v>
          </cell>
          <cell r="M2067" t="str">
            <v/>
          </cell>
          <cell r="N2067">
            <v>0</v>
          </cell>
        </row>
        <row r="2068">
          <cell r="A2068">
            <v>13517</v>
          </cell>
          <cell r="B2068" t="str">
            <v>14/05/2018</v>
          </cell>
          <cell r="C2068" t="str">
            <v>CALLOUT</v>
          </cell>
          <cell r="D2068" t="str">
            <v>Supply and install new LCM as per quote dated 4.5.2018</v>
          </cell>
          <cell r="E2068" t="str">
            <v>Key Integrated Services North West Ltd</v>
          </cell>
          <cell r="F2068" t="str">
            <v>Subcontractor</v>
          </cell>
          <cell r="G2068" t="str">
            <v/>
          </cell>
          <cell r="H2068" t="str">
            <v/>
          </cell>
          <cell r="I2068" t="str">
            <v/>
          </cell>
          <cell r="J2068">
            <v>672.88</v>
          </cell>
          <cell r="K2068">
            <v>134.58000000000001</v>
          </cell>
          <cell r="L2068">
            <v>672.88</v>
          </cell>
          <cell r="M2068" t="str">
            <v/>
          </cell>
          <cell r="N2068">
            <v>0</v>
          </cell>
        </row>
        <row r="2069">
          <cell r="A2069">
            <v>13516</v>
          </cell>
          <cell r="B2069" t="str">
            <v>14/05/2018</v>
          </cell>
          <cell r="C2069" t="str">
            <v>C1480</v>
          </cell>
          <cell r="D2069" t="str">
            <v>Design, supply and Installation of Electrical services</v>
          </cell>
          <cell r="E2069" t="str">
            <v>Key Integrated Services North West Ltd</v>
          </cell>
          <cell r="F2069" t="str">
            <v>Subcontractor</v>
          </cell>
          <cell r="G2069" t="str">
            <v/>
          </cell>
          <cell r="H2069" t="str">
            <v>Part</v>
          </cell>
          <cell r="I2069" t="str">
            <v/>
          </cell>
          <cell r="J2069">
            <v>870543.14</v>
          </cell>
          <cell r="K2069">
            <v>174108.63</v>
          </cell>
          <cell r="L2069">
            <v>870543.14</v>
          </cell>
          <cell r="M2069" t="str">
            <v/>
          </cell>
          <cell r="N2069">
            <v>0</v>
          </cell>
        </row>
        <row r="2070">
          <cell r="A2070">
            <v>13510</v>
          </cell>
          <cell r="B2070" t="str">
            <v>14/05/2018</v>
          </cell>
          <cell r="C2070" t="str">
            <v>CALLOUT</v>
          </cell>
          <cell r="D2070" t="str">
            <v>Carry out quoted works ref your quote no: 3691</v>
          </cell>
          <cell r="E2070" t="str">
            <v>AEP (NE) LLP</v>
          </cell>
          <cell r="F2070" t="str">
            <v>Subcontractor</v>
          </cell>
          <cell r="G2070" t="str">
            <v/>
          </cell>
          <cell r="H2070" t="str">
            <v/>
          </cell>
          <cell r="I2070" t="str">
            <v/>
          </cell>
          <cell r="J2070">
            <v>220.5</v>
          </cell>
          <cell r="K2070">
            <v>44.1</v>
          </cell>
          <cell r="L2070">
            <v>220.5</v>
          </cell>
          <cell r="M2070" t="str">
            <v/>
          </cell>
          <cell r="N2070">
            <v>0</v>
          </cell>
        </row>
        <row r="2071">
          <cell r="A2071">
            <v>13508</v>
          </cell>
          <cell r="B2071" t="str">
            <v>14/05/2018</v>
          </cell>
          <cell r="C2071" t="str">
            <v>C1490</v>
          </cell>
          <cell r="D2071" t="str">
            <v/>
          </cell>
          <cell r="E2071" t="str">
            <v>Switchsafe Environmental</v>
          </cell>
          <cell r="F2071" t="str">
            <v>Subcontractor</v>
          </cell>
          <cell r="G2071" t="str">
            <v>26/08/2018</v>
          </cell>
          <cell r="H2071" t="str">
            <v>Part</v>
          </cell>
          <cell r="I2071" t="str">
            <v/>
          </cell>
          <cell r="J2071">
            <v>18330</v>
          </cell>
          <cell r="K2071">
            <v>3666</v>
          </cell>
          <cell r="L2071">
            <v>18330</v>
          </cell>
          <cell r="M2071" t="str">
            <v/>
          </cell>
          <cell r="N2071">
            <v>0</v>
          </cell>
        </row>
        <row r="2072">
          <cell r="A2072">
            <v>13506</v>
          </cell>
          <cell r="B2072" t="str">
            <v>11/05/2018</v>
          </cell>
          <cell r="C2072" t="str">
            <v>C1490</v>
          </cell>
          <cell r="D2072" t="str">
            <v/>
          </cell>
          <cell r="E2072" t="str">
            <v>Westminster Controls Ltd</v>
          </cell>
          <cell r="F2072" t="str">
            <v>Subcontractor</v>
          </cell>
          <cell r="G2072" t="str">
            <v>25/06/2018</v>
          </cell>
          <cell r="H2072" t="str">
            <v>Part</v>
          </cell>
          <cell r="I2072" t="str">
            <v/>
          </cell>
          <cell r="J2072">
            <v>77077</v>
          </cell>
          <cell r="K2072">
            <v>15415.4</v>
          </cell>
          <cell r="L2072">
            <v>77077.5</v>
          </cell>
          <cell r="M2072" t="str">
            <v/>
          </cell>
          <cell r="N2072">
            <v>-0.5</v>
          </cell>
        </row>
        <row r="2073">
          <cell r="A2073">
            <v>13503</v>
          </cell>
          <cell r="B2073" t="str">
            <v>11/05/2018</v>
          </cell>
          <cell r="C2073" t="str">
            <v>C1497</v>
          </cell>
          <cell r="D2073" t="str">
            <v>Thermal Insulation &amp; Trace Heating to Mechanical Services</v>
          </cell>
          <cell r="E2073" t="str">
            <v>Thermal Insulation Covers Ltd</v>
          </cell>
          <cell r="F2073" t="str">
            <v>Subcontractor</v>
          </cell>
          <cell r="G2073" t="str">
            <v>23/05/2018</v>
          </cell>
          <cell r="H2073" t="str">
            <v>Part</v>
          </cell>
          <cell r="I2073" t="str">
            <v/>
          </cell>
          <cell r="J2073">
            <v>5132.99</v>
          </cell>
          <cell r="K2073">
            <v>1026.5999999999999</v>
          </cell>
          <cell r="L2073">
            <v>5132.99</v>
          </cell>
          <cell r="M2073" t="str">
            <v/>
          </cell>
          <cell r="N2073">
            <v>0</v>
          </cell>
        </row>
        <row r="2074">
          <cell r="A2074">
            <v>13490</v>
          </cell>
          <cell r="B2074" t="str">
            <v>10/05/2018</v>
          </cell>
          <cell r="C2074" t="str">
            <v>SERVICE</v>
          </cell>
          <cell r="D2074" t="str">
            <v>25 x extinguishers as per mail of 280318</v>
          </cell>
          <cell r="E2074" t="str">
            <v>Hoyles Fire + Safety Ltd</v>
          </cell>
          <cell r="F2074" t="str">
            <v>Subcontractor</v>
          </cell>
          <cell r="G2074" t="str">
            <v/>
          </cell>
          <cell r="H2074" t="str">
            <v/>
          </cell>
          <cell r="I2074" t="str">
            <v/>
          </cell>
          <cell r="J2074">
            <v>142.19999999999999</v>
          </cell>
          <cell r="K2074">
            <v>28.44</v>
          </cell>
          <cell r="L2074">
            <v>142.19999999999999</v>
          </cell>
          <cell r="M2074" t="str">
            <v/>
          </cell>
          <cell r="N2074">
            <v>0</v>
          </cell>
        </row>
        <row r="2075">
          <cell r="A2075">
            <v>13489</v>
          </cell>
          <cell r="B2075" t="str">
            <v>10/05/2018</v>
          </cell>
          <cell r="C2075" t="str">
            <v>SERVICE</v>
          </cell>
          <cell r="D2075" t="str">
            <v>Fire Alarm Maintenance x 2 visits</v>
          </cell>
          <cell r="E2075" t="str">
            <v>Hoyles Fire + Safety Ltd</v>
          </cell>
          <cell r="F2075" t="str">
            <v>Subcontractor</v>
          </cell>
          <cell r="G2075" t="str">
            <v/>
          </cell>
          <cell r="H2075" t="str">
            <v/>
          </cell>
          <cell r="I2075" t="str">
            <v/>
          </cell>
          <cell r="J2075">
            <v>129.91999999999999</v>
          </cell>
          <cell r="K2075">
            <v>25.98</v>
          </cell>
          <cell r="L2075">
            <v>129.91999999999999</v>
          </cell>
          <cell r="M2075" t="str">
            <v/>
          </cell>
          <cell r="N2075">
            <v>0</v>
          </cell>
        </row>
        <row r="2076">
          <cell r="A2076">
            <v>13485</v>
          </cell>
          <cell r="B2076" t="str">
            <v>10/05/2018</v>
          </cell>
          <cell r="C2076" t="str">
            <v>CALLOUT</v>
          </cell>
          <cell r="D2076" t="str">
            <v>Water Risk Assessment for Express Networks 2</v>
          </cell>
          <cell r="E2076" t="str">
            <v>Hydraclean Ltd</v>
          </cell>
          <cell r="F2076" t="str">
            <v>Subcontractor</v>
          </cell>
          <cell r="G2076" t="str">
            <v/>
          </cell>
          <cell r="H2076" t="str">
            <v/>
          </cell>
          <cell r="I2076" t="str">
            <v/>
          </cell>
          <cell r="J2076">
            <v>390</v>
          </cell>
          <cell r="K2076">
            <v>78</v>
          </cell>
          <cell r="L2076">
            <v>390</v>
          </cell>
          <cell r="M2076" t="str">
            <v/>
          </cell>
          <cell r="N2076">
            <v>0</v>
          </cell>
        </row>
        <row r="2077">
          <cell r="A2077">
            <v>13484</v>
          </cell>
          <cell r="B2077" t="str">
            <v>10/05/2018</v>
          </cell>
          <cell r="C2077" t="str">
            <v>CALLOUT</v>
          </cell>
          <cell r="D2077" t="str">
            <v>Water Risk Assessment for Express Networks 1</v>
          </cell>
          <cell r="E2077" t="str">
            <v>Hydraclean Ltd</v>
          </cell>
          <cell r="F2077" t="str">
            <v>Subcontractor</v>
          </cell>
          <cell r="G2077" t="str">
            <v/>
          </cell>
          <cell r="H2077" t="str">
            <v>Part</v>
          </cell>
          <cell r="I2077" t="str">
            <v/>
          </cell>
          <cell r="J2077">
            <v>390</v>
          </cell>
          <cell r="K2077">
            <v>78</v>
          </cell>
          <cell r="L2077">
            <v>390</v>
          </cell>
          <cell r="M2077" t="str">
            <v/>
          </cell>
          <cell r="N2077">
            <v>0</v>
          </cell>
        </row>
        <row r="2078">
          <cell r="A2078">
            <v>13483</v>
          </cell>
          <cell r="B2078" t="str">
            <v>10/05/2018</v>
          </cell>
          <cell r="C2078" t="str">
            <v>C1524</v>
          </cell>
          <cell r="D2078" t="str">
            <v>Ductwork and lagging mods</v>
          </cell>
          <cell r="E2078" t="str">
            <v>OLD COUGAR ACCOUNT- DO NOT USE</v>
          </cell>
          <cell r="F2078" t="str">
            <v>Subcontractor</v>
          </cell>
          <cell r="G2078" t="str">
            <v/>
          </cell>
          <cell r="H2078" t="str">
            <v/>
          </cell>
          <cell r="I2078" t="str">
            <v/>
          </cell>
          <cell r="J2078">
            <v>3645</v>
          </cell>
          <cell r="K2078">
            <v>729</v>
          </cell>
          <cell r="L2078">
            <v>3645</v>
          </cell>
          <cell r="M2078" t="str">
            <v/>
          </cell>
          <cell r="N2078">
            <v>0</v>
          </cell>
        </row>
        <row r="2079">
          <cell r="A2079">
            <v>13476</v>
          </cell>
          <cell r="B2079" t="str">
            <v>09/05/2018</v>
          </cell>
          <cell r="C2079" t="str">
            <v>CALLOUT</v>
          </cell>
          <cell r="D2079" t="str">
            <v>C</v>
          </cell>
          <cell r="E2079" t="str">
            <v>Harroquip Pump Systems</v>
          </cell>
          <cell r="F2079" t="str">
            <v>Subcontractor</v>
          </cell>
          <cell r="G2079" t="str">
            <v/>
          </cell>
          <cell r="H2079" t="str">
            <v/>
          </cell>
          <cell r="I2079" t="str">
            <v/>
          </cell>
          <cell r="J2079">
            <v>6140</v>
          </cell>
          <cell r="K2079">
            <v>1228</v>
          </cell>
          <cell r="L2079">
            <v>868</v>
          </cell>
          <cell r="M2079" t="str">
            <v/>
          </cell>
          <cell r="N2079">
            <v>5272</v>
          </cell>
        </row>
        <row r="2080">
          <cell r="A2080">
            <v>13447</v>
          </cell>
          <cell r="B2080" t="str">
            <v>04/05/2018</v>
          </cell>
          <cell r="C2080" t="str">
            <v>C1531</v>
          </cell>
          <cell r="D2080" t="str">
            <v>Installation of Ductwork S</v>
          </cell>
          <cell r="E2080" t="str">
            <v>OLD COUGAR ACCOUNT- DO NOT USE</v>
          </cell>
          <cell r="F2080" t="str">
            <v>Subcontractor</v>
          </cell>
          <cell r="G2080" t="str">
            <v/>
          </cell>
          <cell r="H2080" t="str">
            <v/>
          </cell>
          <cell r="I2080" t="str">
            <v/>
          </cell>
          <cell r="J2080">
            <v>46400</v>
          </cell>
          <cell r="K2080">
            <v>9280</v>
          </cell>
          <cell r="L2080">
            <v>46400</v>
          </cell>
          <cell r="M2080" t="str">
            <v/>
          </cell>
          <cell r="N2080">
            <v>0</v>
          </cell>
        </row>
        <row r="2081">
          <cell r="A2081">
            <v>13433</v>
          </cell>
          <cell r="B2081" t="str">
            <v>02/05/2018</v>
          </cell>
          <cell r="C2081" t="str">
            <v>C1533</v>
          </cell>
          <cell r="D2081" t="str">
            <v>Plastic ductwork supply and installation</v>
          </cell>
          <cell r="E2081" t="str">
            <v>Enviroplas Limited</v>
          </cell>
          <cell r="F2081" t="str">
            <v>Subcontractor</v>
          </cell>
          <cell r="G2081" t="str">
            <v>08/05/2018</v>
          </cell>
          <cell r="H2081" t="str">
            <v>Complete</v>
          </cell>
          <cell r="I2081" t="str">
            <v/>
          </cell>
          <cell r="J2081">
            <v>146046.84</v>
          </cell>
          <cell r="K2081">
            <v>29209.37</v>
          </cell>
          <cell r="L2081">
            <v>146046.84</v>
          </cell>
          <cell r="M2081" t="str">
            <v/>
          </cell>
          <cell r="N2081">
            <v>0</v>
          </cell>
        </row>
        <row r="2082">
          <cell r="A2082">
            <v>13424</v>
          </cell>
          <cell r="B2082" t="str">
            <v>01/05/2018</v>
          </cell>
          <cell r="C2082" t="str">
            <v>C1497</v>
          </cell>
          <cell r="D2082" t="str">
            <v>Freezer extension</v>
          </cell>
          <cell r="E2082" t="str">
            <v>Key Integrated Services (Electrical) Ltd</v>
          </cell>
          <cell r="F2082" t="str">
            <v>Subcontractor</v>
          </cell>
          <cell r="G2082" t="str">
            <v/>
          </cell>
          <cell r="H2082" t="str">
            <v/>
          </cell>
          <cell r="I2082" t="str">
            <v/>
          </cell>
          <cell r="J2082">
            <v>226630</v>
          </cell>
          <cell r="K2082">
            <v>45326</v>
          </cell>
          <cell r="L2082">
            <v>219232.69</v>
          </cell>
          <cell r="M2082" t="str">
            <v/>
          </cell>
          <cell r="N2082">
            <v>7397.31</v>
          </cell>
        </row>
        <row r="2083">
          <cell r="A2083">
            <v>13423</v>
          </cell>
          <cell r="B2083" t="str">
            <v>01/05/2018</v>
          </cell>
          <cell r="C2083" t="str">
            <v>C1518</v>
          </cell>
          <cell r="D2083" t="str">
            <v>Finishing room works</v>
          </cell>
          <cell r="E2083" t="str">
            <v>Key Integrated Services (Electrical) Ltd</v>
          </cell>
          <cell r="F2083" t="str">
            <v>Subcontractor</v>
          </cell>
          <cell r="G2083" t="str">
            <v/>
          </cell>
          <cell r="H2083" t="str">
            <v/>
          </cell>
          <cell r="I2083" t="str">
            <v/>
          </cell>
          <cell r="J2083">
            <v>67587</v>
          </cell>
          <cell r="K2083">
            <v>13517.4</v>
          </cell>
          <cell r="L2083">
            <v>67587</v>
          </cell>
          <cell r="M2083" t="str">
            <v/>
          </cell>
          <cell r="N2083">
            <v>0</v>
          </cell>
        </row>
        <row r="2084">
          <cell r="A2084">
            <v>13420</v>
          </cell>
          <cell r="B2084" t="str">
            <v>01/05/2018</v>
          </cell>
          <cell r="C2084" t="str">
            <v>C1497</v>
          </cell>
          <cell r="D2084" t="str">
            <v>BMS Controls Installation. Power By Others</v>
          </cell>
          <cell r="E2084" t="str">
            <v>Impact Control Systems Ltd</v>
          </cell>
          <cell r="F2084" t="str">
            <v>Subcontractor</v>
          </cell>
          <cell r="G2084" t="str">
            <v>21/05/2018</v>
          </cell>
          <cell r="H2084" t="str">
            <v/>
          </cell>
          <cell r="I2084" t="str">
            <v/>
          </cell>
          <cell r="J2084">
            <v>8042</v>
          </cell>
          <cell r="K2084">
            <v>1608.4</v>
          </cell>
          <cell r="L2084">
            <v>8042</v>
          </cell>
          <cell r="M2084" t="str">
            <v/>
          </cell>
          <cell r="N2084">
            <v>0</v>
          </cell>
        </row>
        <row r="2085">
          <cell r="A2085">
            <v>13414</v>
          </cell>
          <cell r="B2085" t="str">
            <v>30/04/2018</v>
          </cell>
          <cell r="C2085" t="str">
            <v>C1527</v>
          </cell>
          <cell r="D2085" t="str">
            <v>AC Installation as per the schematic and Issued PDFs</v>
          </cell>
          <cell r="E2085" t="str">
            <v>Manchester Refrigeration Techniques Ltd</v>
          </cell>
          <cell r="F2085" t="str">
            <v>Subcontractor</v>
          </cell>
          <cell r="G2085" t="str">
            <v/>
          </cell>
          <cell r="H2085" t="str">
            <v/>
          </cell>
          <cell r="I2085" t="str">
            <v/>
          </cell>
          <cell r="J2085">
            <v>21180</v>
          </cell>
          <cell r="K2085">
            <v>4236</v>
          </cell>
          <cell r="L2085">
            <v>21180</v>
          </cell>
          <cell r="M2085" t="str">
            <v/>
          </cell>
          <cell r="N2085">
            <v>0</v>
          </cell>
        </row>
        <row r="2086">
          <cell r="A2086">
            <v>13409</v>
          </cell>
          <cell r="B2086" t="str">
            <v>30/04/2018</v>
          </cell>
          <cell r="C2086" t="str">
            <v>CALLOUT</v>
          </cell>
          <cell r="D2086" t="str">
            <v>Labour &amp; Materials to Install Condenser H Frame</v>
          </cell>
          <cell r="E2086" t="str">
            <v>Manchester Refrigeration Techniques Ltd</v>
          </cell>
          <cell r="F2086" t="str">
            <v>Subcontractor</v>
          </cell>
          <cell r="G2086" t="str">
            <v/>
          </cell>
          <cell r="H2086" t="str">
            <v/>
          </cell>
          <cell r="I2086" t="str">
            <v/>
          </cell>
          <cell r="J2086">
            <v>600</v>
          </cell>
          <cell r="K2086">
            <v>120</v>
          </cell>
          <cell r="L2086">
            <v>600</v>
          </cell>
          <cell r="M2086" t="str">
            <v/>
          </cell>
          <cell r="N2086">
            <v>0</v>
          </cell>
        </row>
        <row r="2087">
          <cell r="A2087">
            <v>13407</v>
          </cell>
          <cell r="B2087" t="str">
            <v>30/04/2018</v>
          </cell>
          <cell r="C2087" t="str">
            <v>CALLOUT</v>
          </cell>
          <cell r="D2087" t="str">
            <v>Supplied 6kg R410a Gas</v>
          </cell>
          <cell r="E2087" t="str">
            <v>Manchester Refrigeration Techniques Ltd</v>
          </cell>
          <cell r="F2087" t="str">
            <v>Subcontractor</v>
          </cell>
          <cell r="G2087" t="str">
            <v/>
          </cell>
          <cell r="H2087" t="str">
            <v/>
          </cell>
          <cell r="I2087" t="str">
            <v/>
          </cell>
          <cell r="J2087">
            <v>300</v>
          </cell>
          <cell r="K2087">
            <v>60</v>
          </cell>
          <cell r="L2087">
            <v>0</v>
          </cell>
          <cell r="M2087" t="str">
            <v/>
          </cell>
          <cell r="N2087">
            <v>300</v>
          </cell>
        </row>
        <row r="2088">
          <cell r="A2088">
            <v>13404</v>
          </cell>
          <cell r="B2088" t="str">
            <v>30/04/2018</v>
          </cell>
          <cell r="C2088" t="str">
            <v>CALLOUT</v>
          </cell>
          <cell r="D2088" t="str">
            <v>Installation and Commission 14no AC Systems</v>
          </cell>
          <cell r="E2088" t="str">
            <v>Manchester Refrigeration Techniques Ltd</v>
          </cell>
          <cell r="F2088" t="str">
            <v>Subcontractor</v>
          </cell>
          <cell r="G2088" t="str">
            <v/>
          </cell>
          <cell r="H2088" t="str">
            <v/>
          </cell>
          <cell r="I2088" t="str">
            <v/>
          </cell>
          <cell r="J2088">
            <v>12630</v>
          </cell>
          <cell r="K2088">
            <v>2526</v>
          </cell>
          <cell r="L2088">
            <v>18215</v>
          </cell>
          <cell r="M2088" t="str">
            <v/>
          </cell>
          <cell r="N2088">
            <v>-5585</v>
          </cell>
        </row>
        <row r="2089">
          <cell r="A2089">
            <v>13400</v>
          </cell>
          <cell r="B2089" t="str">
            <v>27/04/2018</v>
          </cell>
          <cell r="C2089" t="str">
            <v>C1540</v>
          </cell>
          <cell r="D2089" t="str">
            <v>Lantmannen Ventilation Installation</v>
          </cell>
          <cell r="E2089" t="str">
            <v>ExcelVent Solutions Ltd</v>
          </cell>
          <cell r="F2089" t="str">
            <v>Subcontractor</v>
          </cell>
          <cell r="G2089" t="str">
            <v/>
          </cell>
          <cell r="H2089" t="str">
            <v/>
          </cell>
          <cell r="I2089" t="str">
            <v/>
          </cell>
          <cell r="J2089">
            <v>19968</v>
          </cell>
          <cell r="K2089">
            <v>3993.6</v>
          </cell>
          <cell r="L2089">
            <v>19968.599999999999</v>
          </cell>
          <cell r="M2089" t="str">
            <v/>
          </cell>
          <cell r="N2089">
            <v>-0.6</v>
          </cell>
        </row>
        <row r="2090">
          <cell r="A2090">
            <v>13383</v>
          </cell>
          <cell r="B2090" t="str">
            <v>26/04/2018</v>
          </cell>
          <cell r="C2090" t="str">
            <v>CALLOUT</v>
          </cell>
          <cell r="D2090" t="str">
            <v>pressure test cihiller</v>
          </cell>
          <cell r="E2090" t="str">
            <v>Adcock Refrigeration &amp; Air Conditioning</v>
          </cell>
          <cell r="F2090" t="str">
            <v>Subcontractor</v>
          </cell>
          <cell r="G2090" t="str">
            <v/>
          </cell>
          <cell r="H2090" t="str">
            <v/>
          </cell>
          <cell r="I2090" t="str">
            <v/>
          </cell>
          <cell r="J2090">
            <v>4037.58</v>
          </cell>
          <cell r="K2090">
            <v>807.52</v>
          </cell>
          <cell r="L2090">
            <v>1437.58</v>
          </cell>
          <cell r="M2090" t="str">
            <v/>
          </cell>
          <cell r="N2090">
            <v>2600</v>
          </cell>
        </row>
        <row r="2091">
          <cell r="A2091">
            <v>13372</v>
          </cell>
          <cell r="B2091" t="str">
            <v>25/04/2018</v>
          </cell>
          <cell r="C2091" t="str">
            <v>CALLOUT</v>
          </cell>
          <cell r="D2091" t="str">
            <v>Complete Works this Saturday - working with Adam Poulton</v>
          </cell>
          <cell r="E2091" t="str">
            <v>Manchester Refrigeration Techniques Ltd</v>
          </cell>
          <cell r="F2091" t="str">
            <v>Subcontractor</v>
          </cell>
          <cell r="G2091" t="str">
            <v/>
          </cell>
          <cell r="H2091" t="str">
            <v/>
          </cell>
          <cell r="I2091" t="str">
            <v/>
          </cell>
          <cell r="J2091">
            <v>250</v>
          </cell>
          <cell r="K2091">
            <v>50</v>
          </cell>
          <cell r="L2091">
            <v>250</v>
          </cell>
          <cell r="M2091" t="str">
            <v/>
          </cell>
          <cell r="N2091">
            <v>0</v>
          </cell>
        </row>
        <row r="2092">
          <cell r="A2092">
            <v>13371</v>
          </cell>
          <cell r="B2092" t="str">
            <v>25/04/2018</v>
          </cell>
          <cell r="C2092" t="str">
            <v>CALLOUT</v>
          </cell>
          <cell r="D2092" t="str">
            <v>BMS investigation at Lowry House</v>
          </cell>
          <cell r="E2092" t="str">
            <v>Automated Building &amp; Energy Controls Ltd</v>
          </cell>
          <cell r="F2092" t="str">
            <v>Subcontractor</v>
          </cell>
          <cell r="G2092" t="str">
            <v/>
          </cell>
          <cell r="H2092" t="str">
            <v/>
          </cell>
          <cell r="I2092" t="str">
            <v/>
          </cell>
          <cell r="J2092">
            <v>450</v>
          </cell>
          <cell r="K2092">
            <v>90</v>
          </cell>
          <cell r="L2092">
            <v>450</v>
          </cell>
          <cell r="M2092" t="str">
            <v/>
          </cell>
          <cell r="N2092">
            <v>0</v>
          </cell>
        </row>
        <row r="2093">
          <cell r="A2093">
            <v>13366</v>
          </cell>
          <cell r="B2093" t="str">
            <v>25/04/2018</v>
          </cell>
          <cell r="C2093" t="str">
            <v>SERVICE</v>
          </cell>
          <cell r="D2093" t="str">
            <v>annual service of sliding doors (due May )</v>
          </cell>
          <cell r="E2093" t="str">
            <v>Amber Doors &amp; Loading Bay Services Limited</v>
          </cell>
          <cell r="F2093" t="str">
            <v>Subcontractor</v>
          </cell>
          <cell r="G2093" t="str">
            <v/>
          </cell>
          <cell r="H2093" t="str">
            <v/>
          </cell>
          <cell r="I2093" t="str">
            <v/>
          </cell>
          <cell r="J2093">
            <v>300</v>
          </cell>
          <cell r="K2093">
            <v>60</v>
          </cell>
          <cell r="L2093">
            <v>300</v>
          </cell>
          <cell r="M2093" t="str">
            <v/>
          </cell>
          <cell r="N2093">
            <v>0</v>
          </cell>
        </row>
        <row r="2094">
          <cell r="A2094">
            <v>13364</v>
          </cell>
          <cell r="B2094" t="str">
            <v>25/04/2018</v>
          </cell>
          <cell r="C2094" t="str">
            <v>C1497</v>
          </cell>
          <cell r="D2094" t="str">
            <v>Provide Fitter Welder as required Agreed rate of £26.00 per</v>
          </cell>
          <cell r="E2094" t="str">
            <v>Enco Ltd</v>
          </cell>
          <cell r="F2094" t="str">
            <v>Subcontractor</v>
          </cell>
          <cell r="G2094" t="str">
            <v>24/04/2018</v>
          </cell>
          <cell r="H2094" t="str">
            <v>Complete</v>
          </cell>
          <cell r="I2094" t="str">
            <v/>
          </cell>
          <cell r="J2094">
            <v>0</v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</row>
        <row r="2095">
          <cell r="A2095">
            <v>13362</v>
          </cell>
          <cell r="B2095" t="str">
            <v>24/04/2018</v>
          </cell>
          <cell r="C2095" t="str">
            <v>C1497</v>
          </cell>
          <cell r="D2095" t="str">
            <v>Mechanical Plantroom Installation</v>
          </cell>
          <cell r="E2095" t="str">
            <v>Enco Ltd</v>
          </cell>
          <cell r="F2095" t="str">
            <v>Subcontractor</v>
          </cell>
          <cell r="G2095" t="str">
            <v>08/05/2018</v>
          </cell>
          <cell r="H2095" t="str">
            <v>Complete</v>
          </cell>
          <cell r="I2095" t="str">
            <v/>
          </cell>
          <cell r="J2095">
            <v>0</v>
          </cell>
          <cell r="K2095">
            <v>0</v>
          </cell>
          <cell r="L2095">
            <v>1997.5</v>
          </cell>
          <cell r="M2095" t="str">
            <v/>
          </cell>
          <cell r="N2095">
            <v>-1997.5</v>
          </cell>
        </row>
        <row r="2096">
          <cell r="A2096">
            <v>13349</v>
          </cell>
          <cell r="B2096" t="str">
            <v>24/04/2018</v>
          </cell>
          <cell r="C2096" t="str">
            <v>C1518</v>
          </cell>
          <cell r="D2096" t="str">
            <v>Electrical Strip Out to Form HC Facility</v>
          </cell>
          <cell r="E2096" t="str">
            <v>Key Integrated Services (Electrical) Ltd</v>
          </cell>
          <cell r="F2096" t="str">
            <v>Subcontractor</v>
          </cell>
          <cell r="G2096" t="str">
            <v>24/04/2018</v>
          </cell>
          <cell r="H2096" t="str">
            <v>Part</v>
          </cell>
          <cell r="I2096" t="str">
            <v/>
          </cell>
          <cell r="J2096">
            <v>18600</v>
          </cell>
          <cell r="K2096">
            <v>3720</v>
          </cell>
          <cell r="L2096">
            <v>18600</v>
          </cell>
          <cell r="M2096" t="str">
            <v/>
          </cell>
          <cell r="N2096">
            <v>0</v>
          </cell>
        </row>
        <row r="2097">
          <cell r="A2097">
            <v>13348</v>
          </cell>
          <cell r="B2097" t="str">
            <v>24/04/2018</v>
          </cell>
          <cell r="C2097" t="str">
            <v>C1518</v>
          </cell>
          <cell r="D2097" t="str">
            <v>New Lights to Factory Main Corridor</v>
          </cell>
          <cell r="E2097" t="str">
            <v>Key Integrated Services (Electrical) Ltd</v>
          </cell>
          <cell r="F2097" t="str">
            <v>Subcontractor</v>
          </cell>
          <cell r="G2097" t="str">
            <v>24/04/2018</v>
          </cell>
          <cell r="H2097" t="str">
            <v/>
          </cell>
          <cell r="I2097" t="str">
            <v/>
          </cell>
          <cell r="J2097">
            <v>3820</v>
          </cell>
          <cell r="K2097">
            <v>764</v>
          </cell>
          <cell r="L2097">
            <v>3820</v>
          </cell>
          <cell r="M2097" t="str">
            <v/>
          </cell>
          <cell r="N2097">
            <v>0</v>
          </cell>
        </row>
        <row r="2098">
          <cell r="A2098">
            <v>13347</v>
          </cell>
          <cell r="B2098" t="str">
            <v>24/04/2018</v>
          </cell>
          <cell r="C2098" t="str">
            <v>C1518</v>
          </cell>
          <cell r="D2098" t="str">
            <v>Re-Route Main LV Factory Supply</v>
          </cell>
          <cell r="E2098" t="str">
            <v>Key Integrated Services (Electrical) Ltd</v>
          </cell>
          <cell r="F2098" t="str">
            <v>Subcontractor</v>
          </cell>
          <cell r="G2098" t="str">
            <v>24/04/2018</v>
          </cell>
          <cell r="H2098" t="str">
            <v/>
          </cell>
          <cell r="I2098" t="str">
            <v/>
          </cell>
          <cell r="J2098">
            <v>5884</v>
          </cell>
          <cell r="K2098">
            <v>1176.8</v>
          </cell>
          <cell r="L2098">
            <v>5884</v>
          </cell>
          <cell r="M2098" t="str">
            <v/>
          </cell>
          <cell r="N2098">
            <v>0</v>
          </cell>
        </row>
        <row r="2099">
          <cell r="A2099">
            <v>13345</v>
          </cell>
          <cell r="B2099" t="str">
            <v>24/04/2018</v>
          </cell>
          <cell r="C2099" t="str">
            <v>C1480</v>
          </cell>
          <cell r="D2099" t="str">
            <v>Supply and install a smoke vent system as per Quote FBS21808</v>
          </cell>
          <cell r="E2099" t="str">
            <v>Fire Bright Solutions Ltd</v>
          </cell>
          <cell r="F2099" t="str">
            <v>Subcontractor</v>
          </cell>
          <cell r="G2099" t="str">
            <v/>
          </cell>
          <cell r="H2099" t="str">
            <v/>
          </cell>
          <cell r="I2099" t="str">
            <v/>
          </cell>
          <cell r="J2099">
            <v>31219.43</v>
          </cell>
          <cell r="K2099">
            <v>6243.89</v>
          </cell>
          <cell r="L2099">
            <v>31219.43</v>
          </cell>
          <cell r="M2099" t="str">
            <v/>
          </cell>
          <cell r="N2099">
            <v>0</v>
          </cell>
        </row>
        <row r="2100">
          <cell r="A2100">
            <v>13344</v>
          </cell>
          <cell r="B2100" t="str">
            <v>23/04/2018</v>
          </cell>
          <cell r="C2100" t="str">
            <v>C1530</v>
          </cell>
          <cell r="D2100" t="str">
            <v>Installation of Ductwork</v>
          </cell>
          <cell r="E2100" t="str">
            <v>ExcelVent Solutions Ltd</v>
          </cell>
          <cell r="F2100" t="str">
            <v>Subcontractor</v>
          </cell>
          <cell r="G2100" t="str">
            <v>16/04/2018</v>
          </cell>
          <cell r="H2100" t="str">
            <v/>
          </cell>
          <cell r="I2100" t="str">
            <v/>
          </cell>
          <cell r="J2100">
            <v>21490.62</v>
          </cell>
          <cell r="K2100">
            <v>4298.12</v>
          </cell>
          <cell r="L2100">
            <v>21490.62</v>
          </cell>
          <cell r="M2100" t="str">
            <v/>
          </cell>
          <cell r="N2100">
            <v>0</v>
          </cell>
        </row>
        <row r="2101">
          <cell r="A2101">
            <v>13329</v>
          </cell>
          <cell r="B2101" t="str">
            <v>20/04/2018</v>
          </cell>
          <cell r="C2101" t="str">
            <v>C1527</v>
          </cell>
          <cell r="D2101" t="str">
            <v>Electrical Works Lantmannen</v>
          </cell>
          <cell r="E2101" t="str">
            <v>Key Integrated Services (Electrical) Ltd</v>
          </cell>
          <cell r="F2101" t="str">
            <v>Subcontractor</v>
          </cell>
          <cell r="G2101" t="str">
            <v/>
          </cell>
          <cell r="H2101" t="str">
            <v>Part</v>
          </cell>
          <cell r="I2101" t="str">
            <v/>
          </cell>
          <cell r="J2101">
            <v>64770.32</v>
          </cell>
          <cell r="K2101">
            <v>12954.06</v>
          </cell>
          <cell r="L2101">
            <v>73342.600000000006</v>
          </cell>
          <cell r="M2101" t="str">
            <v/>
          </cell>
          <cell r="N2101">
            <v>-8572.2800000000007</v>
          </cell>
        </row>
        <row r="2102">
          <cell r="A2102">
            <v>13314</v>
          </cell>
          <cell r="B2102" t="str">
            <v>20/04/2018</v>
          </cell>
          <cell r="C2102" t="str">
            <v>C1497</v>
          </cell>
          <cell r="D2102" t="str">
            <v>Installation of water heaters &amp; boiler flue installation</v>
          </cell>
          <cell r="E2102" t="str">
            <v>Flue-Stax Ltd</v>
          </cell>
          <cell r="F2102" t="str">
            <v>Subcontractor</v>
          </cell>
          <cell r="G2102" t="str">
            <v>14/05/2018</v>
          </cell>
          <cell r="H2102" t="str">
            <v/>
          </cell>
          <cell r="I2102" t="str">
            <v/>
          </cell>
          <cell r="J2102">
            <v>20000</v>
          </cell>
          <cell r="K2102">
            <v>4000</v>
          </cell>
          <cell r="L2102">
            <v>20000</v>
          </cell>
          <cell r="M2102" t="str">
            <v/>
          </cell>
          <cell r="N2102">
            <v>0</v>
          </cell>
        </row>
        <row r="2103">
          <cell r="A2103">
            <v>13312</v>
          </cell>
          <cell r="B2103" t="str">
            <v>19/04/2018</v>
          </cell>
          <cell r="C2103" t="str">
            <v>CALLOUT</v>
          </cell>
          <cell r="D2103" t="str">
            <v>supply and install drinking tap nad filter and mixer tap as</v>
          </cell>
          <cell r="E2103" t="str">
            <v>Viabl Ltd T/A Able</v>
          </cell>
          <cell r="F2103" t="str">
            <v>Subcontractor</v>
          </cell>
          <cell r="G2103" t="str">
            <v/>
          </cell>
          <cell r="H2103" t="str">
            <v/>
          </cell>
          <cell r="I2103" t="str">
            <v/>
          </cell>
          <cell r="J2103">
            <v>450</v>
          </cell>
          <cell r="K2103">
            <v>90</v>
          </cell>
          <cell r="L2103">
            <v>450</v>
          </cell>
          <cell r="M2103" t="str">
            <v/>
          </cell>
          <cell r="N2103">
            <v>0</v>
          </cell>
        </row>
        <row r="2104">
          <cell r="A2104">
            <v>13308</v>
          </cell>
          <cell r="B2104" t="str">
            <v>19/04/2018</v>
          </cell>
          <cell r="C2104" t="str">
            <v>CALLOUT</v>
          </cell>
          <cell r="D2104" t="str">
            <v>Attended site to investigate issues AC on 2nd Floor</v>
          </cell>
          <cell r="E2104" t="str">
            <v>Manchester Refrigeration Techniques Ltd</v>
          </cell>
          <cell r="F2104" t="str">
            <v>Subcontractor</v>
          </cell>
          <cell r="G2104" t="str">
            <v/>
          </cell>
          <cell r="H2104" t="str">
            <v/>
          </cell>
          <cell r="I2104" t="str">
            <v/>
          </cell>
          <cell r="J2104">
            <v>750</v>
          </cell>
          <cell r="K2104">
            <v>150</v>
          </cell>
          <cell r="L2104">
            <v>750</v>
          </cell>
          <cell r="M2104" t="str">
            <v/>
          </cell>
          <cell r="N2104">
            <v>0</v>
          </cell>
        </row>
        <row r="2105">
          <cell r="A2105">
            <v>13307</v>
          </cell>
          <cell r="B2105" t="str">
            <v>19/04/2018</v>
          </cell>
          <cell r="C2105" t="str">
            <v>C1489</v>
          </cell>
          <cell r="D2105" t="str">
            <v>Ref 13401-1</v>
          </cell>
          <cell r="E2105" t="str">
            <v>Defabs Engineering Ltd</v>
          </cell>
          <cell r="F2105" t="str">
            <v>Subcontractor</v>
          </cell>
          <cell r="G2105" t="str">
            <v>19/04/2018</v>
          </cell>
          <cell r="H2105" t="str">
            <v/>
          </cell>
          <cell r="I2105" t="str">
            <v/>
          </cell>
          <cell r="J2105">
            <v>358.46</v>
          </cell>
          <cell r="K2105">
            <v>71.69</v>
          </cell>
          <cell r="L2105">
            <v>358.46</v>
          </cell>
          <cell r="M2105" t="str">
            <v/>
          </cell>
          <cell r="N2105">
            <v>0</v>
          </cell>
        </row>
        <row r="2106">
          <cell r="A2106">
            <v>13299</v>
          </cell>
          <cell r="B2106" t="str">
            <v>18/04/2018</v>
          </cell>
          <cell r="C2106" t="str">
            <v>SERVICE</v>
          </cell>
          <cell r="D2106" t="str">
            <v>2no lifts 4 x vsits per annum</v>
          </cell>
          <cell r="E2106" t="str">
            <v>Ansa Elevators Limited</v>
          </cell>
          <cell r="F2106" t="str">
            <v>Subcontractor</v>
          </cell>
          <cell r="G2106" t="str">
            <v/>
          </cell>
          <cell r="H2106" t="str">
            <v/>
          </cell>
          <cell r="I2106" t="str">
            <v/>
          </cell>
          <cell r="J2106">
            <v>800</v>
          </cell>
          <cell r="K2106">
            <v>160</v>
          </cell>
          <cell r="L2106">
            <v>800</v>
          </cell>
          <cell r="M2106" t="str">
            <v/>
          </cell>
          <cell r="N2106">
            <v>0</v>
          </cell>
        </row>
        <row r="2107">
          <cell r="A2107">
            <v>13298</v>
          </cell>
          <cell r="B2107" t="str">
            <v>18/04/2018</v>
          </cell>
          <cell r="C2107" t="str">
            <v>SERVICE</v>
          </cell>
          <cell r="D2107" t="str">
            <v>Carry out 12no maintenance visits per annum</v>
          </cell>
          <cell r="E2107" t="str">
            <v>Ansa Elevators Limited</v>
          </cell>
          <cell r="F2107" t="str">
            <v>Subcontractor</v>
          </cell>
          <cell r="G2107" t="str">
            <v/>
          </cell>
          <cell r="H2107" t="str">
            <v/>
          </cell>
          <cell r="I2107" t="str">
            <v/>
          </cell>
          <cell r="J2107">
            <v>400</v>
          </cell>
          <cell r="K2107">
            <v>80</v>
          </cell>
          <cell r="L2107">
            <v>400</v>
          </cell>
          <cell r="M2107" t="str">
            <v/>
          </cell>
          <cell r="N2107">
            <v>0</v>
          </cell>
        </row>
        <row r="2108">
          <cell r="A2108">
            <v>13295</v>
          </cell>
          <cell r="B2108" t="str">
            <v>18/04/2018</v>
          </cell>
          <cell r="C2108" t="str">
            <v>SERVICE</v>
          </cell>
          <cell r="D2108" t="str">
            <v>1no Service Visit per annum to the BMS System</v>
          </cell>
          <cell r="E2108" t="str">
            <v>Automated Building &amp; Energy Controls Ltd</v>
          </cell>
          <cell r="F2108" t="str">
            <v>Subcontractor</v>
          </cell>
          <cell r="G2108" t="str">
            <v/>
          </cell>
          <cell r="H2108" t="str">
            <v/>
          </cell>
          <cell r="I2108" t="str">
            <v/>
          </cell>
          <cell r="J2108">
            <v>450</v>
          </cell>
          <cell r="K2108">
            <v>90</v>
          </cell>
          <cell r="L2108">
            <v>450</v>
          </cell>
          <cell r="M2108" t="str">
            <v/>
          </cell>
          <cell r="N2108">
            <v>0</v>
          </cell>
        </row>
        <row r="2109">
          <cell r="A2109">
            <v>13291</v>
          </cell>
          <cell r="B2109" t="str">
            <v>18/04/2018</v>
          </cell>
          <cell r="C2109" t="str">
            <v>SERVICE</v>
          </cell>
          <cell r="D2109" t="str">
            <v>Carry out 12no maintenance visits per annum</v>
          </cell>
          <cell r="E2109" t="str">
            <v>Ansa Elevators Limited</v>
          </cell>
          <cell r="F2109" t="str">
            <v>Subcontractor</v>
          </cell>
          <cell r="G2109" t="str">
            <v/>
          </cell>
          <cell r="H2109" t="str">
            <v/>
          </cell>
          <cell r="I2109" t="str">
            <v/>
          </cell>
          <cell r="J2109">
            <v>1460</v>
          </cell>
          <cell r="K2109">
            <v>292</v>
          </cell>
          <cell r="L2109">
            <v>730</v>
          </cell>
          <cell r="M2109" t="str">
            <v/>
          </cell>
          <cell r="N2109">
            <v>730</v>
          </cell>
        </row>
        <row r="2110">
          <cell r="A2110">
            <v>13286</v>
          </cell>
          <cell r="B2110" t="str">
            <v>18/04/2018</v>
          </cell>
          <cell r="C2110" t="str">
            <v>C1480</v>
          </cell>
          <cell r="D2110" t="str">
            <v>Supply and installation of Dry Riser Works</v>
          </cell>
          <cell r="E2110" t="str">
            <v>Nationwide Dry Risers Ltd</v>
          </cell>
          <cell r="F2110" t="str">
            <v>Subcontractor</v>
          </cell>
          <cell r="G2110" t="str">
            <v/>
          </cell>
          <cell r="H2110" t="str">
            <v/>
          </cell>
          <cell r="I2110" t="str">
            <v/>
          </cell>
          <cell r="J2110">
            <v>7110</v>
          </cell>
          <cell r="K2110">
            <v>1422</v>
          </cell>
          <cell r="L2110">
            <v>7110</v>
          </cell>
          <cell r="M2110" t="str">
            <v/>
          </cell>
          <cell r="N2110">
            <v>0</v>
          </cell>
        </row>
        <row r="2111">
          <cell r="A2111">
            <v>13279</v>
          </cell>
          <cell r="B2111" t="str">
            <v>18/04/2018</v>
          </cell>
          <cell r="C2111" t="str">
            <v>CALLOUT</v>
          </cell>
          <cell r="D2111" t="str">
            <v>replace marshalling box as per quote</v>
          </cell>
          <cell r="E2111" t="str">
            <v>Barrie Beard Ltd</v>
          </cell>
          <cell r="F2111" t="str">
            <v>Subcontractor</v>
          </cell>
          <cell r="G2111" t="str">
            <v/>
          </cell>
          <cell r="H2111" t="str">
            <v/>
          </cell>
          <cell r="I2111" t="str">
            <v/>
          </cell>
          <cell r="J2111">
            <v>180</v>
          </cell>
          <cell r="K2111">
            <v>36</v>
          </cell>
          <cell r="L2111">
            <v>0</v>
          </cell>
          <cell r="M2111" t="str">
            <v/>
          </cell>
          <cell r="N2111">
            <v>180</v>
          </cell>
        </row>
        <row r="2112">
          <cell r="A2112">
            <v>13257</v>
          </cell>
          <cell r="B2112" t="str">
            <v>16/04/2018</v>
          </cell>
          <cell r="C2112" t="str">
            <v>C1497</v>
          </cell>
          <cell r="D2112" t="str">
            <v/>
          </cell>
          <cell r="E2112" t="str">
            <v>Scottfab Insulation Ltd</v>
          </cell>
          <cell r="F2112" t="str">
            <v>Subcontractor</v>
          </cell>
          <cell r="G2112" t="str">
            <v>17/04/2018</v>
          </cell>
          <cell r="H2112" t="str">
            <v/>
          </cell>
          <cell r="I2112" t="str">
            <v/>
          </cell>
          <cell r="J2112">
            <v>3890</v>
          </cell>
          <cell r="K2112">
            <v>778</v>
          </cell>
          <cell r="L2112">
            <v>3890</v>
          </cell>
          <cell r="M2112" t="str">
            <v/>
          </cell>
          <cell r="N2112">
            <v>0</v>
          </cell>
        </row>
        <row r="2113">
          <cell r="A2113">
            <v>13245</v>
          </cell>
          <cell r="B2113" t="str">
            <v>13/04/2018</v>
          </cell>
          <cell r="C2113" t="str">
            <v>C1490</v>
          </cell>
          <cell r="D2113" t="str">
            <v>Order for the supply and install of ceiling grid</v>
          </cell>
          <cell r="E2113" t="str">
            <v>Cheltenham Ceiling</v>
          </cell>
          <cell r="F2113" t="str">
            <v>Subcontractor</v>
          </cell>
          <cell r="G2113" t="str">
            <v>17/04/2018</v>
          </cell>
          <cell r="H2113" t="str">
            <v/>
          </cell>
          <cell r="I2113" t="str">
            <v/>
          </cell>
          <cell r="J2113">
            <v>540</v>
          </cell>
          <cell r="K2113">
            <v>108</v>
          </cell>
          <cell r="L2113">
            <v>540</v>
          </cell>
          <cell r="M2113" t="str">
            <v/>
          </cell>
          <cell r="N2113">
            <v>0</v>
          </cell>
        </row>
        <row r="2114">
          <cell r="A2114">
            <v>13238</v>
          </cell>
          <cell r="B2114" t="str">
            <v>12/04/2018</v>
          </cell>
          <cell r="C2114" t="str">
            <v>C1480</v>
          </cell>
          <cell r="D2114" t="str">
            <v>Insulation Works, Vent, HTG, DWS, Plantroom and plantdeck</v>
          </cell>
          <cell r="E2114" t="str">
            <v>Scottfab Insulation Ltd</v>
          </cell>
          <cell r="F2114" t="str">
            <v>Subcontractor</v>
          </cell>
          <cell r="G2114" t="str">
            <v/>
          </cell>
          <cell r="H2114" t="str">
            <v>Part</v>
          </cell>
          <cell r="I2114" t="str">
            <v/>
          </cell>
          <cell r="J2114">
            <v>18180</v>
          </cell>
          <cell r="K2114">
            <v>3636</v>
          </cell>
          <cell r="L2114">
            <v>18180</v>
          </cell>
          <cell r="M2114" t="str">
            <v/>
          </cell>
          <cell r="N2114">
            <v>0</v>
          </cell>
        </row>
        <row r="2115">
          <cell r="A2115">
            <v>13237</v>
          </cell>
          <cell r="B2115" t="str">
            <v>12/04/2018</v>
          </cell>
          <cell r="C2115" t="str">
            <v>C1480</v>
          </cell>
          <cell r="D2115" t="str">
            <v>Re-run heating and cooling loads</v>
          </cell>
          <cell r="E2115" t="str">
            <v>Couch Perry &amp; Wilkes Environmental LLP</v>
          </cell>
          <cell r="F2115" t="str">
            <v>Subcontractor</v>
          </cell>
          <cell r="G2115" t="str">
            <v/>
          </cell>
          <cell r="H2115" t="str">
            <v/>
          </cell>
          <cell r="I2115" t="str">
            <v/>
          </cell>
          <cell r="J2115">
            <v>900</v>
          </cell>
          <cell r="K2115">
            <v>180</v>
          </cell>
          <cell r="L2115">
            <v>900</v>
          </cell>
          <cell r="M2115" t="str">
            <v/>
          </cell>
          <cell r="N2115">
            <v>0</v>
          </cell>
        </row>
        <row r="2116">
          <cell r="A2116">
            <v>13227</v>
          </cell>
          <cell r="B2116" t="str">
            <v>11/04/2018</v>
          </cell>
          <cell r="C2116" t="str">
            <v>SERVICE</v>
          </cell>
          <cell r="D2116" t="str">
            <v>6 monthly maintenance visit on AC Systems</v>
          </cell>
          <cell r="E2116" t="str">
            <v>ADS Aircon Ltd</v>
          </cell>
          <cell r="F2116" t="str">
            <v>Subcontractor</v>
          </cell>
          <cell r="G2116" t="str">
            <v/>
          </cell>
          <cell r="H2116" t="str">
            <v/>
          </cell>
          <cell r="I2116" t="str">
            <v/>
          </cell>
          <cell r="J2116">
            <v>774.9</v>
          </cell>
          <cell r="K2116">
            <v>154.97999999999999</v>
          </cell>
          <cell r="L2116">
            <v>774.9</v>
          </cell>
          <cell r="M2116" t="str">
            <v/>
          </cell>
          <cell r="N2116">
            <v>0</v>
          </cell>
        </row>
        <row r="2117">
          <cell r="A2117">
            <v>13215</v>
          </cell>
          <cell r="B2117" t="str">
            <v>10/04/2018</v>
          </cell>
          <cell r="C2117" t="str">
            <v>C1383</v>
          </cell>
          <cell r="D2117" t="str">
            <v>site visit to change taps on defects list 17.10.17 &amp; 5.1.18</v>
          </cell>
          <cell r="E2117" t="str">
            <v>Pole to Pole Climate Control Ltd</v>
          </cell>
          <cell r="F2117" t="str">
            <v>Subcontractor</v>
          </cell>
          <cell r="G2117" t="str">
            <v/>
          </cell>
          <cell r="H2117" t="str">
            <v/>
          </cell>
          <cell r="I2117" t="str">
            <v/>
          </cell>
          <cell r="J2117">
            <v>380</v>
          </cell>
          <cell r="K2117">
            <v>76</v>
          </cell>
          <cell r="L2117">
            <v>380</v>
          </cell>
          <cell r="M2117" t="str">
            <v/>
          </cell>
          <cell r="N2117">
            <v>0</v>
          </cell>
        </row>
        <row r="2118">
          <cell r="A2118">
            <v>13214</v>
          </cell>
          <cell r="B2118" t="str">
            <v>10/04/2018</v>
          </cell>
          <cell r="C2118" t="str">
            <v>C1377</v>
          </cell>
          <cell r="D2118" t="str">
            <v>Modify roof cowl</v>
          </cell>
          <cell r="E2118" t="str">
            <v>OLD COUGAR ACCOUNT- DO NOT USE</v>
          </cell>
          <cell r="F2118" t="str">
            <v>Subcontractor</v>
          </cell>
          <cell r="G2118" t="str">
            <v/>
          </cell>
          <cell r="H2118" t="str">
            <v/>
          </cell>
          <cell r="I2118" t="str">
            <v/>
          </cell>
          <cell r="J2118">
            <v>300</v>
          </cell>
          <cell r="K2118">
            <v>60</v>
          </cell>
          <cell r="L2118">
            <v>300</v>
          </cell>
          <cell r="M2118" t="str">
            <v/>
          </cell>
          <cell r="N2118">
            <v>0</v>
          </cell>
        </row>
        <row r="2119">
          <cell r="A2119">
            <v>13213</v>
          </cell>
          <cell r="B2119" t="str">
            <v>10/04/2018</v>
          </cell>
          <cell r="C2119" t="str">
            <v>CALLOUT</v>
          </cell>
          <cell r="D2119" t="str">
            <v>leaking tap 4th floor exec kitchen</v>
          </cell>
          <cell r="E2119" t="str">
            <v>Viabl Ltd T/A Able</v>
          </cell>
          <cell r="F2119" t="str">
            <v>Subcontractor</v>
          </cell>
          <cell r="G2119" t="str">
            <v/>
          </cell>
          <cell r="H2119" t="str">
            <v/>
          </cell>
          <cell r="I2119" t="str">
            <v/>
          </cell>
          <cell r="J2119">
            <v>65</v>
          </cell>
          <cell r="K2119">
            <v>13</v>
          </cell>
          <cell r="L2119">
            <v>65</v>
          </cell>
          <cell r="M2119" t="str">
            <v/>
          </cell>
          <cell r="N2119">
            <v>0</v>
          </cell>
        </row>
        <row r="2120">
          <cell r="A2120">
            <v>13211</v>
          </cell>
          <cell r="B2120" t="str">
            <v>10/04/2018</v>
          </cell>
          <cell r="C2120" t="str">
            <v>C1489</v>
          </cell>
          <cell r="D2120" t="str">
            <v>Extra Ventilation Branch Installation</v>
          </cell>
          <cell r="E2120" t="str">
            <v>OLD COUGAR ACCOUNT- DO NOT USE</v>
          </cell>
          <cell r="F2120" t="str">
            <v>Subcontractor</v>
          </cell>
          <cell r="G2120" t="str">
            <v>10/04/2018</v>
          </cell>
          <cell r="H2120" t="str">
            <v/>
          </cell>
          <cell r="I2120" t="str">
            <v/>
          </cell>
          <cell r="J2120">
            <v>550</v>
          </cell>
          <cell r="K2120">
            <v>110</v>
          </cell>
          <cell r="L2120">
            <v>550</v>
          </cell>
          <cell r="M2120" t="str">
            <v/>
          </cell>
          <cell r="N2120">
            <v>0</v>
          </cell>
        </row>
        <row r="2121">
          <cell r="A2121">
            <v>13192</v>
          </cell>
          <cell r="B2121" t="str">
            <v>05/04/2018</v>
          </cell>
          <cell r="C2121" t="str">
            <v>C1535</v>
          </cell>
          <cell r="D2121" t="str">
            <v>Supply &amp; Installation of Branch connection and Valve on a 11</v>
          </cell>
          <cell r="E2121" t="str">
            <v>Technical Utilities Services UK Ltd</v>
          </cell>
          <cell r="F2121" t="str">
            <v>Subcontractor</v>
          </cell>
          <cell r="G2121" t="str">
            <v>06/04/2018</v>
          </cell>
          <cell r="H2121" t="str">
            <v/>
          </cell>
          <cell r="I2121" t="str">
            <v/>
          </cell>
          <cell r="J2121">
            <v>850</v>
          </cell>
          <cell r="K2121">
            <v>170</v>
          </cell>
          <cell r="L2121">
            <v>850</v>
          </cell>
          <cell r="M2121" t="str">
            <v/>
          </cell>
          <cell r="N2121">
            <v>0</v>
          </cell>
        </row>
        <row r="2122">
          <cell r="A2122">
            <v>13187</v>
          </cell>
          <cell r="B2122" t="str">
            <v>05/04/2018</v>
          </cell>
          <cell r="C2122" t="str">
            <v>CALLOUT</v>
          </cell>
          <cell r="D2122" t="str">
            <v>Replace lights as per quote</v>
          </cell>
          <cell r="E2122" t="str">
            <v>Key Integrated Services North West Ltd</v>
          </cell>
          <cell r="F2122" t="str">
            <v>Subcontractor</v>
          </cell>
          <cell r="G2122" t="str">
            <v/>
          </cell>
          <cell r="H2122" t="str">
            <v/>
          </cell>
          <cell r="I2122" t="str">
            <v/>
          </cell>
          <cell r="J2122">
            <v>854.34</v>
          </cell>
          <cell r="K2122">
            <v>170.87</v>
          </cell>
          <cell r="L2122">
            <v>854.34</v>
          </cell>
          <cell r="M2122" t="str">
            <v/>
          </cell>
          <cell r="N2122">
            <v>0</v>
          </cell>
        </row>
        <row r="2123">
          <cell r="A2123">
            <v>13180</v>
          </cell>
          <cell r="B2123" t="str">
            <v>04/04/2018</v>
          </cell>
          <cell r="C2123" t="str">
            <v>CALLOUT</v>
          </cell>
          <cell r="D2123" t="str">
            <v>Carry out Works as per your ref TN-HU-HHS-01</v>
          </cell>
          <cell r="E2123" t="str">
            <v>Scottfab Insulation Ltd</v>
          </cell>
          <cell r="F2123" t="str">
            <v>Subcontractor</v>
          </cell>
          <cell r="G2123" t="str">
            <v/>
          </cell>
          <cell r="H2123" t="str">
            <v/>
          </cell>
          <cell r="I2123" t="str">
            <v/>
          </cell>
          <cell r="J2123">
            <v>505</v>
          </cell>
          <cell r="K2123">
            <v>101</v>
          </cell>
          <cell r="L2123">
            <v>505</v>
          </cell>
          <cell r="M2123" t="str">
            <v/>
          </cell>
          <cell r="N2123">
            <v>0</v>
          </cell>
        </row>
        <row r="2124">
          <cell r="A2124">
            <v>13177</v>
          </cell>
          <cell r="B2124" t="str">
            <v>04/04/2018</v>
          </cell>
          <cell r="C2124" t="str">
            <v>CALLOUT</v>
          </cell>
          <cell r="D2124" t="str">
            <v>Access Scaffolding - your re: 3747/1/1</v>
          </cell>
          <cell r="E2124" t="str">
            <v>A &amp; A Scaffolding Plus Eight (2003) Limited</v>
          </cell>
          <cell r="F2124" t="str">
            <v>Subcontractor</v>
          </cell>
          <cell r="G2124" t="str">
            <v/>
          </cell>
          <cell r="H2124" t="str">
            <v/>
          </cell>
          <cell r="I2124" t="str">
            <v/>
          </cell>
          <cell r="J2124">
            <v>380</v>
          </cell>
          <cell r="K2124">
            <v>76</v>
          </cell>
          <cell r="L2124">
            <v>380</v>
          </cell>
          <cell r="M2124" t="str">
            <v/>
          </cell>
          <cell r="N2124">
            <v>0</v>
          </cell>
        </row>
        <row r="2125">
          <cell r="A2125">
            <v>13165</v>
          </cell>
          <cell r="B2125" t="str">
            <v>29/03/2018</v>
          </cell>
          <cell r="C2125" t="str">
            <v>CALLOUT</v>
          </cell>
          <cell r="D2125" t="str">
            <v>callout no hot water</v>
          </cell>
          <cell r="E2125" t="str">
            <v>Viabl Ltd T/A Able</v>
          </cell>
          <cell r="F2125" t="str">
            <v>Subcontractor</v>
          </cell>
          <cell r="G2125" t="str">
            <v/>
          </cell>
          <cell r="H2125" t="str">
            <v/>
          </cell>
          <cell r="I2125" t="str">
            <v/>
          </cell>
          <cell r="J2125">
            <v>101</v>
          </cell>
          <cell r="K2125">
            <v>20.2</v>
          </cell>
          <cell r="L2125">
            <v>101</v>
          </cell>
          <cell r="M2125" t="str">
            <v/>
          </cell>
          <cell r="N2125">
            <v>0</v>
          </cell>
        </row>
        <row r="2126">
          <cell r="A2126">
            <v>13163</v>
          </cell>
          <cell r="B2126" t="str">
            <v>29/03/2018</v>
          </cell>
          <cell r="C2126" t="str">
            <v>C1480</v>
          </cell>
          <cell r="D2126" t="str">
            <v>Supply and install a fully functional BMS system</v>
          </cell>
          <cell r="E2126" t="str">
            <v>Eco-I Limited</v>
          </cell>
          <cell r="F2126" t="str">
            <v>Subcontractor</v>
          </cell>
          <cell r="G2126" t="str">
            <v/>
          </cell>
          <cell r="H2126" t="str">
            <v/>
          </cell>
          <cell r="I2126" t="str">
            <v/>
          </cell>
          <cell r="J2126">
            <v>54308</v>
          </cell>
          <cell r="K2126">
            <v>10861.6</v>
          </cell>
          <cell r="L2126">
            <v>54308</v>
          </cell>
          <cell r="M2126" t="str">
            <v/>
          </cell>
          <cell r="N2126">
            <v>0</v>
          </cell>
        </row>
        <row r="2127">
          <cell r="A2127">
            <v>13162</v>
          </cell>
          <cell r="B2127" t="str">
            <v>29/03/2018</v>
          </cell>
          <cell r="C2127" t="str">
            <v>C1480</v>
          </cell>
          <cell r="D2127" t="str">
            <v>Commissioning &amp; Chlorination works</v>
          </cell>
          <cell r="E2127" t="str">
            <v>New Era Commissioning Specialists Ltd</v>
          </cell>
          <cell r="F2127" t="str">
            <v>Subcontractor</v>
          </cell>
          <cell r="G2127" t="str">
            <v/>
          </cell>
          <cell r="H2127" t="str">
            <v>Complete</v>
          </cell>
          <cell r="I2127" t="str">
            <v/>
          </cell>
          <cell r="J2127">
            <v>10680</v>
          </cell>
          <cell r="K2127">
            <v>0</v>
          </cell>
          <cell r="L2127">
            <v>10680</v>
          </cell>
          <cell r="M2127" t="str">
            <v/>
          </cell>
          <cell r="N2127">
            <v>0</v>
          </cell>
        </row>
        <row r="2128">
          <cell r="A2128">
            <v>13161</v>
          </cell>
          <cell r="B2128" t="str">
            <v>29/03/2018</v>
          </cell>
          <cell r="C2128" t="str">
            <v>C1480</v>
          </cell>
          <cell r="D2128" t="str">
            <v>Supply and Install of UFH at Leeds College</v>
          </cell>
          <cell r="E2128" t="str">
            <v>Geotek Heating Limited</v>
          </cell>
          <cell r="F2128" t="str">
            <v>Subcontractor</v>
          </cell>
          <cell r="G2128" t="str">
            <v/>
          </cell>
          <cell r="H2128" t="str">
            <v/>
          </cell>
          <cell r="I2128" t="str">
            <v/>
          </cell>
          <cell r="J2128">
            <v>46787.08</v>
          </cell>
          <cell r="K2128">
            <v>9357.42</v>
          </cell>
          <cell r="L2128">
            <v>46787.08</v>
          </cell>
          <cell r="M2128" t="str">
            <v/>
          </cell>
          <cell r="N2128">
            <v>0</v>
          </cell>
        </row>
        <row r="2129">
          <cell r="A2129">
            <v>13158</v>
          </cell>
          <cell r="B2129" t="str">
            <v>28/03/2018</v>
          </cell>
          <cell r="C2129" t="str">
            <v>C1480</v>
          </cell>
          <cell r="D2129" t="str">
            <v>Air Conditioning Installation works</v>
          </cell>
          <cell r="E2129" t="str">
            <v>Heat Control Air Conditioning Ltd</v>
          </cell>
          <cell r="F2129" t="str">
            <v>Subcontractor</v>
          </cell>
          <cell r="G2129" t="str">
            <v/>
          </cell>
          <cell r="H2129" t="str">
            <v/>
          </cell>
          <cell r="I2129" t="str">
            <v/>
          </cell>
          <cell r="J2129">
            <v>31000</v>
          </cell>
          <cell r="K2129">
            <v>6200</v>
          </cell>
          <cell r="L2129">
            <v>31000</v>
          </cell>
          <cell r="M2129" t="str">
            <v/>
          </cell>
          <cell r="N2129">
            <v>0</v>
          </cell>
        </row>
        <row r="2130">
          <cell r="A2130">
            <v>13149</v>
          </cell>
          <cell r="B2130" t="str">
            <v>28/03/2018</v>
          </cell>
          <cell r="C2130" t="str">
            <v>SERVICE</v>
          </cell>
          <cell r="D2130" t="str">
            <v>AC Maintenance</v>
          </cell>
          <cell r="E2130" t="str">
            <v>Pole to Pole Climate Control Ltd</v>
          </cell>
          <cell r="F2130" t="str">
            <v>Subcontractor</v>
          </cell>
          <cell r="G2130" t="str">
            <v/>
          </cell>
          <cell r="H2130" t="str">
            <v/>
          </cell>
          <cell r="I2130" t="str">
            <v/>
          </cell>
          <cell r="J2130">
            <v>108</v>
          </cell>
          <cell r="K2130">
            <v>21.6</v>
          </cell>
          <cell r="L2130">
            <v>108</v>
          </cell>
          <cell r="M2130" t="str">
            <v/>
          </cell>
          <cell r="N2130">
            <v>0</v>
          </cell>
        </row>
        <row r="2131">
          <cell r="A2131">
            <v>13148</v>
          </cell>
          <cell r="B2131" t="str">
            <v>28/03/2018</v>
          </cell>
          <cell r="C2131" t="str">
            <v>SERVICE</v>
          </cell>
          <cell r="D2131" t="str">
            <v>service worc 18si gas boiler as per quote</v>
          </cell>
          <cell r="E2131" t="str">
            <v>Pole to Pole Climate Control Ltd</v>
          </cell>
          <cell r="F2131" t="str">
            <v>Subcontractor</v>
          </cell>
          <cell r="G2131" t="str">
            <v/>
          </cell>
          <cell r="H2131" t="str">
            <v/>
          </cell>
          <cell r="I2131" t="str">
            <v/>
          </cell>
          <cell r="J2131">
            <v>190</v>
          </cell>
          <cell r="K2131">
            <v>38</v>
          </cell>
          <cell r="L2131">
            <v>190</v>
          </cell>
          <cell r="M2131" t="str">
            <v/>
          </cell>
          <cell r="N2131">
            <v>0</v>
          </cell>
        </row>
        <row r="2132">
          <cell r="A2132">
            <v>13144</v>
          </cell>
          <cell r="B2132" t="str">
            <v>27/03/2018</v>
          </cell>
          <cell r="C2132" t="str">
            <v>SERVICE</v>
          </cell>
          <cell r="D2132" t="str">
            <v>Carry out AC Maintenance</v>
          </cell>
          <cell r="E2132" t="str">
            <v>Manchester Refrigeration Techniques Ltd</v>
          </cell>
          <cell r="F2132" t="str">
            <v>Subcontractor</v>
          </cell>
          <cell r="G2132" t="str">
            <v/>
          </cell>
          <cell r="H2132" t="str">
            <v/>
          </cell>
          <cell r="I2132" t="str">
            <v/>
          </cell>
          <cell r="J2132">
            <v>275</v>
          </cell>
          <cell r="K2132">
            <v>0</v>
          </cell>
          <cell r="L2132">
            <v>275</v>
          </cell>
          <cell r="M2132" t="str">
            <v/>
          </cell>
          <cell r="N2132">
            <v>0</v>
          </cell>
        </row>
        <row r="2133">
          <cell r="A2133">
            <v>13135</v>
          </cell>
          <cell r="B2133" t="str">
            <v>26/03/2018</v>
          </cell>
          <cell r="C2133" t="str">
            <v>CALLOUT</v>
          </cell>
          <cell r="D2133" t="str">
            <v>faulty floor box</v>
          </cell>
          <cell r="E2133" t="str">
            <v>Viabl Ltd T/A Able</v>
          </cell>
          <cell r="F2133" t="str">
            <v>Subcontractor</v>
          </cell>
          <cell r="G2133" t="str">
            <v/>
          </cell>
          <cell r="H2133" t="str">
            <v/>
          </cell>
          <cell r="I2133" t="str">
            <v/>
          </cell>
          <cell r="J2133">
            <v>72</v>
          </cell>
          <cell r="K2133">
            <v>14.4</v>
          </cell>
          <cell r="L2133">
            <v>72</v>
          </cell>
          <cell r="M2133" t="str">
            <v/>
          </cell>
          <cell r="N2133">
            <v>0</v>
          </cell>
        </row>
        <row r="2134">
          <cell r="A2134">
            <v>13131</v>
          </cell>
          <cell r="B2134" t="str">
            <v>26/03/2018</v>
          </cell>
          <cell r="C2134" t="str">
            <v>CALLOUT</v>
          </cell>
          <cell r="D2134" t="str">
            <v>supply and fit 5no heaters as per quote (891.39+253)</v>
          </cell>
          <cell r="E2134" t="str">
            <v>Kestrel North West Limited</v>
          </cell>
          <cell r="F2134" t="str">
            <v>Subcontractor</v>
          </cell>
          <cell r="G2134" t="str">
            <v/>
          </cell>
          <cell r="H2134" t="str">
            <v/>
          </cell>
          <cell r="I2134" t="str">
            <v/>
          </cell>
          <cell r="J2134">
            <v>1144.3900000000001</v>
          </cell>
          <cell r="K2134">
            <v>228.88</v>
          </cell>
          <cell r="L2134">
            <v>1144.3900000000001</v>
          </cell>
          <cell r="M2134" t="str">
            <v/>
          </cell>
          <cell r="N2134">
            <v>0</v>
          </cell>
        </row>
        <row r="2135">
          <cell r="A2135">
            <v>13121</v>
          </cell>
          <cell r="B2135" t="str">
            <v>22/03/2018</v>
          </cell>
          <cell r="C2135" t="str">
            <v>CALLOUT</v>
          </cell>
          <cell r="D2135" t="str">
            <v>replace damaged light fttg (damaged by leak from fcu)</v>
          </cell>
          <cell r="E2135" t="str">
            <v>Barrie Beard Ltd</v>
          </cell>
          <cell r="F2135" t="str">
            <v>Subcontractor</v>
          </cell>
          <cell r="G2135" t="str">
            <v/>
          </cell>
          <cell r="H2135" t="str">
            <v/>
          </cell>
          <cell r="I2135" t="str">
            <v/>
          </cell>
          <cell r="J2135">
            <v>155</v>
          </cell>
          <cell r="K2135">
            <v>31</v>
          </cell>
          <cell r="L2135">
            <v>155</v>
          </cell>
          <cell r="M2135" t="str">
            <v/>
          </cell>
          <cell r="N2135">
            <v>0</v>
          </cell>
        </row>
        <row r="2136">
          <cell r="A2136">
            <v>13120</v>
          </cell>
          <cell r="B2136" t="str">
            <v>22/03/2018</v>
          </cell>
          <cell r="C2136" t="str">
            <v>SERVICE</v>
          </cell>
          <cell r="D2136" t="str">
            <v>AC Maintenance</v>
          </cell>
          <cell r="E2136" t="str">
            <v>Adcock Refrigeration &amp; Air Conditioning</v>
          </cell>
          <cell r="F2136" t="str">
            <v>Subcontractor</v>
          </cell>
          <cell r="G2136" t="str">
            <v/>
          </cell>
          <cell r="H2136" t="str">
            <v/>
          </cell>
          <cell r="I2136" t="str">
            <v/>
          </cell>
          <cell r="J2136">
            <v>150</v>
          </cell>
          <cell r="K2136">
            <v>30</v>
          </cell>
          <cell r="L2136">
            <v>150</v>
          </cell>
          <cell r="M2136" t="str">
            <v/>
          </cell>
          <cell r="N2136">
            <v>0</v>
          </cell>
        </row>
        <row r="2137">
          <cell r="A2137">
            <v>13117</v>
          </cell>
          <cell r="B2137" t="str">
            <v>22/03/2018</v>
          </cell>
          <cell r="C2137" t="str">
            <v>CALLOUT</v>
          </cell>
          <cell r="D2137" t="str">
            <v>lights out in office</v>
          </cell>
          <cell r="E2137" t="str">
            <v>Key Integrated Services (Electrical) Ltd</v>
          </cell>
          <cell r="F2137" t="str">
            <v>Subcontractor</v>
          </cell>
          <cell r="G2137" t="str">
            <v/>
          </cell>
          <cell r="H2137" t="str">
            <v/>
          </cell>
          <cell r="I2137" t="str">
            <v/>
          </cell>
          <cell r="J2137">
            <v>73</v>
          </cell>
          <cell r="K2137">
            <v>14.6</v>
          </cell>
          <cell r="L2137">
            <v>73</v>
          </cell>
          <cell r="M2137" t="str">
            <v/>
          </cell>
          <cell r="N2137">
            <v>0</v>
          </cell>
        </row>
        <row r="2138">
          <cell r="A2138">
            <v>13116</v>
          </cell>
          <cell r="B2138" t="str">
            <v>22/03/2018</v>
          </cell>
          <cell r="C2138" t="str">
            <v>CALLOUT</v>
          </cell>
          <cell r="D2138" t="str">
            <v>lights out</v>
          </cell>
          <cell r="E2138" t="str">
            <v>Key Integrated Services (Electrical) Ltd</v>
          </cell>
          <cell r="F2138" t="str">
            <v>Subcontractor</v>
          </cell>
          <cell r="G2138" t="str">
            <v/>
          </cell>
          <cell r="H2138" t="str">
            <v/>
          </cell>
          <cell r="I2138" t="str">
            <v/>
          </cell>
          <cell r="J2138">
            <v>68</v>
          </cell>
          <cell r="K2138">
            <v>13.6</v>
          </cell>
          <cell r="L2138">
            <v>68</v>
          </cell>
          <cell r="M2138" t="str">
            <v/>
          </cell>
          <cell r="N2138">
            <v>0</v>
          </cell>
        </row>
        <row r="2139">
          <cell r="A2139">
            <v>13114</v>
          </cell>
          <cell r="B2139" t="str">
            <v>21/03/2018</v>
          </cell>
          <cell r="C2139" t="str">
            <v>C1480</v>
          </cell>
          <cell r="D2139" t="str">
            <v>Rebuild Overheating model</v>
          </cell>
          <cell r="E2139" t="str">
            <v>Couch Perry &amp; Wilkes Environmental LLP</v>
          </cell>
          <cell r="F2139" t="str">
            <v>Subcontractor</v>
          </cell>
          <cell r="G2139" t="str">
            <v/>
          </cell>
          <cell r="H2139" t="str">
            <v>Complete</v>
          </cell>
          <cell r="I2139" t="str">
            <v/>
          </cell>
          <cell r="J2139">
            <v>0</v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</row>
        <row r="2140">
          <cell r="A2140">
            <v>13110</v>
          </cell>
          <cell r="B2140" t="str">
            <v>21/03/2018</v>
          </cell>
          <cell r="C2140" t="str">
            <v>CALLOUT</v>
          </cell>
          <cell r="D2140" t="str">
            <v>h/l lights using MEWP, wc lights</v>
          </cell>
          <cell r="E2140" t="str">
            <v>Kestrel North West Limited</v>
          </cell>
          <cell r="F2140" t="str">
            <v>Subcontractor</v>
          </cell>
          <cell r="G2140" t="str">
            <v/>
          </cell>
          <cell r="H2140" t="str">
            <v/>
          </cell>
          <cell r="I2140" t="str">
            <v/>
          </cell>
          <cell r="J2140">
            <v>841.66</v>
          </cell>
          <cell r="K2140">
            <v>168.33</v>
          </cell>
          <cell r="L2140">
            <v>841.66</v>
          </cell>
          <cell r="M2140" t="str">
            <v/>
          </cell>
          <cell r="N2140">
            <v>0</v>
          </cell>
        </row>
        <row r="2141">
          <cell r="A2141">
            <v>13102</v>
          </cell>
          <cell r="B2141" t="str">
            <v>20/03/2018</v>
          </cell>
          <cell r="C2141" t="str">
            <v>CALLOUT</v>
          </cell>
          <cell r="D2141" t="str">
            <v>suply and fit indoor fan motor as per quote</v>
          </cell>
          <cell r="E2141" t="str">
            <v>Adcock Refrigeration &amp; Air Conditioning</v>
          </cell>
          <cell r="F2141" t="str">
            <v>Subcontractor</v>
          </cell>
          <cell r="G2141" t="str">
            <v/>
          </cell>
          <cell r="H2141" t="str">
            <v/>
          </cell>
          <cell r="I2141" t="str">
            <v/>
          </cell>
          <cell r="J2141">
            <v>316.29000000000002</v>
          </cell>
          <cell r="K2141">
            <v>63.26</v>
          </cell>
          <cell r="L2141">
            <v>316.29000000000002</v>
          </cell>
          <cell r="M2141" t="str">
            <v/>
          </cell>
          <cell r="N2141">
            <v>0</v>
          </cell>
        </row>
        <row r="2142">
          <cell r="A2142">
            <v>13101</v>
          </cell>
          <cell r="B2142" t="str">
            <v>20/03/2018</v>
          </cell>
          <cell r="C2142" t="str">
            <v>CALLOUT</v>
          </cell>
          <cell r="D2142" t="str">
            <v>Attended site Friday 16th March to investigate leak from Con</v>
          </cell>
          <cell r="E2142" t="str">
            <v>Manchester Refrigeration Techniques Ltd</v>
          </cell>
          <cell r="F2142" t="str">
            <v>Subcontractor</v>
          </cell>
          <cell r="G2142" t="str">
            <v/>
          </cell>
          <cell r="H2142" t="str">
            <v/>
          </cell>
          <cell r="I2142" t="str">
            <v/>
          </cell>
          <cell r="J2142">
            <v>50</v>
          </cell>
          <cell r="K2142">
            <v>10</v>
          </cell>
          <cell r="L2142">
            <v>50</v>
          </cell>
          <cell r="M2142" t="str">
            <v/>
          </cell>
          <cell r="N2142">
            <v>0</v>
          </cell>
        </row>
        <row r="2143">
          <cell r="A2143">
            <v>13100</v>
          </cell>
          <cell r="B2143" t="str">
            <v>20/03/2018</v>
          </cell>
          <cell r="C2143" t="str">
            <v>CALLOUT</v>
          </cell>
          <cell r="D2143" t="str">
            <v>Replace pump in Consultant Room No.1</v>
          </cell>
          <cell r="E2143" t="str">
            <v>Manchester Refrigeration Techniques Ltd</v>
          </cell>
          <cell r="F2143" t="str">
            <v>Subcontractor</v>
          </cell>
          <cell r="G2143" t="str">
            <v/>
          </cell>
          <cell r="H2143" t="str">
            <v/>
          </cell>
          <cell r="I2143" t="str">
            <v/>
          </cell>
          <cell r="J2143">
            <v>159</v>
          </cell>
          <cell r="K2143">
            <v>31.8</v>
          </cell>
          <cell r="L2143">
            <v>159</v>
          </cell>
          <cell r="M2143" t="str">
            <v/>
          </cell>
          <cell r="N2143">
            <v>0</v>
          </cell>
        </row>
        <row r="2144">
          <cell r="A2144">
            <v>13099</v>
          </cell>
          <cell r="B2144" t="str">
            <v>20/03/2018</v>
          </cell>
          <cell r="C2144" t="str">
            <v>SERVICE</v>
          </cell>
          <cell r="D2144" t="str">
            <v>Carry out AC Maintenance</v>
          </cell>
          <cell r="E2144" t="str">
            <v>Manchester Refrigeration Techniques Ltd</v>
          </cell>
          <cell r="F2144" t="str">
            <v>Subcontractor</v>
          </cell>
          <cell r="G2144" t="str">
            <v/>
          </cell>
          <cell r="H2144" t="str">
            <v/>
          </cell>
          <cell r="I2144" t="str">
            <v/>
          </cell>
          <cell r="J2144">
            <v>450</v>
          </cell>
          <cell r="K2144">
            <v>90</v>
          </cell>
          <cell r="L2144">
            <v>450</v>
          </cell>
          <cell r="M2144" t="str">
            <v/>
          </cell>
          <cell r="N2144">
            <v>0</v>
          </cell>
        </row>
        <row r="2145">
          <cell r="A2145">
            <v>13094</v>
          </cell>
          <cell r="B2145" t="str">
            <v>20/03/2018</v>
          </cell>
          <cell r="C2145" t="str">
            <v>CALLOUT</v>
          </cell>
          <cell r="D2145" t="str">
            <v>noise in ceiling space - (was a ac fan motor)</v>
          </cell>
          <cell r="E2145" t="str">
            <v>Key Integrated Services (Electrical) Ltd</v>
          </cell>
          <cell r="F2145" t="str">
            <v>Subcontractor</v>
          </cell>
          <cell r="G2145" t="str">
            <v/>
          </cell>
          <cell r="H2145" t="str">
            <v/>
          </cell>
          <cell r="I2145" t="str">
            <v/>
          </cell>
          <cell r="J2145">
            <v>96</v>
          </cell>
          <cell r="K2145">
            <v>19.2</v>
          </cell>
          <cell r="L2145">
            <v>96</v>
          </cell>
          <cell r="M2145" t="str">
            <v/>
          </cell>
          <cell r="N2145">
            <v>0</v>
          </cell>
        </row>
        <row r="2146">
          <cell r="A2146">
            <v>13092</v>
          </cell>
          <cell r="B2146" t="str">
            <v>20/03/2018</v>
          </cell>
          <cell r="C2146" t="str">
            <v>CALLOUT</v>
          </cell>
          <cell r="D2146" t="str">
            <v>works to wc's</v>
          </cell>
          <cell r="E2146" t="str">
            <v>Key Integrated Services (Electrical) Ltd</v>
          </cell>
          <cell r="F2146" t="str">
            <v>Subcontractor</v>
          </cell>
          <cell r="G2146" t="str">
            <v/>
          </cell>
          <cell r="H2146" t="str">
            <v/>
          </cell>
          <cell r="I2146" t="str">
            <v/>
          </cell>
          <cell r="J2146">
            <v>216</v>
          </cell>
          <cell r="K2146">
            <v>43.2</v>
          </cell>
          <cell r="L2146">
            <v>216</v>
          </cell>
          <cell r="M2146" t="str">
            <v/>
          </cell>
          <cell r="N2146">
            <v>0</v>
          </cell>
        </row>
        <row r="2147">
          <cell r="A2147">
            <v>13090</v>
          </cell>
          <cell r="B2147" t="str">
            <v>20/03/2018</v>
          </cell>
          <cell r="C2147" t="str">
            <v>C1480</v>
          </cell>
          <cell r="D2147" t="str">
            <v>Fusion welding and testing of gas main, assistance with wate</v>
          </cell>
          <cell r="E2147" t="str">
            <v>Technical Utilities Services UK Ltd</v>
          </cell>
          <cell r="F2147" t="str">
            <v>Subcontractor</v>
          </cell>
          <cell r="G2147" t="str">
            <v/>
          </cell>
          <cell r="H2147" t="str">
            <v/>
          </cell>
          <cell r="I2147" t="str">
            <v/>
          </cell>
          <cell r="J2147">
            <v>840</v>
          </cell>
          <cell r="K2147">
            <v>168</v>
          </cell>
          <cell r="L2147">
            <v>840</v>
          </cell>
          <cell r="M2147" t="str">
            <v/>
          </cell>
          <cell r="N2147">
            <v>0</v>
          </cell>
        </row>
        <row r="2148">
          <cell r="A2148">
            <v>13081</v>
          </cell>
          <cell r="B2148" t="str">
            <v>16/03/2018</v>
          </cell>
          <cell r="C2148" t="str">
            <v>C1497</v>
          </cell>
          <cell r="D2148" t="str">
            <v>Replace 4" Plastic Waste with Stainless Steel within existin</v>
          </cell>
          <cell r="E2148" t="str">
            <v>Enco Ltd</v>
          </cell>
          <cell r="F2148" t="str">
            <v>Subcontractor</v>
          </cell>
          <cell r="G2148" t="str">
            <v>24/03/2018</v>
          </cell>
          <cell r="H2148" t="str">
            <v>Part</v>
          </cell>
          <cell r="I2148" t="str">
            <v/>
          </cell>
          <cell r="J2148">
            <v>19872.5</v>
          </cell>
          <cell r="K2148">
            <v>3974.5</v>
          </cell>
          <cell r="L2148">
            <v>17875</v>
          </cell>
          <cell r="M2148" t="str">
            <v/>
          </cell>
          <cell r="N2148">
            <v>1997.5</v>
          </cell>
        </row>
        <row r="2149">
          <cell r="A2149">
            <v>13074</v>
          </cell>
          <cell r="B2149" t="str">
            <v>16/03/2018</v>
          </cell>
          <cell r="C2149" t="str">
            <v>C1490</v>
          </cell>
          <cell r="D2149" t="str">
            <v/>
          </cell>
          <cell r="E2149" t="str">
            <v>Energy Compliance Solutions Ltd</v>
          </cell>
          <cell r="F2149" t="str">
            <v>Subcontractor</v>
          </cell>
          <cell r="G2149" t="str">
            <v>22/03/2018</v>
          </cell>
          <cell r="H2149" t="str">
            <v>Part</v>
          </cell>
          <cell r="I2149" t="str">
            <v/>
          </cell>
          <cell r="J2149">
            <v>6771</v>
          </cell>
          <cell r="K2149">
            <v>1354.2</v>
          </cell>
          <cell r="L2149">
            <v>6771</v>
          </cell>
          <cell r="M2149" t="str">
            <v/>
          </cell>
          <cell r="N2149">
            <v>0</v>
          </cell>
        </row>
        <row r="2150">
          <cell r="A2150">
            <v>13072</v>
          </cell>
          <cell r="B2150" t="str">
            <v>16/03/2018</v>
          </cell>
          <cell r="C2150" t="str">
            <v>C1447</v>
          </cell>
          <cell r="D2150" t="str">
            <v>Install on AV split unit within the lab</v>
          </cell>
          <cell r="E2150" t="str">
            <v>Heat Control Air Conditioning Ltd</v>
          </cell>
          <cell r="F2150" t="str">
            <v>Subcontractor</v>
          </cell>
          <cell r="G2150" t="str">
            <v/>
          </cell>
          <cell r="H2150" t="str">
            <v>Part</v>
          </cell>
          <cell r="I2150" t="str">
            <v/>
          </cell>
          <cell r="J2150">
            <v>823.11</v>
          </cell>
          <cell r="K2150">
            <v>164.62</v>
          </cell>
          <cell r="L2150">
            <v>823.11</v>
          </cell>
          <cell r="M2150" t="str">
            <v/>
          </cell>
          <cell r="N2150">
            <v>0</v>
          </cell>
        </row>
        <row r="2151">
          <cell r="A2151">
            <v>13071</v>
          </cell>
          <cell r="B2151" t="str">
            <v>15/03/2018</v>
          </cell>
          <cell r="C2151" t="str">
            <v>C1480</v>
          </cell>
          <cell r="D2151" t="str">
            <v>Mechanical Piped Services Works as per sub contract pre let</v>
          </cell>
          <cell r="E2151" t="str">
            <v>RMD Contracts Limited</v>
          </cell>
          <cell r="F2151" t="str">
            <v>Subcontractor</v>
          </cell>
          <cell r="G2151" t="str">
            <v/>
          </cell>
          <cell r="H2151" t="str">
            <v>Part</v>
          </cell>
          <cell r="I2151" t="str">
            <v/>
          </cell>
          <cell r="J2151">
            <v>162777.81</v>
          </cell>
          <cell r="K2151">
            <v>32555.56</v>
          </cell>
          <cell r="L2151">
            <v>162777.81</v>
          </cell>
          <cell r="M2151" t="str">
            <v/>
          </cell>
          <cell r="N2151">
            <v>0</v>
          </cell>
        </row>
        <row r="2152">
          <cell r="A2152">
            <v>13070</v>
          </cell>
          <cell r="B2152" t="str">
            <v>15/03/2018</v>
          </cell>
          <cell r="C2152" t="str">
            <v>C1480</v>
          </cell>
          <cell r="D2152" t="str">
            <v>Ventilation works as per Sub-Contract order</v>
          </cell>
          <cell r="E2152" t="str">
            <v>DH Ducting Ltd</v>
          </cell>
          <cell r="F2152" t="str">
            <v>Subcontractor</v>
          </cell>
          <cell r="G2152" t="str">
            <v/>
          </cell>
          <cell r="H2152" t="str">
            <v>Complete</v>
          </cell>
          <cell r="I2152" t="str">
            <v/>
          </cell>
          <cell r="J2152">
            <v>38071.199999999997</v>
          </cell>
          <cell r="K2152">
            <v>0</v>
          </cell>
          <cell r="L2152">
            <v>38071.199999999997</v>
          </cell>
          <cell r="M2152" t="str">
            <v/>
          </cell>
          <cell r="N2152">
            <v>0</v>
          </cell>
        </row>
        <row r="2153">
          <cell r="A2153">
            <v>13068</v>
          </cell>
          <cell r="B2153" t="str">
            <v>15/03/2018</v>
          </cell>
          <cell r="C2153" t="str">
            <v>CALLOUT</v>
          </cell>
          <cell r="D2153" t="str">
            <v>To attend site to replace fan motor/pcb ground floor vrv sys</v>
          </cell>
          <cell r="E2153" t="str">
            <v>Energy Compliance Solutions Ltd</v>
          </cell>
          <cell r="F2153" t="str">
            <v>Subcontractor</v>
          </cell>
          <cell r="G2153" t="str">
            <v/>
          </cell>
          <cell r="H2153" t="str">
            <v/>
          </cell>
          <cell r="I2153" t="str">
            <v/>
          </cell>
          <cell r="J2153">
            <v>330</v>
          </cell>
          <cell r="K2153">
            <v>66</v>
          </cell>
          <cell r="L2153">
            <v>330</v>
          </cell>
          <cell r="M2153" t="str">
            <v/>
          </cell>
          <cell r="N2153">
            <v>0</v>
          </cell>
        </row>
        <row r="2154">
          <cell r="A2154">
            <v>13064</v>
          </cell>
          <cell r="B2154" t="str">
            <v>14/03/2018</v>
          </cell>
          <cell r="C2154" t="str">
            <v>SERVICE</v>
          </cell>
          <cell r="D2154" t="str">
            <v>AC Maintenance</v>
          </cell>
          <cell r="E2154" t="str">
            <v>Energy Compliance Solutions Ltd</v>
          </cell>
          <cell r="F2154" t="str">
            <v>Subcontractor</v>
          </cell>
          <cell r="G2154" t="str">
            <v/>
          </cell>
          <cell r="H2154" t="str">
            <v/>
          </cell>
          <cell r="I2154" t="str">
            <v/>
          </cell>
          <cell r="J2154">
            <v>500</v>
          </cell>
          <cell r="K2154">
            <v>100</v>
          </cell>
          <cell r="L2154">
            <v>500</v>
          </cell>
          <cell r="M2154" t="str">
            <v/>
          </cell>
          <cell r="N2154">
            <v>0</v>
          </cell>
        </row>
        <row r="2155">
          <cell r="A2155">
            <v>13062</v>
          </cell>
          <cell r="B2155" t="str">
            <v>14/03/2018</v>
          </cell>
          <cell r="C2155" t="str">
            <v>CALLOUT</v>
          </cell>
          <cell r="D2155" t="str">
            <v>Labour &amp; Travel Expenses</v>
          </cell>
          <cell r="E2155" t="str">
            <v>Energy Compliance Solutions Ltd</v>
          </cell>
          <cell r="F2155" t="str">
            <v>Subcontractor</v>
          </cell>
          <cell r="G2155" t="str">
            <v/>
          </cell>
          <cell r="H2155" t="str">
            <v/>
          </cell>
          <cell r="I2155" t="str">
            <v/>
          </cell>
          <cell r="J2155">
            <v>1546</v>
          </cell>
          <cell r="K2155">
            <v>309.2</v>
          </cell>
          <cell r="L2155">
            <v>1546</v>
          </cell>
          <cell r="M2155" t="str">
            <v/>
          </cell>
          <cell r="N2155">
            <v>0</v>
          </cell>
        </row>
        <row r="2156">
          <cell r="A2156">
            <v>13055</v>
          </cell>
          <cell r="B2156" t="str">
            <v>14/03/2018</v>
          </cell>
          <cell r="C2156" t="str">
            <v>CALLOUT</v>
          </cell>
          <cell r="D2156" t="str">
            <v>replace 3 x LED fttgs in reception as per quote</v>
          </cell>
          <cell r="E2156" t="str">
            <v>Barrie Beard Ltd</v>
          </cell>
          <cell r="F2156" t="str">
            <v>Subcontractor</v>
          </cell>
          <cell r="G2156" t="str">
            <v/>
          </cell>
          <cell r="H2156" t="str">
            <v/>
          </cell>
          <cell r="I2156" t="str">
            <v/>
          </cell>
          <cell r="J2156">
            <v>220</v>
          </cell>
          <cell r="K2156">
            <v>44</v>
          </cell>
          <cell r="L2156">
            <v>220</v>
          </cell>
          <cell r="M2156" t="str">
            <v/>
          </cell>
          <cell r="N2156">
            <v>0</v>
          </cell>
        </row>
        <row r="2157">
          <cell r="A2157">
            <v>13054</v>
          </cell>
          <cell r="B2157" t="str">
            <v>14/03/2018</v>
          </cell>
          <cell r="C2157" t="str">
            <v>C1377</v>
          </cell>
          <cell r="D2157" t="str">
            <v>Repair cowl on roof</v>
          </cell>
          <cell r="E2157" t="str">
            <v>OLD COUGAR ACCOUNT- DO NOT USE</v>
          </cell>
          <cell r="F2157" t="str">
            <v>Subcontractor</v>
          </cell>
          <cell r="G2157" t="str">
            <v/>
          </cell>
          <cell r="H2157" t="str">
            <v>Complete</v>
          </cell>
          <cell r="I2157" t="str">
            <v/>
          </cell>
          <cell r="J2157">
            <v>0</v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</row>
        <row r="2158">
          <cell r="A2158">
            <v>13041</v>
          </cell>
          <cell r="B2158" t="str">
            <v>12/03/2018</v>
          </cell>
          <cell r="C2158" t="str">
            <v>CALLOUT</v>
          </cell>
          <cell r="D2158" t="str">
            <v>Replace wc lights as per quote</v>
          </cell>
          <cell r="E2158" t="str">
            <v>Kestrel North West Limited</v>
          </cell>
          <cell r="F2158" t="str">
            <v>Subcontractor</v>
          </cell>
          <cell r="G2158" t="str">
            <v/>
          </cell>
          <cell r="H2158" t="str">
            <v/>
          </cell>
          <cell r="I2158" t="str">
            <v/>
          </cell>
          <cell r="J2158">
            <v>533.64</v>
          </cell>
          <cell r="K2158">
            <v>106.73</v>
          </cell>
          <cell r="L2158">
            <v>429.13</v>
          </cell>
          <cell r="M2158" t="str">
            <v/>
          </cell>
          <cell r="N2158">
            <v>104.51</v>
          </cell>
        </row>
        <row r="2159">
          <cell r="A2159">
            <v>13040</v>
          </cell>
          <cell r="B2159" t="str">
            <v>12/03/2018</v>
          </cell>
          <cell r="C2159" t="str">
            <v>CALLOUT</v>
          </cell>
          <cell r="D2159" t="str">
            <v>Carry out Quoted Works as per email</v>
          </cell>
          <cell r="E2159" t="str">
            <v>Kestrel North West Limited</v>
          </cell>
          <cell r="F2159" t="str">
            <v>Subcontractor</v>
          </cell>
          <cell r="G2159" t="str">
            <v/>
          </cell>
          <cell r="H2159" t="str">
            <v/>
          </cell>
          <cell r="I2159" t="str">
            <v/>
          </cell>
          <cell r="J2159">
            <v>10722.03</v>
          </cell>
          <cell r="K2159">
            <v>2144.41</v>
          </cell>
          <cell r="L2159">
            <v>10772.03</v>
          </cell>
          <cell r="M2159" t="str">
            <v/>
          </cell>
          <cell r="N2159">
            <v>-50</v>
          </cell>
        </row>
        <row r="2160">
          <cell r="A2160">
            <v>13027</v>
          </cell>
          <cell r="B2160" t="str">
            <v>08/03/2018</v>
          </cell>
          <cell r="C2160" t="str">
            <v>C1441</v>
          </cell>
          <cell r="D2160" t="str">
            <v>Manufacture &amp; Deliver Gas Pipework to Melton Foods (13404)</v>
          </cell>
          <cell r="E2160" t="str">
            <v>Defabs Engineering Ltd</v>
          </cell>
          <cell r="F2160" t="str">
            <v>Subcontractor</v>
          </cell>
          <cell r="G2160" t="str">
            <v/>
          </cell>
          <cell r="H2160" t="str">
            <v/>
          </cell>
          <cell r="I2160" t="str">
            <v/>
          </cell>
          <cell r="J2160">
            <v>1290</v>
          </cell>
          <cell r="K2160">
            <v>258</v>
          </cell>
          <cell r="L2160">
            <v>1290</v>
          </cell>
          <cell r="M2160" t="str">
            <v/>
          </cell>
          <cell r="N2160">
            <v>0</v>
          </cell>
        </row>
        <row r="2161">
          <cell r="A2161">
            <v>13024</v>
          </cell>
          <cell r="B2161" t="str">
            <v>07/03/2018</v>
          </cell>
          <cell r="C2161" t="str">
            <v>C1517</v>
          </cell>
          <cell r="D2161" t="str">
            <v>External lighting</v>
          </cell>
          <cell r="E2161" t="str">
            <v>Key Integrated Services (Electrical) Ltd</v>
          </cell>
          <cell r="F2161" t="str">
            <v>Subcontractor</v>
          </cell>
          <cell r="G2161" t="str">
            <v/>
          </cell>
          <cell r="H2161" t="str">
            <v>Part</v>
          </cell>
          <cell r="I2161" t="str">
            <v/>
          </cell>
          <cell r="J2161">
            <v>146989</v>
          </cell>
          <cell r="K2161">
            <v>29397.8</v>
          </cell>
          <cell r="L2161">
            <v>146989</v>
          </cell>
          <cell r="M2161" t="str">
            <v/>
          </cell>
          <cell r="N2161">
            <v>0</v>
          </cell>
        </row>
        <row r="2162">
          <cell r="A2162">
            <v>13022</v>
          </cell>
          <cell r="B2162" t="str">
            <v>07/03/2018</v>
          </cell>
          <cell r="C2162" t="str">
            <v>C1480</v>
          </cell>
          <cell r="D2162" t="str">
            <v>Rebuild over heating model</v>
          </cell>
          <cell r="E2162" t="str">
            <v>Couch Perry &amp; Wilkes Environmental LLP</v>
          </cell>
          <cell r="F2162" t="str">
            <v>Subcontractor</v>
          </cell>
          <cell r="G2162" t="str">
            <v/>
          </cell>
          <cell r="H2162" t="str">
            <v>Complete</v>
          </cell>
          <cell r="I2162" t="str">
            <v/>
          </cell>
          <cell r="J2162">
            <v>0</v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</row>
        <row r="2163">
          <cell r="A2163">
            <v>13018</v>
          </cell>
          <cell r="B2163" t="str">
            <v>06/03/2018</v>
          </cell>
          <cell r="C2163" t="str">
            <v>SERVICE</v>
          </cell>
          <cell r="D2163" t="str">
            <v>Carry out AC Maintenance</v>
          </cell>
          <cell r="E2163" t="str">
            <v>Pole to Pole Climate Control Ltd</v>
          </cell>
          <cell r="F2163" t="str">
            <v>Subcontractor</v>
          </cell>
          <cell r="G2163" t="str">
            <v/>
          </cell>
          <cell r="H2163" t="str">
            <v/>
          </cell>
          <cell r="I2163" t="str">
            <v/>
          </cell>
          <cell r="J2163">
            <v>300</v>
          </cell>
          <cell r="K2163">
            <v>60</v>
          </cell>
          <cell r="L2163">
            <v>300</v>
          </cell>
          <cell r="M2163" t="str">
            <v/>
          </cell>
          <cell r="N2163">
            <v>0</v>
          </cell>
        </row>
        <row r="2164">
          <cell r="A2164">
            <v>13009</v>
          </cell>
          <cell r="B2164" t="str">
            <v>06/03/2018</v>
          </cell>
          <cell r="C2164" t="str">
            <v>CALLOUT</v>
          </cell>
          <cell r="D2164" t="str">
            <v>confirmation order for repair to leaking sink waste</v>
          </cell>
          <cell r="E2164" t="str">
            <v>Viabl Ltd T/A Able</v>
          </cell>
          <cell r="F2164" t="str">
            <v>Subcontractor</v>
          </cell>
          <cell r="G2164" t="str">
            <v/>
          </cell>
          <cell r="H2164" t="str">
            <v/>
          </cell>
          <cell r="I2164" t="str">
            <v/>
          </cell>
          <cell r="J2164">
            <v>142.19999999999999</v>
          </cell>
          <cell r="K2164">
            <v>28.44</v>
          </cell>
          <cell r="L2164">
            <v>142.19999999999999</v>
          </cell>
          <cell r="M2164" t="str">
            <v/>
          </cell>
          <cell r="N2164">
            <v>0</v>
          </cell>
        </row>
        <row r="2165">
          <cell r="A2165">
            <v>12977</v>
          </cell>
          <cell r="B2165" t="str">
            <v>02/03/2018</v>
          </cell>
          <cell r="C2165" t="str">
            <v>CALLOUT</v>
          </cell>
          <cell r="D2165" t="str">
            <v>refurb 12no light fttgs as per quote</v>
          </cell>
          <cell r="E2165" t="str">
            <v>Kestrel North West Limited</v>
          </cell>
          <cell r="F2165" t="str">
            <v>Subcontractor</v>
          </cell>
          <cell r="G2165" t="str">
            <v/>
          </cell>
          <cell r="H2165" t="str">
            <v/>
          </cell>
          <cell r="I2165" t="str">
            <v/>
          </cell>
          <cell r="J2165">
            <v>1548.68</v>
          </cell>
          <cell r="K2165">
            <v>309.74</v>
          </cell>
          <cell r="L2165">
            <v>1548.68</v>
          </cell>
          <cell r="M2165" t="str">
            <v/>
          </cell>
          <cell r="N2165">
            <v>0</v>
          </cell>
        </row>
        <row r="2166">
          <cell r="A2166">
            <v>12971</v>
          </cell>
          <cell r="B2166" t="str">
            <v>01/03/2018</v>
          </cell>
          <cell r="C2166" t="str">
            <v>C1383</v>
          </cell>
          <cell r="D2166" t="str">
            <v>Elec control wiring mods</v>
          </cell>
          <cell r="E2166" t="str">
            <v>Key Integrated Services (Electrical) Ltd</v>
          </cell>
          <cell r="F2166" t="str">
            <v>Subcontractor</v>
          </cell>
          <cell r="G2166" t="str">
            <v/>
          </cell>
          <cell r="H2166" t="str">
            <v/>
          </cell>
          <cell r="I2166" t="str">
            <v/>
          </cell>
          <cell r="J2166">
            <v>1254</v>
          </cell>
          <cell r="K2166">
            <v>250.8</v>
          </cell>
          <cell r="L2166">
            <v>1254</v>
          </cell>
          <cell r="M2166" t="str">
            <v/>
          </cell>
          <cell r="N2166">
            <v>0</v>
          </cell>
        </row>
        <row r="2167">
          <cell r="A2167">
            <v>12961</v>
          </cell>
          <cell r="B2167" t="str">
            <v>28/02/2018</v>
          </cell>
          <cell r="C2167" t="str">
            <v>C1489</v>
          </cell>
          <cell r="D2167" t="str">
            <v>Thermal Insulation at Freshcut Foods CQC Project</v>
          </cell>
          <cell r="E2167" t="str">
            <v>Grangewood Insulation Services Ltd</v>
          </cell>
          <cell r="F2167" t="str">
            <v>Subcontractor</v>
          </cell>
          <cell r="G2167" t="str">
            <v/>
          </cell>
          <cell r="H2167" t="str">
            <v>Complete</v>
          </cell>
          <cell r="I2167" t="str">
            <v/>
          </cell>
          <cell r="J2167">
            <v>0</v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</row>
        <row r="2168">
          <cell r="A2168">
            <v>12960</v>
          </cell>
          <cell r="B2168" t="str">
            <v>28/02/2018</v>
          </cell>
          <cell r="C2168" t="str">
            <v>C1489</v>
          </cell>
          <cell r="D2168" t="str">
            <v>Electrical work at Freshcut Foods</v>
          </cell>
          <cell r="E2168" t="str">
            <v>Key Integrated Services (Electrical) Ltd</v>
          </cell>
          <cell r="F2168" t="str">
            <v>Subcontractor</v>
          </cell>
          <cell r="G2168" t="str">
            <v/>
          </cell>
          <cell r="H2168" t="str">
            <v/>
          </cell>
          <cell r="I2168" t="str">
            <v/>
          </cell>
          <cell r="J2168">
            <v>3989</v>
          </cell>
          <cell r="K2168">
            <v>797.8</v>
          </cell>
          <cell r="L2168">
            <v>3989</v>
          </cell>
          <cell r="M2168" t="str">
            <v/>
          </cell>
          <cell r="N2168">
            <v>0</v>
          </cell>
        </row>
        <row r="2169">
          <cell r="A2169">
            <v>12958</v>
          </cell>
          <cell r="B2169" t="str">
            <v>27/02/2018</v>
          </cell>
          <cell r="C2169" t="str">
            <v>CALLOUT</v>
          </cell>
          <cell r="D2169" t="str">
            <v>Replace LED Bulkhead - 1st Floor</v>
          </cell>
          <cell r="E2169" t="str">
            <v>Kestrel North West Limited</v>
          </cell>
          <cell r="F2169" t="str">
            <v>Subcontractor</v>
          </cell>
          <cell r="G2169" t="str">
            <v/>
          </cell>
          <cell r="H2169" t="str">
            <v/>
          </cell>
          <cell r="I2169" t="str">
            <v/>
          </cell>
          <cell r="J2169">
            <v>138.12</v>
          </cell>
          <cell r="K2169">
            <v>27.62</v>
          </cell>
          <cell r="L2169">
            <v>138.12</v>
          </cell>
          <cell r="M2169" t="str">
            <v/>
          </cell>
          <cell r="N2169">
            <v>0</v>
          </cell>
        </row>
        <row r="2170">
          <cell r="A2170">
            <v>12945</v>
          </cell>
          <cell r="B2170" t="str">
            <v>23/02/2018</v>
          </cell>
          <cell r="C2170" t="str">
            <v>C1511</v>
          </cell>
          <cell r="D2170" t="str">
            <v>Installation of Ductwork Systems Mount Street Manchester</v>
          </cell>
          <cell r="E2170" t="str">
            <v>ExcelVent Solutions Ltd</v>
          </cell>
          <cell r="F2170" t="str">
            <v>Subcontractor</v>
          </cell>
          <cell r="G2170" t="str">
            <v>19/02/2018</v>
          </cell>
          <cell r="H2170" t="str">
            <v>Part</v>
          </cell>
          <cell r="I2170" t="str">
            <v/>
          </cell>
          <cell r="J2170">
            <v>39589.35</v>
          </cell>
          <cell r="K2170">
            <v>7917.87</v>
          </cell>
          <cell r="L2170">
            <v>39589.35</v>
          </cell>
          <cell r="M2170" t="str">
            <v/>
          </cell>
          <cell r="N2170">
            <v>0</v>
          </cell>
        </row>
        <row r="2171">
          <cell r="A2171">
            <v>12942</v>
          </cell>
          <cell r="B2171" t="str">
            <v>23/02/2018</v>
          </cell>
          <cell r="C2171" t="str">
            <v>C1489</v>
          </cell>
          <cell r="D2171" t="str">
            <v>Air Balancing At Freshcut foods</v>
          </cell>
          <cell r="E2171" t="str">
            <v>New Era Commissioning Specialists Ltd</v>
          </cell>
          <cell r="F2171" t="str">
            <v>Subcontractor</v>
          </cell>
          <cell r="G2171" t="str">
            <v>27/02/2018</v>
          </cell>
          <cell r="H2171" t="str">
            <v/>
          </cell>
          <cell r="I2171" t="str">
            <v/>
          </cell>
          <cell r="J2171">
            <v>450</v>
          </cell>
          <cell r="K2171">
            <v>90</v>
          </cell>
          <cell r="L2171">
            <v>450</v>
          </cell>
          <cell r="M2171" t="str">
            <v/>
          </cell>
          <cell r="N2171">
            <v>0</v>
          </cell>
        </row>
        <row r="2172">
          <cell r="A2172">
            <v>12923</v>
          </cell>
          <cell r="B2172" t="str">
            <v>21/02/2018</v>
          </cell>
          <cell r="C2172" t="str">
            <v>C1447</v>
          </cell>
          <cell r="D2172" t="str">
            <v>Install plastic duct of fume cupboard</v>
          </cell>
          <cell r="E2172" t="str">
            <v>OLD COUGAR ACCOUNT- DO NOT USE</v>
          </cell>
          <cell r="F2172" t="str">
            <v>Subcontractor</v>
          </cell>
          <cell r="G2172" t="str">
            <v/>
          </cell>
          <cell r="H2172" t="str">
            <v>Complete</v>
          </cell>
          <cell r="I2172" t="str">
            <v/>
          </cell>
          <cell r="J2172">
            <v>0</v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</row>
        <row r="2173">
          <cell r="A2173">
            <v>12849</v>
          </cell>
          <cell r="B2173" t="str">
            <v>07/02/2018</v>
          </cell>
          <cell r="C2173" t="str">
            <v>C1435</v>
          </cell>
          <cell r="D2173" t="str">
            <v>Boiler room Inulation works as per quote ref: TN-CL-KFP-01</v>
          </cell>
          <cell r="E2173" t="str">
            <v>Scottfab Insulation Ltd</v>
          </cell>
          <cell r="F2173" t="str">
            <v>Subcontractor</v>
          </cell>
          <cell r="G2173" t="str">
            <v>12/02/2018</v>
          </cell>
          <cell r="H2173" t="str">
            <v/>
          </cell>
          <cell r="I2173" t="str">
            <v/>
          </cell>
          <cell r="J2173">
            <v>770</v>
          </cell>
          <cell r="K2173">
            <v>154</v>
          </cell>
          <cell r="L2173">
            <v>770</v>
          </cell>
          <cell r="M2173" t="str">
            <v/>
          </cell>
          <cell r="N2173">
            <v>0</v>
          </cell>
        </row>
        <row r="2174">
          <cell r="A2174">
            <v>12848</v>
          </cell>
          <cell r="B2174" t="str">
            <v>07/02/2018</v>
          </cell>
          <cell r="C2174" t="str">
            <v>C1489</v>
          </cell>
          <cell r="D2174" t="str">
            <v>Insualtion to Pipework at Freshcut foods CQC project</v>
          </cell>
          <cell r="E2174" t="str">
            <v>Grangewood Insulation Services Ltd</v>
          </cell>
          <cell r="F2174" t="str">
            <v>Subcontractor</v>
          </cell>
          <cell r="G2174" t="str">
            <v>12/02/2018</v>
          </cell>
          <cell r="H2174" t="str">
            <v/>
          </cell>
          <cell r="I2174" t="str">
            <v/>
          </cell>
          <cell r="J2174">
            <v>1315</v>
          </cell>
          <cell r="K2174">
            <v>263</v>
          </cell>
          <cell r="L2174">
            <v>1315</v>
          </cell>
          <cell r="M2174" t="str">
            <v/>
          </cell>
          <cell r="N2174">
            <v>0</v>
          </cell>
        </row>
        <row r="2175">
          <cell r="A2175">
            <v>12829</v>
          </cell>
          <cell r="B2175" t="str">
            <v>06/02/2018</v>
          </cell>
          <cell r="C2175" t="str">
            <v>CALLOUT</v>
          </cell>
          <cell r="D2175" t="str">
            <v>Supply and install tv aerial pole and tidy cables as per quo</v>
          </cell>
          <cell r="E2175" t="str">
            <v>Kestrel North West Limited</v>
          </cell>
          <cell r="F2175" t="str">
            <v>Subcontractor</v>
          </cell>
          <cell r="G2175" t="str">
            <v/>
          </cell>
          <cell r="H2175" t="str">
            <v/>
          </cell>
          <cell r="I2175" t="str">
            <v/>
          </cell>
          <cell r="J2175">
            <v>121.12</v>
          </cell>
          <cell r="K2175">
            <v>24.22</v>
          </cell>
          <cell r="L2175">
            <v>121.12</v>
          </cell>
          <cell r="M2175" t="str">
            <v/>
          </cell>
          <cell r="N2175">
            <v>0</v>
          </cell>
        </row>
        <row r="2176">
          <cell r="A2176">
            <v>12828</v>
          </cell>
          <cell r="B2176" t="str">
            <v>06/02/2018</v>
          </cell>
          <cell r="C2176" t="str">
            <v>CALLOUT</v>
          </cell>
          <cell r="D2176" t="str">
            <v>replace luminaire in 1st floor shower room as per quote</v>
          </cell>
          <cell r="E2176" t="str">
            <v>Kestrel North West Limited</v>
          </cell>
          <cell r="F2176" t="str">
            <v>Subcontractor</v>
          </cell>
          <cell r="G2176" t="str">
            <v/>
          </cell>
          <cell r="H2176" t="str">
            <v/>
          </cell>
          <cell r="I2176" t="str">
            <v/>
          </cell>
          <cell r="J2176">
            <v>115.12</v>
          </cell>
          <cell r="K2176">
            <v>23.02</v>
          </cell>
          <cell r="L2176">
            <v>115.12</v>
          </cell>
          <cell r="M2176" t="str">
            <v/>
          </cell>
          <cell r="N2176">
            <v>0</v>
          </cell>
        </row>
        <row r="2177">
          <cell r="A2177">
            <v>12811</v>
          </cell>
          <cell r="B2177" t="str">
            <v>02/02/2018</v>
          </cell>
          <cell r="C2177" t="str">
            <v>C1383</v>
          </cell>
          <cell r="D2177" t="str">
            <v>Natures Menu AVM'S</v>
          </cell>
          <cell r="E2177" t="str">
            <v>Air Cair Engineering Ltd</v>
          </cell>
          <cell r="F2177" t="str">
            <v>Subcontractor</v>
          </cell>
          <cell r="G2177" t="str">
            <v/>
          </cell>
          <cell r="H2177" t="str">
            <v/>
          </cell>
          <cell r="I2177" t="str">
            <v/>
          </cell>
          <cell r="J2177">
            <v>834</v>
          </cell>
          <cell r="K2177">
            <v>166.8</v>
          </cell>
          <cell r="L2177">
            <v>834</v>
          </cell>
          <cell r="M2177" t="str">
            <v/>
          </cell>
          <cell r="N2177">
            <v>0</v>
          </cell>
        </row>
        <row r="2178">
          <cell r="A2178">
            <v>12805</v>
          </cell>
          <cell r="B2178" t="str">
            <v>01/02/2018</v>
          </cell>
          <cell r="C2178" t="str">
            <v>C1377</v>
          </cell>
          <cell r="D2178">
            <v>622729</v>
          </cell>
          <cell r="E2178" t="str">
            <v>4 Way Refrigeration Ltd</v>
          </cell>
          <cell r="F2178" t="str">
            <v>Subcontractor</v>
          </cell>
          <cell r="G2178" t="str">
            <v/>
          </cell>
          <cell r="H2178" t="str">
            <v/>
          </cell>
          <cell r="I2178" t="str">
            <v/>
          </cell>
          <cell r="J2178">
            <v>22.5</v>
          </cell>
          <cell r="K2178">
            <v>4.5</v>
          </cell>
          <cell r="L2178">
            <v>22.5</v>
          </cell>
          <cell r="M2178" t="str">
            <v/>
          </cell>
          <cell r="N2178">
            <v>0</v>
          </cell>
        </row>
        <row r="2179">
          <cell r="A2179">
            <v>12804</v>
          </cell>
          <cell r="B2179" t="str">
            <v>01/02/2018</v>
          </cell>
          <cell r="C2179" t="str">
            <v>C1383</v>
          </cell>
          <cell r="D2179">
            <v>622722</v>
          </cell>
          <cell r="E2179" t="str">
            <v>4 Way Refrigeration Ltd</v>
          </cell>
          <cell r="F2179" t="str">
            <v>Subcontractor</v>
          </cell>
          <cell r="G2179" t="str">
            <v/>
          </cell>
          <cell r="H2179" t="str">
            <v/>
          </cell>
          <cell r="I2179" t="str">
            <v/>
          </cell>
          <cell r="J2179">
            <v>573.75</v>
          </cell>
          <cell r="K2179">
            <v>114.75</v>
          </cell>
          <cell r="L2179">
            <v>573.75</v>
          </cell>
          <cell r="M2179" t="str">
            <v/>
          </cell>
          <cell r="N2179">
            <v>0</v>
          </cell>
        </row>
        <row r="2180">
          <cell r="A2180">
            <v>12803</v>
          </cell>
          <cell r="B2180" t="str">
            <v>01/02/2018</v>
          </cell>
          <cell r="C2180" t="str">
            <v>C1383</v>
          </cell>
          <cell r="D2180">
            <v>622849</v>
          </cell>
          <cell r="E2180" t="str">
            <v>4 Way Refrigeration Ltd</v>
          </cell>
          <cell r="F2180" t="str">
            <v>Subcontractor</v>
          </cell>
          <cell r="G2180" t="str">
            <v/>
          </cell>
          <cell r="H2180" t="str">
            <v/>
          </cell>
          <cell r="I2180" t="str">
            <v/>
          </cell>
          <cell r="J2180">
            <v>360</v>
          </cell>
          <cell r="K2180">
            <v>72</v>
          </cell>
          <cell r="L2180">
            <v>360</v>
          </cell>
          <cell r="M2180" t="str">
            <v/>
          </cell>
          <cell r="N2180">
            <v>0</v>
          </cell>
        </row>
        <row r="2181">
          <cell r="A2181">
            <v>12776</v>
          </cell>
          <cell r="B2181" t="str">
            <v>29/01/2018</v>
          </cell>
          <cell r="C2181" t="str">
            <v>C1489</v>
          </cell>
          <cell r="D2181" t="str">
            <v>Supply of Welded Stainless Steel Items</v>
          </cell>
          <cell r="E2181" t="str">
            <v>Defabs Engineering Ltd</v>
          </cell>
          <cell r="F2181" t="str">
            <v>Subcontractor</v>
          </cell>
          <cell r="G2181" t="str">
            <v/>
          </cell>
          <cell r="H2181" t="str">
            <v/>
          </cell>
          <cell r="I2181" t="str">
            <v/>
          </cell>
          <cell r="J2181">
            <v>392</v>
          </cell>
          <cell r="K2181">
            <v>78.400000000000006</v>
          </cell>
          <cell r="L2181">
            <v>392</v>
          </cell>
          <cell r="M2181" t="str">
            <v/>
          </cell>
          <cell r="N2181">
            <v>0</v>
          </cell>
        </row>
        <row r="2182">
          <cell r="A2182">
            <v>12760</v>
          </cell>
          <cell r="B2182" t="str">
            <v>25/01/2018</v>
          </cell>
          <cell r="C2182" t="str">
            <v>C1476</v>
          </cell>
          <cell r="D2182" t="str">
            <v>Supply and install I Touch controller</v>
          </cell>
          <cell r="E2182" t="str">
            <v>Combined Energy Solutions</v>
          </cell>
          <cell r="F2182" t="str">
            <v>Subcontractor</v>
          </cell>
          <cell r="G2182" t="str">
            <v/>
          </cell>
          <cell r="H2182" t="str">
            <v/>
          </cell>
          <cell r="I2182" t="str">
            <v/>
          </cell>
          <cell r="J2182">
            <v>820</v>
          </cell>
          <cell r="K2182">
            <v>164</v>
          </cell>
          <cell r="L2182">
            <v>0</v>
          </cell>
          <cell r="M2182" t="str">
            <v/>
          </cell>
          <cell r="N2182">
            <v>820</v>
          </cell>
        </row>
        <row r="2183">
          <cell r="A2183">
            <v>12753</v>
          </cell>
          <cell r="B2183" t="str">
            <v>23/01/2018</v>
          </cell>
          <cell r="C2183" t="str">
            <v>C1502</v>
          </cell>
          <cell r="D2183" t="str">
            <v>IT containment for Modem cables</v>
          </cell>
          <cell r="E2183" t="str">
            <v>Key Integrated Services (Electrical) Ltd</v>
          </cell>
          <cell r="F2183" t="str">
            <v>Subcontractor</v>
          </cell>
          <cell r="G2183" t="str">
            <v/>
          </cell>
          <cell r="H2183" t="str">
            <v>Complete</v>
          </cell>
          <cell r="I2183" t="str">
            <v/>
          </cell>
          <cell r="J2183">
            <v>0</v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</row>
        <row r="2184">
          <cell r="A2184">
            <v>12752</v>
          </cell>
          <cell r="B2184" t="str">
            <v>23/01/2018</v>
          </cell>
          <cell r="C2184" t="str">
            <v>C1501</v>
          </cell>
          <cell r="D2184" t="str">
            <v>Distribution board battery charging area</v>
          </cell>
          <cell r="E2184" t="str">
            <v>Key Integrated Services (Electrical) Ltd</v>
          </cell>
          <cell r="F2184" t="str">
            <v>Subcontractor</v>
          </cell>
          <cell r="G2184" t="str">
            <v/>
          </cell>
          <cell r="H2184" t="str">
            <v>Complete</v>
          </cell>
          <cell r="I2184" t="str">
            <v/>
          </cell>
          <cell r="J2184">
            <v>0</v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</row>
        <row r="2185">
          <cell r="A2185">
            <v>12699</v>
          </cell>
          <cell r="B2185" t="str">
            <v>12/01/2018</v>
          </cell>
          <cell r="C2185" t="str">
            <v>C1436</v>
          </cell>
          <cell r="D2185" t="str">
            <v>DWS Chlorination serving the basement tank, Pall Mall, Westh</v>
          </cell>
          <cell r="E2185" t="str">
            <v>Commissioning Water Treatment Specialists Limited</v>
          </cell>
          <cell r="F2185" t="str">
            <v>Subcontractor</v>
          </cell>
          <cell r="G2185" t="str">
            <v>14/01/2018</v>
          </cell>
          <cell r="H2185" t="str">
            <v/>
          </cell>
          <cell r="I2185" t="str">
            <v/>
          </cell>
          <cell r="J2185">
            <v>810</v>
          </cell>
          <cell r="K2185">
            <v>162</v>
          </cell>
          <cell r="L2185">
            <v>810</v>
          </cell>
          <cell r="M2185" t="str">
            <v/>
          </cell>
          <cell r="N2185">
            <v>0</v>
          </cell>
        </row>
        <row r="2186">
          <cell r="A2186">
            <v>12695</v>
          </cell>
          <cell r="B2186" t="str">
            <v>11/01/2018</v>
          </cell>
          <cell r="C2186" t="str">
            <v>CALLOUT</v>
          </cell>
          <cell r="D2186" t="str">
            <v>Carry out works as per your quotation dated 10.01.2018</v>
          </cell>
          <cell r="E2186" t="str">
            <v>Barrie Beard Ltd</v>
          </cell>
          <cell r="F2186" t="str">
            <v>Subcontractor</v>
          </cell>
          <cell r="G2186" t="str">
            <v/>
          </cell>
          <cell r="H2186" t="str">
            <v/>
          </cell>
          <cell r="I2186" t="str">
            <v/>
          </cell>
          <cell r="J2186">
            <v>395</v>
          </cell>
          <cell r="K2186">
            <v>79</v>
          </cell>
          <cell r="L2186">
            <v>395</v>
          </cell>
          <cell r="M2186" t="str">
            <v/>
          </cell>
          <cell r="N2186">
            <v>0</v>
          </cell>
        </row>
        <row r="2187">
          <cell r="A2187">
            <v>12676</v>
          </cell>
          <cell r="B2187" t="str">
            <v>09/01/2018</v>
          </cell>
          <cell r="C2187" t="str">
            <v>C1445</v>
          </cell>
          <cell r="D2187" t="str">
            <v>Supply Only of Pump Cover</v>
          </cell>
          <cell r="E2187" t="str">
            <v>NP Services (Leicester) Ltd</v>
          </cell>
          <cell r="F2187" t="str">
            <v>Subcontractor</v>
          </cell>
          <cell r="G2187" t="str">
            <v>15/01/2018</v>
          </cell>
          <cell r="H2187" t="str">
            <v/>
          </cell>
          <cell r="I2187" t="str">
            <v/>
          </cell>
          <cell r="J2187">
            <v>972</v>
          </cell>
          <cell r="K2187">
            <v>194.4</v>
          </cell>
          <cell r="L2187">
            <v>972</v>
          </cell>
          <cell r="M2187" t="str">
            <v/>
          </cell>
          <cell r="N2187">
            <v>0</v>
          </cell>
        </row>
        <row r="2188">
          <cell r="A2188">
            <v>12665</v>
          </cell>
          <cell r="B2188" t="str">
            <v>08/01/2018</v>
          </cell>
          <cell r="C2188" t="str">
            <v>C1505</v>
          </cell>
          <cell r="D2188" t="str">
            <v>Additional Sockets in Cake Area</v>
          </cell>
          <cell r="E2188" t="str">
            <v>Key Integrated Services (Electrical) Ltd</v>
          </cell>
          <cell r="F2188" t="str">
            <v>Subcontractor</v>
          </cell>
          <cell r="G2188" t="str">
            <v/>
          </cell>
          <cell r="H2188" t="str">
            <v>Complete</v>
          </cell>
          <cell r="I2188" t="str">
            <v/>
          </cell>
          <cell r="J2188">
            <v>0</v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</row>
        <row r="2189">
          <cell r="A2189">
            <v>12664</v>
          </cell>
          <cell r="B2189" t="str">
            <v>08/01/2018</v>
          </cell>
          <cell r="C2189" t="str">
            <v>C1504</v>
          </cell>
          <cell r="D2189" t="str">
            <v>Refeed Existing Pick By Light Area</v>
          </cell>
          <cell r="E2189" t="str">
            <v>Key Integrated Services (Electrical) Ltd</v>
          </cell>
          <cell r="F2189" t="str">
            <v>Subcontractor</v>
          </cell>
          <cell r="G2189" t="str">
            <v/>
          </cell>
          <cell r="H2189" t="str">
            <v/>
          </cell>
          <cell r="I2189" t="str">
            <v/>
          </cell>
          <cell r="J2189">
            <v>759</v>
          </cell>
          <cell r="K2189">
            <v>151.80000000000001</v>
          </cell>
          <cell r="L2189">
            <v>759</v>
          </cell>
          <cell r="M2189" t="str">
            <v/>
          </cell>
          <cell r="N2189">
            <v>0</v>
          </cell>
        </row>
        <row r="2190">
          <cell r="A2190">
            <v>12663</v>
          </cell>
          <cell r="B2190" t="str">
            <v>08/01/2018</v>
          </cell>
          <cell r="C2190" t="str">
            <v>C1503</v>
          </cell>
          <cell r="D2190" t="str">
            <v>Upgrade Supplies to the Comas Panels</v>
          </cell>
          <cell r="E2190" t="str">
            <v>Key Integrated Services (Electrical) Ltd</v>
          </cell>
          <cell r="F2190" t="str">
            <v>Subcontractor</v>
          </cell>
          <cell r="G2190" t="str">
            <v/>
          </cell>
          <cell r="H2190" t="str">
            <v>Complete</v>
          </cell>
          <cell r="I2190" t="str">
            <v/>
          </cell>
          <cell r="J2190">
            <v>0</v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</row>
        <row r="2191">
          <cell r="A2191">
            <v>12662</v>
          </cell>
          <cell r="B2191" t="str">
            <v>08/01/2018</v>
          </cell>
          <cell r="C2191" t="str">
            <v>C1502</v>
          </cell>
          <cell r="D2191" t="str">
            <v>IT Containment for Modem Cables</v>
          </cell>
          <cell r="E2191" t="str">
            <v>Key Integrated Services (Electrical) Ltd</v>
          </cell>
          <cell r="F2191" t="str">
            <v>Subcontractor</v>
          </cell>
          <cell r="G2191" t="str">
            <v/>
          </cell>
          <cell r="H2191" t="str">
            <v>Complete</v>
          </cell>
          <cell r="I2191" t="str">
            <v/>
          </cell>
          <cell r="J2191">
            <v>0</v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</row>
        <row r="2192">
          <cell r="A2192">
            <v>12661</v>
          </cell>
          <cell r="B2192" t="str">
            <v>08/01/2018</v>
          </cell>
          <cell r="C2192" t="str">
            <v>C1501</v>
          </cell>
          <cell r="D2192" t="str">
            <v>Distribution Board Battery Charging Area</v>
          </cell>
          <cell r="E2192" t="str">
            <v>Key Integrated Services (Electrical) Ltd</v>
          </cell>
          <cell r="F2192" t="str">
            <v>Subcontractor</v>
          </cell>
          <cell r="G2192" t="str">
            <v/>
          </cell>
          <cell r="H2192" t="str">
            <v>Complete</v>
          </cell>
          <cell r="I2192" t="str">
            <v/>
          </cell>
          <cell r="J2192">
            <v>0</v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</row>
        <row r="2193">
          <cell r="A2193">
            <v>12650</v>
          </cell>
          <cell r="B2193" t="str">
            <v>04/01/2018</v>
          </cell>
          <cell r="C2193" t="str">
            <v>C1500</v>
          </cell>
          <cell r="D2193" t="str">
            <v>Lantmannen Bedford</v>
          </cell>
          <cell r="E2193" t="str">
            <v>Key Integrated Services (Electrical) Ltd</v>
          </cell>
          <cell r="F2193" t="str">
            <v>Subcontractor</v>
          </cell>
          <cell r="G2193" t="str">
            <v/>
          </cell>
          <cell r="H2193" t="str">
            <v/>
          </cell>
          <cell r="I2193" t="str">
            <v/>
          </cell>
          <cell r="J2193">
            <v>3875</v>
          </cell>
          <cell r="K2193">
            <v>775</v>
          </cell>
          <cell r="L2193">
            <v>3875</v>
          </cell>
          <cell r="M2193" t="str">
            <v/>
          </cell>
          <cell r="N2193">
            <v>0</v>
          </cell>
        </row>
        <row r="2194">
          <cell r="A2194">
            <v>12648</v>
          </cell>
          <cell r="B2194" t="str">
            <v>04/01/2018</v>
          </cell>
          <cell r="C2194" t="str">
            <v>CALLOUT</v>
          </cell>
          <cell r="D2194" t="str">
            <v>Investigate all four panels are displaying an error message</v>
          </cell>
          <cell r="E2194" t="str">
            <v>ADS Aircon Ltd</v>
          </cell>
          <cell r="F2194" t="str">
            <v>Subcontractor</v>
          </cell>
          <cell r="G2194" t="str">
            <v/>
          </cell>
          <cell r="H2194" t="str">
            <v/>
          </cell>
          <cell r="I2194" t="str">
            <v/>
          </cell>
          <cell r="J2194">
            <v>215</v>
          </cell>
          <cell r="K2194">
            <v>43</v>
          </cell>
          <cell r="L2194">
            <v>0</v>
          </cell>
          <cell r="M2194" t="str">
            <v/>
          </cell>
          <cell r="N2194">
            <v>215</v>
          </cell>
        </row>
        <row r="2195">
          <cell r="A2195">
            <v>12640</v>
          </cell>
          <cell r="B2195" t="str">
            <v>03/01/2018</v>
          </cell>
          <cell r="C2195" t="str">
            <v>C1447</v>
          </cell>
          <cell r="D2195" t="str">
            <v>Bracketry amendment works on Newcastle Uni as per site visit</v>
          </cell>
          <cell r="E2195" t="str">
            <v>OLD COUGAR ACCOUNT- DO NOT USE</v>
          </cell>
          <cell r="F2195" t="str">
            <v>Subcontractor</v>
          </cell>
          <cell r="G2195" t="str">
            <v/>
          </cell>
          <cell r="H2195" t="str">
            <v/>
          </cell>
          <cell r="I2195" t="str">
            <v/>
          </cell>
          <cell r="J2195">
            <v>850</v>
          </cell>
          <cell r="K2195">
            <v>170</v>
          </cell>
          <cell r="L2195">
            <v>850</v>
          </cell>
          <cell r="M2195" t="str">
            <v/>
          </cell>
          <cell r="N2195">
            <v>0</v>
          </cell>
        </row>
        <row r="2196">
          <cell r="A2196">
            <v>12639</v>
          </cell>
          <cell r="B2196" t="str">
            <v>21/12/2017</v>
          </cell>
          <cell r="C2196" t="str">
            <v>C1489</v>
          </cell>
          <cell r="D2196" t="str">
            <v>Supply and Installation of Crane hoist / Trolley and ancilli</v>
          </cell>
          <cell r="E2196" t="str">
            <v>Konecranes Demag UK Ltd</v>
          </cell>
          <cell r="F2196" t="str">
            <v>Subcontractor</v>
          </cell>
          <cell r="G2196" t="str">
            <v>06/02/2017</v>
          </cell>
          <cell r="H2196" t="str">
            <v>Complete</v>
          </cell>
          <cell r="I2196" t="str">
            <v/>
          </cell>
          <cell r="J2196">
            <v>0</v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</row>
        <row r="2197">
          <cell r="A2197">
            <v>12633</v>
          </cell>
          <cell r="B2197" t="str">
            <v>19/12/2017</v>
          </cell>
          <cell r="C2197" t="str">
            <v>C1489</v>
          </cell>
          <cell r="D2197" t="str">
            <v>New Support Beams At Freshcut Foods Ref 9828</v>
          </cell>
          <cell r="E2197" t="str">
            <v>NP Services (Leicester) Ltd</v>
          </cell>
          <cell r="F2197" t="str">
            <v>Subcontractor</v>
          </cell>
          <cell r="G2197" t="str">
            <v>29/01/2018</v>
          </cell>
          <cell r="H2197" t="str">
            <v/>
          </cell>
          <cell r="I2197" t="str">
            <v/>
          </cell>
          <cell r="J2197">
            <v>14538</v>
          </cell>
          <cell r="K2197">
            <v>2907.6</v>
          </cell>
          <cell r="L2197">
            <v>14538</v>
          </cell>
          <cell r="M2197" t="str">
            <v/>
          </cell>
          <cell r="N2197">
            <v>0</v>
          </cell>
        </row>
        <row r="2198">
          <cell r="A2198">
            <v>12620</v>
          </cell>
          <cell r="B2198" t="str">
            <v>15/12/2017</v>
          </cell>
          <cell r="C2198" t="str">
            <v>C1491</v>
          </cell>
          <cell r="D2198" t="str">
            <v>Ductwork installation as per sub contract order.</v>
          </cell>
          <cell r="E2198" t="str">
            <v>ExcelVent Solutions Ltd</v>
          </cell>
          <cell r="F2198" t="str">
            <v>Subcontractor</v>
          </cell>
          <cell r="G2198" t="str">
            <v>08/01/2018</v>
          </cell>
          <cell r="H2198" t="str">
            <v>Part</v>
          </cell>
          <cell r="I2198" t="str">
            <v/>
          </cell>
          <cell r="J2198">
            <v>20264.009999999998</v>
          </cell>
          <cell r="K2198">
            <v>4052.8</v>
          </cell>
          <cell r="L2198">
            <v>20264.009999999998</v>
          </cell>
          <cell r="M2198" t="str">
            <v/>
          </cell>
          <cell r="N2198">
            <v>0</v>
          </cell>
        </row>
        <row r="2199">
          <cell r="A2199">
            <v>12599</v>
          </cell>
          <cell r="B2199" t="str">
            <v>11/12/2017</v>
          </cell>
          <cell r="C2199" t="str">
            <v>C1478</v>
          </cell>
          <cell r="D2199" t="str">
            <v>Ductwork installation</v>
          </cell>
          <cell r="E2199" t="str">
            <v>ExcelVent Solutions Ltd</v>
          </cell>
          <cell r="F2199" t="str">
            <v>Subcontractor</v>
          </cell>
          <cell r="G2199" t="str">
            <v/>
          </cell>
          <cell r="H2199" t="str">
            <v>Part</v>
          </cell>
          <cell r="I2199" t="str">
            <v/>
          </cell>
          <cell r="J2199">
            <v>1820</v>
          </cell>
          <cell r="K2199">
            <v>364</v>
          </cell>
          <cell r="L2199">
            <v>1820</v>
          </cell>
          <cell r="M2199" t="str">
            <v/>
          </cell>
          <cell r="N2199">
            <v>0</v>
          </cell>
        </row>
        <row r="2200">
          <cell r="A2200">
            <v>12598</v>
          </cell>
          <cell r="B2200" t="str">
            <v>11/12/2017</v>
          </cell>
          <cell r="C2200" t="str">
            <v>C1434</v>
          </cell>
          <cell r="D2200" t="str">
            <v>Commission air systems</v>
          </cell>
          <cell r="E2200" t="str">
            <v>New Era Commissioning Specialists Ltd</v>
          </cell>
          <cell r="F2200" t="str">
            <v>Subcontractor</v>
          </cell>
          <cell r="G2200" t="str">
            <v/>
          </cell>
          <cell r="H2200" t="str">
            <v/>
          </cell>
          <cell r="I2200" t="str">
            <v/>
          </cell>
          <cell r="J2200">
            <v>1375</v>
          </cell>
          <cell r="K2200">
            <v>275</v>
          </cell>
          <cell r="L2200">
            <v>1375</v>
          </cell>
          <cell r="M2200" t="str">
            <v/>
          </cell>
          <cell r="N2200">
            <v>0</v>
          </cell>
        </row>
        <row r="2201">
          <cell r="A2201">
            <v>12595</v>
          </cell>
          <cell r="B2201" t="str">
            <v>11/12/2017</v>
          </cell>
          <cell r="C2201" t="str">
            <v>C1434</v>
          </cell>
          <cell r="D2201" t="str">
            <v>Roof cowls</v>
          </cell>
          <cell r="E2201" t="str">
            <v>OLD COUGAR ACCOUNT- DO NOT USE</v>
          </cell>
          <cell r="F2201" t="str">
            <v>Subcontractor</v>
          </cell>
          <cell r="G2201" t="str">
            <v/>
          </cell>
          <cell r="H2201" t="str">
            <v/>
          </cell>
          <cell r="I2201" t="str">
            <v/>
          </cell>
          <cell r="J2201">
            <v>250</v>
          </cell>
          <cell r="K2201">
            <v>50</v>
          </cell>
          <cell r="L2201">
            <v>250</v>
          </cell>
          <cell r="M2201" t="str">
            <v/>
          </cell>
          <cell r="N2201">
            <v>0</v>
          </cell>
        </row>
        <row r="2202">
          <cell r="A2202">
            <v>12583</v>
          </cell>
          <cell r="B2202" t="str">
            <v>08/12/2017</v>
          </cell>
          <cell r="C2202" t="str">
            <v>C1434</v>
          </cell>
          <cell r="D2202" t="str">
            <v>Rectify fault on fan controls</v>
          </cell>
          <cell r="E2202" t="str">
            <v>Kestrel North West Limited</v>
          </cell>
          <cell r="F2202" t="str">
            <v>Subcontractor</v>
          </cell>
          <cell r="G2202" t="str">
            <v/>
          </cell>
          <cell r="H2202" t="str">
            <v/>
          </cell>
          <cell r="I2202" t="str">
            <v/>
          </cell>
          <cell r="J2202">
            <v>228</v>
          </cell>
          <cell r="K2202">
            <v>45.6</v>
          </cell>
          <cell r="L2202">
            <v>228</v>
          </cell>
          <cell r="M2202" t="str">
            <v/>
          </cell>
          <cell r="N2202">
            <v>0</v>
          </cell>
        </row>
        <row r="2203">
          <cell r="A2203">
            <v>12574</v>
          </cell>
          <cell r="B2203" t="str">
            <v>07/12/2017</v>
          </cell>
          <cell r="C2203" t="str">
            <v>CALLOUT</v>
          </cell>
          <cell r="D2203" t="str">
            <v>supply ad fit new ballasts/fttgs as per quote</v>
          </cell>
          <cell r="E2203" t="str">
            <v>Barrie Beard Ltd</v>
          </cell>
          <cell r="F2203" t="str">
            <v>Subcontractor</v>
          </cell>
          <cell r="G2203" t="str">
            <v/>
          </cell>
          <cell r="H2203" t="str">
            <v/>
          </cell>
          <cell r="I2203" t="str">
            <v/>
          </cell>
          <cell r="J2203">
            <v>145</v>
          </cell>
          <cell r="K2203">
            <v>29</v>
          </cell>
          <cell r="L2203">
            <v>145</v>
          </cell>
          <cell r="M2203" t="str">
            <v/>
          </cell>
          <cell r="N2203">
            <v>0</v>
          </cell>
        </row>
        <row r="2204">
          <cell r="A2204">
            <v>12564</v>
          </cell>
          <cell r="B2204" t="str">
            <v>07/12/2017</v>
          </cell>
          <cell r="C2204" t="str">
            <v>C1383</v>
          </cell>
          <cell r="D2204" t="str">
            <v>Supply of elec panel heaters</v>
          </cell>
          <cell r="E2204" t="str">
            <v>Key Integrated Services (Electrical) Ltd</v>
          </cell>
          <cell r="F2204" t="str">
            <v>Subcontractor</v>
          </cell>
          <cell r="G2204" t="str">
            <v/>
          </cell>
          <cell r="H2204" t="str">
            <v/>
          </cell>
          <cell r="I2204" t="str">
            <v/>
          </cell>
          <cell r="J2204">
            <v>3658.47</v>
          </cell>
          <cell r="K2204">
            <v>731.69</v>
          </cell>
          <cell r="L2204">
            <v>3658.47</v>
          </cell>
          <cell r="M2204" t="str">
            <v/>
          </cell>
          <cell r="N2204">
            <v>0</v>
          </cell>
        </row>
        <row r="2205">
          <cell r="A2205">
            <v>12555</v>
          </cell>
          <cell r="B2205" t="str">
            <v>05/12/2017</v>
          </cell>
          <cell r="C2205" t="str">
            <v>C1437</v>
          </cell>
          <cell r="D2205" t="str">
            <v>Measuring and setting 315mm IBC exhaust damper @ 0.5m3/s</v>
          </cell>
          <cell r="E2205" t="str">
            <v>Combat Commissioning Services Ltd</v>
          </cell>
          <cell r="F2205" t="str">
            <v>Subcontractor</v>
          </cell>
          <cell r="G2205" t="str">
            <v>08/12/2017</v>
          </cell>
          <cell r="H2205" t="str">
            <v/>
          </cell>
          <cell r="I2205" t="str">
            <v/>
          </cell>
          <cell r="J2205">
            <v>380</v>
          </cell>
          <cell r="K2205">
            <v>76</v>
          </cell>
          <cell r="L2205">
            <v>380</v>
          </cell>
          <cell r="M2205" t="str">
            <v/>
          </cell>
          <cell r="N2205">
            <v>0</v>
          </cell>
        </row>
        <row r="2206">
          <cell r="A2206">
            <v>12540</v>
          </cell>
          <cell r="B2206" t="str">
            <v>04/12/2017</v>
          </cell>
          <cell r="C2206" t="str">
            <v>C1482</v>
          </cell>
          <cell r="D2206" t="str">
            <v>Commissioning of Air Systems and Chlorination at Birmingham</v>
          </cell>
          <cell r="E2206" t="str">
            <v>New Era Commissioning Specialists Ltd</v>
          </cell>
          <cell r="F2206" t="str">
            <v>Subcontractor</v>
          </cell>
          <cell r="G2206" t="str">
            <v/>
          </cell>
          <cell r="H2206" t="str">
            <v/>
          </cell>
          <cell r="I2206" t="str">
            <v/>
          </cell>
          <cell r="J2206">
            <v>1200</v>
          </cell>
          <cell r="K2206">
            <v>240</v>
          </cell>
          <cell r="L2206">
            <v>1200</v>
          </cell>
          <cell r="M2206" t="str">
            <v/>
          </cell>
          <cell r="N2206">
            <v>0</v>
          </cell>
        </row>
        <row r="2207">
          <cell r="A2207">
            <v>12538</v>
          </cell>
          <cell r="B2207" t="str">
            <v>04/12/2017</v>
          </cell>
          <cell r="C2207" t="str">
            <v>C1445</v>
          </cell>
          <cell r="D2207" t="str">
            <v>Commision Chilled Water Plant</v>
          </cell>
          <cell r="E2207" t="str">
            <v>New Era Commissioning Specialists Ltd</v>
          </cell>
          <cell r="F2207" t="str">
            <v>Subcontractor</v>
          </cell>
          <cell r="G2207" t="str">
            <v>07/12/2017</v>
          </cell>
          <cell r="H2207" t="str">
            <v/>
          </cell>
          <cell r="I2207" t="str">
            <v/>
          </cell>
          <cell r="J2207">
            <v>450</v>
          </cell>
          <cell r="K2207">
            <v>90</v>
          </cell>
          <cell r="L2207">
            <v>450</v>
          </cell>
          <cell r="M2207" t="str">
            <v/>
          </cell>
          <cell r="N2207">
            <v>0</v>
          </cell>
        </row>
        <row r="2208">
          <cell r="A2208">
            <v>12535</v>
          </cell>
          <cell r="B2208" t="str">
            <v>04/12/2017</v>
          </cell>
          <cell r="C2208" t="str">
            <v>C1480</v>
          </cell>
          <cell r="D2208" t="str">
            <v>Heat Cals, SBEM, Part L works</v>
          </cell>
          <cell r="E2208" t="str">
            <v>Couch Perry &amp; Wilkes Environmental LLP</v>
          </cell>
          <cell r="F2208" t="str">
            <v>Subcontractor</v>
          </cell>
          <cell r="G2208" t="str">
            <v/>
          </cell>
          <cell r="H2208" t="str">
            <v>Complete</v>
          </cell>
          <cell r="I2208" t="str">
            <v/>
          </cell>
          <cell r="J2208">
            <v>0</v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</row>
        <row r="2209">
          <cell r="A2209">
            <v>12533</v>
          </cell>
          <cell r="B2209" t="str">
            <v>04/12/2017</v>
          </cell>
          <cell r="C2209" t="str">
            <v>C1445</v>
          </cell>
          <cell r="D2209" t="str">
            <v>Supply of Glycol</v>
          </cell>
          <cell r="E2209" t="str">
            <v>New Era Commissioning Specialists Ltd</v>
          </cell>
          <cell r="F2209" t="str">
            <v>Subcontractor</v>
          </cell>
          <cell r="G2209" t="str">
            <v/>
          </cell>
          <cell r="H2209" t="str">
            <v>Part</v>
          </cell>
          <cell r="I2209" t="str">
            <v/>
          </cell>
          <cell r="J2209">
            <v>1375</v>
          </cell>
          <cell r="K2209">
            <v>275</v>
          </cell>
          <cell r="L2209">
            <v>1375</v>
          </cell>
          <cell r="M2209" t="str">
            <v/>
          </cell>
          <cell r="N2209">
            <v>0</v>
          </cell>
        </row>
        <row r="2210">
          <cell r="A2210">
            <v>12514</v>
          </cell>
          <cell r="B2210" t="str">
            <v>30/11/2017</v>
          </cell>
          <cell r="C2210" t="str">
            <v>CALLOUT</v>
          </cell>
          <cell r="D2210" t="str">
            <v>non retunr valve to fuel line as per quote</v>
          </cell>
          <cell r="E2210" t="str">
            <v>Burtonwood Generator &amp; Switchgear Services Ltd</v>
          </cell>
          <cell r="F2210" t="str">
            <v>Subcontractor</v>
          </cell>
          <cell r="G2210" t="str">
            <v/>
          </cell>
          <cell r="H2210" t="str">
            <v/>
          </cell>
          <cell r="I2210" t="str">
            <v/>
          </cell>
          <cell r="J2210">
            <v>102.5</v>
          </cell>
          <cell r="K2210">
            <v>20.5</v>
          </cell>
          <cell r="L2210">
            <v>102.5</v>
          </cell>
          <cell r="M2210" t="str">
            <v/>
          </cell>
          <cell r="N2210">
            <v>0</v>
          </cell>
        </row>
        <row r="2211">
          <cell r="A2211">
            <v>12512</v>
          </cell>
          <cell r="B2211" t="str">
            <v>30/11/2017</v>
          </cell>
          <cell r="C2211" t="str">
            <v>C1484</v>
          </cell>
          <cell r="D2211" t="str">
            <v>Air balancing to office clean &amp; dirty extract systems</v>
          </cell>
          <cell r="E2211" t="str">
            <v>New Era Commissioning Specialists Ltd</v>
          </cell>
          <cell r="F2211" t="str">
            <v>Subcontractor</v>
          </cell>
          <cell r="G2211" t="str">
            <v>11/12/2017</v>
          </cell>
          <cell r="H2211" t="str">
            <v/>
          </cell>
          <cell r="I2211" t="str">
            <v/>
          </cell>
          <cell r="J2211">
            <v>900</v>
          </cell>
          <cell r="K2211">
            <v>180</v>
          </cell>
          <cell r="L2211">
            <v>900</v>
          </cell>
          <cell r="M2211" t="str">
            <v/>
          </cell>
          <cell r="N2211">
            <v>0</v>
          </cell>
        </row>
        <row r="2212">
          <cell r="A2212">
            <v>12500</v>
          </cell>
          <cell r="B2212" t="str">
            <v>29/11/2017</v>
          </cell>
          <cell r="C2212" t="str">
            <v>C1476</v>
          </cell>
          <cell r="D2212" t="str">
            <v>Labour only</v>
          </cell>
          <cell r="E2212" t="str">
            <v>Enco Ltd</v>
          </cell>
          <cell r="F2212" t="str">
            <v>Subcontractor</v>
          </cell>
          <cell r="G2212" t="str">
            <v/>
          </cell>
          <cell r="H2212" t="str">
            <v/>
          </cell>
          <cell r="I2212" t="str">
            <v/>
          </cell>
          <cell r="J2212">
            <v>1130</v>
          </cell>
          <cell r="K2212">
            <v>226</v>
          </cell>
          <cell r="L2212">
            <v>1130</v>
          </cell>
          <cell r="M2212" t="str">
            <v/>
          </cell>
          <cell r="N2212">
            <v>0</v>
          </cell>
        </row>
        <row r="2213">
          <cell r="A2213">
            <v>12492</v>
          </cell>
          <cell r="B2213" t="str">
            <v>28/11/2017</v>
          </cell>
          <cell r="C2213" t="str">
            <v>SERVICE</v>
          </cell>
          <cell r="D2213" t="str">
            <v>Major service visit as per quote QR221311</v>
          </cell>
          <cell r="E2213" t="str">
            <v>Burtonwood Generator &amp; Switchgear Services Ltd</v>
          </cell>
          <cell r="F2213" t="str">
            <v>Subcontractor</v>
          </cell>
          <cell r="G2213" t="str">
            <v/>
          </cell>
          <cell r="H2213" t="str">
            <v/>
          </cell>
          <cell r="I2213" t="str">
            <v/>
          </cell>
          <cell r="J2213">
            <v>169</v>
          </cell>
          <cell r="K2213">
            <v>33.799999999999997</v>
          </cell>
          <cell r="L2213">
            <v>169</v>
          </cell>
          <cell r="M2213" t="str">
            <v/>
          </cell>
          <cell r="N2213">
            <v>0</v>
          </cell>
        </row>
        <row r="2214">
          <cell r="A2214">
            <v>12486</v>
          </cell>
          <cell r="B2214" t="str">
            <v>28/11/2017</v>
          </cell>
          <cell r="C2214" t="str">
            <v>C1479</v>
          </cell>
          <cell r="D2214" t="str">
            <v>Supply and installation</v>
          </cell>
          <cell r="E2214" t="str">
            <v>OLD COUGAR ACCOUNT- DO NOT USE</v>
          </cell>
          <cell r="F2214" t="str">
            <v>Subcontractor</v>
          </cell>
          <cell r="G2214" t="str">
            <v/>
          </cell>
          <cell r="H2214" t="str">
            <v/>
          </cell>
          <cell r="I2214" t="str">
            <v/>
          </cell>
          <cell r="J2214">
            <v>18660</v>
          </cell>
          <cell r="K2214">
            <v>3732</v>
          </cell>
          <cell r="L2214">
            <v>18660</v>
          </cell>
          <cell r="M2214" t="str">
            <v/>
          </cell>
          <cell r="N2214">
            <v>0</v>
          </cell>
        </row>
        <row r="2215">
          <cell r="A2215">
            <v>12481</v>
          </cell>
          <cell r="B2215" t="str">
            <v>28/11/2017</v>
          </cell>
          <cell r="C2215" t="str">
            <v>C1484</v>
          </cell>
          <cell r="D2215" t="str">
            <v>Supply &amp; Installation of thermal Insulation to DWS pipework</v>
          </cell>
          <cell r="E2215" t="str">
            <v>Grangewood Insulation Services Ltd</v>
          </cell>
          <cell r="F2215" t="str">
            <v>Subcontractor</v>
          </cell>
          <cell r="G2215" t="str">
            <v>29/11/2017</v>
          </cell>
          <cell r="H2215" t="str">
            <v/>
          </cell>
          <cell r="I2215" t="str">
            <v/>
          </cell>
          <cell r="J2215">
            <v>475</v>
          </cell>
          <cell r="K2215">
            <v>95</v>
          </cell>
          <cell r="L2215">
            <v>475</v>
          </cell>
          <cell r="M2215" t="str">
            <v/>
          </cell>
          <cell r="N2215">
            <v>0</v>
          </cell>
        </row>
        <row r="2216">
          <cell r="A2216">
            <v>12475</v>
          </cell>
          <cell r="B2216" t="str">
            <v>27/11/2017</v>
          </cell>
          <cell r="C2216" t="str">
            <v>CALLOUT</v>
          </cell>
          <cell r="D2216" t="str">
            <v>investigate power in cabin after fire and reinstate</v>
          </cell>
          <cell r="E2216" t="str">
            <v>Key Integrated Services (Electrical) Ltd</v>
          </cell>
          <cell r="F2216" t="str">
            <v>Subcontractor</v>
          </cell>
          <cell r="G2216" t="str">
            <v/>
          </cell>
          <cell r="H2216" t="str">
            <v/>
          </cell>
          <cell r="I2216" t="str">
            <v/>
          </cell>
          <cell r="J2216">
            <v>140</v>
          </cell>
          <cell r="K2216">
            <v>28</v>
          </cell>
          <cell r="L2216">
            <v>0</v>
          </cell>
          <cell r="M2216" t="str">
            <v/>
          </cell>
          <cell r="N2216">
            <v>140</v>
          </cell>
        </row>
        <row r="2217">
          <cell r="A2217">
            <v>12470</v>
          </cell>
          <cell r="B2217" t="str">
            <v>27/11/2017</v>
          </cell>
          <cell r="C2217" t="str">
            <v>C1482</v>
          </cell>
          <cell r="D2217" t="str">
            <v>Air Conditioning to Mezzanine Offices</v>
          </cell>
          <cell r="E2217" t="str">
            <v>Aerocool Ltd</v>
          </cell>
          <cell r="F2217" t="str">
            <v>Subcontractor</v>
          </cell>
          <cell r="G2217" t="str">
            <v/>
          </cell>
          <cell r="H2217" t="str">
            <v/>
          </cell>
          <cell r="I2217" t="str">
            <v/>
          </cell>
          <cell r="J2217">
            <v>6844</v>
          </cell>
          <cell r="K2217">
            <v>1368.8</v>
          </cell>
          <cell r="L2217">
            <v>6844</v>
          </cell>
          <cell r="M2217" t="str">
            <v/>
          </cell>
          <cell r="N2217">
            <v>0</v>
          </cell>
        </row>
        <row r="2218">
          <cell r="A2218">
            <v>12445</v>
          </cell>
          <cell r="B2218" t="str">
            <v>22/11/2017</v>
          </cell>
          <cell r="C2218" t="str">
            <v>CALLOUT</v>
          </cell>
          <cell r="D2218" t="str">
            <v>investigate issue with zip - fault message leak turn off mai</v>
          </cell>
          <cell r="E2218" t="str">
            <v>Zip Heaters (UK) Ltd</v>
          </cell>
          <cell r="F2218" t="str">
            <v>Subcontractor</v>
          </cell>
          <cell r="G2218" t="str">
            <v/>
          </cell>
          <cell r="H2218" t="str">
            <v/>
          </cell>
          <cell r="I2218" t="str">
            <v/>
          </cell>
          <cell r="J2218">
            <v>250</v>
          </cell>
          <cell r="K2218">
            <v>50</v>
          </cell>
          <cell r="L2218">
            <v>0</v>
          </cell>
          <cell r="M2218" t="str">
            <v/>
          </cell>
          <cell r="N2218">
            <v>250</v>
          </cell>
        </row>
        <row r="2219">
          <cell r="A2219">
            <v>12444</v>
          </cell>
          <cell r="B2219" t="str">
            <v>22/11/2017</v>
          </cell>
          <cell r="C2219" t="str">
            <v>CALLOUT</v>
          </cell>
          <cell r="D2219" t="str">
            <v>Supply and install 3no new 30w LED Slimline</v>
          </cell>
          <cell r="E2219" t="str">
            <v>Barrie Beard Ltd</v>
          </cell>
          <cell r="F2219" t="str">
            <v>Subcontractor</v>
          </cell>
          <cell r="G2219" t="str">
            <v/>
          </cell>
          <cell r="H2219" t="str">
            <v/>
          </cell>
          <cell r="I2219" t="str">
            <v/>
          </cell>
          <cell r="J2219">
            <v>230</v>
          </cell>
          <cell r="K2219">
            <v>46</v>
          </cell>
          <cell r="L2219">
            <v>230</v>
          </cell>
          <cell r="M2219" t="str">
            <v/>
          </cell>
          <cell r="N2219">
            <v>0</v>
          </cell>
        </row>
        <row r="2220">
          <cell r="A2220">
            <v>12420</v>
          </cell>
          <cell r="B2220" t="str">
            <v>20/11/2017</v>
          </cell>
          <cell r="C2220" t="str">
            <v>CALLOUT</v>
          </cell>
          <cell r="D2220" t="str">
            <v>drop test as per quote 14th Nov 2017</v>
          </cell>
          <cell r="E2220" t="str">
            <v>OLD COUGAR ACCOUNT- DO NOT USE</v>
          </cell>
          <cell r="F2220" t="str">
            <v>Subcontractor</v>
          </cell>
          <cell r="G2220" t="str">
            <v/>
          </cell>
          <cell r="H2220" t="str">
            <v>Complete</v>
          </cell>
          <cell r="I2220" t="str">
            <v/>
          </cell>
          <cell r="J2220">
            <v>0</v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</row>
        <row r="2221">
          <cell r="A2221">
            <v>12416</v>
          </cell>
          <cell r="B2221" t="str">
            <v>20/11/2017</v>
          </cell>
          <cell r="C2221" t="str">
            <v>SERVICE</v>
          </cell>
          <cell r="D2221" t="str">
            <v>AC Maintenance</v>
          </cell>
          <cell r="E2221" t="str">
            <v>Adcock Refrigeration &amp; Air Conditioning</v>
          </cell>
          <cell r="F2221" t="str">
            <v>Subcontractor</v>
          </cell>
          <cell r="G2221" t="str">
            <v/>
          </cell>
          <cell r="H2221" t="str">
            <v/>
          </cell>
          <cell r="I2221" t="str">
            <v/>
          </cell>
          <cell r="J2221">
            <v>400</v>
          </cell>
          <cell r="K2221">
            <v>80</v>
          </cell>
          <cell r="L2221">
            <v>364</v>
          </cell>
          <cell r="M2221" t="str">
            <v/>
          </cell>
          <cell r="N2221">
            <v>36</v>
          </cell>
        </row>
        <row r="2222">
          <cell r="A2222">
            <v>12415</v>
          </cell>
          <cell r="B2222" t="str">
            <v>20/11/2017</v>
          </cell>
          <cell r="C2222" t="str">
            <v>SERVICE</v>
          </cell>
          <cell r="D2222" t="str">
            <v>maintenance contract as per your quote ref k</v>
          </cell>
          <cell r="E2222" t="str">
            <v>Centiel UK Ltd</v>
          </cell>
          <cell r="F2222" t="str">
            <v>Subcontractor</v>
          </cell>
          <cell r="G2222" t="str">
            <v/>
          </cell>
          <cell r="H2222" t="str">
            <v/>
          </cell>
          <cell r="I2222" t="str">
            <v/>
          </cell>
          <cell r="J2222">
            <v>950</v>
          </cell>
          <cell r="K2222">
            <v>190</v>
          </cell>
          <cell r="L2222">
            <v>950</v>
          </cell>
          <cell r="M2222" t="str">
            <v/>
          </cell>
          <cell r="N2222">
            <v>0</v>
          </cell>
        </row>
        <row r="2223">
          <cell r="A2223">
            <v>12413</v>
          </cell>
          <cell r="B2223" t="str">
            <v>20/11/2017</v>
          </cell>
          <cell r="C2223" t="str">
            <v>C1482</v>
          </cell>
          <cell r="D2223" t="str">
            <v>Mechanical Ventilation Services at Birmingham Wholesale Mark</v>
          </cell>
          <cell r="E2223" t="str">
            <v>Mersey Vent Ltd</v>
          </cell>
          <cell r="F2223" t="str">
            <v>Subcontractor</v>
          </cell>
          <cell r="G2223" t="str">
            <v>04/12/2017</v>
          </cell>
          <cell r="H2223" t="str">
            <v/>
          </cell>
          <cell r="I2223" t="str">
            <v/>
          </cell>
          <cell r="J2223">
            <v>6319.81</v>
          </cell>
          <cell r="K2223">
            <v>1263.96</v>
          </cell>
          <cell r="L2223">
            <v>6319.81</v>
          </cell>
          <cell r="M2223" t="str">
            <v/>
          </cell>
          <cell r="N2223">
            <v>0</v>
          </cell>
        </row>
        <row r="2224">
          <cell r="A2224">
            <v>12410</v>
          </cell>
          <cell r="B2224" t="str">
            <v>17/11/2017</v>
          </cell>
          <cell r="C2224" t="str">
            <v>C1490</v>
          </cell>
          <cell r="D2224" t="str">
            <v/>
          </cell>
          <cell r="E2224" t="str">
            <v>Key Integrated Services (Electrical) Ltd</v>
          </cell>
          <cell r="F2224" t="str">
            <v>Subcontractor</v>
          </cell>
          <cell r="G2224" t="str">
            <v>07/05/2018</v>
          </cell>
          <cell r="H2224" t="str">
            <v>Part</v>
          </cell>
          <cell r="I2224" t="str">
            <v/>
          </cell>
          <cell r="J2224">
            <v>1172074.54</v>
          </cell>
          <cell r="K2224">
            <v>234414.91</v>
          </cell>
          <cell r="L2224">
            <v>1172074.54</v>
          </cell>
          <cell r="M2224" t="str">
            <v/>
          </cell>
          <cell r="N2224">
            <v>0</v>
          </cell>
        </row>
        <row r="2225">
          <cell r="A2225">
            <v>12407</v>
          </cell>
          <cell r="B2225" t="str">
            <v>17/11/2017</v>
          </cell>
          <cell r="C2225" t="str">
            <v>C1383</v>
          </cell>
          <cell r="D2225" t="str">
            <v>Ductwork remedials</v>
          </cell>
          <cell r="E2225" t="str">
            <v>OLD COUGAR ACCOUNT- DO NOT USE</v>
          </cell>
          <cell r="F2225" t="str">
            <v>Subcontractor</v>
          </cell>
          <cell r="G2225" t="str">
            <v/>
          </cell>
          <cell r="H2225" t="str">
            <v/>
          </cell>
          <cell r="I2225" t="str">
            <v/>
          </cell>
          <cell r="J2225">
            <v>435</v>
          </cell>
          <cell r="K2225">
            <v>87</v>
          </cell>
          <cell r="L2225">
            <v>435</v>
          </cell>
          <cell r="M2225" t="str">
            <v/>
          </cell>
          <cell r="N2225">
            <v>0</v>
          </cell>
        </row>
        <row r="2226">
          <cell r="A2226">
            <v>12395</v>
          </cell>
          <cell r="B2226" t="str">
            <v>16/11/2017</v>
          </cell>
          <cell r="C2226" t="str">
            <v>C1472</v>
          </cell>
          <cell r="D2226" t="str">
            <v>New power cables for blast freezer</v>
          </cell>
          <cell r="E2226" t="str">
            <v>Key Integrated Services (Electrical) Ltd</v>
          </cell>
          <cell r="F2226" t="str">
            <v>Subcontractor</v>
          </cell>
          <cell r="G2226" t="str">
            <v/>
          </cell>
          <cell r="H2226" t="str">
            <v/>
          </cell>
          <cell r="I2226" t="str">
            <v/>
          </cell>
          <cell r="J2226">
            <v>17173</v>
          </cell>
          <cell r="K2226">
            <v>3434.6</v>
          </cell>
          <cell r="L2226">
            <v>17173</v>
          </cell>
          <cell r="M2226" t="str">
            <v/>
          </cell>
          <cell r="N2226">
            <v>0</v>
          </cell>
        </row>
        <row r="2227">
          <cell r="A2227">
            <v>12394</v>
          </cell>
          <cell r="B2227" t="str">
            <v>16/11/2017</v>
          </cell>
          <cell r="C2227" t="str">
            <v>C1471</v>
          </cell>
          <cell r="D2227" t="str">
            <v>Phase 2 blast freezer enabling works</v>
          </cell>
          <cell r="E2227" t="str">
            <v>Key Integrated Services (Electrical) Ltd</v>
          </cell>
          <cell r="F2227" t="str">
            <v>Subcontractor</v>
          </cell>
          <cell r="G2227" t="str">
            <v/>
          </cell>
          <cell r="H2227" t="str">
            <v/>
          </cell>
          <cell r="I2227" t="str">
            <v/>
          </cell>
          <cell r="J2227">
            <v>28726</v>
          </cell>
          <cell r="K2227">
            <v>5745.2</v>
          </cell>
          <cell r="L2227">
            <v>28726</v>
          </cell>
          <cell r="M2227" t="str">
            <v/>
          </cell>
          <cell r="N2227">
            <v>0</v>
          </cell>
        </row>
        <row r="2228">
          <cell r="A2228">
            <v>12385</v>
          </cell>
          <cell r="B2228" t="str">
            <v>15/11/2017</v>
          </cell>
          <cell r="C2228" t="str">
            <v>CALLOUT</v>
          </cell>
          <cell r="D2228" t="str">
            <v>Supply &amp; Install Emergency Lights in Various Areas</v>
          </cell>
          <cell r="E2228" t="str">
            <v>Kestrel North West Limited</v>
          </cell>
          <cell r="F2228" t="str">
            <v>Subcontractor</v>
          </cell>
          <cell r="G2228" t="str">
            <v/>
          </cell>
          <cell r="H2228" t="str">
            <v/>
          </cell>
          <cell r="I2228" t="str">
            <v/>
          </cell>
          <cell r="J2228">
            <v>639.25</v>
          </cell>
          <cell r="K2228">
            <v>127.85</v>
          </cell>
          <cell r="L2228">
            <v>639.25</v>
          </cell>
          <cell r="M2228" t="str">
            <v/>
          </cell>
          <cell r="N2228">
            <v>0</v>
          </cell>
        </row>
        <row r="2229">
          <cell r="A2229">
            <v>12383</v>
          </cell>
          <cell r="B2229" t="str">
            <v>15/11/2017</v>
          </cell>
          <cell r="C2229" t="str">
            <v>SERVICE</v>
          </cell>
          <cell r="D2229" t="str">
            <v>AC &amp; Dehumidifier Maintenance Visit</v>
          </cell>
          <cell r="E2229" t="str">
            <v>Adcock Refrigeration &amp; Air Conditioning</v>
          </cell>
          <cell r="F2229" t="str">
            <v>Subcontractor</v>
          </cell>
          <cell r="G2229" t="str">
            <v/>
          </cell>
          <cell r="H2229" t="str">
            <v/>
          </cell>
          <cell r="I2229" t="str">
            <v/>
          </cell>
          <cell r="J2229">
            <v>200</v>
          </cell>
          <cell r="K2229">
            <v>40</v>
          </cell>
          <cell r="L2229">
            <v>200</v>
          </cell>
          <cell r="M2229" t="str">
            <v/>
          </cell>
          <cell r="N2229">
            <v>0</v>
          </cell>
        </row>
        <row r="2230">
          <cell r="A2230">
            <v>12344</v>
          </cell>
          <cell r="B2230" t="str">
            <v>09/11/2017</v>
          </cell>
          <cell r="C2230" t="str">
            <v>SERVICE</v>
          </cell>
          <cell r="D2230" t="str">
            <v>Carry out AC Maintenance</v>
          </cell>
          <cell r="E2230" t="str">
            <v>Pole to Pole Climate Control Ltd</v>
          </cell>
          <cell r="F2230" t="str">
            <v>Subcontractor</v>
          </cell>
          <cell r="G2230" t="str">
            <v/>
          </cell>
          <cell r="H2230" t="str">
            <v/>
          </cell>
          <cell r="I2230" t="str">
            <v/>
          </cell>
          <cell r="J2230">
            <v>180</v>
          </cell>
          <cell r="K2230">
            <v>36</v>
          </cell>
          <cell r="L2230">
            <v>180</v>
          </cell>
          <cell r="M2230" t="str">
            <v/>
          </cell>
          <cell r="N2230">
            <v>0</v>
          </cell>
        </row>
        <row r="2231">
          <cell r="A2231">
            <v>12343</v>
          </cell>
          <cell r="B2231" t="str">
            <v>09/11/2017</v>
          </cell>
          <cell r="C2231" t="str">
            <v>CALLOUT</v>
          </cell>
          <cell r="D2231" t="str">
            <v>Carry out AC Maintenance</v>
          </cell>
          <cell r="E2231" t="str">
            <v>Pole to Pole Climate Control Ltd</v>
          </cell>
          <cell r="F2231" t="str">
            <v>Subcontractor</v>
          </cell>
          <cell r="G2231" t="str">
            <v/>
          </cell>
          <cell r="H2231" t="str">
            <v/>
          </cell>
          <cell r="I2231" t="str">
            <v/>
          </cell>
          <cell r="J2231">
            <v>210</v>
          </cell>
          <cell r="K2231">
            <v>42</v>
          </cell>
          <cell r="L2231">
            <v>210</v>
          </cell>
          <cell r="M2231" t="str">
            <v/>
          </cell>
          <cell r="N2231">
            <v>0</v>
          </cell>
        </row>
        <row r="2232">
          <cell r="A2232">
            <v>12342</v>
          </cell>
          <cell r="B2232" t="str">
            <v>09/11/2017</v>
          </cell>
          <cell r="C2232" t="str">
            <v>SERVICE</v>
          </cell>
          <cell r="D2232" t="str">
            <v>Carry out AC Maintenance</v>
          </cell>
          <cell r="E2232" t="str">
            <v>ADS Aircon Ltd</v>
          </cell>
          <cell r="F2232" t="str">
            <v>Subcontractor</v>
          </cell>
          <cell r="G2232" t="str">
            <v/>
          </cell>
          <cell r="H2232" t="str">
            <v/>
          </cell>
          <cell r="I2232" t="str">
            <v/>
          </cell>
          <cell r="J2232">
            <v>215</v>
          </cell>
          <cell r="K2232">
            <v>43</v>
          </cell>
          <cell r="L2232">
            <v>215</v>
          </cell>
          <cell r="M2232" t="str">
            <v/>
          </cell>
          <cell r="N2232">
            <v>0</v>
          </cell>
        </row>
        <row r="2233">
          <cell r="A2233">
            <v>12337</v>
          </cell>
          <cell r="B2233" t="str">
            <v>08/11/2017</v>
          </cell>
          <cell r="C2233" t="str">
            <v>CALLOUT</v>
          </cell>
          <cell r="D2233" t="str">
            <v>Replace 6no Light Fittings in Gents Toilets</v>
          </cell>
          <cell r="E2233" t="str">
            <v>Barrie Beard Ltd</v>
          </cell>
          <cell r="F2233" t="str">
            <v>Subcontractor</v>
          </cell>
          <cell r="G2233" t="str">
            <v/>
          </cell>
          <cell r="H2233" t="str">
            <v/>
          </cell>
          <cell r="I2233" t="str">
            <v/>
          </cell>
          <cell r="J2233">
            <v>390</v>
          </cell>
          <cell r="K2233">
            <v>78</v>
          </cell>
          <cell r="L2233">
            <v>390</v>
          </cell>
          <cell r="M2233" t="str">
            <v/>
          </cell>
          <cell r="N2233">
            <v>0</v>
          </cell>
        </row>
        <row r="2234">
          <cell r="A2234">
            <v>12325</v>
          </cell>
          <cell r="B2234" t="str">
            <v>07/11/2017</v>
          </cell>
          <cell r="C2234" t="str">
            <v>CALLOUT</v>
          </cell>
          <cell r="D2234" t="str">
            <v>Ignition PCB/Electrode Sensor</v>
          </cell>
          <cell r="E2234" t="str">
            <v>AEP (NE) LLP</v>
          </cell>
          <cell r="F2234" t="str">
            <v>Subcontractor</v>
          </cell>
          <cell r="G2234" t="str">
            <v/>
          </cell>
          <cell r="H2234" t="str">
            <v/>
          </cell>
          <cell r="I2234" t="str">
            <v/>
          </cell>
          <cell r="J2234">
            <v>276.41000000000003</v>
          </cell>
          <cell r="K2234">
            <v>55.28</v>
          </cell>
          <cell r="L2234">
            <v>276.41000000000003</v>
          </cell>
          <cell r="M2234" t="str">
            <v/>
          </cell>
          <cell r="N2234">
            <v>0</v>
          </cell>
        </row>
        <row r="2235">
          <cell r="A2235">
            <v>12321</v>
          </cell>
          <cell r="B2235" t="str">
            <v>07/11/2017</v>
          </cell>
          <cell r="C2235" t="str">
            <v>C1482</v>
          </cell>
          <cell r="D2235" t="str">
            <v>Thermal Insulation and Trace Heating of Mechanical Services</v>
          </cell>
          <cell r="E2235" t="str">
            <v>Thermal Insulation Covers Ltd</v>
          </cell>
          <cell r="F2235" t="str">
            <v>Subcontractor</v>
          </cell>
          <cell r="G2235" t="str">
            <v>23/11/2017</v>
          </cell>
          <cell r="H2235" t="str">
            <v/>
          </cell>
          <cell r="I2235" t="str">
            <v/>
          </cell>
          <cell r="J2235">
            <v>1745.52</v>
          </cell>
          <cell r="K2235">
            <v>349.1</v>
          </cell>
          <cell r="L2235">
            <v>1745.52</v>
          </cell>
          <cell r="M2235" t="str">
            <v/>
          </cell>
          <cell r="N2235">
            <v>0</v>
          </cell>
        </row>
        <row r="2236">
          <cell r="A2236">
            <v>12315</v>
          </cell>
          <cell r="B2236" t="str">
            <v>06/11/2017</v>
          </cell>
          <cell r="C2236" t="str">
            <v>C1476</v>
          </cell>
          <cell r="D2236" t="str">
            <v>Insulation works as per email quote 06.11.17</v>
          </cell>
          <cell r="E2236" t="str">
            <v>OLD COUGAR ACCOUNT- DO NOT USE</v>
          </cell>
          <cell r="F2236" t="str">
            <v>Subcontractor</v>
          </cell>
          <cell r="G2236" t="str">
            <v/>
          </cell>
          <cell r="H2236" t="str">
            <v/>
          </cell>
          <cell r="I2236" t="str">
            <v/>
          </cell>
          <cell r="J2236">
            <v>2450</v>
          </cell>
          <cell r="K2236">
            <v>490</v>
          </cell>
          <cell r="L2236">
            <v>2450</v>
          </cell>
          <cell r="M2236" t="str">
            <v/>
          </cell>
          <cell r="N2236">
            <v>0</v>
          </cell>
        </row>
        <row r="2237">
          <cell r="A2237">
            <v>12291</v>
          </cell>
          <cell r="B2237" t="str">
            <v>02/11/2017</v>
          </cell>
          <cell r="C2237" t="str">
            <v>CALLOUT</v>
          </cell>
          <cell r="D2237" t="str">
            <v>Please carry out quoted works ref your email dated 19.10.201</v>
          </cell>
          <cell r="E2237" t="str">
            <v>Key Integrated Services (Electrical) Ltd</v>
          </cell>
          <cell r="F2237" t="str">
            <v>Subcontractor</v>
          </cell>
          <cell r="G2237" t="str">
            <v/>
          </cell>
          <cell r="H2237" t="str">
            <v/>
          </cell>
          <cell r="I2237" t="str">
            <v/>
          </cell>
          <cell r="J2237">
            <v>1104</v>
          </cell>
          <cell r="K2237">
            <v>220.8</v>
          </cell>
          <cell r="L2237">
            <v>1104</v>
          </cell>
          <cell r="M2237" t="str">
            <v/>
          </cell>
          <cell r="N2237">
            <v>0</v>
          </cell>
        </row>
        <row r="2238">
          <cell r="A2238">
            <v>12279</v>
          </cell>
          <cell r="B2238" t="str">
            <v>02/11/2017</v>
          </cell>
          <cell r="C2238" t="str">
            <v>C1488</v>
          </cell>
          <cell r="D2238" t="str">
            <v>Elec works at LSH Erdington</v>
          </cell>
          <cell r="E2238" t="str">
            <v>Key Integrated Services (Electrical) Ltd</v>
          </cell>
          <cell r="F2238" t="str">
            <v>Subcontractor</v>
          </cell>
          <cell r="G2238" t="str">
            <v/>
          </cell>
          <cell r="H2238" t="str">
            <v/>
          </cell>
          <cell r="I2238" t="str">
            <v/>
          </cell>
          <cell r="J2238">
            <v>9764</v>
          </cell>
          <cell r="K2238">
            <v>1952.8</v>
          </cell>
          <cell r="L2238">
            <v>9764</v>
          </cell>
          <cell r="M2238" t="str">
            <v/>
          </cell>
          <cell r="N2238">
            <v>0</v>
          </cell>
        </row>
        <row r="2239">
          <cell r="A2239">
            <v>12247</v>
          </cell>
          <cell r="B2239" t="str">
            <v>30/10/2017</v>
          </cell>
          <cell r="C2239" t="str">
            <v>CALLOUT</v>
          </cell>
          <cell r="D2239" t="str">
            <v>Replace Vokera Main Heat Exchanger</v>
          </cell>
          <cell r="E2239" t="str">
            <v>AEP (NE) LLP</v>
          </cell>
          <cell r="F2239" t="str">
            <v>Subcontractor</v>
          </cell>
          <cell r="G2239" t="str">
            <v/>
          </cell>
          <cell r="H2239" t="str">
            <v/>
          </cell>
          <cell r="I2239" t="str">
            <v/>
          </cell>
          <cell r="J2239">
            <v>496.33</v>
          </cell>
          <cell r="K2239">
            <v>99.27</v>
          </cell>
          <cell r="L2239">
            <v>496.33</v>
          </cell>
          <cell r="M2239" t="str">
            <v/>
          </cell>
          <cell r="N2239">
            <v>0</v>
          </cell>
        </row>
        <row r="2240">
          <cell r="A2240">
            <v>12233</v>
          </cell>
          <cell r="B2240" t="str">
            <v>27/10/2017</v>
          </cell>
          <cell r="C2240" t="str">
            <v>CALLOUT</v>
          </cell>
          <cell r="D2240" t="str">
            <v>Investigate Flush Handle, Replaced with New</v>
          </cell>
          <cell r="E2240" t="str">
            <v>Viabl Ltd T/A Able</v>
          </cell>
          <cell r="F2240" t="str">
            <v>Subcontractor</v>
          </cell>
          <cell r="G2240" t="str">
            <v/>
          </cell>
          <cell r="H2240" t="str">
            <v/>
          </cell>
          <cell r="I2240" t="str">
            <v/>
          </cell>
          <cell r="J2240">
            <v>103.18</v>
          </cell>
          <cell r="K2240">
            <v>20.64</v>
          </cell>
          <cell r="L2240">
            <v>103.18</v>
          </cell>
          <cell r="M2240" t="str">
            <v/>
          </cell>
          <cell r="N2240">
            <v>0</v>
          </cell>
        </row>
        <row r="2241">
          <cell r="A2241">
            <v>12231</v>
          </cell>
          <cell r="B2241" t="str">
            <v>27/10/2017</v>
          </cell>
          <cell r="C2241" t="str">
            <v>CALLOUT</v>
          </cell>
          <cell r="D2241" t="str">
            <v>Supply &amp; Install Sanivite as per Quote</v>
          </cell>
          <cell r="E2241" t="str">
            <v>K Gammon Plumbing &amp; Heating Ltd</v>
          </cell>
          <cell r="F2241" t="str">
            <v>Subcontractor</v>
          </cell>
          <cell r="G2241" t="str">
            <v/>
          </cell>
          <cell r="H2241" t="str">
            <v/>
          </cell>
          <cell r="I2241" t="str">
            <v/>
          </cell>
          <cell r="J2241">
            <v>513.33000000000004</v>
          </cell>
          <cell r="K2241">
            <v>102.67</v>
          </cell>
          <cell r="L2241">
            <v>513.33000000000004</v>
          </cell>
          <cell r="M2241" t="str">
            <v/>
          </cell>
          <cell r="N2241">
            <v>0</v>
          </cell>
        </row>
        <row r="2242">
          <cell r="A2242">
            <v>12204</v>
          </cell>
          <cell r="B2242" t="str">
            <v>25/10/2017</v>
          </cell>
          <cell r="C2242" t="str">
            <v>C1486</v>
          </cell>
          <cell r="D2242" t="str">
            <v>Carry Out Commissioning Visit to ascertain current air volum</v>
          </cell>
          <cell r="E2242" t="str">
            <v>New Era Commissioning Specialists Ltd</v>
          </cell>
          <cell r="F2242" t="str">
            <v>Subcontractor</v>
          </cell>
          <cell r="G2242" t="str">
            <v/>
          </cell>
          <cell r="H2242" t="str">
            <v/>
          </cell>
          <cell r="I2242" t="str">
            <v/>
          </cell>
          <cell r="J2242">
            <v>900</v>
          </cell>
          <cell r="K2242">
            <v>180</v>
          </cell>
          <cell r="L2242">
            <v>900</v>
          </cell>
          <cell r="M2242" t="str">
            <v/>
          </cell>
          <cell r="N2242">
            <v>0</v>
          </cell>
        </row>
        <row r="2243">
          <cell r="A2243">
            <v>12193</v>
          </cell>
          <cell r="B2243" t="str">
            <v>24/10/2017</v>
          </cell>
          <cell r="C2243" t="str">
            <v>C1445</v>
          </cell>
          <cell r="D2243" t="str">
            <v>Water Chlorination - Dave ward</v>
          </cell>
          <cell r="E2243" t="str">
            <v>New Era Commissioning Specialists Ltd</v>
          </cell>
          <cell r="F2243" t="str">
            <v>Subcontractor</v>
          </cell>
          <cell r="G2243" t="str">
            <v/>
          </cell>
          <cell r="H2243" t="str">
            <v/>
          </cell>
          <cell r="I2243" t="str">
            <v/>
          </cell>
          <cell r="J2243">
            <v>600</v>
          </cell>
          <cell r="K2243">
            <v>120</v>
          </cell>
          <cell r="L2243">
            <v>600</v>
          </cell>
          <cell r="M2243" t="str">
            <v/>
          </cell>
          <cell r="N2243">
            <v>0</v>
          </cell>
        </row>
        <row r="2244">
          <cell r="A2244">
            <v>12192</v>
          </cell>
          <cell r="B2244" t="str">
            <v>24/10/2017</v>
          </cell>
          <cell r="C2244" t="str">
            <v>C1445</v>
          </cell>
          <cell r="D2244" t="str">
            <v>dave ward - Air balancing</v>
          </cell>
          <cell r="E2244" t="str">
            <v>New Era Commissioning Specialists Ltd</v>
          </cell>
          <cell r="F2244" t="str">
            <v>Subcontractor</v>
          </cell>
          <cell r="G2244" t="str">
            <v/>
          </cell>
          <cell r="H2244" t="str">
            <v/>
          </cell>
          <cell r="I2244" t="str">
            <v/>
          </cell>
          <cell r="J2244">
            <v>900</v>
          </cell>
          <cell r="K2244">
            <v>180</v>
          </cell>
          <cell r="L2244">
            <v>900</v>
          </cell>
          <cell r="M2244" t="str">
            <v/>
          </cell>
          <cell r="N2244">
            <v>0</v>
          </cell>
        </row>
        <row r="2245">
          <cell r="A2245">
            <v>12179</v>
          </cell>
          <cell r="B2245" t="str">
            <v>23/10/2017</v>
          </cell>
          <cell r="C2245" t="str">
            <v>CALLOUT</v>
          </cell>
          <cell r="D2245" t="str">
            <v>Investigated leaking tap, replaced pipework</v>
          </cell>
          <cell r="E2245" t="str">
            <v>Viabl Ltd T/A Able</v>
          </cell>
          <cell r="F2245" t="str">
            <v>Subcontractor</v>
          </cell>
          <cell r="G2245" t="str">
            <v/>
          </cell>
          <cell r="H2245" t="str">
            <v/>
          </cell>
          <cell r="I2245" t="str">
            <v/>
          </cell>
          <cell r="J2245">
            <v>150</v>
          </cell>
          <cell r="K2245">
            <v>30</v>
          </cell>
          <cell r="L2245">
            <v>150</v>
          </cell>
          <cell r="M2245" t="str">
            <v/>
          </cell>
          <cell r="N2245">
            <v>0</v>
          </cell>
        </row>
        <row r="2246">
          <cell r="A2246">
            <v>12157</v>
          </cell>
          <cell r="B2246" t="str">
            <v>20/10/2017</v>
          </cell>
          <cell r="C2246" t="str">
            <v>C1453</v>
          </cell>
          <cell r="D2246" t="str">
            <v>Flue installation see sub con order</v>
          </cell>
          <cell r="E2246" t="str">
            <v>Flue-Stax Ltd</v>
          </cell>
          <cell r="F2246" t="str">
            <v>Subcontractor</v>
          </cell>
          <cell r="G2246" t="str">
            <v>30/10/2017</v>
          </cell>
          <cell r="H2246" t="str">
            <v/>
          </cell>
          <cell r="I2246" t="str">
            <v/>
          </cell>
          <cell r="J2246">
            <v>17000</v>
          </cell>
          <cell r="K2246">
            <v>3400</v>
          </cell>
          <cell r="L2246">
            <v>17000</v>
          </cell>
          <cell r="M2246" t="str">
            <v/>
          </cell>
          <cell r="N2246">
            <v>0</v>
          </cell>
        </row>
        <row r="2247">
          <cell r="A2247">
            <v>12144</v>
          </cell>
          <cell r="B2247" t="str">
            <v>19/10/2017</v>
          </cell>
          <cell r="C2247" t="str">
            <v>SERVICE</v>
          </cell>
          <cell r="D2247" t="str">
            <v>Carry out AC Maintenance</v>
          </cell>
          <cell r="E2247" t="str">
            <v>Pole to Pole Climate Control Ltd</v>
          </cell>
          <cell r="F2247" t="str">
            <v>Subcontractor</v>
          </cell>
          <cell r="G2247" t="str">
            <v/>
          </cell>
          <cell r="H2247" t="str">
            <v/>
          </cell>
          <cell r="I2247" t="str">
            <v/>
          </cell>
          <cell r="J2247">
            <v>108</v>
          </cell>
          <cell r="K2247">
            <v>21.6</v>
          </cell>
          <cell r="L2247">
            <v>0</v>
          </cell>
          <cell r="M2247" t="str">
            <v/>
          </cell>
          <cell r="N2247">
            <v>108</v>
          </cell>
        </row>
        <row r="2248">
          <cell r="A2248">
            <v>12140</v>
          </cell>
          <cell r="B2248" t="str">
            <v>19/10/2017</v>
          </cell>
          <cell r="C2248" t="str">
            <v>C1484</v>
          </cell>
          <cell r="D2248" t="str">
            <v>Validation works to existing HVAC systems carried out on 11/</v>
          </cell>
          <cell r="E2248" t="str">
            <v>New Era Commissioning Specialists Ltd</v>
          </cell>
          <cell r="F2248" t="str">
            <v>Subcontractor</v>
          </cell>
          <cell r="G2248" t="str">
            <v>11/10/2017</v>
          </cell>
          <cell r="H2248" t="str">
            <v>Complete</v>
          </cell>
          <cell r="I2248" t="str">
            <v/>
          </cell>
          <cell r="J2248">
            <v>0</v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</row>
        <row r="2249">
          <cell r="A2249">
            <v>12134</v>
          </cell>
          <cell r="B2249" t="str">
            <v>18/10/2017</v>
          </cell>
          <cell r="C2249" t="str">
            <v>C1453</v>
          </cell>
          <cell r="D2249" t="str">
            <v>Gas connection</v>
          </cell>
          <cell r="E2249" t="str">
            <v>Enco Ltd</v>
          </cell>
          <cell r="F2249" t="str">
            <v>Subcontractor</v>
          </cell>
          <cell r="G2249" t="str">
            <v/>
          </cell>
          <cell r="H2249" t="str">
            <v>Complete</v>
          </cell>
          <cell r="I2249" t="str">
            <v/>
          </cell>
          <cell r="J2249">
            <v>0</v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</row>
        <row r="2250">
          <cell r="A2250">
            <v>12123</v>
          </cell>
          <cell r="B2250" t="str">
            <v>18/10/2017</v>
          </cell>
          <cell r="C2250" t="str">
            <v>CALLOUT</v>
          </cell>
          <cell r="D2250" t="str">
            <v>Carried out Electrical Works as per quotation</v>
          </cell>
          <cell r="E2250" t="str">
            <v>Kestrel North West Limited</v>
          </cell>
          <cell r="F2250" t="str">
            <v>Subcontractor</v>
          </cell>
          <cell r="G2250" t="str">
            <v/>
          </cell>
          <cell r="H2250" t="str">
            <v>Part</v>
          </cell>
          <cell r="I2250" t="str">
            <v/>
          </cell>
          <cell r="J2250">
            <v>926</v>
          </cell>
          <cell r="K2250">
            <v>185.2</v>
          </cell>
          <cell r="L2250">
            <v>926</v>
          </cell>
          <cell r="M2250" t="str">
            <v/>
          </cell>
          <cell r="N2250">
            <v>0</v>
          </cell>
        </row>
        <row r="2251">
          <cell r="A2251">
            <v>12102</v>
          </cell>
          <cell r="B2251" t="str">
            <v>16/10/2017</v>
          </cell>
          <cell r="C2251" t="str">
            <v>CALLOUT</v>
          </cell>
          <cell r="D2251" t="str">
            <v>Supply &amp; Install 3no Windows as per quotation 2100374</v>
          </cell>
          <cell r="E2251" t="str">
            <v>Viabl Ltd T/A Able</v>
          </cell>
          <cell r="F2251" t="str">
            <v>Subcontractor</v>
          </cell>
          <cell r="G2251" t="str">
            <v/>
          </cell>
          <cell r="H2251" t="str">
            <v/>
          </cell>
          <cell r="I2251" t="str">
            <v/>
          </cell>
          <cell r="J2251">
            <v>2970</v>
          </cell>
          <cell r="K2251">
            <v>594</v>
          </cell>
          <cell r="L2251">
            <v>2970</v>
          </cell>
          <cell r="M2251" t="str">
            <v/>
          </cell>
          <cell r="N2251">
            <v>0</v>
          </cell>
        </row>
        <row r="2252">
          <cell r="A2252">
            <v>12082</v>
          </cell>
          <cell r="B2252" t="str">
            <v>12/10/2017</v>
          </cell>
          <cell r="C2252" t="str">
            <v>CALLOUT</v>
          </cell>
          <cell r="D2252" t="str">
            <v>Made Safe 3no Windows</v>
          </cell>
          <cell r="E2252" t="str">
            <v>Viabl Ltd T/A Able</v>
          </cell>
          <cell r="F2252" t="str">
            <v>Subcontractor</v>
          </cell>
          <cell r="G2252" t="str">
            <v/>
          </cell>
          <cell r="H2252" t="str">
            <v/>
          </cell>
          <cell r="I2252" t="str">
            <v/>
          </cell>
          <cell r="J2252">
            <v>245</v>
          </cell>
          <cell r="K2252">
            <v>49</v>
          </cell>
          <cell r="L2252">
            <v>245</v>
          </cell>
          <cell r="M2252" t="str">
            <v/>
          </cell>
          <cell r="N2252">
            <v>0</v>
          </cell>
        </row>
        <row r="2253">
          <cell r="A2253">
            <v>12067</v>
          </cell>
          <cell r="B2253" t="str">
            <v>11/10/2017</v>
          </cell>
          <cell r="C2253" t="str">
            <v>C1476</v>
          </cell>
          <cell r="D2253" t="str">
            <v>welding works</v>
          </cell>
          <cell r="E2253" t="str">
            <v>Enco Ltd</v>
          </cell>
          <cell r="F2253" t="str">
            <v>Subcontractor</v>
          </cell>
          <cell r="G2253" t="str">
            <v/>
          </cell>
          <cell r="H2253" t="str">
            <v/>
          </cell>
          <cell r="I2253" t="str">
            <v/>
          </cell>
          <cell r="J2253">
            <v>450</v>
          </cell>
          <cell r="K2253">
            <v>90</v>
          </cell>
          <cell r="L2253">
            <v>450</v>
          </cell>
          <cell r="M2253" t="str">
            <v/>
          </cell>
          <cell r="N2253">
            <v>0</v>
          </cell>
        </row>
        <row r="2254">
          <cell r="A2254">
            <v>12066</v>
          </cell>
          <cell r="B2254" t="str">
            <v>11/10/2017</v>
          </cell>
          <cell r="C2254" t="str">
            <v>C1428</v>
          </cell>
          <cell r="D2254" t="str">
            <v>altering grilles</v>
          </cell>
          <cell r="E2254" t="str">
            <v>OLD COUGAR ACCOUNT- DO NOT USE</v>
          </cell>
          <cell r="F2254" t="str">
            <v>Subcontractor</v>
          </cell>
          <cell r="G2254" t="str">
            <v/>
          </cell>
          <cell r="H2254" t="str">
            <v/>
          </cell>
          <cell r="I2254" t="str">
            <v/>
          </cell>
          <cell r="J2254">
            <v>300</v>
          </cell>
          <cell r="K2254">
            <v>60</v>
          </cell>
          <cell r="L2254">
            <v>300</v>
          </cell>
          <cell r="M2254" t="str">
            <v/>
          </cell>
          <cell r="N2254">
            <v>0</v>
          </cell>
        </row>
        <row r="2255">
          <cell r="A2255">
            <v>12053</v>
          </cell>
          <cell r="B2255" t="str">
            <v>10/10/2017</v>
          </cell>
          <cell r="C2255" t="str">
            <v>C1446</v>
          </cell>
          <cell r="D2255" t="str">
            <v>labour costs</v>
          </cell>
          <cell r="E2255" t="str">
            <v>ExcelVent Solutions Ltd</v>
          </cell>
          <cell r="F2255" t="str">
            <v>Subcontractor</v>
          </cell>
          <cell r="G2255" t="str">
            <v/>
          </cell>
          <cell r="H2255" t="str">
            <v>Complete</v>
          </cell>
          <cell r="I2255" t="str">
            <v/>
          </cell>
          <cell r="J2255">
            <v>0</v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</row>
        <row r="2256">
          <cell r="A2256">
            <v>12052</v>
          </cell>
          <cell r="B2256" t="str">
            <v>10/10/2017</v>
          </cell>
          <cell r="C2256" t="str">
            <v>C1446</v>
          </cell>
          <cell r="D2256" t="str">
            <v>Materials</v>
          </cell>
          <cell r="E2256" t="str">
            <v>Enco Ltd</v>
          </cell>
          <cell r="F2256" t="str">
            <v>Subcontractor</v>
          </cell>
          <cell r="G2256" t="str">
            <v/>
          </cell>
          <cell r="H2256" t="str">
            <v/>
          </cell>
          <cell r="I2256" t="str">
            <v/>
          </cell>
          <cell r="J2256">
            <v>6705</v>
          </cell>
          <cell r="K2256">
            <v>1341</v>
          </cell>
          <cell r="L2256">
            <v>6705</v>
          </cell>
          <cell r="M2256" t="str">
            <v/>
          </cell>
          <cell r="N2256">
            <v>0</v>
          </cell>
        </row>
        <row r="2257">
          <cell r="A2257">
            <v>12048</v>
          </cell>
          <cell r="B2257" t="str">
            <v>09/10/2017</v>
          </cell>
          <cell r="C2257" t="str">
            <v>C1426</v>
          </cell>
          <cell r="D2257" t="str">
            <v>Supply of 2x Labourers for crane lift on 30/9/17.</v>
          </cell>
          <cell r="E2257" t="str">
            <v>NP Services (Leicester) Ltd</v>
          </cell>
          <cell r="F2257" t="str">
            <v>Subcontractor</v>
          </cell>
          <cell r="G2257" t="str">
            <v>30/09/2017</v>
          </cell>
          <cell r="H2257" t="str">
            <v>Complete</v>
          </cell>
          <cell r="I2257" t="str">
            <v/>
          </cell>
          <cell r="J2257">
            <v>0</v>
          </cell>
          <cell r="K2257">
            <v>0</v>
          </cell>
          <cell r="L2257">
            <v>0</v>
          </cell>
          <cell r="M2257" t="str">
            <v/>
          </cell>
          <cell r="N2257">
            <v>0</v>
          </cell>
        </row>
        <row r="2258">
          <cell r="A2258">
            <v>12032</v>
          </cell>
          <cell r="B2258" t="str">
            <v>09/10/2017</v>
          </cell>
          <cell r="C2258" t="str">
            <v>C1447</v>
          </cell>
          <cell r="D2258" t="str">
            <v>Electrical Works Knostrop</v>
          </cell>
          <cell r="E2258" t="str">
            <v>Kestrel North West Limited</v>
          </cell>
          <cell r="F2258" t="str">
            <v>Subcontractor</v>
          </cell>
          <cell r="G2258" t="str">
            <v/>
          </cell>
          <cell r="H2258" t="str">
            <v/>
          </cell>
          <cell r="I2258" t="str">
            <v/>
          </cell>
          <cell r="J2258">
            <v>29507.15</v>
          </cell>
          <cell r="K2258">
            <v>5901.43</v>
          </cell>
          <cell r="L2258">
            <v>29507.15</v>
          </cell>
          <cell r="M2258" t="str">
            <v/>
          </cell>
          <cell r="N2258">
            <v>0</v>
          </cell>
        </row>
        <row r="2259">
          <cell r="A2259">
            <v>12031</v>
          </cell>
          <cell r="B2259" t="str">
            <v>06/10/2017</v>
          </cell>
          <cell r="C2259" t="str">
            <v>C1453</v>
          </cell>
          <cell r="D2259" t="str">
            <v>Mech install works as sub con order</v>
          </cell>
          <cell r="E2259" t="str">
            <v>Enco Ltd</v>
          </cell>
          <cell r="F2259" t="str">
            <v>Subcontractor</v>
          </cell>
          <cell r="G2259" t="str">
            <v>09/10/2017</v>
          </cell>
          <cell r="H2259" t="str">
            <v/>
          </cell>
          <cell r="I2259" t="str">
            <v/>
          </cell>
          <cell r="J2259">
            <v>15700</v>
          </cell>
          <cell r="K2259">
            <v>3140</v>
          </cell>
          <cell r="L2259">
            <v>15700</v>
          </cell>
          <cell r="M2259" t="str">
            <v/>
          </cell>
          <cell r="N2259">
            <v>0</v>
          </cell>
        </row>
        <row r="2260">
          <cell r="A2260">
            <v>12011</v>
          </cell>
          <cell r="B2260" t="str">
            <v>06/10/2017</v>
          </cell>
          <cell r="C2260" t="str">
            <v>C1476</v>
          </cell>
          <cell r="D2260" t="str">
            <v>BMS Controls, Wiring and Panels as per Sub-contractor Order</v>
          </cell>
          <cell r="E2260" t="str">
            <v>Combined Energy Solutions</v>
          </cell>
          <cell r="F2260" t="str">
            <v>Subcontractor</v>
          </cell>
          <cell r="G2260" t="str">
            <v/>
          </cell>
          <cell r="H2260" t="str">
            <v>Part</v>
          </cell>
          <cell r="I2260" t="str">
            <v/>
          </cell>
          <cell r="J2260">
            <v>30589</v>
          </cell>
          <cell r="K2260">
            <v>6117.8</v>
          </cell>
          <cell r="L2260">
            <v>30000</v>
          </cell>
          <cell r="M2260" t="str">
            <v/>
          </cell>
          <cell r="N2260">
            <v>589</v>
          </cell>
        </row>
        <row r="2261">
          <cell r="A2261">
            <v>12004</v>
          </cell>
          <cell r="B2261" t="str">
            <v>05/10/2017</v>
          </cell>
          <cell r="C2261" t="str">
            <v>CALLOUT</v>
          </cell>
          <cell r="D2261" t="str">
            <v>Test Flowrate - Welfare Toilets</v>
          </cell>
          <cell r="E2261" t="str">
            <v>Probalance Ltd</v>
          </cell>
          <cell r="F2261" t="str">
            <v>Subcontractor</v>
          </cell>
          <cell r="G2261" t="str">
            <v/>
          </cell>
          <cell r="H2261" t="str">
            <v/>
          </cell>
          <cell r="I2261" t="str">
            <v/>
          </cell>
          <cell r="J2261">
            <v>276</v>
          </cell>
          <cell r="K2261">
            <v>55.2</v>
          </cell>
          <cell r="L2261">
            <v>276</v>
          </cell>
          <cell r="M2261" t="str">
            <v/>
          </cell>
          <cell r="N2261">
            <v>0</v>
          </cell>
        </row>
        <row r="2262">
          <cell r="A2262">
            <v>11997</v>
          </cell>
          <cell r="B2262" t="str">
            <v>05/10/2017</v>
          </cell>
          <cell r="C2262" t="str">
            <v>C1434</v>
          </cell>
          <cell r="D2262" t="str">
            <v>Not used</v>
          </cell>
          <cell r="E2262" t="str">
            <v>Heat Control Air Conditioning Ltd</v>
          </cell>
          <cell r="F2262" t="str">
            <v>Subcontractor</v>
          </cell>
          <cell r="G2262" t="str">
            <v/>
          </cell>
          <cell r="H2262" t="str">
            <v>Complete</v>
          </cell>
          <cell r="I2262" t="str">
            <v/>
          </cell>
          <cell r="J2262">
            <v>0</v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</row>
        <row r="2263">
          <cell r="A2263">
            <v>11979</v>
          </cell>
          <cell r="B2263" t="str">
            <v>04/10/2017</v>
          </cell>
          <cell r="C2263" t="str">
            <v>C1434</v>
          </cell>
          <cell r="D2263" t="str">
            <v>AC installation</v>
          </cell>
          <cell r="E2263" t="str">
            <v>Heat Control Air Conditioning Ltd</v>
          </cell>
          <cell r="F2263" t="str">
            <v>Subcontractor</v>
          </cell>
          <cell r="G2263" t="str">
            <v/>
          </cell>
          <cell r="H2263" t="str">
            <v>Part</v>
          </cell>
          <cell r="I2263" t="str">
            <v/>
          </cell>
          <cell r="J2263">
            <v>19500</v>
          </cell>
          <cell r="K2263">
            <v>3900</v>
          </cell>
          <cell r="L2263">
            <v>19500</v>
          </cell>
          <cell r="M2263" t="str">
            <v/>
          </cell>
          <cell r="N2263">
            <v>0</v>
          </cell>
        </row>
        <row r="2264">
          <cell r="A2264">
            <v>11967</v>
          </cell>
          <cell r="B2264" t="str">
            <v>03/10/2017</v>
          </cell>
          <cell r="C2264" t="str">
            <v>CALLOUT</v>
          </cell>
          <cell r="D2264" t="str">
            <v>Installation of new socket for TV</v>
          </cell>
          <cell r="E2264" t="str">
            <v>Kestrel North West Limited</v>
          </cell>
          <cell r="F2264" t="str">
            <v>Subcontractor</v>
          </cell>
          <cell r="G2264" t="str">
            <v/>
          </cell>
          <cell r="H2264" t="str">
            <v/>
          </cell>
          <cell r="I2264" t="str">
            <v/>
          </cell>
          <cell r="J2264">
            <v>206.12</v>
          </cell>
          <cell r="K2264">
            <v>41.22</v>
          </cell>
          <cell r="L2264">
            <v>206.12</v>
          </cell>
          <cell r="M2264" t="str">
            <v/>
          </cell>
          <cell r="N2264">
            <v>0</v>
          </cell>
        </row>
        <row r="2265">
          <cell r="A2265">
            <v>11936</v>
          </cell>
          <cell r="B2265" t="str">
            <v>29/09/2017</v>
          </cell>
          <cell r="C2265" t="str">
            <v>C1445</v>
          </cell>
          <cell r="D2265" t="str">
            <v>Thermal Insulation</v>
          </cell>
          <cell r="E2265" t="str">
            <v>Grangewood Insulation Services Ltd</v>
          </cell>
          <cell r="F2265" t="str">
            <v>Subcontractor</v>
          </cell>
          <cell r="G2265" t="str">
            <v>25/09/2017</v>
          </cell>
          <cell r="H2265" t="str">
            <v/>
          </cell>
          <cell r="I2265" t="str">
            <v/>
          </cell>
          <cell r="J2265">
            <v>43518</v>
          </cell>
          <cell r="K2265">
            <v>8703.6</v>
          </cell>
          <cell r="L2265">
            <v>43518</v>
          </cell>
          <cell r="M2265" t="str">
            <v/>
          </cell>
          <cell r="N2265">
            <v>0</v>
          </cell>
        </row>
        <row r="2266">
          <cell r="A2266">
            <v>11927</v>
          </cell>
          <cell r="B2266" t="str">
            <v>28/09/2017</v>
          </cell>
          <cell r="C2266" t="str">
            <v>C1437</v>
          </cell>
          <cell r="D2266" t="str">
            <v>Previously PO 11311</v>
          </cell>
          <cell r="E2266" t="str">
            <v>Impact Control Systems Ltd</v>
          </cell>
          <cell r="F2266" t="str">
            <v>Subcontractor</v>
          </cell>
          <cell r="G2266" t="str">
            <v/>
          </cell>
          <cell r="H2266" t="str">
            <v/>
          </cell>
          <cell r="I2266" t="str">
            <v/>
          </cell>
          <cell r="J2266">
            <v>1970</v>
          </cell>
          <cell r="K2266">
            <v>394</v>
          </cell>
          <cell r="L2266">
            <v>1450</v>
          </cell>
          <cell r="M2266" t="str">
            <v/>
          </cell>
          <cell r="N2266">
            <v>520</v>
          </cell>
        </row>
        <row r="2267">
          <cell r="A2267">
            <v>11923</v>
          </cell>
          <cell r="B2267" t="str">
            <v>28/09/2017</v>
          </cell>
          <cell r="C2267" t="str">
            <v>C1453</v>
          </cell>
          <cell r="D2267" t="str">
            <v>Electrical Package</v>
          </cell>
          <cell r="E2267" t="str">
            <v>Key Integrated Services (Electrical) Ltd</v>
          </cell>
          <cell r="F2267" t="str">
            <v>Subcontractor</v>
          </cell>
          <cell r="G2267" t="str">
            <v/>
          </cell>
          <cell r="H2267" t="str">
            <v/>
          </cell>
          <cell r="I2267" t="str">
            <v/>
          </cell>
          <cell r="J2267">
            <v>69183</v>
          </cell>
          <cell r="K2267">
            <v>13836.6</v>
          </cell>
          <cell r="L2267">
            <v>69183</v>
          </cell>
          <cell r="M2267" t="str">
            <v/>
          </cell>
          <cell r="N2267">
            <v>0</v>
          </cell>
        </row>
        <row r="2268">
          <cell r="A2268">
            <v>11903</v>
          </cell>
          <cell r="B2268" t="str">
            <v>25/09/2017</v>
          </cell>
          <cell r="C2268" t="str">
            <v>C1441</v>
          </cell>
          <cell r="D2268" t="str">
            <v>Commissioning re-visit</v>
          </cell>
          <cell r="E2268" t="str">
            <v>New Era Commissioning Specialists Ltd</v>
          </cell>
          <cell r="F2268" t="str">
            <v>Subcontractor</v>
          </cell>
          <cell r="G2268" t="str">
            <v/>
          </cell>
          <cell r="H2268" t="str">
            <v/>
          </cell>
          <cell r="I2268" t="str">
            <v/>
          </cell>
          <cell r="J2268">
            <v>500</v>
          </cell>
          <cell r="K2268">
            <v>100</v>
          </cell>
          <cell r="L2268">
            <v>500</v>
          </cell>
          <cell r="M2268" t="str">
            <v/>
          </cell>
          <cell r="N2268">
            <v>0</v>
          </cell>
        </row>
        <row r="2269">
          <cell r="A2269">
            <v>11897</v>
          </cell>
          <cell r="B2269" t="str">
            <v>25/09/2017</v>
          </cell>
          <cell r="C2269" t="str">
            <v>SERVICE</v>
          </cell>
          <cell r="D2269" t="str">
            <v>Carry out AC/AHU Maintenance</v>
          </cell>
          <cell r="E2269" t="str">
            <v>ADS Aircon Ltd</v>
          </cell>
          <cell r="F2269" t="str">
            <v>Subcontractor</v>
          </cell>
          <cell r="G2269" t="str">
            <v/>
          </cell>
          <cell r="H2269" t="str">
            <v/>
          </cell>
          <cell r="I2269" t="str">
            <v/>
          </cell>
          <cell r="J2269">
            <v>196</v>
          </cell>
          <cell r="K2269">
            <v>39.200000000000003</v>
          </cell>
          <cell r="L2269">
            <v>196</v>
          </cell>
          <cell r="M2269" t="str">
            <v/>
          </cell>
          <cell r="N2269">
            <v>0</v>
          </cell>
        </row>
        <row r="2270">
          <cell r="A2270">
            <v>11881</v>
          </cell>
          <cell r="B2270" t="str">
            <v>21/09/2017</v>
          </cell>
          <cell r="C2270" t="str">
            <v>C1426</v>
          </cell>
          <cell r="D2270" t="str">
            <v>Contract crane lift at Reckitts, Nottingham</v>
          </cell>
          <cell r="E2270" t="str">
            <v>AKA Cranes Hire Ltd</v>
          </cell>
          <cell r="F2270" t="str">
            <v>Subcontractor</v>
          </cell>
          <cell r="G2270" t="str">
            <v>30/09/2017</v>
          </cell>
          <cell r="H2270" t="str">
            <v/>
          </cell>
          <cell r="I2270" t="str">
            <v/>
          </cell>
          <cell r="J2270">
            <v>600</v>
          </cell>
          <cell r="K2270">
            <v>120</v>
          </cell>
          <cell r="L2270">
            <v>600</v>
          </cell>
          <cell r="M2270" t="str">
            <v/>
          </cell>
          <cell r="N2270">
            <v>0</v>
          </cell>
        </row>
        <row r="2271">
          <cell r="A2271">
            <v>11869</v>
          </cell>
          <cell r="B2271" t="str">
            <v>20/09/2017</v>
          </cell>
          <cell r="C2271" t="str">
            <v>C1447</v>
          </cell>
          <cell r="D2271" t="str">
            <v>Balance of ventilation in Lab and control room</v>
          </cell>
          <cell r="E2271" t="str">
            <v>New Era Commissioning Specialists Ltd</v>
          </cell>
          <cell r="F2271" t="str">
            <v>Subcontractor</v>
          </cell>
          <cell r="G2271" t="str">
            <v/>
          </cell>
          <cell r="H2271" t="str">
            <v/>
          </cell>
          <cell r="I2271" t="str">
            <v/>
          </cell>
          <cell r="J2271">
            <v>900</v>
          </cell>
          <cell r="K2271">
            <v>180</v>
          </cell>
          <cell r="L2271">
            <v>900</v>
          </cell>
          <cell r="M2271" t="str">
            <v/>
          </cell>
          <cell r="N2271">
            <v>0</v>
          </cell>
        </row>
        <row r="2272">
          <cell r="A2272">
            <v>11861</v>
          </cell>
          <cell r="B2272" t="str">
            <v>20/09/2017</v>
          </cell>
          <cell r="C2272" t="str">
            <v>C1453</v>
          </cell>
          <cell r="D2272" t="str">
            <v>Controls, panel and commissioning</v>
          </cell>
          <cell r="E2272" t="str">
            <v>Impact Control Systems Ltd</v>
          </cell>
          <cell r="F2272" t="str">
            <v>Subcontractor</v>
          </cell>
          <cell r="G2272" t="str">
            <v>20/09/2017</v>
          </cell>
          <cell r="H2272" t="str">
            <v/>
          </cell>
          <cell r="I2272" t="str">
            <v/>
          </cell>
          <cell r="J2272">
            <v>5037</v>
          </cell>
          <cell r="K2272">
            <v>1007.4</v>
          </cell>
          <cell r="L2272">
            <v>5037</v>
          </cell>
          <cell r="M2272" t="str">
            <v/>
          </cell>
          <cell r="N2272">
            <v>0</v>
          </cell>
        </row>
        <row r="2273">
          <cell r="A2273">
            <v>11830</v>
          </cell>
          <cell r="B2273" t="str">
            <v>18/09/2017</v>
          </cell>
          <cell r="C2273" t="str">
            <v>C1444</v>
          </cell>
          <cell r="D2273" t="str">
            <v>Commissioning works</v>
          </cell>
          <cell r="E2273" t="str">
            <v>New Era Commissioning Specialists Ltd</v>
          </cell>
          <cell r="F2273" t="str">
            <v>Subcontractor</v>
          </cell>
          <cell r="G2273" t="str">
            <v/>
          </cell>
          <cell r="H2273" t="str">
            <v/>
          </cell>
          <cell r="I2273" t="str">
            <v/>
          </cell>
          <cell r="J2273">
            <v>250</v>
          </cell>
          <cell r="K2273">
            <v>50</v>
          </cell>
          <cell r="L2273">
            <v>250</v>
          </cell>
          <cell r="M2273" t="str">
            <v/>
          </cell>
          <cell r="N2273">
            <v>0</v>
          </cell>
        </row>
        <row r="2274">
          <cell r="A2274">
            <v>11829</v>
          </cell>
          <cell r="B2274" t="str">
            <v>18/09/2017</v>
          </cell>
          <cell r="C2274" t="str">
            <v>C1445</v>
          </cell>
          <cell r="D2274" t="str">
            <v>Electrical works</v>
          </cell>
          <cell r="E2274" t="str">
            <v>Key Integrated Services (Electrical) Ltd</v>
          </cell>
          <cell r="F2274" t="str">
            <v>Subcontractor</v>
          </cell>
          <cell r="G2274" t="str">
            <v/>
          </cell>
          <cell r="H2274" t="str">
            <v>Complete</v>
          </cell>
          <cell r="I2274" t="str">
            <v/>
          </cell>
          <cell r="J2274">
            <v>343677</v>
          </cell>
          <cell r="K2274">
            <v>68735.399999999994</v>
          </cell>
          <cell r="L2274">
            <v>343677</v>
          </cell>
          <cell r="M2274" t="str">
            <v/>
          </cell>
          <cell r="N2274">
            <v>0</v>
          </cell>
        </row>
        <row r="2275">
          <cell r="A2275">
            <v>11827</v>
          </cell>
          <cell r="B2275" t="str">
            <v>18/09/2017</v>
          </cell>
          <cell r="C2275" t="str">
            <v>C1454</v>
          </cell>
          <cell r="D2275" t="str">
            <v>Chlorination Works</v>
          </cell>
          <cell r="E2275" t="str">
            <v>New Era Commissioning Specialists Ltd</v>
          </cell>
          <cell r="F2275" t="str">
            <v>Subcontractor</v>
          </cell>
          <cell r="G2275" t="str">
            <v/>
          </cell>
          <cell r="H2275" t="str">
            <v/>
          </cell>
          <cell r="I2275" t="str">
            <v/>
          </cell>
          <cell r="J2275">
            <v>450</v>
          </cell>
          <cell r="K2275">
            <v>90</v>
          </cell>
          <cell r="L2275">
            <v>450</v>
          </cell>
          <cell r="M2275" t="str">
            <v/>
          </cell>
          <cell r="N2275">
            <v>0</v>
          </cell>
        </row>
        <row r="2276">
          <cell r="A2276">
            <v>11825</v>
          </cell>
          <cell r="B2276" t="str">
            <v>18/09/2017</v>
          </cell>
          <cell r="C2276" t="str">
            <v>C1441</v>
          </cell>
          <cell r="D2276" t="str">
            <v>Install louvres</v>
          </cell>
          <cell r="E2276" t="str">
            <v>OLD COUGAR ACCOUNT- DO NOT USE</v>
          </cell>
          <cell r="F2276" t="str">
            <v>Subcontractor</v>
          </cell>
          <cell r="G2276" t="str">
            <v/>
          </cell>
          <cell r="H2276" t="str">
            <v/>
          </cell>
          <cell r="I2276" t="str">
            <v/>
          </cell>
          <cell r="J2276">
            <v>350</v>
          </cell>
          <cell r="K2276">
            <v>70</v>
          </cell>
          <cell r="L2276">
            <v>350</v>
          </cell>
          <cell r="M2276" t="str">
            <v/>
          </cell>
          <cell r="N2276">
            <v>0</v>
          </cell>
        </row>
        <row r="2277">
          <cell r="A2277">
            <v>11823</v>
          </cell>
          <cell r="B2277" t="str">
            <v>18/09/2017</v>
          </cell>
          <cell r="C2277" t="str">
            <v>C1422</v>
          </cell>
          <cell r="D2277" t="str">
            <v>Chlorination for wash trough</v>
          </cell>
          <cell r="E2277" t="str">
            <v>New Era Commissioning Specialists Ltd</v>
          </cell>
          <cell r="F2277" t="str">
            <v>Subcontractor</v>
          </cell>
          <cell r="G2277" t="str">
            <v/>
          </cell>
          <cell r="H2277" t="str">
            <v/>
          </cell>
          <cell r="I2277" t="str">
            <v/>
          </cell>
          <cell r="J2277">
            <v>450</v>
          </cell>
          <cell r="K2277">
            <v>90</v>
          </cell>
          <cell r="L2277">
            <v>450</v>
          </cell>
          <cell r="M2277" t="str">
            <v/>
          </cell>
          <cell r="N2277">
            <v>0</v>
          </cell>
        </row>
        <row r="2278">
          <cell r="A2278">
            <v>11820</v>
          </cell>
          <cell r="B2278" t="str">
            <v>15/09/2017</v>
          </cell>
          <cell r="C2278" t="str">
            <v>C1445</v>
          </cell>
          <cell r="D2278" t="str">
            <v>Stainless steel canopy - as per quotation - 9775</v>
          </cell>
          <cell r="E2278" t="str">
            <v>NP Services (Leicester) Ltd</v>
          </cell>
          <cell r="F2278" t="str">
            <v>Subcontractor</v>
          </cell>
          <cell r="G2278" t="str">
            <v/>
          </cell>
          <cell r="H2278" t="str">
            <v/>
          </cell>
          <cell r="I2278" t="str">
            <v/>
          </cell>
          <cell r="J2278">
            <v>2647.79</v>
          </cell>
          <cell r="K2278">
            <v>529.55999999999995</v>
          </cell>
          <cell r="L2278">
            <v>2647.79</v>
          </cell>
          <cell r="M2278" t="str">
            <v/>
          </cell>
          <cell r="N2278">
            <v>0</v>
          </cell>
        </row>
        <row r="2279">
          <cell r="A2279">
            <v>11793</v>
          </cell>
          <cell r="B2279" t="str">
            <v>14/09/2017</v>
          </cell>
          <cell r="C2279" t="str">
            <v>CALLOUT</v>
          </cell>
          <cell r="D2279" t="str">
            <v>Attend site to carry out quoted electrical works - ref your</v>
          </cell>
          <cell r="E2279" t="str">
            <v>Kestrel North West Limited</v>
          </cell>
          <cell r="F2279" t="str">
            <v>Subcontractor</v>
          </cell>
          <cell r="G2279" t="str">
            <v/>
          </cell>
          <cell r="H2279" t="str">
            <v/>
          </cell>
          <cell r="I2279" t="str">
            <v/>
          </cell>
          <cell r="J2279">
            <v>292.39</v>
          </cell>
          <cell r="K2279">
            <v>58.48</v>
          </cell>
          <cell r="L2279">
            <v>292.39</v>
          </cell>
          <cell r="M2279" t="str">
            <v/>
          </cell>
          <cell r="N2279">
            <v>0</v>
          </cell>
        </row>
        <row r="2280">
          <cell r="A2280">
            <v>11786</v>
          </cell>
          <cell r="B2280" t="str">
            <v>13/09/2017</v>
          </cell>
          <cell r="C2280" t="str">
            <v>C1441</v>
          </cell>
          <cell r="D2280" t="str">
            <v>air balance</v>
          </cell>
          <cell r="E2280" t="str">
            <v>New Era Commissioning Specialists Ltd</v>
          </cell>
          <cell r="F2280" t="str">
            <v>Subcontractor</v>
          </cell>
          <cell r="G2280" t="str">
            <v/>
          </cell>
          <cell r="H2280" t="str">
            <v/>
          </cell>
          <cell r="I2280" t="str">
            <v/>
          </cell>
          <cell r="J2280">
            <v>450</v>
          </cell>
          <cell r="K2280">
            <v>90</v>
          </cell>
          <cell r="L2280">
            <v>450</v>
          </cell>
          <cell r="M2280" t="str">
            <v/>
          </cell>
          <cell r="N2280">
            <v>0</v>
          </cell>
        </row>
        <row r="2281">
          <cell r="A2281">
            <v>11770</v>
          </cell>
          <cell r="B2281" t="str">
            <v>12/09/2017</v>
          </cell>
          <cell r="C2281" t="str">
            <v>C1463</v>
          </cell>
          <cell r="D2281" t="str">
            <v>Ductwork Installation Sub Contract Order in place</v>
          </cell>
          <cell r="E2281" t="str">
            <v>ExcelVent Solutions Ltd</v>
          </cell>
          <cell r="F2281" t="str">
            <v>Subcontractor</v>
          </cell>
          <cell r="G2281" t="str">
            <v>04/09/2017</v>
          </cell>
          <cell r="H2281" t="str">
            <v/>
          </cell>
          <cell r="I2281" t="str">
            <v/>
          </cell>
          <cell r="J2281">
            <v>30316</v>
          </cell>
          <cell r="K2281">
            <v>6063.2</v>
          </cell>
          <cell r="L2281">
            <v>33562.879999999997</v>
          </cell>
          <cell r="M2281" t="str">
            <v/>
          </cell>
          <cell r="N2281">
            <v>-3246.88</v>
          </cell>
        </row>
        <row r="2282">
          <cell r="A2282">
            <v>11764</v>
          </cell>
          <cell r="B2282" t="str">
            <v>12/09/2017</v>
          </cell>
          <cell r="C2282" t="str">
            <v>C1475</v>
          </cell>
          <cell r="D2282" t="str">
            <v>Electrical Survey &amp; testing for Addo Foods, Nottingham - mov</v>
          </cell>
          <cell r="E2282" t="str">
            <v>Eamonn Reilly</v>
          </cell>
          <cell r="F2282" t="str">
            <v>Subcontractor</v>
          </cell>
          <cell r="G2282" t="str">
            <v/>
          </cell>
          <cell r="H2282" t="str">
            <v/>
          </cell>
          <cell r="I2282" t="str">
            <v/>
          </cell>
          <cell r="J2282">
            <v>1877.78</v>
          </cell>
          <cell r="K2282">
            <v>375.56</v>
          </cell>
          <cell r="L2282">
            <v>1877.78</v>
          </cell>
          <cell r="M2282" t="str">
            <v/>
          </cell>
          <cell r="N2282">
            <v>0</v>
          </cell>
        </row>
        <row r="2283">
          <cell r="A2283">
            <v>11738</v>
          </cell>
          <cell r="B2283" t="str">
            <v>08/09/2017</v>
          </cell>
          <cell r="C2283" t="str">
            <v>C1445</v>
          </cell>
          <cell r="D2283" t="str">
            <v>Supply of stainless steel spool peice</v>
          </cell>
          <cell r="E2283" t="str">
            <v>Defabs Engineering Ltd</v>
          </cell>
          <cell r="F2283" t="str">
            <v>Subcontractor</v>
          </cell>
          <cell r="G2283" t="str">
            <v/>
          </cell>
          <cell r="H2283" t="str">
            <v>Complete</v>
          </cell>
          <cell r="I2283" t="str">
            <v>Posted</v>
          </cell>
          <cell r="J2283">
            <v>0</v>
          </cell>
          <cell r="K2283">
            <v>0</v>
          </cell>
          <cell r="L2283">
            <v>17237.66</v>
          </cell>
          <cell r="M2283" t="str">
            <v/>
          </cell>
          <cell r="N2283">
            <v>-17237.66</v>
          </cell>
        </row>
        <row r="2284">
          <cell r="A2284">
            <v>11735</v>
          </cell>
          <cell r="B2284" t="str">
            <v>08/09/2017</v>
          </cell>
          <cell r="C2284" t="str">
            <v>CALLOUT</v>
          </cell>
          <cell r="D2284" t="str">
            <v>Supply &amp; Install Fire Dampers &amp; Ductwork</v>
          </cell>
          <cell r="E2284" t="str">
            <v>OLD COUGAR ACCOUNT- DO NOT USE</v>
          </cell>
          <cell r="F2284" t="str">
            <v>Subcontractor</v>
          </cell>
          <cell r="G2284" t="str">
            <v/>
          </cell>
          <cell r="H2284" t="str">
            <v/>
          </cell>
          <cell r="I2284" t="str">
            <v/>
          </cell>
          <cell r="J2284">
            <v>600</v>
          </cell>
          <cell r="K2284">
            <v>120</v>
          </cell>
          <cell r="L2284">
            <v>600</v>
          </cell>
          <cell r="M2284" t="str">
            <v/>
          </cell>
          <cell r="N2284">
            <v>0</v>
          </cell>
        </row>
        <row r="2285">
          <cell r="A2285">
            <v>11694</v>
          </cell>
          <cell r="B2285" t="str">
            <v>05/09/2017</v>
          </cell>
          <cell r="C2285" t="str">
            <v>CALLOUT</v>
          </cell>
          <cell r="D2285" t="str">
            <v>Investigate Zip Tap not Working 7th Floor - Turned away from</v>
          </cell>
          <cell r="E2285" t="str">
            <v>Viabl Ltd T/A Able</v>
          </cell>
          <cell r="F2285" t="str">
            <v>Subcontractor</v>
          </cell>
          <cell r="G2285" t="str">
            <v/>
          </cell>
          <cell r="H2285" t="str">
            <v/>
          </cell>
          <cell r="I2285" t="str">
            <v/>
          </cell>
          <cell r="J2285">
            <v>50</v>
          </cell>
          <cell r="K2285">
            <v>10</v>
          </cell>
          <cell r="L2285">
            <v>50</v>
          </cell>
          <cell r="M2285" t="str">
            <v/>
          </cell>
          <cell r="N2285">
            <v>0</v>
          </cell>
        </row>
        <row r="2286">
          <cell r="A2286">
            <v>11691</v>
          </cell>
          <cell r="B2286" t="str">
            <v>04/09/2017</v>
          </cell>
          <cell r="C2286" t="str">
            <v>C1434</v>
          </cell>
          <cell r="D2286" t="str">
            <v/>
          </cell>
          <cell r="E2286" t="str">
            <v>Sutton Crane Hire</v>
          </cell>
          <cell r="F2286" t="str">
            <v>Subcontractor</v>
          </cell>
          <cell r="G2286" t="str">
            <v>06/09/2017</v>
          </cell>
          <cell r="H2286" t="str">
            <v>Part</v>
          </cell>
          <cell r="I2286" t="str">
            <v/>
          </cell>
          <cell r="J2286">
            <v>1620</v>
          </cell>
          <cell r="K2286">
            <v>324</v>
          </cell>
          <cell r="L2286">
            <v>1620</v>
          </cell>
          <cell r="M2286" t="str">
            <v/>
          </cell>
          <cell r="N2286">
            <v>0</v>
          </cell>
        </row>
        <row r="2287">
          <cell r="A2287">
            <v>11689</v>
          </cell>
          <cell r="B2287" t="str">
            <v>04/09/2017</v>
          </cell>
          <cell r="C2287" t="str">
            <v>C1447</v>
          </cell>
          <cell r="D2287" t="str">
            <v>Quotation as discussed with Ryan</v>
          </cell>
          <cell r="E2287" t="str">
            <v>New Era Commissioning Specialists Ltd</v>
          </cell>
          <cell r="F2287" t="str">
            <v>Subcontractor</v>
          </cell>
          <cell r="G2287" t="str">
            <v/>
          </cell>
          <cell r="H2287" t="str">
            <v>Complete</v>
          </cell>
          <cell r="I2287" t="str">
            <v/>
          </cell>
          <cell r="J2287">
            <v>0</v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</row>
        <row r="2288">
          <cell r="A2288">
            <v>11688</v>
          </cell>
          <cell r="B2288" t="str">
            <v>04/09/2017</v>
          </cell>
          <cell r="C2288" t="str">
            <v>CALLOUT</v>
          </cell>
          <cell r="D2288" t="str">
            <v>Carry out works as per quote ADS KEY QT 0155</v>
          </cell>
          <cell r="E2288" t="str">
            <v>ADS Aircon Ltd</v>
          </cell>
          <cell r="F2288" t="str">
            <v>Subcontractor</v>
          </cell>
          <cell r="G2288" t="str">
            <v/>
          </cell>
          <cell r="H2288" t="str">
            <v/>
          </cell>
          <cell r="I2288" t="str">
            <v/>
          </cell>
          <cell r="J2288">
            <v>895.6</v>
          </cell>
          <cell r="K2288">
            <v>179.12</v>
          </cell>
          <cell r="L2288">
            <v>895.6</v>
          </cell>
          <cell r="M2288" t="str">
            <v/>
          </cell>
          <cell r="N2288">
            <v>0</v>
          </cell>
        </row>
        <row r="2289">
          <cell r="A2289">
            <v>11659</v>
          </cell>
          <cell r="B2289" t="str">
            <v>31/08/2017</v>
          </cell>
          <cell r="C2289" t="str">
            <v>C1426</v>
          </cell>
          <cell r="D2289" t="str">
            <v>Labour for 1.5T AHU works</v>
          </cell>
          <cell r="E2289" t="str">
            <v>Defabs Engineering Ltd</v>
          </cell>
          <cell r="F2289" t="str">
            <v>Subcontractor</v>
          </cell>
          <cell r="G2289" t="str">
            <v>17/07/2017</v>
          </cell>
          <cell r="H2289" t="str">
            <v/>
          </cell>
          <cell r="I2289" t="str">
            <v/>
          </cell>
          <cell r="J2289">
            <v>672</v>
          </cell>
          <cell r="K2289">
            <v>134.4</v>
          </cell>
          <cell r="L2289">
            <v>672</v>
          </cell>
          <cell r="M2289" t="str">
            <v/>
          </cell>
          <cell r="N2289">
            <v>0</v>
          </cell>
        </row>
        <row r="2290">
          <cell r="A2290">
            <v>11638</v>
          </cell>
          <cell r="B2290" t="str">
            <v>30/08/2017</v>
          </cell>
          <cell r="C2290" t="str">
            <v>C1445</v>
          </cell>
          <cell r="D2290" t="str">
            <v>Air conditioning installation as per quote 30/8/17</v>
          </cell>
          <cell r="E2290" t="str">
            <v>Cool Tech (UK) Ltd</v>
          </cell>
          <cell r="F2290" t="str">
            <v>Subcontractor</v>
          </cell>
          <cell r="G2290" t="str">
            <v/>
          </cell>
          <cell r="H2290" t="str">
            <v/>
          </cell>
          <cell r="I2290" t="str">
            <v/>
          </cell>
          <cell r="J2290">
            <v>13800</v>
          </cell>
          <cell r="K2290">
            <v>2760</v>
          </cell>
          <cell r="L2290">
            <v>13800</v>
          </cell>
          <cell r="M2290" t="str">
            <v/>
          </cell>
          <cell r="N2290">
            <v>0</v>
          </cell>
        </row>
        <row r="2291">
          <cell r="A2291">
            <v>11629</v>
          </cell>
          <cell r="B2291" t="str">
            <v>30/08/2017</v>
          </cell>
          <cell r="C2291" t="str">
            <v>CALLOUT</v>
          </cell>
          <cell r="D2291" t="str">
            <v>Air Con Unit is causing staff sore throats &amp; Coughing (inclu</v>
          </cell>
          <cell r="E2291" t="str">
            <v>ADS Aircon Ltd</v>
          </cell>
          <cell r="F2291" t="str">
            <v>Subcontractor</v>
          </cell>
          <cell r="G2291" t="str">
            <v/>
          </cell>
          <cell r="H2291" t="str">
            <v/>
          </cell>
          <cell r="I2291" t="str">
            <v/>
          </cell>
          <cell r="J2291">
            <v>196</v>
          </cell>
          <cell r="K2291">
            <v>39.200000000000003</v>
          </cell>
          <cell r="L2291">
            <v>196</v>
          </cell>
          <cell r="M2291" t="str">
            <v/>
          </cell>
          <cell r="N2291">
            <v>0</v>
          </cell>
        </row>
        <row r="2292">
          <cell r="A2292">
            <v>11608</v>
          </cell>
          <cell r="B2292" t="str">
            <v>25/08/2017</v>
          </cell>
          <cell r="C2292" t="str">
            <v>C1428</v>
          </cell>
          <cell r="D2292" t="str">
            <v>Commissioning &amp; Chlorination</v>
          </cell>
          <cell r="E2292" t="str">
            <v>New Era Commissioning Specialists Ltd</v>
          </cell>
          <cell r="F2292" t="str">
            <v>Subcontractor</v>
          </cell>
          <cell r="G2292" t="str">
            <v/>
          </cell>
          <cell r="H2292" t="str">
            <v/>
          </cell>
          <cell r="I2292" t="str">
            <v/>
          </cell>
          <cell r="J2292">
            <v>2350</v>
          </cell>
          <cell r="K2292">
            <v>470</v>
          </cell>
          <cell r="L2292">
            <v>2350</v>
          </cell>
          <cell r="M2292" t="str">
            <v/>
          </cell>
          <cell r="N2292">
            <v>0</v>
          </cell>
        </row>
        <row r="2293">
          <cell r="A2293">
            <v>11583</v>
          </cell>
          <cell r="B2293" t="str">
            <v>23/08/2017</v>
          </cell>
          <cell r="C2293" t="str">
            <v>C1436</v>
          </cell>
          <cell r="D2293" t="str">
            <v>Item Supplied on Invoice 24612</v>
          </cell>
          <cell r="E2293" t="str">
            <v>Harroquip Pump Systems</v>
          </cell>
          <cell r="F2293" t="str">
            <v>Subcontractor</v>
          </cell>
          <cell r="G2293" t="str">
            <v/>
          </cell>
          <cell r="H2293" t="str">
            <v/>
          </cell>
          <cell r="I2293" t="str">
            <v/>
          </cell>
          <cell r="J2293">
            <v>10966.4</v>
          </cell>
          <cell r="K2293">
            <v>2193.2800000000002</v>
          </cell>
          <cell r="L2293">
            <v>10966.4</v>
          </cell>
          <cell r="M2293" t="str">
            <v/>
          </cell>
          <cell r="N2293">
            <v>0</v>
          </cell>
        </row>
        <row r="2294">
          <cell r="A2294">
            <v>11581</v>
          </cell>
          <cell r="B2294" t="str">
            <v>23/08/2017</v>
          </cell>
          <cell r="C2294" t="str">
            <v>CALLOUT</v>
          </cell>
          <cell r="D2294" t="str">
            <v>Attended site to investigate zip boiler leaking 4th floor fi</v>
          </cell>
          <cell r="E2294" t="str">
            <v>Viabl Ltd T/A Able</v>
          </cell>
          <cell r="F2294" t="str">
            <v>Subcontractor</v>
          </cell>
          <cell r="G2294" t="str">
            <v/>
          </cell>
          <cell r="H2294" t="str">
            <v/>
          </cell>
          <cell r="I2294" t="str">
            <v/>
          </cell>
          <cell r="J2294">
            <v>65</v>
          </cell>
          <cell r="K2294">
            <v>13</v>
          </cell>
          <cell r="L2294">
            <v>65</v>
          </cell>
          <cell r="M2294" t="str">
            <v/>
          </cell>
          <cell r="N2294">
            <v>0</v>
          </cell>
        </row>
        <row r="2295">
          <cell r="A2295">
            <v>11575</v>
          </cell>
          <cell r="B2295" t="str">
            <v>23/08/2017</v>
          </cell>
          <cell r="C2295" t="str">
            <v>C1425</v>
          </cell>
          <cell r="D2295" t="str">
            <v>Temp air balancing to IBC clean room &amp; washbay readings</v>
          </cell>
          <cell r="E2295" t="str">
            <v>Combat Commissioning Services Ltd</v>
          </cell>
          <cell r="F2295" t="str">
            <v>Subcontractor</v>
          </cell>
          <cell r="G2295" t="str">
            <v>25/08/2017</v>
          </cell>
          <cell r="H2295" t="str">
            <v/>
          </cell>
          <cell r="I2295" t="str">
            <v/>
          </cell>
          <cell r="J2295">
            <v>450</v>
          </cell>
          <cell r="K2295">
            <v>90</v>
          </cell>
          <cell r="L2295">
            <v>450</v>
          </cell>
          <cell r="M2295" t="str">
            <v/>
          </cell>
          <cell r="N2295">
            <v>0</v>
          </cell>
        </row>
        <row r="2296">
          <cell r="A2296">
            <v>11572</v>
          </cell>
          <cell r="B2296" t="str">
            <v>23/08/2017</v>
          </cell>
          <cell r="C2296" t="str">
            <v>CALLOUT</v>
          </cell>
          <cell r="D2296" t="str">
            <v>Carry out works are per quotation MM/ES1466</v>
          </cell>
          <cell r="E2296" t="str">
            <v>Chalcroft Ltd</v>
          </cell>
          <cell r="F2296" t="str">
            <v>Subcontractor</v>
          </cell>
          <cell r="G2296" t="str">
            <v/>
          </cell>
          <cell r="H2296" t="str">
            <v/>
          </cell>
          <cell r="I2296" t="str">
            <v/>
          </cell>
          <cell r="J2296">
            <v>304.83999999999997</v>
          </cell>
          <cell r="K2296">
            <v>60.97</v>
          </cell>
          <cell r="L2296">
            <v>304.83999999999997</v>
          </cell>
          <cell r="M2296" t="str">
            <v/>
          </cell>
          <cell r="N2296">
            <v>0</v>
          </cell>
        </row>
        <row r="2297">
          <cell r="A2297">
            <v>11569</v>
          </cell>
          <cell r="B2297" t="str">
            <v>23/08/2017</v>
          </cell>
          <cell r="C2297" t="str">
            <v>C1445</v>
          </cell>
          <cell r="D2297" t="str">
            <v>Supply &amp; install of DHCW &amp; Compressed Air</v>
          </cell>
          <cell r="E2297" t="str">
            <v>Defabs Engineering Ltd</v>
          </cell>
          <cell r="F2297" t="str">
            <v>Subcontractor</v>
          </cell>
          <cell r="G2297" t="str">
            <v>29/08/2017</v>
          </cell>
          <cell r="H2297" t="str">
            <v/>
          </cell>
          <cell r="I2297" t="str">
            <v/>
          </cell>
          <cell r="J2297">
            <v>94566</v>
          </cell>
          <cell r="K2297">
            <v>18913.2</v>
          </cell>
          <cell r="L2297">
            <v>79167.399999999994</v>
          </cell>
          <cell r="M2297" t="str">
            <v/>
          </cell>
          <cell r="N2297">
            <v>15398.6</v>
          </cell>
        </row>
        <row r="2298">
          <cell r="A2298">
            <v>11562</v>
          </cell>
          <cell r="B2298" t="str">
            <v>22/08/2017</v>
          </cell>
          <cell r="C2298" t="str">
            <v>CALLOUT</v>
          </cell>
          <cell r="D2298" t="str">
            <v>Supply &amp; Install 2no Basin Taps as Quoted</v>
          </cell>
          <cell r="E2298" t="str">
            <v>Viabl Ltd T/A Able</v>
          </cell>
          <cell r="F2298" t="str">
            <v>Subcontractor</v>
          </cell>
          <cell r="G2298" t="str">
            <v/>
          </cell>
          <cell r="H2298" t="str">
            <v/>
          </cell>
          <cell r="I2298" t="str">
            <v/>
          </cell>
          <cell r="J2298">
            <v>315</v>
          </cell>
          <cell r="K2298">
            <v>63</v>
          </cell>
          <cell r="L2298">
            <v>315</v>
          </cell>
          <cell r="M2298" t="str">
            <v/>
          </cell>
          <cell r="N2298">
            <v>0</v>
          </cell>
        </row>
        <row r="2299">
          <cell r="A2299">
            <v>11550</v>
          </cell>
          <cell r="B2299" t="str">
            <v>21/08/2017</v>
          </cell>
          <cell r="C2299" t="str">
            <v>C1425</v>
          </cell>
          <cell r="D2299" t="str">
            <v>replaces 10350</v>
          </cell>
          <cell r="E2299" t="str">
            <v>Fred Shaw &amp; Co Ltd</v>
          </cell>
          <cell r="F2299" t="str">
            <v>Subcontractor</v>
          </cell>
          <cell r="G2299" t="str">
            <v/>
          </cell>
          <cell r="H2299" t="str">
            <v>Complete</v>
          </cell>
          <cell r="I2299" t="str">
            <v/>
          </cell>
          <cell r="J2299">
            <v>0</v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</row>
        <row r="2300">
          <cell r="A2300">
            <v>11549</v>
          </cell>
          <cell r="B2300" t="str">
            <v>21/08/2017</v>
          </cell>
          <cell r="C2300" t="str">
            <v>C1441</v>
          </cell>
          <cell r="D2300" t="str">
            <v>replaced order 10844</v>
          </cell>
          <cell r="E2300" t="str">
            <v>Fred Shaw &amp; Co Ltd</v>
          </cell>
          <cell r="F2300" t="str">
            <v>Subcontractor</v>
          </cell>
          <cell r="G2300" t="str">
            <v/>
          </cell>
          <cell r="H2300" t="str">
            <v/>
          </cell>
          <cell r="I2300" t="str">
            <v/>
          </cell>
          <cell r="J2300">
            <v>20181</v>
          </cell>
          <cell r="K2300">
            <v>4036.2</v>
          </cell>
          <cell r="L2300">
            <v>20181</v>
          </cell>
          <cell r="M2300" t="str">
            <v/>
          </cell>
          <cell r="N2300">
            <v>0</v>
          </cell>
        </row>
        <row r="2301">
          <cell r="A2301">
            <v>11541</v>
          </cell>
          <cell r="B2301" t="str">
            <v>21/08/2017</v>
          </cell>
          <cell r="C2301" t="str">
            <v>CALLOUT</v>
          </cell>
          <cell r="D2301" t="str">
            <v>Further Investigate Fittings not Working</v>
          </cell>
          <cell r="E2301" t="str">
            <v>Kestrel North West Limited</v>
          </cell>
          <cell r="F2301" t="str">
            <v>Subcontractor</v>
          </cell>
          <cell r="G2301" t="str">
            <v/>
          </cell>
          <cell r="H2301" t="str">
            <v/>
          </cell>
          <cell r="I2301" t="str">
            <v/>
          </cell>
          <cell r="J2301">
            <v>105.8</v>
          </cell>
          <cell r="K2301">
            <v>21.16</v>
          </cell>
          <cell r="L2301">
            <v>105.8</v>
          </cell>
          <cell r="M2301" t="str">
            <v/>
          </cell>
          <cell r="N2301">
            <v>0</v>
          </cell>
        </row>
        <row r="2302">
          <cell r="A2302">
            <v>11540</v>
          </cell>
          <cell r="B2302" t="str">
            <v>21/08/2017</v>
          </cell>
          <cell r="C2302" t="str">
            <v>C1445</v>
          </cell>
          <cell r="D2302" t="str">
            <v>Barrett Steel Services Order B994715</v>
          </cell>
          <cell r="E2302" t="str">
            <v>Enco Ltd</v>
          </cell>
          <cell r="F2302" t="str">
            <v>Subcontractor</v>
          </cell>
          <cell r="G2302" t="str">
            <v/>
          </cell>
          <cell r="H2302" t="str">
            <v/>
          </cell>
          <cell r="I2302" t="str">
            <v/>
          </cell>
          <cell r="J2302">
            <v>688</v>
          </cell>
          <cell r="K2302">
            <v>137.6</v>
          </cell>
          <cell r="L2302">
            <v>688</v>
          </cell>
          <cell r="M2302" t="str">
            <v/>
          </cell>
          <cell r="N2302">
            <v>0</v>
          </cell>
        </row>
        <row r="2303">
          <cell r="A2303">
            <v>11522</v>
          </cell>
          <cell r="B2303" t="str">
            <v>18/08/2017</v>
          </cell>
          <cell r="C2303" t="str">
            <v>C1425</v>
          </cell>
          <cell r="D2303" t="str">
            <v>Supply, delivery &amp; commissioning of BMS controls</v>
          </cell>
          <cell r="E2303" t="str">
            <v>Schneider Electric Ltd</v>
          </cell>
          <cell r="F2303" t="str">
            <v>Subcontractor</v>
          </cell>
          <cell r="G2303" t="str">
            <v>04/09/2017</v>
          </cell>
          <cell r="H2303" t="str">
            <v/>
          </cell>
          <cell r="I2303" t="str">
            <v>Posted</v>
          </cell>
          <cell r="J2303">
            <v>19996</v>
          </cell>
          <cell r="K2303">
            <v>3999.2</v>
          </cell>
          <cell r="L2303">
            <v>13197</v>
          </cell>
          <cell r="M2303" t="str">
            <v/>
          </cell>
          <cell r="N2303">
            <v>6799</v>
          </cell>
        </row>
        <row r="2304">
          <cell r="A2304">
            <v>11518</v>
          </cell>
          <cell r="B2304" t="str">
            <v>18/08/2017</v>
          </cell>
          <cell r="C2304" t="str">
            <v>C1425</v>
          </cell>
          <cell r="D2304" t="str">
            <v>For supply, Installation &amp; commissioning of controls wiring</v>
          </cell>
          <cell r="E2304" t="str">
            <v>Eamonn Reilly</v>
          </cell>
          <cell r="F2304" t="str">
            <v>Subcontractor</v>
          </cell>
          <cell r="G2304" t="str">
            <v>04/09/2017</v>
          </cell>
          <cell r="H2304" t="str">
            <v/>
          </cell>
          <cell r="I2304" t="str">
            <v/>
          </cell>
          <cell r="J2304">
            <v>5828</v>
          </cell>
          <cell r="K2304">
            <v>1165.5999999999999</v>
          </cell>
          <cell r="L2304">
            <v>5245.2</v>
          </cell>
          <cell r="M2304" t="str">
            <v/>
          </cell>
          <cell r="N2304">
            <v>582.79999999999995</v>
          </cell>
        </row>
        <row r="2305">
          <cell r="A2305">
            <v>11509</v>
          </cell>
          <cell r="B2305" t="str">
            <v>17/08/2017</v>
          </cell>
          <cell r="C2305" t="str">
            <v>C1437</v>
          </cell>
          <cell r="D2305" t="str">
            <v>HWS Lance Wash Pipework Drops (x2)</v>
          </cell>
          <cell r="E2305" t="str">
            <v>Defabs Engineering Ltd</v>
          </cell>
          <cell r="F2305" t="str">
            <v>Subcontractor</v>
          </cell>
          <cell r="G2305" t="str">
            <v>21/08/2017</v>
          </cell>
          <cell r="H2305" t="str">
            <v/>
          </cell>
          <cell r="I2305" t="str">
            <v/>
          </cell>
          <cell r="J2305">
            <v>710</v>
          </cell>
          <cell r="K2305">
            <v>142</v>
          </cell>
          <cell r="L2305">
            <v>710</v>
          </cell>
          <cell r="M2305" t="str">
            <v/>
          </cell>
          <cell r="N2305">
            <v>0</v>
          </cell>
        </row>
        <row r="2306">
          <cell r="A2306">
            <v>11484</v>
          </cell>
          <cell r="B2306" t="str">
            <v>16/08/2017</v>
          </cell>
          <cell r="C2306" t="str">
            <v>A1000</v>
          </cell>
          <cell r="D2306" t="str">
            <v>LC/21302R1</v>
          </cell>
          <cell r="E2306" t="str">
            <v>Tecserv UK Limited</v>
          </cell>
          <cell r="F2306" t="str">
            <v>Subcontractor</v>
          </cell>
          <cell r="G2306" t="str">
            <v/>
          </cell>
          <cell r="H2306" t="str">
            <v/>
          </cell>
          <cell r="I2306" t="str">
            <v/>
          </cell>
          <cell r="J2306">
            <v>45046</v>
          </cell>
          <cell r="K2306">
            <v>9009.2000000000007</v>
          </cell>
          <cell r="L2306">
            <v>45046</v>
          </cell>
          <cell r="M2306" t="str">
            <v/>
          </cell>
          <cell r="N2306">
            <v>0</v>
          </cell>
        </row>
        <row r="2307">
          <cell r="A2307">
            <v>11443</v>
          </cell>
          <cell r="B2307" t="str">
            <v>14/08/2017</v>
          </cell>
          <cell r="C2307" t="str">
            <v>CALLOUT</v>
          </cell>
          <cell r="D2307" t="str">
            <v>Supply &amp; Install Light Fitting in Cupboard</v>
          </cell>
          <cell r="E2307" t="str">
            <v>Barrie Beard Ltd</v>
          </cell>
          <cell r="F2307" t="str">
            <v>Subcontractor</v>
          </cell>
          <cell r="G2307" t="str">
            <v/>
          </cell>
          <cell r="H2307" t="str">
            <v/>
          </cell>
          <cell r="I2307" t="str">
            <v/>
          </cell>
          <cell r="J2307">
            <v>97.5</v>
          </cell>
          <cell r="K2307">
            <v>19.5</v>
          </cell>
          <cell r="L2307">
            <v>97.5</v>
          </cell>
          <cell r="M2307" t="str">
            <v/>
          </cell>
          <cell r="N2307">
            <v>0</v>
          </cell>
        </row>
        <row r="2308">
          <cell r="A2308">
            <v>11442</v>
          </cell>
          <cell r="B2308" t="str">
            <v>11/08/2017</v>
          </cell>
          <cell r="C2308" t="str">
            <v>CALLOUT</v>
          </cell>
          <cell r="D2308" t="str">
            <v>Investigated No Hot Water in Toilets</v>
          </cell>
          <cell r="E2308" t="str">
            <v>Viabl Ltd T/A Able</v>
          </cell>
          <cell r="F2308" t="str">
            <v>Subcontractor</v>
          </cell>
          <cell r="G2308" t="str">
            <v/>
          </cell>
          <cell r="H2308" t="str">
            <v/>
          </cell>
          <cell r="I2308" t="str">
            <v/>
          </cell>
          <cell r="J2308">
            <v>99</v>
          </cell>
          <cell r="K2308">
            <v>19.8</v>
          </cell>
          <cell r="L2308">
            <v>99</v>
          </cell>
          <cell r="M2308" t="str">
            <v/>
          </cell>
          <cell r="N2308">
            <v>0</v>
          </cell>
        </row>
        <row r="2309">
          <cell r="A2309">
            <v>11429</v>
          </cell>
          <cell r="B2309" t="str">
            <v>10/08/2017</v>
          </cell>
          <cell r="C2309" t="str">
            <v>CALLOUT</v>
          </cell>
          <cell r="D2309" t="str">
            <v>Attended site to investigate waste pump not working</v>
          </cell>
          <cell r="E2309" t="str">
            <v>Viabl Ltd T/A Able</v>
          </cell>
          <cell r="F2309" t="str">
            <v>Subcontractor</v>
          </cell>
          <cell r="G2309" t="str">
            <v/>
          </cell>
          <cell r="H2309" t="str">
            <v/>
          </cell>
          <cell r="I2309" t="str">
            <v/>
          </cell>
          <cell r="J2309">
            <v>65</v>
          </cell>
          <cell r="K2309">
            <v>13</v>
          </cell>
          <cell r="L2309">
            <v>65</v>
          </cell>
          <cell r="M2309" t="str">
            <v/>
          </cell>
          <cell r="N2309">
            <v>0</v>
          </cell>
        </row>
        <row r="2310">
          <cell r="A2310">
            <v>11398</v>
          </cell>
          <cell r="B2310" t="str">
            <v>08/08/2017</v>
          </cell>
          <cell r="C2310" t="str">
            <v>C1429</v>
          </cell>
          <cell r="D2310" t="str">
            <v>5-9am Crane Hire</v>
          </cell>
          <cell r="E2310" t="str">
            <v>Sutton Crane Hire</v>
          </cell>
          <cell r="F2310" t="str">
            <v>Subcontractor</v>
          </cell>
          <cell r="G2310" t="str">
            <v/>
          </cell>
          <cell r="H2310" t="str">
            <v/>
          </cell>
          <cell r="I2310" t="str">
            <v/>
          </cell>
          <cell r="J2310">
            <v>1450</v>
          </cell>
          <cell r="K2310">
            <v>290</v>
          </cell>
          <cell r="L2310">
            <v>1450</v>
          </cell>
          <cell r="M2310" t="str">
            <v/>
          </cell>
          <cell r="N2310">
            <v>0</v>
          </cell>
        </row>
        <row r="2311">
          <cell r="A2311">
            <v>11395</v>
          </cell>
          <cell r="B2311" t="str">
            <v>07/08/2017</v>
          </cell>
          <cell r="C2311" t="str">
            <v>C1441</v>
          </cell>
          <cell r="D2311" t="str">
            <v>Flue Installation</v>
          </cell>
          <cell r="E2311" t="str">
            <v>A1 Flue Systems</v>
          </cell>
          <cell r="F2311" t="str">
            <v>Subcontractor</v>
          </cell>
          <cell r="G2311" t="str">
            <v>08/08/2017</v>
          </cell>
          <cell r="H2311" t="str">
            <v/>
          </cell>
          <cell r="I2311" t="str">
            <v/>
          </cell>
          <cell r="J2311">
            <v>577</v>
          </cell>
          <cell r="K2311">
            <v>115.4</v>
          </cell>
          <cell r="L2311">
            <v>577</v>
          </cell>
          <cell r="M2311" t="str">
            <v/>
          </cell>
          <cell r="N2311">
            <v>0</v>
          </cell>
        </row>
        <row r="2312">
          <cell r="A2312">
            <v>11388</v>
          </cell>
          <cell r="B2312" t="str">
            <v>07/08/2017</v>
          </cell>
          <cell r="C2312" t="str">
            <v>CALLOUT</v>
          </cell>
          <cell r="D2312" t="str">
            <v>Supply &amp; Install 4no lamps &amp; 4no ballasts</v>
          </cell>
          <cell r="E2312" t="str">
            <v>Barrie Beard Ltd</v>
          </cell>
          <cell r="F2312" t="str">
            <v>Subcontractor</v>
          </cell>
          <cell r="G2312" t="str">
            <v/>
          </cell>
          <cell r="H2312" t="str">
            <v/>
          </cell>
          <cell r="I2312" t="str">
            <v/>
          </cell>
          <cell r="J2312">
            <v>395</v>
          </cell>
          <cell r="K2312">
            <v>79</v>
          </cell>
          <cell r="L2312">
            <v>395</v>
          </cell>
          <cell r="M2312" t="str">
            <v/>
          </cell>
          <cell r="N2312">
            <v>0</v>
          </cell>
        </row>
        <row r="2313">
          <cell r="A2313">
            <v>11381</v>
          </cell>
          <cell r="B2313" t="str">
            <v>04/08/2017</v>
          </cell>
          <cell r="C2313" t="str">
            <v>C1383</v>
          </cell>
          <cell r="D2313" t="str">
            <v>Air and water commissioning</v>
          </cell>
          <cell r="E2313" t="str">
            <v>New Era Commissioning Specialists Ltd</v>
          </cell>
          <cell r="F2313" t="str">
            <v>Subcontractor</v>
          </cell>
          <cell r="G2313" t="str">
            <v>21/08/2017</v>
          </cell>
          <cell r="H2313" t="str">
            <v/>
          </cell>
          <cell r="I2313" t="str">
            <v/>
          </cell>
          <cell r="J2313">
            <v>7500</v>
          </cell>
          <cell r="K2313">
            <v>1500</v>
          </cell>
          <cell r="L2313">
            <v>7500</v>
          </cell>
          <cell r="M2313" t="str">
            <v/>
          </cell>
          <cell r="N2313">
            <v>0</v>
          </cell>
        </row>
        <row r="2314">
          <cell r="A2314">
            <v>11379</v>
          </cell>
          <cell r="B2314" t="str">
            <v>04/08/2017</v>
          </cell>
          <cell r="C2314" t="str">
            <v>CALLOUT</v>
          </cell>
          <cell r="D2314" t="str">
            <v>Supply &amp;</v>
          </cell>
          <cell r="E2314" t="str">
            <v>Kestrel North West Limited</v>
          </cell>
          <cell r="F2314" t="str">
            <v>Subcontractor</v>
          </cell>
          <cell r="G2314" t="str">
            <v/>
          </cell>
          <cell r="H2314" t="str">
            <v/>
          </cell>
          <cell r="I2314" t="str">
            <v/>
          </cell>
          <cell r="J2314">
            <v>165.04</v>
          </cell>
          <cell r="K2314">
            <v>33.01</v>
          </cell>
          <cell r="L2314">
            <v>165.04</v>
          </cell>
          <cell r="M2314" t="str">
            <v/>
          </cell>
          <cell r="N2314">
            <v>0</v>
          </cell>
        </row>
        <row r="2315">
          <cell r="A2315">
            <v>11378</v>
          </cell>
          <cell r="B2315" t="str">
            <v>04/08/2017</v>
          </cell>
          <cell r="C2315" t="str">
            <v>C1441</v>
          </cell>
          <cell r="D2315" t="str">
            <v>Thermal Insulation</v>
          </cell>
          <cell r="E2315" t="str">
            <v>Scottfab Insulation Ltd</v>
          </cell>
          <cell r="F2315" t="str">
            <v>Subcontractor</v>
          </cell>
          <cell r="G2315" t="str">
            <v/>
          </cell>
          <cell r="H2315" t="str">
            <v>Part</v>
          </cell>
          <cell r="I2315" t="str">
            <v/>
          </cell>
          <cell r="J2315">
            <v>3540</v>
          </cell>
          <cell r="K2315">
            <v>708</v>
          </cell>
          <cell r="L2315">
            <v>3540</v>
          </cell>
          <cell r="M2315" t="str">
            <v/>
          </cell>
          <cell r="N2315">
            <v>0</v>
          </cell>
        </row>
        <row r="2316">
          <cell r="A2316">
            <v>11359</v>
          </cell>
          <cell r="B2316" t="str">
            <v>03/08/2017</v>
          </cell>
          <cell r="C2316" t="str">
            <v>C1425</v>
          </cell>
          <cell r="D2316" t="str">
            <v>Installation &amp; commissioning of 'Free Issue' AC condensing u</v>
          </cell>
          <cell r="E2316" t="str">
            <v>Indoor Climate Control Limited</v>
          </cell>
          <cell r="F2316" t="str">
            <v>Subcontractor</v>
          </cell>
          <cell r="G2316" t="str">
            <v>07/08/2017</v>
          </cell>
          <cell r="H2316" t="str">
            <v/>
          </cell>
          <cell r="I2316" t="str">
            <v/>
          </cell>
          <cell r="J2316">
            <v>12338</v>
          </cell>
          <cell r="K2316">
            <v>2467.6</v>
          </cell>
          <cell r="L2316">
            <v>11104.2</v>
          </cell>
          <cell r="M2316" t="str">
            <v/>
          </cell>
          <cell r="N2316">
            <v>1233.8</v>
          </cell>
        </row>
        <row r="2317">
          <cell r="A2317">
            <v>11349</v>
          </cell>
          <cell r="B2317" t="str">
            <v>02/08/2017</v>
          </cell>
          <cell r="C2317" t="str">
            <v>CALLOUT</v>
          </cell>
          <cell r="D2317" t="str">
            <v>Leak coming from wall, isolated cistermiser for urinal</v>
          </cell>
          <cell r="E2317" t="str">
            <v>Viabl Ltd T/A Able</v>
          </cell>
          <cell r="F2317" t="str">
            <v>Subcontractor</v>
          </cell>
          <cell r="G2317" t="str">
            <v/>
          </cell>
          <cell r="H2317" t="str">
            <v/>
          </cell>
          <cell r="I2317" t="str">
            <v/>
          </cell>
          <cell r="J2317">
            <v>130</v>
          </cell>
          <cell r="K2317">
            <v>26</v>
          </cell>
          <cell r="L2317">
            <v>130</v>
          </cell>
          <cell r="M2317" t="str">
            <v/>
          </cell>
          <cell r="N2317">
            <v>0</v>
          </cell>
        </row>
        <row r="2318">
          <cell r="A2318">
            <v>11348</v>
          </cell>
          <cell r="B2318" t="str">
            <v>02/08/2017</v>
          </cell>
          <cell r="C2318" t="str">
            <v>CALLOUT</v>
          </cell>
          <cell r="D2318" t="str">
            <v>Supply &amp; Replace Fan Motor as per quote 12538</v>
          </cell>
          <cell r="E2318" t="str">
            <v>Adcock Refrigeration &amp; Air Conditioning</v>
          </cell>
          <cell r="F2318" t="str">
            <v>Subcontractor</v>
          </cell>
          <cell r="G2318" t="str">
            <v/>
          </cell>
          <cell r="H2318" t="str">
            <v/>
          </cell>
          <cell r="I2318" t="str">
            <v/>
          </cell>
          <cell r="J2318">
            <v>458.82</v>
          </cell>
          <cell r="K2318">
            <v>91.76</v>
          </cell>
          <cell r="L2318">
            <v>458.82</v>
          </cell>
          <cell r="M2318" t="str">
            <v/>
          </cell>
          <cell r="N2318">
            <v>0</v>
          </cell>
        </row>
        <row r="2319">
          <cell r="A2319">
            <v>11320</v>
          </cell>
          <cell r="B2319" t="str">
            <v>28/07/2017</v>
          </cell>
          <cell r="C2319" t="str">
            <v>CALLOUT</v>
          </cell>
          <cell r="D2319" t="str">
            <v>Supply &amp; Install 60no Lamps</v>
          </cell>
          <cell r="E2319" t="str">
            <v>Kestrel North West Limited</v>
          </cell>
          <cell r="F2319" t="str">
            <v>Subcontractor</v>
          </cell>
          <cell r="G2319" t="str">
            <v/>
          </cell>
          <cell r="H2319" t="str">
            <v/>
          </cell>
          <cell r="I2319" t="str">
            <v/>
          </cell>
          <cell r="J2319">
            <v>401.5</v>
          </cell>
          <cell r="K2319">
            <v>80.3</v>
          </cell>
          <cell r="L2319">
            <v>401.5</v>
          </cell>
          <cell r="M2319" t="str">
            <v/>
          </cell>
          <cell r="N2319">
            <v>0</v>
          </cell>
        </row>
        <row r="2320">
          <cell r="A2320">
            <v>11316</v>
          </cell>
          <cell r="B2320" t="str">
            <v>27/07/2017</v>
          </cell>
          <cell r="C2320" t="str">
            <v>C1441</v>
          </cell>
          <cell r="D2320" t="str">
            <v>External Gas Main</v>
          </cell>
          <cell r="E2320" t="str">
            <v>Woodford Pipeline Contracting Ltd</v>
          </cell>
          <cell r="F2320" t="str">
            <v>Subcontractor</v>
          </cell>
          <cell r="G2320" t="str">
            <v>31/07/2017</v>
          </cell>
          <cell r="H2320" t="str">
            <v/>
          </cell>
          <cell r="I2320" t="str">
            <v/>
          </cell>
          <cell r="J2320">
            <v>3371.32</v>
          </cell>
          <cell r="K2320">
            <v>674.26</v>
          </cell>
          <cell r="L2320">
            <v>3371.32</v>
          </cell>
          <cell r="M2320" t="str">
            <v/>
          </cell>
          <cell r="N2320">
            <v>0</v>
          </cell>
        </row>
        <row r="2321">
          <cell r="A2321">
            <v>11303</v>
          </cell>
          <cell r="B2321" t="str">
            <v>27/07/2017</v>
          </cell>
          <cell r="C2321" t="str">
            <v>CALLOUT</v>
          </cell>
          <cell r="D2321" t="str">
            <v>Carry out Various works following leak</v>
          </cell>
          <cell r="E2321" t="str">
            <v>Key Integrated Services (Electrical) Ltd</v>
          </cell>
          <cell r="F2321" t="str">
            <v>Subcontractor</v>
          </cell>
          <cell r="G2321" t="str">
            <v/>
          </cell>
          <cell r="H2321" t="str">
            <v/>
          </cell>
          <cell r="I2321" t="str">
            <v/>
          </cell>
          <cell r="J2321">
            <v>1958</v>
          </cell>
          <cell r="K2321">
            <v>391.6</v>
          </cell>
          <cell r="L2321">
            <v>1958</v>
          </cell>
          <cell r="M2321" t="str">
            <v/>
          </cell>
          <cell r="N2321">
            <v>0</v>
          </cell>
        </row>
        <row r="2322">
          <cell r="A2322">
            <v>11298</v>
          </cell>
          <cell r="B2322" t="str">
            <v>26/07/2017</v>
          </cell>
          <cell r="C2322" t="str">
            <v>CALLOUT</v>
          </cell>
          <cell r="D2322" t="str">
            <v>Carry out various works as per email including locks for pan</v>
          </cell>
          <cell r="E2322" t="str">
            <v>Kestrel North West Limited</v>
          </cell>
          <cell r="F2322" t="str">
            <v>Subcontractor</v>
          </cell>
          <cell r="G2322" t="str">
            <v/>
          </cell>
          <cell r="H2322" t="str">
            <v/>
          </cell>
          <cell r="I2322" t="str">
            <v/>
          </cell>
          <cell r="J2322">
            <v>1075.71</v>
          </cell>
          <cell r="K2322">
            <v>215.14</v>
          </cell>
          <cell r="L2322">
            <v>1075.71</v>
          </cell>
          <cell r="M2322" t="str">
            <v/>
          </cell>
          <cell r="N2322">
            <v>0</v>
          </cell>
        </row>
        <row r="2323">
          <cell r="A2323">
            <v>11297</v>
          </cell>
          <cell r="B2323" t="str">
            <v>26/07/2017</v>
          </cell>
          <cell r="C2323" t="str">
            <v>C1428</v>
          </cell>
          <cell r="D2323" t="str">
            <v>Insulation Works</v>
          </cell>
          <cell r="E2323" t="str">
            <v>Kingston Thermal Ltd</v>
          </cell>
          <cell r="F2323" t="str">
            <v>Subcontractor</v>
          </cell>
          <cell r="G2323" t="str">
            <v/>
          </cell>
          <cell r="H2323" t="str">
            <v>Complete</v>
          </cell>
          <cell r="I2323" t="str">
            <v/>
          </cell>
          <cell r="J2323">
            <v>7610</v>
          </cell>
          <cell r="K2323">
            <v>1522</v>
          </cell>
          <cell r="L2323">
            <v>7610</v>
          </cell>
          <cell r="M2323" t="str">
            <v/>
          </cell>
          <cell r="N2323">
            <v>0</v>
          </cell>
        </row>
        <row r="2324">
          <cell r="A2324">
            <v>11263</v>
          </cell>
          <cell r="B2324" t="str">
            <v>20/07/2017</v>
          </cell>
          <cell r="C2324" t="str">
            <v>CALLOUT</v>
          </cell>
          <cell r="D2324" t="str">
            <v>Isolate Electrics on CHEP unit at Spittalfields Market Londo</v>
          </cell>
          <cell r="E2324" t="str">
            <v>Key Integrated Services (Electrical) Ltd</v>
          </cell>
          <cell r="F2324" t="str">
            <v>Subcontractor</v>
          </cell>
          <cell r="G2324" t="str">
            <v/>
          </cell>
          <cell r="H2324" t="str">
            <v/>
          </cell>
          <cell r="I2324" t="str">
            <v/>
          </cell>
          <cell r="J2324">
            <v>540</v>
          </cell>
          <cell r="K2324">
            <v>108</v>
          </cell>
          <cell r="L2324">
            <v>540</v>
          </cell>
          <cell r="M2324" t="str">
            <v/>
          </cell>
          <cell r="N2324">
            <v>0</v>
          </cell>
        </row>
        <row r="2325">
          <cell r="A2325">
            <v>11254</v>
          </cell>
          <cell r="B2325" t="str">
            <v>19/07/2017</v>
          </cell>
          <cell r="C2325" t="str">
            <v>CALLOUT</v>
          </cell>
          <cell r="D2325" t="str">
            <v>Investigated Mixer Tap in Kitchen</v>
          </cell>
          <cell r="E2325" t="str">
            <v>Viabl Ltd T/A Able</v>
          </cell>
          <cell r="F2325" t="str">
            <v>Subcontractor</v>
          </cell>
          <cell r="G2325" t="str">
            <v/>
          </cell>
          <cell r="H2325" t="str">
            <v/>
          </cell>
          <cell r="I2325" t="str">
            <v/>
          </cell>
          <cell r="J2325">
            <v>60</v>
          </cell>
          <cell r="K2325">
            <v>12</v>
          </cell>
          <cell r="L2325">
            <v>60</v>
          </cell>
          <cell r="M2325" t="str">
            <v/>
          </cell>
          <cell r="N2325">
            <v>0</v>
          </cell>
        </row>
        <row r="2326">
          <cell r="A2326">
            <v>11216</v>
          </cell>
          <cell r="B2326" t="str">
            <v>13/07/2017</v>
          </cell>
          <cell r="C2326" t="str">
            <v>C1431</v>
          </cell>
          <cell r="D2326" t="str">
            <v>Commissioning &amp; Chlorination Works</v>
          </cell>
          <cell r="E2326" t="str">
            <v>New Era Commissioning Specialists Ltd</v>
          </cell>
          <cell r="F2326" t="str">
            <v>Subcontractor</v>
          </cell>
          <cell r="G2326" t="str">
            <v/>
          </cell>
          <cell r="H2326" t="str">
            <v/>
          </cell>
          <cell r="I2326" t="str">
            <v/>
          </cell>
          <cell r="J2326">
            <v>1200</v>
          </cell>
          <cell r="K2326">
            <v>240</v>
          </cell>
          <cell r="L2326">
            <v>1600</v>
          </cell>
          <cell r="M2326" t="str">
            <v/>
          </cell>
          <cell r="N2326">
            <v>-400</v>
          </cell>
        </row>
        <row r="2327">
          <cell r="A2327">
            <v>11209</v>
          </cell>
          <cell r="B2327" t="str">
            <v>13/07/2017</v>
          </cell>
          <cell r="C2327" t="str">
            <v>C1437</v>
          </cell>
          <cell r="D2327" t="str">
            <v>For the design, supply &amp; delivery of</v>
          </cell>
          <cell r="E2327" t="str">
            <v>Harroquip Pump Systems</v>
          </cell>
          <cell r="F2327" t="str">
            <v>Subcontractor</v>
          </cell>
          <cell r="G2327" t="str">
            <v/>
          </cell>
          <cell r="H2327" t="str">
            <v/>
          </cell>
          <cell r="I2327" t="str">
            <v/>
          </cell>
          <cell r="J2327">
            <v>11850</v>
          </cell>
          <cell r="K2327">
            <v>2370</v>
          </cell>
          <cell r="L2327">
            <v>11400</v>
          </cell>
          <cell r="M2327" t="str">
            <v/>
          </cell>
          <cell r="N2327">
            <v>450</v>
          </cell>
        </row>
        <row r="2328">
          <cell r="A2328">
            <v>11188</v>
          </cell>
          <cell r="B2328" t="str">
            <v>11/07/2017</v>
          </cell>
          <cell r="C2328" t="str">
            <v>C1431</v>
          </cell>
          <cell r="D2328" t="str">
            <v>Crane Hire 23.06</v>
          </cell>
          <cell r="E2328" t="str">
            <v>Sutton Crane Hire</v>
          </cell>
          <cell r="F2328" t="str">
            <v>Subcontractor</v>
          </cell>
          <cell r="G2328" t="str">
            <v/>
          </cell>
          <cell r="H2328" t="str">
            <v/>
          </cell>
          <cell r="I2328" t="str">
            <v/>
          </cell>
          <cell r="J2328">
            <v>1150</v>
          </cell>
          <cell r="K2328">
            <v>230</v>
          </cell>
          <cell r="L2328">
            <v>1150</v>
          </cell>
          <cell r="M2328" t="str">
            <v/>
          </cell>
          <cell r="N2328">
            <v>0</v>
          </cell>
        </row>
        <row r="2329">
          <cell r="A2329">
            <v>11187</v>
          </cell>
          <cell r="B2329" t="str">
            <v>11/07/2017</v>
          </cell>
          <cell r="C2329" t="str">
            <v>C1431</v>
          </cell>
          <cell r="D2329" t="str">
            <v>cRANE lIFT</v>
          </cell>
          <cell r="E2329" t="str">
            <v>Sutton Crane Hire</v>
          </cell>
          <cell r="F2329" t="str">
            <v>Subcontractor</v>
          </cell>
          <cell r="G2329" t="str">
            <v/>
          </cell>
          <cell r="H2329" t="str">
            <v/>
          </cell>
          <cell r="I2329" t="str">
            <v/>
          </cell>
          <cell r="J2329">
            <v>1150</v>
          </cell>
          <cell r="K2329">
            <v>230</v>
          </cell>
          <cell r="L2329">
            <v>1150</v>
          </cell>
          <cell r="M2329" t="str">
            <v/>
          </cell>
          <cell r="N2329">
            <v>0</v>
          </cell>
        </row>
        <row r="2330">
          <cell r="A2330">
            <v>11171</v>
          </cell>
          <cell r="B2330" t="str">
            <v>10/07/2017</v>
          </cell>
          <cell r="C2330" t="str">
            <v>C1428</v>
          </cell>
          <cell r="D2330" t="str">
            <v>Vacuum line supply &amp; install as per quote SH03282</v>
          </cell>
          <cell r="E2330" t="str">
            <v>Central Vacuum Solutions Ltd</v>
          </cell>
          <cell r="F2330" t="str">
            <v>Subcontractor</v>
          </cell>
          <cell r="G2330" t="str">
            <v/>
          </cell>
          <cell r="H2330" t="str">
            <v/>
          </cell>
          <cell r="I2330" t="str">
            <v/>
          </cell>
          <cell r="J2330">
            <v>27232.78</v>
          </cell>
          <cell r="K2330">
            <v>5446.56</v>
          </cell>
          <cell r="L2330">
            <v>27232.78</v>
          </cell>
          <cell r="M2330" t="str">
            <v/>
          </cell>
          <cell r="N2330">
            <v>0</v>
          </cell>
        </row>
        <row r="2331">
          <cell r="A2331">
            <v>11164</v>
          </cell>
          <cell r="B2331" t="str">
            <v>07/07/2017</v>
          </cell>
          <cell r="C2331" t="str">
            <v>CALLOUT</v>
          </cell>
          <cell r="D2331" t="str">
            <v>Inspected door closer not working properly</v>
          </cell>
          <cell r="E2331" t="str">
            <v>Viabl Ltd T/A Able</v>
          </cell>
          <cell r="F2331" t="str">
            <v>Subcontractor</v>
          </cell>
          <cell r="G2331" t="str">
            <v/>
          </cell>
          <cell r="H2331" t="str">
            <v/>
          </cell>
          <cell r="I2331" t="str">
            <v/>
          </cell>
          <cell r="J2331">
            <v>65</v>
          </cell>
          <cell r="K2331">
            <v>13</v>
          </cell>
          <cell r="L2331">
            <v>65</v>
          </cell>
          <cell r="M2331" t="str">
            <v/>
          </cell>
          <cell r="N2331">
            <v>0</v>
          </cell>
        </row>
        <row r="2332">
          <cell r="A2332">
            <v>11161</v>
          </cell>
          <cell r="B2332" t="str">
            <v>07/07/2017</v>
          </cell>
          <cell r="C2332" t="str">
            <v>C1437</v>
          </cell>
          <cell r="D2332" t="str">
            <v>Reloate temp panel</v>
          </cell>
          <cell r="E2332" t="str">
            <v>Eamonn Reilly</v>
          </cell>
          <cell r="F2332" t="str">
            <v>Subcontractor</v>
          </cell>
          <cell r="G2332" t="str">
            <v>10/07/2017</v>
          </cell>
          <cell r="H2332" t="str">
            <v/>
          </cell>
          <cell r="I2332" t="str">
            <v/>
          </cell>
          <cell r="J2332">
            <v>2098.02</v>
          </cell>
          <cell r="K2332">
            <v>419.61</v>
          </cell>
          <cell r="L2332">
            <v>1049.01</v>
          </cell>
          <cell r="M2332" t="str">
            <v/>
          </cell>
          <cell r="N2332">
            <v>1049.01</v>
          </cell>
        </row>
        <row r="2333">
          <cell r="A2333">
            <v>11159</v>
          </cell>
          <cell r="B2333" t="str">
            <v>07/07/2017</v>
          </cell>
          <cell r="C2333" t="str">
            <v>C1383</v>
          </cell>
          <cell r="D2333" t="str">
            <v>Control wiring installation see sub con order</v>
          </cell>
          <cell r="E2333" t="str">
            <v>Wisbech Electrical Ltd</v>
          </cell>
          <cell r="F2333" t="str">
            <v>Subcontractor</v>
          </cell>
          <cell r="G2333" t="str">
            <v>10/07/2017</v>
          </cell>
          <cell r="H2333" t="str">
            <v/>
          </cell>
          <cell r="I2333" t="str">
            <v/>
          </cell>
          <cell r="J2333">
            <v>18649</v>
          </cell>
          <cell r="K2333">
            <v>3729.8</v>
          </cell>
          <cell r="L2333">
            <v>18649</v>
          </cell>
          <cell r="M2333" t="str">
            <v/>
          </cell>
          <cell r="N2333">
            <v>0</v>
          </cell>
        </row>
        <row r="2334">
          <cell r="A2334">
            <v>11158</v>
          </cell>
          <cell r="B2334" t="str">
            <v>06/07/2017</v>
          </cell>
          <cell r="C2334" t="str">
            <v>C1436</v>
          </cell>
          <cell r="D2334" t="str">
            <v>DWS Thermal Insulation Works</v>
          </cell>
          <cell r="E2334" t="str">
            <v>Scottfab Insulation Ltd</v>
          </cell>
          <cell r="F2334" t="str">
            <v>Subcontractor</v>
          </cell>
          <cell r="G2334" t="str">
            <v>08/07/2017</v>
          </cell>
          <cell r="H2334" t="str">
            <v/>
          </cell>
          <cell r="I2334" t="str">
            <v/>
          </cell>
          <cell r="J2334">
            <v>6275</v>
          </cell>
          <cell r="K2334">
            <v>1255</v>
          </cell>
          <cell r="L2334">
            <v>6275</v>
          </cell>
          <cell r="M2334" t="str">
            <v/>
          </cell>
          <cell r="N2334">
            <v>0</v>
          </cell>
        </row>
        <row r="2335">
          <cell r="A2335">
            <v>11148</v>
          </cell>
          <cell r="B2335" t="str">
            <v>05/07/2017</v>
          </cell>
          <cell r="C2335" t="str">
            <v>C1383</v>
          </cell>
          <cell r="D2335" t="str">
            <v/>
          </cell>
          <cell r="E2335" t="str">
            <v>Flue-Stax Ltd</v>
          </cell>
          <cell r="F2335" t="str">
            <v>Subcontractor</v>
          </cell>
          <cell r="G2335" t="str">
            <v>10/07/2017</v>
          </cell>
          <cell r="H2335" t="str">
            <v/>
          </cell>
          <cell r="I2335" t="str">
            <v/>
          </cell>
          <cell r="J2335">
            <v>1920</v>
          </cell>
          <cell r="K2335">
            <v>384</v>
          </cell>
          <cell r="L2335">
            <v>1920</v>
          </cell>
          <cell r="M2335" t="str">
            <v/>
          </cell>
          <cell r="N2335">
            <v>0</v>
          </cell>
        </row>
        <row r="2336">
          <cell r="A2336">
            <v>11143</v>
          </cell>
          <cell r="B2336" t="str">
            <v>04/07/2017</v>
          </cell>
          <cell r="C2336" t="str">
            <v>CALLOUT</v>
          </cell>
          <cell r="D2336" t="str">
            <v>Investigated Flush mechanism, supplied and installed new</v>
          </cell>
          <cell r="E2336" t="str">
            <v>Viabl Ltd T/A Able</v>
          </cell>
          <cell r="F2336" t="str">
            <v>Subcontractor</v>
          </cell>
          <cell r="G2336" t="str">
            <v/>
          </cell>
          <cell r="H2336" t="str">
            <v/>
          </cell>
          <cell r="I2336" t="str">
            <v/>
          </cell>
          <cell r="J2336">
            <v>79.989999999999995</v>
          </cell>
          <cell r="K2336">
            <v>16</v>
          </cell>
          <cell r="L2336">
            <v>79.989999999999995</v>
          </cell>
          <cell r="M2336" t="str">
            <v/>
          </cell>
          <cell r="N2336">
            <v>0</v>
          </cell>
        </row>
        <row r="2337">
          <cell r="A2337">
            <v>11122</v>
          </cell>
          <cell r="B2337" t="str">
            <v>03/07/2017</v>
          </cell>
          <cell r="C2337" t="str">
            <v>C1441</v>
          </cell>
          <cell r="D2337" t="str">
            <v>BMS Package</v>
          </cell>
          <cell r="E2337" t="str">
            <v>Impact Control Systems Ltd</v>
          </cell>
          <cell r="F2337" t="str">
            <v>Subcontractor</v>
          </cell>
          <cell r="G2337" t="str">
            <v>10/07/2017</v>
          </cell>
          <cell r="H2337" t="str">
            <v>Complete</v>
          </cell>
          <cell r="I2337" t="str">
            <v/>
          </cell>
          <cell r="J2337">
            <v>18700</v>
          </cell>
          <cell r="K2337">
            <v>3740</v>
          </cell>
          <cell r="L2337">
            <v>18700</v>
          </cell>
          <cell r="M2337" t="str">
            <v/>
          </cell>
          <cell r="N2337">
            <v>0</v>
          </cell>
        </row>
        <row r="2338">
          <cell r="A2338">
            <v>11119</v>
          </cell>
          <cell r="B2338" t="str">
            <v>03/07/2017</v>
          </cell>
          <cell r="C2338" t="str">
            <v>C1442</v>
          </cell>
          <cell r="D2338" t="str">
            <v>Glan Clwyd Hospital Installation</v>
          </cell>
          <cell r="E2338" t="str">
            <v>ExcelVent Solutions Ltd</v>
          </cell>
          <cell r="F2338" t="str">
            <v>Subcontractor</v>
          </cell>
          <cell r="G2338" t="str">
            <v>06/06/2017</v>
          </cell>
          <cell r="H2338" t="str">
            <v/>
          </cell>
          <cell r="I2338" t="str">
            <v/>
          </cell>
          <cell r="J2338">
            <v>67369.25</v>
          </cell>
          <cell r="K2338">
            <v>13536.35</v>
          </cell>
          <cell r="L2338">
            <v>67369.25</v>
          </cell>
          <cell r="M2338" t="str">
            <v/>
          </cell>
          <cell r="N2338">
            <v>312.5</v>
          </cell>
        </row>
        <row r="2339">
          <cell r="A2339">
            <v>11115</v>
          </cell>
          <cell r="B2339" t="str">
            <v>03/07/2017</v>
          </cell>
          <cell r="C2339" t="str">
            <v>C1426</v>
          </cell>
          <cell r="D2339" t="str">
            <v>Provide 2 men for 2 days labour on the roof.</v>
          </cell>
          <cell r="E2339" t="str">
            <v>NP Services (Leicester) Ltd</v>
          </cell>
          <cell r="F2339" t="str">
            <v>Subcontractor</v>
          </cell>
          <cell r="G2339" t="str">
            <v>05/06/2017</v>
          </cell>
          <cell r="H2339" t="str">
            <v/>
          </cell>
          <cell r="I2339" t="str">
            <v/>
          </cell>
          <cell r="J2339">
            <v>1044</v>
          </cell>
          <cell r="K2339">
            <v>208.8</v>
          </cell>
          <cell r="L2339">
            <v>1044</v>
          </cell>
          <cell r="M2339" t="str">
            <v/>
          </cell>
          <cell r="N2339">
            <v>0</v>
          </cell>
        </row>
        <row r="2340">
          <cell r="A2340">
            <v>11112</v>
          </cell>
          <cell r="B2340" t="str">
            <v>03/07/2017</v>
          </cell>
          <cell r="C2340" t="str">
            <v>C1443</v>
          </cell>
          <cell r="D2340" t="str">
            <v>Able UK Subcontract Installation Order</v>
          </cell>
          <cell r="E2340" t="str">
            <v>OLD COUGAR ACCOUNT- DO NOT USE</v>
          </cell>
          <cell r="F2340" t="str">
            <v>Subcontractor</v>
          </cell>
          <cell r="G2340" t="str">
            <v>12/06/2017</v>
          </cell>
          <cell r="H2340" t="str">
            <v/>
          </cell>
          <cell r="I2340" t="str">
            <v/>
          </cell>
          <cell r="J2340">
            <v>9500</v>
          </cell>
          <cell r="K2340">
            <v>1900</v>
          </cell>
          <cell r="L2340">
            <v>9500</v>
          </cell>
          <cell r="M2340" t="str">
            <v/>
          </cell>
          <cell r="N2340">
            <v>0</v>
          </cell>
        </row>
        <row r="2341">
          <cell r="A2341">
            <v>11106</v>
          </cell>
          <cell r="B2341" t="str">
            <v>30/06/2017</v>
          </cell>
          <cell r="C2341" t="str">
            <v>CALLOUT</v>
          </cell>
          <cell r="D2341" t="str">
            <v>Supply &amp; Install 3kw water heater as per quote</v>
          </cell>
          <cell r="E2341" t="str">
            <v>Viabl Ltd T/A Able</v>
          </cell>
          <cell r="F2341" t="str">
            <v>Subcontractor</v>
          </cell>
          <cell r="G2341" t="str">
            <v/>
          </cell>
          <cell r="H2341" t="str">
            <v/>
          </cell>
          <cell r="I2341" t="str">
            <v/>
          </cell>
          <cell r="J2341">
            <v>280.8</v>
          </cell>
          <cell r="K2341">
            <v>56.16</v>
          </cell>
          <cell r="L2341">
            <v>280.8</v>
          </cell>
          <cell r="M2341" t="str">
            <v/>
          </cell>
          <cell r="N2341">
            <v>0</v>
          </cell>
        </row>
        <row r="2342">
          <cell r="A2342">
            <v>11093</v>
          </cell>
          <cell r="B2342" t="str">
            <v>29/06/2017</v>
          </cell>
          <cell r="C2342" t="str">
            <v>CALLOUT</v>
          </cell>
          <cell r="D2342" t="str">
            <v>Attend site to make safe electrics following leak</v>
          </cell>
          <cell r="E2342" t="str">
            <v>Viabl Ltd T/A Able</v>
          </cell>
          <cell r="F2342" t="str">
            <v>Subcontractor</v>
          </cell>
          <cell r="G2342" t="str">
            <v/>
          </cell>
          <cell r="H2342" t="str">
            <v/>
          </cell>
          <cell r="I2342" t="str">
            <v/>
          </cell>
          <cell r="J2342">
            <v>130</v>
          </cell>
          <cell r="K2342">
            <v>26</v>
          </cell>
          <cell r="L2342">
            <v>130</v>
          </cell>
          <cell r="M2342" t="str">
            <v/>
          </cell>
          <cell r="N2342">
            <v>0</v>
          </cell>
        </row>
        <row r="2343">
          <cell r="A2343">
            <v>11087</v>
          </cell>
          <cell r="B2343" t="str">
            <v>29/06/2017</v>
          </cell>
          <cell r="C2343" t="str">
            <v>C1437</v>
          </cell>
          <cell r="D2343" t="str">
            <v>Supply, Installation &amp; testing of Hygeine piepwork to lance</v>
          </cell>
          <cell r="E2343" t="str">
            <v>WH Partnership Ltd</v>
          </cell>
          <cell r="F2343" t="str">
            <v>Subcontractor</v>
          </cell>
          <cell r="G2343" t="str">
            <v>21/05/2017</v>
          </cell>
          <cell r="H2343" t="str">
            <v/>
          </cell>
          <cell r="I2343" t="str">
            <v/>
          </cell>
          <cell r="J2343">
            <v>4995</v>
          </cell>
          <cell r="K2343">
            <v>999</v>
          </cell>
          <cell r="L2343">
            <v>0</v>
          </cell>
          <cell r="M2343" t="str">
            <v/>
          </cell>
          <cell r="N2343">
            <v>4995</v>
          </cell>
        </row>
        <row r="2344">
          <cell r="A2344">
            <v>11081</v>
          </cell>
          <cell r="B2344" t="str">
            <v>28/06/2017</v>
          </cell>
          <cell r="C2344" t="str">
            <v>C1428</v>
          </cell>
          <cell r="D2344" t="str">
            <v>Electrical Works as discussed with Ryan</v>
          </cell>
          <cell r="E2344" t="str">
            <v>Kestrel North West Limited</v>
          </cell>
          <cell r="F2344" t="str">
            <v>Subcontractor</v>
          </cell>
          <cell r="G2344" t="str">
            <v/>
          </cell>
          <cell r="H2344" t="str">
            <v>Part</v>
          </cell>
          <cell r="I2344" t="str">
            <v/>
          </cell>
          <cell r="J2344">
            <v>436210.49</v>
          </cell>
          <cell r="K2344">
            <v>87242.1</v>
          </cell>
          <cell r="L2344">
            <v>436210.49</v>
          </cell>
          <cell r="M2344" t="str">
            <v/>
          </cell>
          <cell r="N2344">
            <v>0</v>
          </cell>
        </row>
        <row r="2345">
          <cell r="A2345">
            <v>11063</v>
          </cell>
          <cell r="B2345" t="str">
            <v>26/06/2017</v>
          </cell>
          <cell r="C2345" t="str">
            <v>C1425</v>
          </cell>
          <cell r="D2345" t="str">
            <v>Commissioning of Washbay ventilation systems</v>
          </cell>
          <cell r="E2345" t="str">
            <v>Combat Commissioning Services Ltd</v>
          </cell>
          <cell r="F2345" t="str">
            <v>Subcontractor</v>
          </cell>
          <cell r="G2345" t="str">
            <v>30/06/2017</v>
          </cell>
          <cell r="H2345" t="str">
            <v/>
          </cell>
          <cell r="I2345" t="str">
            <v/>
          </cell>
          <cell r="J2345">
            <v>1500</v>
          </cell>
          <cell r="K2345">
            <v>300</v>
          </cell>
          <cell r="L2345">
            <v>0</v>
          </cell>
          <cell r="M2345" t="str">
            <v/>
          </cell>
          <cell r="N2345">
            <v>1500</v>
          </cell>
        </row>
        <row r="2346">
          <cell r="A2346">
            <v>11058</v>
          </cell>
          <cell r="B2346" t="str">
            <v>23/06/2017</v>
          </cell>
          <cell r="C2346" t="str">
            <v>C1449</v>
          </cell>
          <cell r="D2346" t="str">
            <v>Lagging works</v>
          </cell>
          <cell r="E2346" t="str">
            <v>Scottfab Insulation Ltd</v>
          </cell>
          <cell r="F2346" t="str">
            <v>Subcontractor</v>
          </cell>
          <cell r="G2346" t="str">
            <v/>
          </cell>
          <cell r="H2346" t="str">
            <v>Part</v>
          </cell>
          <cell r="I2346" t="str">
            <v/>
          </cell>
          <cell r="J2346">
            <v>4800</v>
          </cell>
          <cell r="K2346">
            <v>960</v>
          </cell>
          <cell r="L2346">
            <v>4800</v>
          </cell>
          <cell r="M2346" t="str">
            <v/>
          </cell>
          <cell r="N2346">
            <v>0</v>
          </cell>
        </row>
        <row r="2347">
          <cell r="A2347">
            <v>11044</v>
          </cell>
          <cell r="B2347" t="str">
            <v>23/06/2017</v>
          </cell>
          <cell r="C2347" t="str">
            <v>C1441</v>
          </cell>
          <cell r="D2347" t="str">
            <v>Gas works</v>
          </cell>
          <cell r="E2347" t="str">
            <v>Enco Ltd</v>
          </cell>
          <cell r="F2347" t="str">
            <v>Subcontractor</v>
          </cell>
          <cell r="G2347" t="str">
            <v/>
          </cell>
          <cell r="H2347" t="str">
            <v/>
          </cell>
          <cell r="I2347" t="str">
            <v/>
          </cell>
          <cell r="J2347">
            <v>557</v>
          </cell>
          <cell r="K2347">
            <v>111.4</v>
          </cell>
          <cell r="L2347">
            <v>557</v>
          </cell>
          <cell r="M2347" t="str">
            <v/>
          </cell>
          <cell r="N2347">
            <v>0</v>
          </cell>
        </row>
        <row r="2348">
          <cell r="A2348">
            <v>11040</v>
          </cell>
          <cell r="B2348" t="str">
            <v>23/06/2017</v>
          </cell>
          <cell r="C2348" t="str">
            <v>C1444</v>
          </cell>
          <cell r="D2348" t="str">
            <v>Install Ductwork and Equipment</v>
          </cell>
          <cell r="E2348" t="str">
            <v>OLD COUGAR ACCOUNT- DO NOT USE</v>
          </cell>
          <cell r="F2348" t="str">
            <v>Subcontractor</v>
          </cell>
          <cell r="G2348" t="str">
            <v/>
          </cell>
          <cell r="H2348" t="str">
            <v/>
          </cell>
          <cell r="I2348" t="str">
            <v/>
          </cell>
          <cell r="J2348">
            <v>5000</v>
          </cell>
          <cell r="K2348">
            <v>1000</v>
          </cell>
          <cell r="L2348">
            <v>5000</v>
          </cell>
          <cell r="M2348" t="str">
            <v/>
          </cell>
          <cell r="N2348">
            <v>0</v>
          </cell>
        </row>
        <row r="2349">
          <cell r="A2349">
            <v>11034</v>
          </cell>
          <cell r="B2349" t="str">
            <v>22/06/2017</v>
          </cell>
          <cell r="C2349" t="str">
            <v>CALLOUT</v>
          </cell>
          <cell r="D2349" t="str">
            <v>To attend site to investigate 2no AC Units not working plus</v>
          </cell>
          <cell r="E2349" t="str">
            <v>Adcock Refrigeration &amp; Air Conditioning</v>
          </cell>
          <cell r="F2349" t="str">
            <v>Subcontractor</v>
          </cell>
          <cell r="G2349" t="str">
            <v/>
          </cell>
          <cell r="H2349" t="str">
            <v/>
          </cell>
          <cell r="I2349" t="str">
            <v/>
          </cell>
          <cell r="J2349">
            <v>313.7</v>
          </cell>
          <cell r="K2349">
            <v>62.74</v>
          </cell>
          <cell r="L2349">
            <v>313.7</v>
          </cell>
          <cell r="M2349" t="str">
            <v/>
          </cell>
          <cell r="N2349">
            <v>0</v>
          </cell>
        </row>
        <row r="2350">
          <cell r="A2350">
            <v>11031</v>
          </cell>
          <cell r="B2350" t="str">
            <v>22/06/2017</v>
          </cell>
          <cell r="C2350" t="str">
            <v>C1435</v>
          </cell>
          <cell r="D2350" t="str">
            <v>Supply &amp; Installation of plumbing works as per</v>
          </cell>
          <cell r="E2350" t="str">
            <v>Matley Services Ltd</v>
          </cell>
          <cell r="F2350" t="str">
            <v>Subcontractor</v>
          </cell>
          <cell r="G2350" t="str">
            <v>30/05/2017</v>
          </cell>
          <cell r="H2350" t="str">
            <v/>
          </cell>
          <cell r="I2350" t="str">
            <v/>
          </cell>
          <cell r="J2350">
            <v>16400</v>
          </cell>
          <cell r="K2350">
            <v>3280</v>
          </cell>
          <cell r="L2350">
            <v>16400</v>
          </cell>
          <cell r="M2350" t="str">
            <v/>
          </cell>
          <cell r="N2350">
            <v>0</v>
          </cell>
        </row>
        <row r="2351">
          <cell r="A2351">
            <v>11027</v>
          </cell>
          <cell r="B2351" t="str">
            <v>22/06/2017</v>
          </cell>
          <cell r="C2351" t="str">
            <v>C1435</v>
          </cell>
          <cell r="D2351" t="str">
            <v>Chlorination works to B1 offices, B1 Front, B1 Rear</v>
          </cell>
          <cell r="E2351" t="str">
            <v>Commissioning Water Treatment Specialists Limited</v>
          </cell>
          <cell r="F2351" t="str">
            <v>Subcontractor</v>
          </cell>
          <cell r="G2351" t="str">
            <v>03/07/2017</v>
          </cell>
          <cell r="H2351" t="str">
            <v>Complete</v>
          </cell>
          <cell r="I2351" t="str">
            <v/>
          </cell>
          <cell r="J2351">
            <v>0</v>
          </cell>
          <cell r="K2351">
            <v>0</v>
          </cell>
          <cell r="L2351">
            <v>0</v>
          </cell>
          <cell r="M2351" t="str">
            <v/>
          </cell>
          <cell r="N2351">
            <v>0</v>
          </cell>
        </row>
        <row r="2352">
          <cell r="A2352">
            <v>11026</v>
          </cell>
          <cell r="B2352" t="str">
            <v>22/06/2017</v>
          </cell>
          <cell r="C2352" t="str">
            <v>C1436</v>
          </cell>
          <cell r="D2352" t="str">
            <v>Chlorination works to 2nd floor tea points as per quote on 2</v>
          </cell>
          <cell r="E2352" t="str">
            <v>Commissioning Water Treatment Specialists Limited</v>
          </cell>
          <cell r="F2352" t="str">
            <v>Subcontractor</v>
          </cell>
          <cell r="G2352" t="str">
            <v/>
          </cell>
          <cell r="H2352" t="str">
            <v/>
          </cell>
          <cell r="I2352" t="str">
            <v/>
          </cell>
          <cell r="J2352">
            <v>1580</v>
          </cell>
          <cell r="K2352">
            <v>316</v>
          </cell>
          <cell r="L2352">
            <v>1580</v>
          </cell>
          <cell r="M2352" t="str">
            <v/>
          </cell>
          <cell r="N2352">
            <v>0</v>
          </cell>
        </row>
        <row r="2353">
          <cell r="A2353">
            <v>11020</v>
          </cell>
          <cell r="B2353" t="str">
            <v>21/06/2017</v>
          </cell>
          <cell r="C2353" t="str">
            <v>C1431</v>
          </cell>
          <cell r="D2353" t="str">
            <v>Gas survey works</v>
          </cell>
          <cell r="E2353" t="str">
            <v>Enco Ltd</v>
          </cell>
          <cell r="F2353" t="str">
            <v>Subcontractor</v>
          </cell>
          <cell r="G2353" t="str">
            <v/>
          </cell>
          <cell r="H2353" t="str">
            <v/>
          </cell>
          <cell r="I2353" t="str">
            <v/>
          </cell>
          <cell r="J2353">
            <v>485</v>
          </cell>
          <cell r="K2353">
            <v>97</v>
          </cell>
          <cell r="L2353">
            <v>485</v>
          </cell>
          <cell r="M2353" t="str">
            <v/>
          </cell>
          <cell r="N2353">
            <v>0</v>
          </cell>
        </row>
        <row r="2354">
          <cell r="A2354">
            <v>11009</v>
          </cell>
          <cell r="B2354" t="str">
            <v>20/06/2017</v>
          </cell>
          <cell r="C2354" t="str">
            <v>CALLOUT</v>
          </cell>
          <cell r="D2354" t="str">
            <v>Attended Site to Repair Grille for Light Which is Falling Do</v>
          </cell>
          <cell r="E2354" t="str">
            <v>Key Integrated Services (Electrical) Ltd</v>
          </cell>
          <cell r="F2354" t="str">
            <v>Subcontractor</v>
          </cell>
          <cell r="G2354" t="str">
            <v/>
          </cell>
          <cell r="H2354" t="str">
            <v/>
          </cell>
          <cell r="I2354" t="str">
            <v/>
          </cell>
          <cell r="J2354">
            <v>90</v>
          </cell>
          <cell r="K2354">
            <v>18</v>
          </cell>
          <cell r="L2354">
            <v>90</v>
          </cell>
          <cell r="M2354" t="str">
            <v/>
          </cell>
          <cell r="N2354">
            <v>0</v>
          </cell>
        </row>
        <row r="2355">
          <cell r="A2355">
            <v>11001</v>
          </cell>
          <cell r="B2355" t="str">
            <v>19/06/2017</v>
          </cell>
          <cell r="C2355" t="str">
            <v>C1446</v>
          </cell>
          <cell r="D2355" t="str">
            <v>Supply and install 2No ventilation frames as subcon order</v>
          </cell>
          <cell r="E2355" t="str">
            <v>Fred Shaw &amp; Co Ltd</v>
          </cell>
          <cell r="F2355" t="str">
            <v>Subcontractor</v>
          </cell>
          <cell r="G2355" t="str">
            <v>17/07/2017</v>
          </cell>
          <cell r="H2355" t="str">
            <v/>
          </cell>
          <cell r="I2355" t="str">
            <v/>
          </cell>
          <cell r="J2355">
            <v>24192</v>
          </cell>
          <cell r="K2355">
            <v>4838.3999999999996</v>
          </cell>
          <cell r="L2355">
            <v>28875</v>
          </cell>
          <cell r="M2355" t="str">
            <v/>
          </cell>
          <cell r="N2355">
            <v>-4683</v>
          </cell>
        </row>
        <row r="2356">
          <cell r="A2356">
            <v>10988</v>
          </cell>
          <cell r="B2356" t="str">
            <v>15/06/2017</v>
          </cell>
          <cell r="C2356" t="str">
            <v>C1431</v>
          </cell>
          <cell r="D2356" t="str">
            <v>2 x Pipe Welds as per email</v>
          </cell>
          <cell r="E2356" t="str">
            <v>Enco Ltd</v>
          </cell>
          <cell r="F2356" t="str">
            <v>Subcontractor</v>
          </cell>
          <cell r="G2356" t="str">
            <v/>
          </cell>
          <cell r="H2356" t="str">
            <v/>
          </cell>
          <cell r="I2356" t="str">
            <v/>
          </cell>
          <cell r="J2356">
            <v>395</v>
          </cell>
          <cell r="K2356">
            <v>79</v>
          </cell>
          <cell r="L2356">
            <v>395</v>
          </cell>
          <cell r="M2356" t="str">
            <v/>
          </cell>
          <cell r="N2356">
            <v>0</v>
          </cell>
        </row>
        <row r="2357">
          <cell r="A2357">
            <v>10987</v>
          </cell>
          <cell r="B2357" t="str">
            <v>15/06/2017</v>
          </cell>
          <cell r="C2357" t="str">
            <v>C1441</v>
          </cell>
          <cell r="D2357" t="str">
            <v>Works @ Melton Foods as agreed with IMcD</v>
          </cell>
          <cell r="E2357" t="str">
            <v>Enco Ltd</v>
          </cell>
          <cell r="F2357" t="str">
            <v>Subcontractor</v>
          </cell>
          <cell r="G2357" t="str">
            <v/>
          </cell>
          <cell r="H2357" t="str">
            <v>Complete</v>
          </cell>
          <cell r="I2357" t="str">
            <v/>
          </cell>
          <cell r="J2357">
            <v>0</v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</row>
        <row r="2358">
          <cell r="A2358">
            <v>10939</v>
          </cell>
          <cell r="B2358" t="str">
            <v>08/06/2017</v>
          </cell>
          <cell r="C2358" t="str">
            <v>CALLOUT</v>
          </cell>
          <cell r="D2358" t="str">
            <v>Investigated Leaking Toilet, Supplied and Replaced Flush Val</v>
          </cell>
          <cell r="E2358" t="str">
            <v>Viabl Ltd T/A Able</v>
          </cell>
          <cell r="F2358" t="str">
            <v>Subcontractor</v>
          </cell>
          <cell r="G2358" t="str">
            <v/>
          </cell>
          <cell r="H2358" t="str">
            <v/>
          </cell>
          <cell r="I2358" t="str">
            <v/>
          </cell>
          <cell r="J2358">
            <v>171.78</v>
          </cell>
          <cell r="K2358">
            <v>34.36</v>
          </cell>
          <cell r="L2358">
            <v>171.28</v>
          </cell>
          <cell r="M2358" t="str">
            <v/>
          </cell>
          <cell r="N2358">
            <v>0.5</v>
          </cell>
        </row>
        <row r="2359">
          <cell r="A2359">
            <v>10901</v>
          </cell>
          <cell r="B2359" t="str">
            <v>06/06/2017</v>
          </cell>
          <cell r="C2359" t="str">
            <v>CALLOUT</v>
          </cell>
          <cell r="D2359" t="str">
            <v>Supply &amp; Install Door Exit Switch</v>
          </cell>
          <cell r="E2359" t="str">
            <v>Kestrel North West Limited</v>
          </cell>
          <cell r="F2359" t="str">
            <v>Subcontractor</v>
          </cell>
          <cell r="G2359" t="str">
            <v/>
          </cell>
          <cell r="H2359" t="str">
            <v/>
          </cell>
          <cell r="I2359" t="str">
            <v/>
          </cell>
          <cell r="J2359">
            <v>101</v>
          </cell>
          <cell r="K2359">
            <v>20.2</v>
          </cell>
          <cell r="L2359">
            <v>101</v>
          </cell>
          <cell r="M2359" t="str">
            <v/>
          </cell>
          <cell r="N2359">
            <v>0</v>
          </cell>
        </row>
        <row r="2360">
          <cell r="A2360">
            <v>10895</v>
          </cell>
          <cell r="B2360" t="str">
            <v>05/06/2017</v>
          </cell>
          <cell r="C2360" t="str">
            <v>C1428</v>
          </cell>
          <cell r="D2360" t="str">
            <v>SUPPLY,DELIVERY, INSTALLATION &amp; TESTING OF</v>
          </cell>
          <cell r="E2360" t="str">
            <v>Newheat Mechanical Services Limited</v>
          </cell>
          <cell r="F2360" t="str">
            <v>Subcontractor</v>
          </cell>
          <cell r="G2360" t="str">
            <v>12/06/2017</v>
          </cell>
          <cell r="H2360" t="str">
            <v/>
          </cell>
          <cell r="I2360" t="str">
            <v/>
          </cell>
          <cell r="J2360">
            <v>53470</v>
          </cell>
          <cell r="K2360">
            <v>10694</v>
          </cell>
          <cell r="L2360">
            <v>53470</v>
          </cell>
          <cell r="M2360" t="str">
            <v/>
          </cell>
          <cell r="N2360">
            <v>0</v>
          </cell>
        </row>
        <row r="2361">
          <cell r="A2361">
            <v>10889</v>
          </cell>
          <cell r="B2361" t="str">
            <v>05/06/2017</v>
          </cell>
          <cell r="C2361" t="str">
            <v>CALLOUT</v>
          </cell>
          <cell r="D2361" t="str">
            <v>Attended Site to Investigate Leak Coming from Down Pipe</v>
          </cell>
          <cell r="E2361" t="str">
            <v>Viabl Ltd T/A Able</v>
          </cell>
          <cell r="F2361" t="str">
            <v>Subcontractor</v>
          </cell>
          <cell r="G2361" t="str">
            <v/>
          </cell>
          <cell r="H2361" t="str">
            <v/>
          </cell>
          <cell r="I2361" t="str">
            <v/>
          </cell>
          <cell r="J2361">
            <v>65</v>
          </cell>
          <cell r="K2361">
            <v>13</v>
          </cell>
          <cell r="L2361">
            <v>65</v>
          </cell>
          <cell r="M2361" t="str">
            <v/>
          </cell>
          <cell r="N2361">
            <v>0</v>
          </cell>
        </row>
        <row r="2362">
          <cell r="A2362">
            <v>10878</v>
          </cell>
          <cell r="B2362" t="str">
            <v>05/06/2017</v>
          </cell>
          <cell r="C2362" t="str">
            <v>C1428</v>
          </cell>
          <cell r="D2362" t="str">
            <v>DESIGN,DELIVER,SUPPLY,INSTALL,TEST &amp; COMMISSION BMS</v>
          </cell>
          <cell r="E2362" t="str">
            <v>Impact Control Systems Ltd</v>
          </cell>
          <cell r="F2362" t="str">
            <v>Subcontractor</v>
          </cell>
          <cell r="G2362" t="str">
            <v>19/06/2017</v>
          </cell>
          <cell r="H2362" t="str">
            <v>Part</v>
          </cell>
          <cell r="I2362" t="str">
            <v/>
          </cell>
          <cell r="J2362">
            <v>23642</v>
          </cell>
          <cell r="K2362">
            <v>4728.3999999999996</v>
          </cell>
          <cell r="L2362">
            <v>23642</v>
          </cell>
          <cell r="M2362" t="str">
            <v/>
          </cell>
          <cell r="N2362">
            <v>0</v>
          </cell>
        </row>
        <row r="2363">
          <cell r="A2363">
            <v>10864</v>
          </cell>
          <cell r="B2363" t="str">
            <v>01/06/2017</v>
          </cell>
          <cell r="C2363" t="str">
            <v>C1431</v>
          </cell>
          <cell r="D2363" t="str">
            <v>Ductwork Cleaning supply and extract</v>
          </cell>
          <cell r="E2363" t="str">
            <v>OLD COUGAR ACCOUNT- DO NOT USE</v>
          </cell>
          <cell r="F2363" t="str">
            <v>Subcontractor</v>
          </cell>
          <cell r="G2363" t="str">
            <v/>
          </cell>
          <cell r="H2363" t="str">
            <v/>
          </cell>
          <cell r="I2363" t="str">
            <v/>
          </cell>
          <cell r="J2363">
            <v>2166</v>
          </cell>
          <cell r="K2363">
            <v>433.2</v>
          </cell>
          <cell r="L2363">
            <v>2166</v>
          </cell>
          <cell r="M2363" t="str">
            <v/>
          </cell>
          <cell r="N2363">
            <v>0</v>
          </cell>
        </row>
        <row r="2364">
          <cell r="A2364">
            <v>10831</v>
          </cell>
          <cell r="B2364" t="str">
            <v>30/05/2017</v>
          </cell>
          <cell r="C2364" t="str">
            <v>C1428</v>
          </cell>
          <cell r="D2364" t="str">
            <v>INSTALLATION &amp; COMMISSION AC SYSTEM &amp; ASSOCIATED EQUIPMENT</v>
          </cell>
          <cell r="E2364" t="str">
            <v>Heat Control Air Conditioning Ltd</v>
          </cell>
          <cell r="F2364" t="str">
            <v>Subcontractor</v>
          </cell>
          <cell r="G2364" t="str">
            <v>12/06/2017</v>
          </cell>
          <cell r="H2364" t="str">
            <v>Part</v>
          </cell>
          <cell r="I2364" t="str">
            <v/>
          </cell>
          <cell r="J2364">
            <v>15900</v>
          </cell>
          <cell r="K2364">
            <v>3180</v>
          </cell>
          <cell r="L2364">
            <v>15900</v>
          </cell>
          <cell r="M2364" t="str">
            <v/>
          </cell>
          <cell r="N2364">
            <v>0</v>
          </cell>
        </row>
        <row r="2365">
          <cell r="A2365">
            <v>10829</v>
          </cell>
          <cell r="B2365" t="str">
            <v>26/05/2017</v>
          </cell>
          <cell r="C2365" t="str">
            <v>CALLOUT</v>
          </cell>
          <cell r="D2365" t="str">
            <v>Carry out Emergency Light Survery as Quoted</v>
          </cell>
          <cell r="E2365" t="str">
            <v>Kestrel North West Limited</v>
          </cell>
          <cell r="F2365" t="str">
            <v>Subcontractor</v>
          </cell>
          <cell r="G2365" t="str">
            <v/>
          </cell>
          <cell r="H2365" t="str">
            <v/>
          </cell>
          <cell r="I2365" t="str">
            <v/>
          </cell>
          <cell r="J2365">
            <v>575</v>
          </cell>
          <cell r="K2365">
            <v>115</v>
          </cell>
          <cell r="L2365">
            <v>575</v>
          </cell>
          <cell r="M2365" t="str">
            <v/>
          </cell>
          <cell r="N2365">
            <v>0</v>
          </cell>
        </row>
        <row r="2366">
          <cell r="A2366">
            <v>10828</v>
          </cell>
          <cell r="B2366" t="str">
            <v>26/05/2017</v>
          </cell>
          <cell r="C2366" t="str">
            <v>SERVICE</v>
          </cell>
          <cell r="D2366" t="str">
            <v>Carry out Service to Double Sliding Doors</v>
          </cell>
          <cell r="E2366" t="str">
            <v>Amber Doors &amp; Loading Bay Services Limited</v>
          </cell>
          <cell r="F2366" t="str">
            <v>Subcontractor</v>
          </cell>
          <cell r="G2366" t="str">
            <v/>
          </cell>
          <cell r="H2366" t="str">
            <v/>
          </cell>
          <cell r="I2366" t="str">
            <v/>
          </cell>
          <cell r="J2366">
            <v>250</v>
          </cell>
          <cell r="K2366">
            <v>50</v>
          </cell>
          <cell r="L2366">
            <v>250</v>
          </cell>
          <cell r="M2366" t="str">
            <v/>
          </cell>
          <cell r="N2366">
            <v>0</v>
          </cell>
        </row>
        <row r="2367">
          <cell r="A2367">
            <v>10815</v>
          </cell>
          <cell r="B2367" t="str">
            <v>25/05/2017</v>
          </cell>
          <cell r="C2367" t="str">
            <v>CALLOUT</v>
          </cell>
          <cell r="D2367" t="str">
            <v>Supply &amp; Install as per</v>
          </cell>
          <cell r="E2367" t="str">
            <v>P &amp; A Services Ltd</v>
          </cell>
          <cell r="F2367" t="str">
            <v>Subcontractor</v>
          </cell>
          <cell r="G2367" t="str">
            <v/>
          </cell>
          <cell r="H2367" t="str">
            <v/>
          </cell>
          <cell r="I2367" t="str">
            <v/>
          </cell>
          <cell r="J2367">
            <v>4070.79</v>
          </cell>
          <cell r="K2367">
            <v>814.16</v>
          </cell>
          <cell r="L2367">
            <v>4070.79</v>
          </cell>
          <cell r="M2367" t="str">
            <v/>
          </cell>
          <cell r="N2367">
            <v>0</v>
          </cell>
        </row>
        <row r="2368">
          <cell r="A2368">
            <v>10776</v>
          </cell>
          <cell r="B2368" t="str">
            <v>19/05/2017</v>
          </cell>
          <cell r="C2368" t="str">
            <v>C1429</v>
          </cell>
          <cell r="D2368" t="str">
            <v>Installation of Air conditioning</v>
          </cell>
          <cell r="E2368" t="str">
            <v>Heat Control Air Conditioning Ltd</v>
          </cell>
          <cell r="F2368" t="str">
            <v>Subcontractor</v>
          </cell>
          <cell r="G2368" t="str">
            <v/>
          </cell>
          <cell r="H2368" t="str">
            <v/>
          </cell>
          <cell r="I2368" t="str">
            <v/>
          </cell>
          <cell r="J2368">
            <v>43432</v>
          </cell>
          <cell r="K2368">
            <v>8686.4</v>
          </cell>
          <cell r="L2368">
            <v>43432</v>
          </cell>
          <cell r="M2368" t="str">
            <v/>
          </cell>
          <cell r="N2368">
            <v>0</v>
          </cell>
        </row>
        <row r="2369">
          <cell r="A2369">
            <v>10775</v>
          </cell>
          <cell r="B2369" t="str">
            <v>19/05/2017</v>
          </cell>
          <cell r="C2369" t="str">
            <v>C1431</v>
          </cell>
          <cell r="D2369" t="str">
            <v>Contract Crane Lift</v>
          </cell>
          <cell r="E2369" t="str">
            <v>Sutton Crane Hire</v>
          </cell>
          <cell r="F2369" t="str">
            <v>Subcontractor</v>
          </cell>
          <cell r="G2369" t="str">
            <v/>
          </cell>
          <cell r="H2369" t="str">
            <v/>
          </cell>
          <cell r="I2369" t="str">
            <v/>
          </cell>
          <cell r="J2369">
            <v>1150</v>
          </cell>
          <cell r="K2369">
            <v>230</v>
          </cell>
          <cell r="L2369">
            <v>1150</v>
          </cell>
          <cell r="M2369" t="str">
            <v/>
          </cell>
          <cell r="N2369">
            <v>0</v>
          </cell>
        </row>
        <row r="2370">
          <cell r="A2370">
            <v>10768</v>
          </cell>
          <cell r="B2370" t="str">
            <v>18/05/2017</v>
          </cell>
          <cell r="C2370" t="str">
            <v>C1431</v>
          </cell>
          <cell r="D2370" t="str">
            <v>Insulation works as per drawings</v>
          </cell>
          <cell r="E2370" t="str">
            <v>OLD COUGAR ACCOUNT- DO NOT USE</v>
          </cell>
          <cell r="F2370" t="str">
            <v>Subcontractor</v>
          </cell>
          <cell r="G2370" t="str">
            <v/>
          </cell>
          <cell r="H2370" t="str">
            <v/>
          </cell>
          <cell r="I2370" t="str">
            <v/>
          </cell>
          <cell r="J2370">
            <v>6850</v>
          </cell>
          <cell r="K2370">
            <v>1370</v>
          </cell>
          <cell r="L2370">
            <v>6850</v>
          </cell>
          <cell r="M2370" t="str">
            <v/>
          </cell>
          <cell r="N2370">
            <v>0</v>
          </cell>
        </row>
        <row r="2371">
          <cell r="A2371">
            <v>10763</v>
          </cell>
          <cell r="B2371" t="str">
            <v>18/05/2017</v>
          </cell>
          <cell r="C2371" t="str">
            <v>A1000</v>
          </cell>
          <cell r="D2371" t="str">
            <v>Q6354</v>
          </cell>
          <cell r="E2371" t="str">
            <v>Jack Waghorn International Ltd</v>
          </cell>
          <cell r="F2371" t="str">
            <v>Subcontractor</v>
          </cell>
          <cell r="G2371" t="str">
            <v/>
          </cell>
          <cell r="H2371" t="str">
            <v/>
          </cell>
          <cell r="I2371" t="str">
            <v/>
          </cell>
          <cell r="J2371">
            <v>8315</v>
          </cell>
          <cell r="K2371">
            <v>1663</v>
          </cell>
          <cell r="L2371">
            <v>8315</v>
          </cell>
          <cell r="M2371" t="str">
            <v/>
          </cell>
          <cell r="N2371">
            <v>0</v>
          </cell>
        </row>
        <row r="2372">
          <cell r="A2372">
            <v>10729</v>
          </cell>
          <cell r="B2372" t="str">
            <v>15/05/2017</v>
          </cell>
          <cell r="C2372" t="str">
            <v>C1426</v>
          </cell>
          <cell r="D2372" t="str">
            <v>For supply &amp; Installation of thermal Insulation generally as</v>
          </cell>
          <cell r="E2372" t="str">
            <v>Scottfab Insulation Ltd</v>
          </cell>
          <cell r="F2372" t="str">
            <v>Subcontractor</v>
          </cell>
          <cell r="G2372" t="str">
            <v/>
          </cell>
          <cell r="H2372" t="str">
            <v>Part</v>
          </cell>
          <cell r="I2372" t="str">
            <v/>
          </cell>
          <cell r="J2372">
            <v>2290</v>
          </cell>
          <cell r="K2372">
            <v>458</v>
          </cell>
          <cell r="L2372">
            <v>2290</v>
          </cell>
          <cell r="M2372" t="str">
            <v/>
          </cell>
          <cell r="N2372">
            <v>0</v>
          </cell>
        </row>
        <row r="2373">
          <cell r="A2373">
            <v>10720</v>
          </cell>
          <cell r="B2373" t="str">
            <v>12/05/2017</v>
          </cell>
          <cell r="C2373" t="str">
            <v>C1431</v>
          </cell>
          <cell r="D2373" t="str">
            <v>BMS Install</v>
          </cell>
          <cell r="E2373" t="str">
            <v>Combined Energy Solutions</v>
          </cell>
          <cell r="F2373" t="str">
            <v>Subcontractor</v>
          </cell>
          <cell r="G2373" t="str">
            <v/>
          </cell>
          <cell r="H2373" t="str">
            <v/>
          </cell>
          <cell r="I2373" t="str">
            <v/>
          </cell>
          <cell r="J2373">
            <v>12776</v>
          </cell>
          <cell r="K2373">
            <v>2555.1999999999998</v>
          </cell>
          <cell r="L2373">
            <v>12976</v>
          </cell>
          <cell r="M2373" t="str">
            <v/>
          </cell>
          <cell r="N2373">
            <v>-200</v>
          </cell>
        </row>
        <row r="2374">
          <cell r="A2374">
            <v>10718</v>
          </cell>
          <cell r="B2374" t="str">
            <v>12/05/2017</v>
          </cell>
          <cell r="C2374" t="str">
            <v>C1422</v>
          </cell>
          <cell r="D2374" t="str">
            <v>Insulation works</v>
          </cell>
          <cell r="E2374" t="str">
            <v>Kingston Thermal Ltd</v>
          </cell>
          <cell r="F2374" t="str">
            <v>Subcontractor</v>
          </cell>
          <cell r="G2374" t="str">
            <v/>
          </cell>
          <cell r="H2374" t="str">
            <v>Complete</v>
          </cell>
          <cell r="I2374" t="str">
            <v/>
          </cell>
          <cell r="J2374">
            <v>2940</v>
          </cell>
          <cell r="K2374">
            <v>588</v>
          </cell>
          <cell r="L2374">
            <v>2940</v>
          </cell>
          <cell r="M2374" t="str">
            <v/>
          </cell>
          <cell r="N2374">
            <v>0</v>
          </cell>
        </row>
        <row r="2375">
          <cell r="A2375">
            <v>10700</v>
          </cell>
          <cell r="B2375" t="str">
            <v>10/05/2017</v>
          </cell>
          <cell r="C2375" t="str">
            <v>CALLOUT</v>
          </cell>
          <cell r="D2375" t="str">
            <v>Carry out quoted works as per quotation dated 5th May 2017</v>
          </cell>
          <cell r="E2375" t="str">
            <v>Barrie Beard Ltd</v>
          </cell>
          <cell r="F2375" t="str">
            <v>Subcontractor</v>
          </cell>
          <cell r="G2375" t="str">
            <v/>
          </cell>
          <cell r="H2375" t="str">
            <v/>
          </cell>
          <cell r="I2375" t="str">
            <v/>
          </cell>
          <cell r="J2375">
            <v>506.5</v>
          </cell>
          <cell r="K2375">
            <v>101.3</v>
          </cell>
          <cell r="L2375">
            <v>506</v>
          </cell>
          <cell r="M2375" t="str">
            <v/>
          </cell>
          <cell r="N2375">
            <v>0.5</v>
          </cell>
        </row>
        <row r="2376">
          <cell r="A2376">
            <v>10678</v>
          </cell>
          <cell r="B2376" t="str">
            <v>08/05/2017</v>
          </cell>
          <cell r="C2376" t="str">
            <v>C1426</v>
          </cell>
          <cell r="D2376" t="str">
            <v>Supply and install materials for the upgrade of AHU04 &amp; 05</v>
          </cell>
          <cell r="E2376" t="str">
            <v>Fred Shaw &amp; Co Ltd</v>
          </cell>
          <cell r="F2376" t="str">
            <v>Subcontractor</v>
          </cell>
          <cell r="G2376" t="str">
            <v/>
          </cell>
          <cell r="H2376" t="str">
            <v/>
          </cell>
          <cell r="I2376" t="str">
            <v/>
          </cell>
          <cell r="J2376">
            <v>37591</v>
          </cell>
          <cell r="K2376">
            <v>7518.2</v>
          </cell>
          <cell r="L2376">
            <v>37591</v>
          </cell>
          <cell r="M2376" t="str">
            <v/>
          </cell>
          <cell r="N2376">
            <v>0</v>
          </cell>
        </row>
        <row r="2377">
          <cell r="A2377">
            <v>10677</v>
          </cell>
          <cell r="B2377" t="str">
            <v>08/05/2017</v>
          </cell>
          <cell r="C2377" t="str">
            <v>C1347</v>
          </cell>
          <cell r="D2377" t="str">
            <v>Supplier PO10082</v>
          </cell>
          <cell r="E2377" t="str">
            <v>ICS Cool Energy Ltd</v>
          </cell>
          <cell r="F2377" t="str">
            <v>Subcontractor</v>
          </cell>
          <cell r="G2377" t="str">
            <v/>
          </cell>
          <cell r="H2377" t="str">
            <v/>
          </cell>
          <cell r="I2377" t="str">
            <v/>
          </cell>
          <cell r="J2377">
            <v>22015</v>
          </cell>
          <cell r="K2377">
            <v>4403</v>
          </cell>
          <cell r="L2377">
            <v>20442.5</v>
          </cell>
          <cell r="M2377" t="str">
            <v/>
          </cell>
          <cell r="N2377">
            <v>1572.5</v>
          </cell>
        </row>
        <row r="2378">
          <cell r="A2378">
            <v>10668</v>
          </cell>
          <cell r="B2378" t="str">
            <v>05/05/2017</v>
          </cell>
          <cell r="C2378" t="str">
            <v>C1435</v>
          </cell>
          <cell r="D2378" t="str">
            <v>For supply, Installation &amp; commissioning of gas heater Insta</v>
          </cell>
          <cell r="E2378" t="str">
            <v>Gradwood Limited</v>
          </cell>
          <cell r="F2378" t="str">
            <v>Subcontractor</v>
          </cell>
          <cell r="G2378" t="str">
            <v>22/05/2017</v>
          </cell>
          <cell r="H2378" t="str">
            <v/>
          </cell>
          <cell r="I2378" t="str">
            <v/>
          </cell>
          <cell r="J2378">
            <v>43110</v>
          </cell>
          <cell r="K2378">
            <v>8622</v>
          </cell>
          <cell r="L2378">
            <v>43110</v>
          </cell>
          <cell r="M2378" t="str">
            <v/>
          </cell>
          <cell r="N2378">
            <v>0</v>
          </cell>
        </row>
        <row r="2379">
          <cell r="A2379">
            <v>10660</v>
          </cell>
          <cell r="B2379" t="str">
            <v>05/05/2017</v>
          </cell>
          <cell r="C2379" t="str">
            <v>C1383</v>
          </cell>
          <cell r="D2379" t="str">
            <v>Insulation of ductwork and pipework services</v>
          </cell>
          <cell r="E2379" t="str">
            <v>Preform Insulations Limited</v>
          </cell>
          <cell r="F2379" t="str">
            <v>Subcontractor</v>
          </cell>
          <cell r="G2379" t="str">
            <v>08/05/2017</v>
          </cell>
          <cell r="H2379" t="str">
            <v>Complete</v>
          </cell>
          <cell r="I2379" t="str">
            <v/>
          </cell>
          <cell r="J2379">
            <v>40521</v>
          </cell>
          <cell r="K2379">
            <v>8104.2</v>
          </cell>
          <cell r="L2379">
            <v>40521</v>
          </cell>
          <cell r="M2379" t="str">
            <v/>
          </cell>
          <cell r="N2379">
            <v>0</v>
          </cell>
        </row>
        <row r="2380">
          <cell r="A2380">
            <v>10657</v>
          </cell>
          <cell r="B2380" t="str">
            <v>05/05/2017</v>
          </cell>
          <cell r="C2380" t="str">
            <v>C1438</v>
          </cell>
          <cell r="D2380" t="str">
            <v>Elec attendance works</v>
          </cell>
          <cell r="E2380" t="str">
            <v>Kestrel North West Limited</v>
          </cell>
          <cell r="F2380" t="str">
            <v>Subcontractor</v>
          </cell>
          <cell r="G2380" t="str">
            <v/>
          </cell>
          <cell r="H2380" t="str">
            <v/>
          </cell>
          <cell r="I2380" t="str">
            <v/>
          </cell>
          <cell r="J2380">
            <v>712.1</v>
          </cell>
          <cell r="K2380">
            <v>142.41999999999999</v>
          </cell>
          <cell r="L2380">
            <v>712.1</v>
          </cell>
          <cell r="M2380" t="str">
            <v/>
          </cell>
          <cell r="N2380">
            <v>0</v>
          </cell>
        </row>
        <row r="2381">
          <cell r="A2381">
            <v>10645</v>
          </cell>
          <cell r="B2381" t="str">
            <v>03/05/2017</v>
          </cell>
          <cell r="C2381" t="str">
            <v>CALLOUT</v>
          </cell>
          <cell r="D2381" t="str">
            <v>Carry out works as per Quotation Number 10525</v>
          </cell>
          <cell r="E2381" t="str">
            <v>Adcock Refrigeration &amp; Air Conditioning</v>
          </cell>
          <cell r="F2381" t="str">
            <v>Subcontractor</v>
          </cell>
          <cell r="G2381" t="str">
            <v/>
          </cell>
          <cell r="H2381" t="str">
            <v/>
          </cell>
          <cell r="I2381" t="str">
            <v/>
          </cell>
          <cell r="J2381">
            <v>2852</v>
          </cell>
          <cell r="K2381">
            <v>570.4</v>
          </cell>
          <cell r="L2381">
            <v>2852</v>
          </cell>
          <cell r="M2381" t="str">
            <v/>
          </cell>
          <cell r="N2381">
            <v>0</v>
          </cell>
        </row>
        <row r="2382">
          <cell r="A2382">
            <v>10631</v>
          </cell>
          <cell r="B2382" t="str">
            <v>28/04/2017</v>
          </cell>
          <cell r="C2382" t="str">
            <v>C1426</v>
          </cell>
          <cell r="D2382" t="str">
            <v>Re-balancing of ventilation serving AHU04</v>
          </cell>
          <cell r="E2382" t="str">
            <v>Combat Commissioning Services Ltd</v>
          </cell>
          <cell r="F2382" t="str">
            <v>Subcontractor</v>
          </cell>
          <cell r="G2382" t="str">
            <v>11/05/2017</v>
          </cell>
          <cell r="H2382" t="str">
            <v/>
          </cell>
          <cell r="I2382" t="str">
            <v/>
          </cell>
          <cell r="J2382">
            <v>980</v>
          </cell>
          <cell r="K2382">
            <v>196</v>
          </cell>
          <cell r="L2382">
            <v>980</v>
          </cell>
          <cell r="M2382" t="str">
            <v/>
          </cell>
          <cell r="N2382">
            <v>0</v>
          </cell>
        </row>
        <row r="2383">
          <cell r="A2383">
            <v>10630</v>
          </cell>
          <cell r="B2383" t="str">
            <v>28/04/2017</v>
          </cell>
          <cell r="C2383" t="str">
            <v>C1426</v>
          </cell>
          <cell r="D2383" t="str">
            <v>Steam &amp; Condensate Modifications to AHU regen coils</v>
          </cell>
          <cell r="E2383" t="str">
            <v>Enco Ltd</v>
          </cell>
          <cell r="F2383" t="str">
            <v>Subcontractor</v>
          </cell>
          <cell r="G2383" t="str">
            <v>10/05/2017</v>
          </cell>
          <cell r="H2383" t="str">
            <v/>
          </cell>
          <cell r="I2383" t="str">
            <v/>
          </cell>
          <cell r="J2383">
            <v>820</v>
          </cell>
          <cell r="K2383">
            <v>164</v>
          </cell>
          <cell r="L2383">
            <v>820</v>
          </cell>
          <cell r="M2383" t="str">
            <v/>
          </cell>
          <cell r="N2383">
            <v>0</v>
          </cell>
        </row>
        <row r="2384">
          <cell r="A2384">
            <v>10616</v>
          </cell>
          <cell r="B2384" t="str">
            <v>27/04/2017</v>
          </cell>
          <cell r="C2384" t="str">
            <v>CALLOUT</v>
          </cell>
          <cell r="D2384" t="str">
            <v>Carry out AC Maintenance</v>
          </cell>
          <cell r="E2384" t="str">
            <v>Amroc Heating Supplies</v>
          </cell>
          <cell r="F2384" t="str">
            <v>Subcontractor</v>
          </cell>
          <cell r="G2384" t="str">
            <v/>
          </cell>
          <cell r="H2384" t="str">
            <v/>
          </cell>
          <cell r="I2384" t="str">
            <v/>
          </cell>
          <cell r="J2384">
            <v>210</v>
          </cell>
          <cell r="K2384">
            <v>42</v>
          </cell>
          <cell r="L2384">
            <v>210</v>
          </cell>
          <cell r="M2384" t="str">
            <v/>
          </cell>
          <cell r="N2384">
            <v>0</v>
          </cell>
        </row>
        <row r="2385">
          <cell r="A2385">
            <v>10591</v>
          </cell>
          <cell r="B2385" t="str">
            <v>25/04/2017</v>
          </cell>
          <cell r="C2385" t="str">
            <v>SERVICE</v>
          </cell>
          <cell r="D2385" t="str">
            <v>Carry out AC Maintenance to 3no Mitsi Wall Mounts</v>
          </cell>
          <cell r="E2385" t="str">
            <v>Adcock Refrigeration &amp; Air Conditioning</v>
          </cell>
          <cell r="F2385" t="str">
            <v>Subcontractor</v>
          </cell>
          <cell r="G2385" t="str">
            <v/>
          </cell>
          <cell r="H2385" t="str">
            <v/>
          </cell>
          <cell r="I2385" t="str">
            <v/>
          </cell>
          <cell r="J2385">
            <v>218.38</v>
          </cell>
          <cell r="K2385">
            <v>43.68</v>
          </cell>
          <cell r="L2385">
            <v>218.38</v>
          </cell>
          <cell r="M2385" t="str">
            <v/>
          </cell>
          <cell r="N2385">
            <v>0</v>
          </cell>
        </row>
        <row r="2386">
          <cell r="A2386">
            <v>10589</v>
          </cell>
          <cell r="B2386" t="str">
            <v>25/04/2017</v>
          </cell>
          <cell r="C2386" t="str">
            <v>CALLOUT</v>
          </cell>
          <cell r="D2386" t="str">
            <v>Male Custody AHU - Heating Coil Blocked needs to be flushed</v>
          </cell>
          <cell r="E2386" t="str">
            <v>Probalance Ltd</v>
          </cell>
          <cell r="F2386" t="str">
            <v>Subcontractor</v>
          </cell>
          <cell r="G2386" t="str">
            <v/>
          </cell>
          <cell r="H2386" t="str">
            <v/>
          </cell>
          <cell r="I2386" t="str">
            <v/>
          </cell>
          <cell r="J2386">
            <v>170.5</v>
          </cell>
          <cell r="K2386">
            <v>34.1</v>
          </cell>
          <cell r="L2386">
            <v>170.5</v>
          </cell>
          <cell r="M2386" t="str">
            <v/>
          </cell>
          <cell r="N2386">
            <v>0</v>
          </cell>
        </row>
        <row r="2387">
          <cell r="A2387">
            <v>10586</v>
          </cell>
          <cell r="B2387" t="str">
            <v>24/04/2017</v>
          </cell>
          <cell r="C2387" t="str">
            <v>C1422</v>
          </cell>
          <cell r="D2387" t="str">
            <v>Ventilation works as per drawing M001 P2</v>
          </cell>
          <cell r="E2387" t="str">
            <v>Auto-Vent Limited</v>
          </cell>
          <cell r="F2387" t="str">
            <v>Subcontractor</v>
          </cell>
          <cell r="G2387" t="str">
            <v/>
          </cell>
          <cell r="H2387" t="str">
            <v>Part</v>
          </cell>
          <cell r="I2387" t="str">
            <v/>
          </cell>
          <cell r="J2387">
            <v>11486</v>
          </cell>
          <cell r="K2387">
            <v>2297.1999999999998</v>
          </cell>
          <cell r="L2387">
            <v>11486</v>
          </cell>
          <cell r="M2387" t="str">
            <v/>
          </cell>
          <cell r="N2387">
            <v>0</v>
          </cell>
        </row>
        <row r="2388">
          <cell r="A2388">
            <v>10585</v>
          </cell>
          <cell r="B2388" t="str">
            <v>24/04/2017</v>
          </cell>
          <cell r="C2388" t="str">
            <v>C1431</v>
          </cell>
          <cell r="D2388" t="str">
            <v>AC install</v>
          </cell>
          <cell r="E2388" t="str">
            <v>Superior Air Solutions Ltd</v>
          </cell>
          <cell r="F2388" t="str">
            <v>Subcontractor</v>
          </cell>
          <cell r="G2388" t="str">
            <v/>
          </cell>
          <cell r="H2388" t="str">
            <v/>
          </cell>
          <cell r="I2388" t="str">
            <v/>
          </cell>
          <cell r="J2388">
            <v>12662.5</v>
          </cell>
          <cell r="K2388">
            <v>2532.5</v>
          </cell>
          <cell r="L2388">
            <v>12662.5</v>
          </cell>
          <cell r="M2388" t="str">
            <v/>
          </cell>
          <cell r="N2388">
            <v>0</v>
          </cell>
        </row>
        <row r="2389">
          <cell r="A2389">
            <v>10584</v>
          </cell>
          <cell r="B2389" t="str">
            <v>24/04/2017</v>
          </cell>
          <cell r="C2389" t="str">
            <v>C1431</v>
          </cell>
          <cell r="D2389" t="str">
            <v>Ventilation works as per site visit and drawings</v>
          </cell>
          <cell r="E2389" t="str">
            <v>PWD Engineering Limited</v>
          </cell>
          <cell r="F2389" t="str">
            <v>Subcontractor</v>
          </cell>
          <cell r="G2389" t="str">
            <v/>
          </cell>
          <cell r="H2389" t="str">
            <v/>
          </cell>
          <cell r="I2389" t="str">
            <v/>
          </cell>
          <cell r="J2389">
            <v>7388.9</v>
          </cell>
          <cell r="K2389">
            <v>1477.78</v>
          </cell>
          <cell r="L2389">
            <v>7388.9</v>
          </cell>
          <cell r="M2389" t="str">
            <v/>
          </cell>
          <cell r="N2389">
            <v>0</v>
          </cell>
        </row>
        <row r="2390">
          <cell r="A2390">
            <v>10569</v>
          </cell>
          <cell r="B2390" t="str">
            <v>20/04/2017</v>
          </cell>
          <cell r="C2390" t="str">
            <v>CALLOUT</v>
          </cell>
          <cell r="D2390" t="str">
            <v>Investigated outside tap, supplied and installed new tap</v>
          </cell>
          <cell r="E2390" t="str">
            <v>Viabl Ltd T/A Able</v>
          </cell>
          <cell r="F2390" t="str">
            <v>Subcontractor</v>
          </cell>
          <cell r="G2390" t="str">
            <v/>
          </cell>
          <cell r="H2390" t="str">
            <v>Part</v>
          </cell>
          <cell r="I2390" t="str">
            <v/>
          </cell>
          <cell r="J2390">
            <v>107</v>
          </cell>
          <cell r="K2390">
            <v>21.4</v>
          </cell>
          <cell r="L2390">
            <v>107</v>
          </cell>
          <cell r="M2390" t="str">
            <v/>
          </cell>
          <cell r="N2390">
            <v>0</v>
          </cell>
        </row>
        <row r="2391">
          <cell r="A2391">
            <v>10568</v>
          </cell>
          <cell r="B2391" t="str">
            <v>20/04/2017</v>
          </cell>
          <cell r="C2391" t="str">
            <v>CALLOUT</v>
          </cell>
          <cell r="D2391" t="str">
            <v>18.04.17 Investigated Leak on Water Heater</v>
          </cell>
          <cell r="E2391" t="str">
            <v>Viabl Ltd T/A Able</v>
          </cell>
          <cell r="F2391" t="str">
            <v>Subcontractor</v>
          </cell>
          <cell r="G2391" t="str">
            <v/>
          </cell>
          <cell r="H2391" t="str">
            <v/>
          </cell>
          <cell r="I2391" t="str">
            <v/>
          </cell>
          <cell r="J2391">
            <v>374.5</v>
          </cell>
          <cell r="K2391">
            <v>74.900000000000006</v>
          </cell>
          <cell r="L2391">
            <v>374.5</v>
          </cell>
          <cell r="M2391" t="str">
            <v/>
          </cell>
          <cell r="N2391">
            <v>0</v>
          </cell>
        </row>
        <row r="2392">
          <cell r="A2392">
            <v>10567</v>
          </cell>
          <cell r="B2392" t="str">
            <v>20/04/2017</v>
          </cell>
          <cell r="C2392" t="str">
            <v>CALLOUT</v>
          </cell>
          <cell r="D2392" t="str">
            <v>Attended site to investigate leak coming from under sink</v>
          </cell>
          <cell r="E2392" t="str">
            <v>Viabl Ltd T/A Able</v>
          </cell>
          <cell r="F2392" t="str">
            <v>Subcontractor</v>
          </cell>
          <cell r="G2392" t="str">
            <v/>
          </cell>
          <cell r="H2392" t="str">
            <v/>
          </cell>
          <cell r="I2392" t="str">
            <v/>
          </cell>
          <cell r="J2392">
            <v>374.5</v>
          </cell>
          <cell r="K2392">
            <v>74.900000000000006</v>
          </cell>
          <cell r="L2392">
            <v>0</v>
          </cell>
          <cell r="M2392" t="str">
            <v/>
          </cell>
          <cell r="N2392">
            <v>374.5</v>
          </cell>
        </row>
        <row r="2393">
          <cell r="A2393">
            <v>10537</v>
          </cell>
          <cell r="B2393" t="str">
            <v>13/04/2017</v>
          </cell>
          <cell r="C2393" t="str">
            <v>C1427</v>
          </cell>
          <cell r="D2393" t="str">
            <v>Mechanical Works as per email and Drawing C1427 C1</v>
          </cell>
          <cell r="E2393" t="str">
            <v>Enco Ltd</v>
          </cell>
          <cell r="F2393" t="str">
            <v>Subcontractor</v>
          </cell>
          <cell r="G2393" t="str">
            <v/>
          </cell>
          <cell r="H2393" t="str">
            <v/>
          </cell>
          <cell r="I2393" t="str">
            <v/>
          </cell>
          <cell r="J2393">
            <v>15500</v>
          </cell>
          <cell r="K2393">
            <v>3100</v>
          </cell>
          <cell r="L2393">
            <v>15500</v>
          </cell>
          <cell r="M2393" t="str">
            <v/>
          </cell>
          <cell r="N2393">
            <v>0</v>
          </cell>
        </row>
        <row r="2394">
          <cell r="A2394">
            <v>10523</v>
          </cell>
          <cell r="B2394" t="str">
            <v>12/04/2017</v>
          </cell>
          <cell r="C2394" t="str">
            <v>C1416</v>
          </cell>
          <cell r="D2394" t="str">
            <v>Ductwork installation</v>
          </cell>
          <cell r="E2394" t="str">
            <v>ExcelVent Solutions Ltd</v>
          </cell>
          <cell r="F2394" t="str">
            <v>Subcontractor</v>
          </cell>
          <cell r="G2394" t="str">
            <v>18/04/2017</v>
          </cell>
          <cell r="H2394" t="str">
            <v/>
          </cell>
          <cell r="I2394" t="str">
            <v/>
          </cell>
          <cell r="J2394">
            <v>16273.75</v>
          </cell>
          <cell r="K2394">
            <v>3254.75</v>
          </cell>
          <cell r="L2394">
            <v>16273.75</v>
          </cell>
          <cell r="M2394" t="str">
            <v/>
          </cell>
          <cell r="N2394">
            <v>0</v>
          </cell>
        </row>
        <row r="2395">
          <cell r="A2395">
            <v>10520</v>
          </cell>
          <cell r="B2395" t="str">
            <v>12/04/2017</v>
          </cell>
          <cell r="C2395" t="str">
            <v>C1383</v>
          </cell>
          <cell r="D2395" t="str">
            <v>Control valve for Cargill</v>
          </cell>
          <cell r="E2395" t="str">
            <v>Impact Control Systems Ltd</v>
          </cell>
          <cell r="F2395" t="str">
            <v>Subcontractor</v>
          </cell>
          <cell r="G2395" t="str">
            <v/>
          </cell>
          <cell r="H2395" t="str">
            <v/>
          </cell>
          <cell r="I2395" t="str">
            <v/>
          </cell>
          <cell r="J2395">
            <v>278</v>
          </cell>
          <cell r="K2395">
            <v>55.6</v>
          </cell>
          <cell r="L2395">
            <v>278</v>
          </cell>
          <cell r="M2395" t="str">
            <v/>
          </cell>
          <cell r="N2395">
            <v>0</v>
          </cell>
        </row>
        <row r="2396">
          <cell r="A2396">
            <v>10516</v>
          </cell>
          <cell r="B2396" t="str">
            <v>12/04/2017</v>
          </cell>
          <cell r="C2396" t="str">
            <v>C1420</v>
          </cell>
          <cell r="D2396" t="str">
            <v>Ductwork Installation</v>
          </cell>
          <cell r="E2396" t="str">
            <v>ExcelVent Solutions Ltd</v>
          </cell>
          <cell r="F2396" t="str">
            <v>Subcontractor</v>
          </cell>
          <cell r="G2396" t="str">
            <v/>
          </cell>
          <cell r="H2396" t="str">
            <v/>
          </cell>
          <cell r="I2396" t="str">
            <v/>
          </cell>
          <cell r="J2396">
            <v>43707.78</v>
          </cell>
          <cell r="K2396">
            <v>8741.56</v>
          </cell>
          <cell r="L2396">
            <v>43707.78</v>
          </cell>
          <cell r="M2396" t="str">
            <v/>
          </cell>
          <cell r="N2396">
            <v>0</v>
          </cell>
        </row>
        <row r="2397">
          <cell r="A2397">
            <v>10515</v>
          </cell>
          <cell r="B2397" t="str">
            <v>12/04/2017</v>
          </cell>
          <cell r="C2397" t="str">
            <v>SERVICE</v>
          </cell>
          <cell r="D2397" t="str">
            <v>Carry out AC Maintenance</v>
          </cell>
          <cell r="E2397" t="str">
            <v>Adcock Refrigeration &amp; Air Conditioning</v>
          </cell>
          <cell r="F2397" t="str">
            <v>Subcontractor</v>
          </cell>
          <cell r="G2397" t="str">
            <v/>
          </cell>
          <cell r="H2397" t="str">
            <v/>
          </cell>
          <cell r="I2397" t="str">
            <v/>
          </cell>
          <cell r="J2397">
            <v>2368</v>
          </cell>
          <cell r="K2397">
            <v>473.6</v>
          </cell>
          <cell r="L2397">
            <v>2368</v>
          </cell>
          <cell r="M2397" t="str">
            <v/>
          </cell>
          <cell r="N2397">
            <v>0</v>
          </cell>
        </row>
        <row r="2398">
          <cell r="A2398">
            <v>10514</v>
          </cell>
          <cell r="B2398" t="str">
            <v>12/04/2017</v>
          </cell>
          <cell r="C2398" t="str">
            <v>CALLOUT</v>
          </cell>
          <cell r="D2398" t="str">
            <v>Investigation, supply and install of flush handle with mech</v>
          </cell>
          <cell r="E2398" t="str">
            <v>Viabl Ltd T/A Able</v>
          </cell>
          <cell r="F2398" t="str">
            <v>Subcontractor</v>
          </cell>
          <cell r="G2398" t="str">
            <v/>
          </cell>
          <cell r="H2398" t="str">
            <v/>
          </cell>
          <cell r="I2398" t="str">
            <v/>
          </cell>
          <cell r="J2398">
            <v>136</v>
          </cell>
          <cell r="K2398">
            <v>27.2</v>
          </cell>
          <cell r="L2398">
            <v>136</v>
          </cell>
          <cell r="M2398" t="str">
            <v/>
          </cell>
          <cell r="N2398">
            <v>0</v>
          </cell>
        </row>
        <row r="2399">
          <cell r="A2399">
            <v>10490</v>
          </cell>
          <cell r="B2399" t="str">
            <v>07/04/2017</v>
          </cell>
          <cell r="C2399" t="str">
            <v>C1432</v>
          </cell>
          <cell r="D2399" t="str">
            <v>Insulation and trace heating</v>
          </cell>
          <cell r="E2399" t="str">
            <v>Scottfab Insulation Ltd</v>
          </cell>
          <cell r="F2399" t="str">
            <v>Subcontractor</v>
          </cell>
          <cell r="G2399" t="str">
            <v>18/04/2017</v>
          </cell>
          <cell r="H2399" t="str">
            <v/>
          </cell>
          <cell r="I2399" t="str">
            <v/>
          </cell>
          <cell r="J2399">
            <v>5184</v>
          </cell>
          <cell r="K2399">
            <v>1036.8</v>
          </cell>
          <cell r="L2399">
            <v>5184</v>
          </cell>
          <cell r="M2399" t="str">
            <v/>
          </cell>
          <cell r="N2399">
            <v>0</v>
          </cell>
        </row>
        <row r="2400">
          <cell r="A2400">
            <v>10488</v>
          </cell>
          <cell r="B2400" t="str">
            <v>07/04/2017</v>
          </cell>
          <cell r="C2400" t="str">
            <v>CALLOUT</v>
          </cell>
          <cell r="D2400" t="str">
            <v>Investigated and repaired washer on dfownstairs disabled toi</v>
          </cell>
          <cell r="E2400" t="str">
            <v>Viabl Ltd T/A Able</v>
          </cell>
          <cell r="F2400" t="str">
            <v>Subcontractor</v>
          </cell>
          <cell r="G2400" t="str">
            <v/>
          </cell>
          <cell r="H2400" t="str">
            <v/>
          </cell>
          <cell r="I2400" t="str">
            <v/>
          </cell>
          <cell r="J2400">
            <v>65</v>
          </cell>
          <cell r="K2400">
            <v>13</v>
          </cell>
          <cell r="L2400">
            <v>65</v>
          </cell>
          <cell r="M2400" t="str">
            <v/>
          </cell>
          <cell r="N2400">
            <v>0</v>
          </cell>
        </row>
        <row r="2401">
          <cell r="A2401">
            <v>10462</v>
          </cell>
          <cell r="B2401" t="str">
            <v>04/04/2017</v>
          </cell>
          <cell r="C2401" t="str">
            <v>C1430</v>
          </cell>
          <cell r="D2401" t="str">
            <v>Work as agreed with Linda</v>
          </cell>
          <cell r="E2401" t="str">
            <v>OLD COUGAR ACCOUNT- DO NOT USE</v>
          </cell>
          <cell r="F2401" t="str">
            <v>Subcontractor</v>
          </cell>
          <cell r="G2401" t="str">
            <v/>
          </cell>
          <cell r="H2401" t="str">
            <v/>
          </cell>
          <cell r="I2401" t="str">
            <v/>
          </cell>
          <cell r="J2401">
            <v>10000</v>
          </cell>
          <cell r="K2401">
            <v>2000</v>
          </cell>
          <cell r="L2401">
            <v>10000</v>
          </cell>
          <cell r="M2401" t="str">
            <v/>
          </cell>
          <cell r="N2401">
            <v>0</v>
          </cell>
        </row>
        <row r="2402">
          <cell r="A2402">
            <v>10442</v>
          </cell>
          <cell r="B2402" t="str">
            <v>31/03/2017</v>
          </cell>
          <cell r="C2402" t="str">
            <v>CALLOUT</v>
          </cell>
          <cell r="D2402" t="str">
            <v>Carry out works as per quotation QR230699</v>
          </cell>
          <cell r="E2402" t="str">
            <v>Burtonwood Generator &amp; Switchgear Services Ltd</v>
          </cell>
          <cell r="F2402" t="str">
            <v>Subcontractor</v>
          </cell>
          <cell r="G2402" t="str">
            <v/>
          </cell>
          <cell r="H2402" t="str">
            <v/>
          </cell>
          <cell r="I2402" t="str">
            <v/>
          </cell>
          <cell r="J2402">
            <v>653.11</v>
          </cell>
          <cell r="K2402">
            <v>130.62</v>
          </cell>
          <cell r="L2402">
            <v>653.11</v>
          </cell>
          <cell r="M2402" t="str">
            <v/>
          </cell>
          <cell r="N2402">
            <v>0</v>
          </cell>
        </row>
        <row r="2403">
          <cell r="A2403">
            <v>10420</v>
          </cell>
          <cell r="B2403" t="str">
            <v>28/03/2017</v>
          </cell>
          <cell r="C2403" t="str">
            <v>C1426</v>
          </cell>
          <cell r="D2403" t="str">
            <v>For supply &amp; Installation of rooftop crashdeck</v>
          </cell>
          <cell r="E2403" t="str">
            <v>Kaefer Ltd</v>
          </cell>
          <cell r="F2403" t="str">
            <v>Subcontractor</v>
          </cell>
          <cell r="G2403" t="str">
            <v>26/04/2017</v>
          </cell>
          <cell r="H2403" t="str">
            <v/>
          </cell>
          <cell r="I2403" t="str">
            <v/>
          </cell>
          <cell r="J2403">
            <v>4312.1899999999996</v>
          </cell>
          <cell r="K2403">
            <v>862.44</v>
          </cell>
          <cell r="L2403">
            <v>4312.1899999999996</v>
          </cell>
          <cell r="M2403" t="str">
            <v/>
          </cell>
          <cell r="N2403">
            <v>0</v>
          </cell>
        </row>
        <row r="2404">
          <cell r="A2404">
            <v>10409</v>
          </cell>
          <cell r="B2404" t="str">
            <v>28/03/2017</v>
          </cell>
          <cell r="C2404" t="str">
            <v>C1425</v>
          </cell>
          <cell r="D2404" t="str">
            <v>65mm &amp; 32mm Steam &amp; Condensate break-ins</v>
          </cell>
          <cell r="E2404" t="str">
            <v>Enco Ltd</v>
          </cell>
          <cell r="F2404" t="str">
            <v>Subcontractor</v>
          </cell>
          <cell r="G2404" t="str">
            <v/>
          </cell>
          <cell r="H2404" t="str">
            <v/>
          </cell>
          <cell r="I2404" t="str">
            <v/>
          </cell>
          <cell r="J2404">
            <v>12185</v>
          </cell>
          <cell r="K2404">
            <v>2437</v>
          </cell>
          <cell r="L2404">
            <v>12185</v>
          </cell>
          <cell r="M2404" t="str">
            <v/>
          </cell>
          <cell r="N2404">
            <v>0</v>
          </cell>
        </row>
        <row r="2405">
          <cell r="A2405">
            <v>10394</v>
          </cell>
          <cell r="B2405" t="str">
            <v>23/03/2017</v>
          </cell>
          <cell r="C2405" t="str">
            <v>CALLOUT</v>
          </cell>
          <cell r="D2405" t="str">
            <v>Attend site to replace toilet flush mechanism on 2nd floor</v>
          </cell>
          <cell r="E2405" t="str">
            <v>Viabl Ltd T/A Able</v>
          </cell>
          <cell r="F2405" t="str">
            <v>Subcontractor</v>
          </cell>
          <cell r="G2405" t="str">
            <v/>
          </cell>
          <cell r="H2405" t="str">
            <v/>
          </cell>
          <cell r="I2405" t="str">
            <v/>
          </cell>
          <cell r="J2405">
            <v>157.05000000000001</v>
          </cell>
          <cell r="K2405">
            <v>31.41</v>
          </cell>
          <cell r="L2405">
            <v>157.05000000000001</v>
          </cell>
          <cell r="M2405" t="str">
            <v/>
          </cell>
          <cell r="N2405">
            <v>0</v>
          </cell>
        </row>
        <row r="2406">
          <cell r="A2406">
            <v>10381</v>
          </cell>
          <cell r="B2406" t="str">
            <v>22/03/2017</v>
          </cell>
          <cell r="C2406" t="str">
            <v>C1432</v>
          </cell>
          <cell r="D2406" t="str">
            <v>Supply install and test new water main</v>
          </cell>
          <cell r="E2406" t="str">
            <v>Enco Ltd</v>
          </cell>
          <cell r="F2406" t="str">
            <v>Subcontractor</v>
          </cell>
          <cell r="G2406" t="str">
            <v>22/03/2017</v>
          </cell>
          <cell r="H2406" t="str">
            <v/>
          </cell>
          <cell r="I2406" t="str">
            <v/>
          </cell>
          <cell r="J2406">
            <v>15500</v>
          </cell>
          <cell r="K2406">
            <v>3100</v>
          </cell>
          <cell r="L2406">
            <v>15500</v>
          </cell>
          <cell r="M2406" t="str">
            <v/>
          </cell>
          <cell r="N2406">
            <v>0</v>
          </cell>
        </row>
        <row r="2407">
          <cell r="A2407">
            <v>10380</v>
          </cell>
          <cell r="B2407" t="str">
            <v>22/03/2017</v>
          </cell>
          <cell r="C2407" t="str">
            <v>C1347</v>
          </cell>
          <cell r="D2407" t="str">
            <v>COMMISSIONING, WATER TREATMENT &amp; CHLORINATION</v>
          </cell>
          <cell r="E2407" t="str">
            <v>New Era Commissioning Specialists Ltd</v>
          </cell>
          <cell r="F2407" t="str">
            <v>Subcontractor</v>
          </cell>
          <cell r="G2407" t="str">
            <v>17/04/2017</v>
          </cell>
          <cell r="H2407" t="str">
            <v/>
          </cell>
          <cell r="I2407" t="str">
            <v/>
          </cell>
          <cell r="J2407">
            <v>5800</v>
          </cell>
          <cell r="K2407">
            <v>1160</v>
          </cell>
          <cell r="L2407">
            <v>5800</v>
          </cell>
          <cell r="M2407" t="str">
            <v/>
          </cell>
          <cell r="N2407">
            <v>0</v>
          </cell>
        </row>
        <row r="2408">
          <cell r="A2408">
            <v>10377</v>
          </cell>
          <cell r="B2408" t="str">
            <v>22/03/2017</v>
          </cell>
          <cell r="C2408" t="str">
            <v>C1347</v>
          </cell>
          <cell r="D2408" t="str">
            <v>Supply, Installation &amp; Test the autoclave discharge lines fr</v>
          </cell>
          <cell r="E2408" t="str">
            <v>Enco Ltd</v>
          </cell>
          <cell r="F2408" t="str">
            <v>Subcontractor</v>
          </cell>
          <cell r="G2408" t="str">
            <v>27/03/2017</v>
          </cell>
          <cell r="H2408" t="str">
            <v/>
          </cell>
          <cell r="I2408" t="str">
            <v/>
          </cell>
          <cell r="J2408">
            <v>4250</v>
          </cell>
          <cell r="K2408">
            <v>850</v>
          </cell>
          <cell r="L2408">
            <v>4250</v>
          </cell>
          <cell r="M2408" t="str">
            <v/>
          </cell>
          <cell r="N2408">
            <v>0</v>
          </cell>
        </row>
        <row r="2409">
          <cell r="A2409">
            <v>10366</v>
          </cell>
          <cell r="B2409" t="str">
            <v>21/03/2017</v>
          </cell>
          <cell r="C2409" t="str">
            <v>C1417</v>
          </cell>
          <cell r="D2409" t="str">
            <v>Insulation works as per Qu 37/001</v>
          </cell>
          <cell r="E2409" t="str">
            <v>Intertherm Integrated Services Ltd</v>
          </cell>
          <cell r="F2409" t="str">
            <v>Subcontractor</v>
          </cell>
          <cell r="G2409" t="str">
            <v/>
          </cell>
          <cell r="H2409" t="str">
            <v/>
          </cell>
          <cell r="I2409" t="str">
            <v/>
          </cell>
          <cell r="J2409">
            <v>490.62</v>
          </cell>
          <cell r="K2409">
            <v>98.12</v>
          </cell>
          <cell r="L2409">
            <v>490.62</v>
          </cell>
          <cell r="M2409" t="str">
            <v/>
          </cell>
          <cell r="N2409">
            <v>0</v>
          </cell>
        </row>
        <row r="2410">
          <cell r="A2410">
            <v>10364</v>
          </cell>
          <cell r="B2410" t="str">
            <v>21/03/2017</v>
          </cell>
          <cell r="C2410" t="str">
            <v>C1417</v>
          </cell>
          <cell r="D2410" t="str">
            <v>73m Insulation Qu 38/001</v>
          </cell>
          <cell r="E2410" t="str">
            <v>Intertherm Integrated Services Ltd</v>
          </cell>
          <cell r="F2410" t="str">
            <v>Subcontractor</v>
          </cell>
          <cell r="G2410" t="str">
            <v/>
          </cell>
          <cell r="H2410" t="str">
            <v/>
          </cell>
          <cell r="I2410" t="str">
            <v/>
          </cell>
          <cell r="J2410">
            <v>490.62</v>
          </cell>
          <cell r="K2410">
            <v>98.12</v>
          </cell>
          <cell r="L2410">
            <v>0</v>
          </cell>
          <cell r="M2410" t="str">
            <v/>
          </cell>
          <cell r="N2410">
            <v>490.62</v>
          </cell>
        </row>
        <row r="2411">
          <cell r="A2411">
            <v>10355</v>
          </cell>
          <cell r="B2411" t="str">
            <v>20/03/2017</v>
          </cell>
          <cell r="C2411" t="str">
            <v>CALLOUT</v>
          </cell>
          <cell r="D2411" t="str">
            <v>Supply &amp; Install 1no 660x1783mm 6.4mm Tinted</v>
          </cell>
          <cell r="E2411" t="str">
            <v>Viabl Ltd T/A Able</v>
          </cell>
          <cell r="F2411" t="str">
            <v>Subcontractor</v>
          </cell>
          <cell r="G2411" t="str">
            <v/>
          </cell>
          <cell r="H2411" t="str">
            <v/>
          </cell>
          <cell r="I2411" t="str">
            <v/>
          </cell>
          <cell r="J2411">
            <v>337</v>
          </cell>
          <cell r="K2411">
            <v>67.400000000000006</v>
          </cell>
          <cell r="L2411">
            <v>337</v>
          </cell>
          <cell r="M2411" t="str">
            <v/>
          </cell>
          <cell r="N2411">
            <v>0</v>
          </cell>
        </row>
        <row r="2412">
          <cell r="A2412">
            <v>11192</v>
          </cell>
          <cell r="B2412" t="str">
            <v>17/03/2017</v>
          </cell>
          <cell r="C2412" t="str">
            <v>C1425</v>
          </cell>
          <cell r="D2412" t="str">
            <v>Supply and fit AHU see seperate sub con order</v>
          </cell>
          <cell r="E2412" t="str">
            <v>Fred Shaw &amp; Co Ltd</v>
          </cell>
          <cell r="F2412" t="str">
            <v>Subcontractor</v>
          </cell>
          <cell r="G2412" t="str">
            <v>30/05/2017</v>
          </cell>
          <cell r="H2412" t="str">
            <v/>
          </cell>
          <cell r="I2412" t="str">
            <v/>
          </cell>
          <cell r="J2412">
            <v>22895</v>
          </cell>
          <cell r="K2412">
            <v>4579</v>
          </cell>
          <cell r="L2412">
            <v>22895</v>
          </cell>
          <cell r="M2412" t="str">
            <v/>
          </cell>
          <cell r="N2412">
            <v>0</v>
          </cell>
        </row>
        <row r="2413">
          <cell r="A2413">
            <v>10332</v>
          </cell>
          <cell r="B2413" t="str">
            <v>16/03/2017</v>
          </cell>
          <cell r="C2413" t="str">
            <v>C1383</v>
          </cell>
          <cell r="D2413" t="str">
            <v>AC install, test and commission</v>
          </cell>
          <cell r="E2413" t="str">
            <v>Heat Control Air Conditioning Ltd</v>
          </cell>
          <cell r="F2413" t="str">
            <v>Subcontractor</v>
          </cell>
          <cell r="G2413" t="str">
            <v>20/03/2017</v>
          </cell>
          <cell r="H2413" t="str">
            <v/>
          </cell>
          <cell r="I2413" t="str">
            <v/>
          </cell>
          <cell r="J2413">
            <v>27670.55</v>
          </cell>
          <cell r="K2413">
            <v>5534.11</v>
          </cell>
          <cell r="L2413">
            <v>27670.55</v>
          </cell>
          <cell r="M2413" t="str">
            <v/>
          </cell>
          <cell r="N2413">
            <v>0</v>
          </cell>
        </row>
        <row r="2414">
          <cell r="A2414">
            <v>10326</v>
          </cell>
          <cell r="B2414" t="str">
            <v>15/03/2017</v>
          </cell>
          <cell r="C2414" t="str">
            <v>CALLOUT</v>
          </cell>
          <cell r="D2414" t="str">
            <v>Supply &amp; Install Inlet Valve, Syphon and drain cleaner</v>
          </cell>
          <cell r="E2414" t="str">
            <v>Viabl Ltd T/A Able</v>
          </cell>
          <cell r="F2414" t="str">
            <v>Subcontractor</v>
          </cell>
          <cell r="G2414" t="str">
            <v/>
          </cell>
          <cell r="H2414" t="str">
            <v/>
          </cell>
          <cell r="I2414" t="str">
            <v/>
          </cell>
          <cell r="J2414">
            <v>260</v>
          </cell>
          <cell r="K2414">
            <v>52</v>
          </cell>
          <cell r="L2414">
            <v>260</v>
          </cell>
          <cell r="M2414" t="str">
            <v/>
          </cell>
          <cell r="N2414">
            <v>0</v>
          </cell>
        </row>
        <row r="2415">
          <cell r="A2415">
            <v>10323</v>
          </cell>
          <cell r="B2415" t="str">
            <v>15/03/2017</v>
          </cell>
          <cell r="C2415" t="str">
            <v>CALLOUT</v>
          </cell>
          <cell r="D2415" t="str">
            <v>Supply &amp; Install 2no Door Brackets</v>
          </cell>
          <cell r="E2415" t="str">
            <v>Viabl Ltd T/A Able</v>
          </cell>
          <cell r="F2415" t="str">
            <v>Subcontractor</v>
          </cell>
          <cell r="G2415" t="str">
            <v/>
          </cell>
          <cell r="H2415" t="str">
            <v/>
          </cell>
          <cell r="I2415" t="str">
            <v/>
          </cell>
          <cell r="J2415">
            <v>281.60000000000002</v>
          </cell>
          <cell r="K2415">
            <v>56.32</v>
          </cell>
          <cell r="L2415">
            <v>209.6</v>
          </cell>
          <cell r="M2415" t="str">
            <v/>
          </cell>
          <cell r="N2415">
            <v>72</v>
          </cell>
        </row>
        <row r="2416">
          <cell r="A2416">
            <v>10320</v>
          </cell>
          <cell r="B2416" t="str">
            <v>14/03/2017</v>
          </cell>
          <cell r="C2416" t="str">
            <v>C1422</v>
          </cell>
          <cell r="D2416" t="str">
            <v>Balance of all Ventilation</v>
          </cell>
          <cell r="E2416" t="str">
            <v>New Era Commissioning Specialists Ltd</v>
          </cell>
          <cell r="F2416" t="str">
            <v>Subcontractor</v>
          </cell>
          <cell r="G2416" t="str">
            <v/>
          </cell>
          <cell r="H2416" t="str">
            <v/>
          </cell>
          <cell r="I2416" t="str">
            <v/>
          </cell>
          <cell r="J2416">
            <v>1650</v>
          </cell>
          <cell r="K2416">
            <v>330</v>
          </cell>
          <cell r="L2416">
            <v>1650</v>
          </cell>
          <cell r="M2416" t="str">
            <v/>
          </cell>
          <cell r="N2416">
            <v>0</v>
          </cell>
        </row>
        <row r="2417">
          <cell r="A2417">
            <v>10302</v>
          </cell>
          <cell r="B2417" t="str">
            <v>13/03/2017</v>
          </cell>
          <cell r="C2417" t="str">
            <v>CALLOUT</v>
          </cell>
          <cell r="D2417" t="str">
            <v>Replace lighting control sensors/plus commissioning electric</v>
          </cell>
          <cell r="E2417" t="str">
            <v>Kestrel North West Limited</v>
          </cell>
          <cell r="F2417" t="str">
            <v>Subcontractor</v>
          </cell>
          <cell r="G2417" t="str">
            <v/>
          </cell>
          <cell r="H2417" t="str">
            <v/>
          </cell>
          <cell r="I2417" t="str">
            <v/>
          </cell>
          <cell r="J2417">
            <v>837.9</v>
          </cell>
          <cell r="K2417">
            <v>167.58</v>
          </cell>
          <cell r="L2417">
            <v>837.9</v>
          </cell>
          <cell r="M2417" t="str">
            <v/>
          </cell>
          <cell r="N2417">
            <v>0</v>
          </cell>
        </row>
        <row r="2418">
          <cell r="A2418">
            <v>10300</v>
          </cell>
          <cell r="B2418" t="str">
            <v>13/03/2017</v>
          </cell>
          <cell r="C2418" t="str">
            <v>C1347</v>
          </cell>
          <cell r="D2418" t="str">
            <v>THERMAL INSULATION TO ALL HEATING, CHILLED WATER ( ALI CLAD</v>
          </cell>
          <cell r="E2418" t="str">
            <v>NIS Group Services Ltd</v>
          </cell>
          <cell r="F2418" t="str">
            <v>Subcontractor</v>
          </cell>
          <cell r="G2418" t="str">
            <v>20/03/2017</v>
          </cell>
          <cell r="H2418" t="str">
            <v/>
          </cell>
          <cell r="I2418" t="str">
            <v/>
          </cell>
          <cell r="J2418">
            <v>14000</v>
          </cell>
          <cell r="K2418">
            <v>2800</v>
          </cell>
          <cell r="L2418">
            <v>14000</v>
          </cell>
          <cell r="M2418" t="str">
            <v/>
          </cell>
          <cell r="N2418">
            <v>0</v>
          </cell>
        </row>
        <row r="2419">
          <cell r="A2419">
            <v>10291</v>
          </cell>
          <cell r="B2419" t="str">
            <v>10/03/2017</v>
          </cell>
          <cell r="C2419" t="str">
            <v>C1383</v>
          </cell>
          <cell r="D2419" t="str">
            <v>See subcontract order.</v>
          </cell>
          <cell r="E2419" t="str">
            <v>Air Cair Engineering Ltd</v>
          </cell>
          <cell r="F2419" t="str">
            <v>Subcontractor</v>
          </cell>
          <cell r="G2419" t="str">
            <v>13/03/2017</v>
          </cell>
          <cell r="H2419" t="str">
            <v/>
          </cell>
          <cell r="I2419" t="str">
            <v/>
          </cell>
          <cell r="J2419">
            <v>84795</v>
          </cell>
          <cell r="K2419">
            <v>16959</v>
          </cell>
          <cell r="L2419">
            <v>84795</v>
          </cell>
          <cell r="M2419" t="str">
            <v/>
          </cell>
          <cell r="N2419">
            <v>0</v>
          </cell>
        </row>
        <row r="2420">
          <cell r="A2420">
            <v>10278</v>
          </cell>
          <cell r="B2420" t="str">
            <v>08/03/2017</v>
          </cell>
          <cell r="C2420" t="str">
            <v>C1377</v>
          </cell>
          <cell r="D2420" t="str">
            <v>Mech plant wiring assistance</v>
          </cell>
          <cell r="E2420" t="str">
            <v>Kestrel North West Limited</v>
          </cell>
          <cell r="F2420" t="str">
            <v>Subcontractor</v>
          </cell>
          <cell r="G2420" t="str">
            <v/>
          </cell>
          <cell r="H2420" t="str">
            <v/>
          </cell>
          <cell r="I2420" t="str">
            <v/>
          </cell>
          <cell r="J2420">
            <v>323</v>
          </cell>
          <cell r="K2420">
            <v>64.599999999999994</v>
          </cell>
          <cell r="L2420">
            <v>323</v>
          </cell>
          <cell r="M2420" t="str">
            <v/>
          </cell>
          <cell r="N2420">
            <v>0</v>
          </cell>
        </row>
        <row r="2421">
          <cell r="A2421">
            <v>10262</v>
          </cell>
          <cell r="B2421" t="str">
            <v>07/03/2017</v>
          </cell>
          <cell r="C2421" t="str">
            <v>C1426</v>
          </cell>
          <cell r="D2421" t="str">
            <v>For the supply &amp; Installation of AC gantry &amp; roof penetratio</v>
          </cell>
          <cell r="E2421" t="str">
            <v>NP Services (Leicester) Ltd</v>
          </cell>
          <cell r="F2421" t="str">
            <v>Subcontractor</v>
          </cell>
          <cell r="G2421" t="str">
            <v>27/03/2017</v>
          </cell>
          <cell r="H2421" t="str">
            <v/>
          </cell>
          <cell r="I2421" t="str">
            <v/>
          </cell>
          <cell r="J2421">
            <v>11697</v>
          </cell>
          <cell r="K2421">
            <v>2339.4</v>
          </cell>
          <cell r="L2421">
            <v>11697</v>
          </cell>
          <cell r="M2421" t="str">
            <v/>
          </cell>
          <cell r="N2421">
            <v>0</v>
          </cell>
        </row>
        <row r="2422">
          <cell r="A2422">
            <v>10261</v>
          </cell>
          <cell r="B2422" t="str">
            <v>07/03/2017</v>
          </cell>
          <cell r="C2422" t="str">
            <v>C1417</v>
          </cell>
          <cell r="D2422" t="str">
            <v>Additional Insulation works Vitacress phase 4</v>
          </cell>
          <cell r="E2422" t="str">
            <v>Intertherm Integrated Services Ltd</v>
          </cell>
          <cell r="F2422" t="str">
            <v>Subcontractor</v>
          </cell>
          <cell r="G2422" t="str">
            <v/>
          </cell>
          <cell r="H2422" t="str">
            <v/>
          </cell>
          <cell r="I2422" t="str">
            <v/>
          </cell>
          <cell r="J2422">
            <v>1280.9000000000001</v>
          </cell>
          <cell r="K2422">
            <v>256.18</v>
          </cell>
          <cell r="L2422">
            <v>1280.9000000000001</v>
          </cell>
          <cell r="M2422" t="str">
            <v/>
          </cell>
          <cell r="N2422">
            <v>0</v>
          </cell>
        </row>
        <row r="2423">
          <cell r="A2423">
            <v>10251</v>
          </cell>
          <cell r="B2423" t="str">
            <v>06/03/2017</v>
          </cell>
          <cell r="C2423" t="str">
            <v>CALLOUT</v>
          </cell>
          <cell r="D2423" t="str">
            <v>Install New Water Boiler (5 hours)</v>
          </cell>
          <cell r="E2423" t="str">
            <v>K Gammon Plumbing &amp; Heating Ltd</v>
          </cell>
          <cell r="F2423" t="str">
            <v>Subcontractor</v>
          </cell>
          <cell r="G2423" t="str">
            <v/>
          </cell>
          <cell r="H2423" t="str">
            <v/>
          </cell>
          <cell r="I2423" t="str">
            <v/>
          </cell>
          <cell r="J2423">
            <v>140</v>
          </cell>
          <cell r="K2423">
            <v>28</v>
          </cell>
          <cell r="L2423">
            <v>140</v>
          </cell>
          <cell r="M2423" t="str">
            <v/>
          </cell>
          <cell r="N2423">
            <v>0</v>
          </cell>
        </row>
        <row r="2424">
          <cell r="A2424">
            <v>10250</v>
          </cell>
          <cell r="B2424" t="str">
            <v>06/03/2017</v>
          </cell>
          <cell r="C2424" t="str">
            <v>C1426</v>
          </cell>
          <cell r="D2424" t="str">
            <v>For the supply, Installation &amp; commissioning of electrical w</v>
          </cell>
          <cell r="E2424" t="str">
            <v>Eamonn Reilly</v>
          </cell>
          <cell r="F2424" t="str">
            <v>Subcontractor</v>
          </cell>
          <cell r="G2424" t="str">
            <v>03/04/2017</v>
          </cell>
          <cell r="H2424" t="str">
            <v/>
          </cell>
          <cell r="I2424" t="str">
            <v/>
          </cell>
          <cell r="J2424">
            <v>29273.74</v>
          </cell>
          <cell r="K2424">
            <v>5854.75</v>
          </cell>
          <cell r="L2424">
            <v>29273.74</v>
          </cell>
          <cell r="M2424" t="str">
            <v/>
          </cell>
          <cell r="N2424">
            <v>0</v>
          </cell>
        </row>
        <row r="2425">
          <cell r="A2425">
            <v>10248</v>
          </cell>
          <cell r="B2425" t="str">
            <v>06/03/2017</v>
          </cell>
          <cell r="C2425" t="str">
            <v>C1426</v>
          </cell>
          <cell r="D2425" t="str">
            <v>For supply, Installation &amp; commissioning of DX Refrigeration</v>
          </cell>
          <cell r="E2425" t="str">
            <v>Indoor Climate Control Limited</v>
          </cell>
          <cell r="F2425" t="str">
            <v>Subcontractor</v>
          </cell>
          <cell r="G2425" t="str">
            <v>03/04/2017</v>
          </cell>
          <cell r="H2425" t="str">
            <v/>
          </cell>
          <cell r="I2425" t="str">
            <v/>
          </cell>
          <cell r="J2425">
            <v>99250</v>
          </cell>
          <cell r="K2425">
            <v>19850</v>
          </cell>
          <cell r="L2425">
            <v>99250</v>
          </cell>
          <cell r="M2425" t="str">
            <v/>
          </cell>
          <cell r="N2425">
            <v>0</v>
          </cell>
        </row>
        <row r="2426">
          <cell r="A2426">
            <v>10238</v>
          </cell>
          <cell r="B2426" t="str">
            <v>03/03/2017</v>
          </cell>
          <cell r="C2426" t="str">
            <v>CALLOUT</v>
          </cell>
          <cell r="D2426" t="str">
            <v>Fire Damper Inspection &amp; Drop Test (Saturday Works)</v>
          </cell>
          <cell r="E2426" t="str">
            <v>OLD COUGAR ACCOUNT- DO NOT USE</v>
          </cell>
          <cell r="F2426" t="str">
            <v>Subcontractor</v>
          </cell>
          <cell r="G2426" t="str">
            <v/>
          </cell>
          <cell r="H2426" t="str">
            <v/>
          </cell>
          <cell r="I2426" t="str">
            <v/>
          </cell>
          <cell r="J2426">
            <v>200</v>
          </cell>
          <cell r="K2426">
            <v>40</v>
          </cell>
          <cell r="L2426">
            <v>200</v>
          </cell>
          <cell r="M2426" t="str">
            <v/>
          </cell>
          <cell r="N2426">
            <v>0</v>
          </cell>
        </row>
        <row r="2427">
          <cell r="A2427">
            <v>10232</v>
          </cell>
          <cell r="B2427" t="str">
            <v>02/03/2017</v>
          </cell>
          <cell r="C2427" t="str">
            <v>C1426</v>
          </cell>
          <cell r="D2427" t="str">
            <v>For supply, Installation &amp; commissioning of BMS controls to</v>
          </cell>
          <cell r="E2427" t="str">
            <v>Schneider Electric Ltd</v>
          </cell>
          <cell r="F2427" t="str">
            <v>Subcontractor</v>
          </cell>
          <cell r="G2427" t="str">
            <v>02/03/2017</v>
          </cell>
          <cell r="H2427" t="str">
            <v/>
          </cell>
          <cell r="I2427" t="str">
            <v/>
          </cell>
          <cell r="J2427">
            <v>28942</v>
          </cell>
          <cell r="K2427">
            <v>5788.4</v>
          </cell>
          <cell r="L2427">
            <v>28942</v>
          </cell>
          <cell r="M2427" t="str">
            <v/>
          </cell>
          <cell r="N2427">
            <v>0</v>
          </cell>
        </row>
        <row r="2428">
          <cell r="A2428">
            <v>10231</v>
          </cell>
          <cell r="B2428" t="str">
            <v>02/03/2017</v>
          </cell>
          <cell r="C2428" t="str">
            <v>CALLOUT</v>
          </cell>
          <cell r="D2428" t="str">
            <v>Replaced Fl</v>
          </cell>
          <cell r="E2428" t="str">
            <v>Wisbech Electrical Ltd</v>
          </cell>
          <cell r="F2428" t="str">
            <v>Subcontractor</v>
          </cell>
          <cell r="G2428" t="str">
            <v/>
          </cell>
          <cell r="H2428" t="str">
            <v/>
          </cell>
          <cell r="I2428" t="str">
            <v/>
          </cell>
          <cell r="J2428">
            <v>140</v>
          </cell>
          <cell r="K2428">
            <v>28</v>
          </cell>
          <cell r="L2428">
            <v>0</v>
          </cell>
          <cell r="M2428" t="str">
            <v/>
          </cell>
          <cell r="N2428">
            <v>140</v>
          </cell>
        </row>
        <row r="2429">
          <cell r="A2429">
            <v>10225</v>
          </cell>
          <cell r="B2429" t="str">
            <v>01/03/2017</v>
          </cell>
          <cell r="C2429" t="str">
            <v>CALLOUT</v>
          </cell>
          <cell r="D2429" t="str">
            <v>Isolate circuitry &amp; verify safe isolation, remove existing a</v>
          </cell>
          <cell r="E2429" t="str">
            <v>Kestrel North West Limited</v>
          </cell>
          <cell r="F2429" t="str">
            <v>Subcontractor</v>
          </cell>
          <cell r="G2429" t="str">
            <v/>
          </cell>
          <cell r="H2429" t="str">
            <v/>
          </cell>
          <cell r="I2429" t="str">
            <v/>
          </cell>
          <cell r="J2429">
            <v>91.7</v>
          </cell>
          <cell r="K2429">
            <v>18.34</v>
          </cell>
          <cell r="L2429">
            <v>91.7</v>
          </cell>
          <cell r="M2429" t="str">
            <v/>
          </cell>
          <cell r="N2429">
            <v>0</v>
          </cell>
        </row>
        <row r="2430">
          <cell r="A2430">
            <v>10197</v>
          </cell>
          <cell r="B2430" t="str">
            <v>22/02/2017</v>
          </cell>
          <cell r="C2430" t="str">
            <v>C1383</v>
          </cell>
          <cell r="D2430" t="str">
            <v>Mechanical pipework installation as subcontract order docume</v>
          </cell>
          <cell r="E2430" t="str">
            <v>Enco Ltd</v>
          </cell>
          <cell r="F2430" t="str">
            <v>Subcontractor</v>
          </cell>
          <cell r="G2430" t="str">
            <v>06/03/2017</v>
          </cell>
          <cell r="H2430" t="str">
            <v/>
          </cell>
          <cell r="I2430" t="str">
            <v/>
          </cell>
          <cell r="J2430">
            <v>229745</v>
          </cell>
          <cell r="K2430">
            <v>45949</v>
          </cell>
          <cell r="L2430">
            <v>229745</v>
          </cell>
          <cell r="M2430" t="str">
            <v/>
          </cell>
          <cell r="N2430">
            <v>0</v>
          </cell>
        </row>
        <row r="2431">
          <cell r="A2431">
            <v>10183</v>
          </cell>
          <cell r="B2431" t="str">
            <v>20/02/2017</v>
          </cell>
          <cell r="C2431" t="str">
            <v>C1411</v>
          </cell>
          <cell r="D2431" t="str">
            <v>Air balancing of 5 no. supply and 5 no. extract grilles on p</v>
          </cell>
          <cell r="E2431" t="str">
            <v>Combat Commissioning Services Ltd</v>
          </cell>
          <cell r="F2431" t="str">
            <v>Subcontractor</v>
          </cell>
          <cell r="G2431" t="str">
            <v>21/02/2017</v>
          </cell>
          <cell r="H2431" t="str">
            <v/>
          </cell>
          <cell r="I2431" t="str">
            <v/>
          </cell>
          <cell r="J2431">
            <v>490</v>
          </cell>
          <cell r="K2431">
            <v>98</v>
          </cell>
          <cell r="L2431">
            <v>490</v>
          </cell>
          <cell r="M2431" t="str">
            <v/>
          </cell>
          <cell r="N2431">
            <v>0</v>
          </cell>
        </row>
        <row r="2432">
          <cell r="A2432">
            <v>10176</v>
          </cell>
          <cell r="B2432" t="str">
            <v>17/02/2017</v>
          </cell>
          <cell r="C2432" t="str">
            <v>C1347</v>
          </cell>
          <cell r="D2432" t="str">
            <v>DESIGN, SUPPLY,INSTALL TEST &amp; COMMISSION</v>
          </cell>
          <cell r="E2432" t="str">
            <v>VWS (UK) Ltd T/A Veolia Water Technologies</v>
          </cell>
          <cell r="F2432" t="str">
            <v>Subcontractor</v>
          </cell>
          <cell r="G2432" t="str">
            <v>27/03/2017</v>
          </cell>
          <cell r="H2432" t="str">
            <v/>
          </cell>
          <cell r="I2432" t="str">
            <v/>
          </cell>
          <cell r="J2432">
            <v>23950</v>
          </cell>
          <cell r="K2432">
            <v>4790</v>
          </cell>
          <cell r="L2432">
            <v>23950</v>
          </cell>
          <cell r="M2432" t="str">
            <v/>
          </cell>
          <cell r="N2432">
            <v>0</v>
          </cell>
        </row>
        <row r="2433">
          <cell r="A2433">
            <v>10171</v>
          </cell>
          <cell r="B2433" t="str">
            <v>17/02/2017</v>
          </cell>
          <cell r="C2433" t="str">
            <v>C1347</v>
          </cell>
          <cell r="D2433" t="str">
            <v>DESIGN, DELIVER,SUPPLY,INSTALL,TEST &amp; COMMISSION</v>
          </cell>
          <cell r="E2433" t="str">
            <v>Clover Controls Limited</v>
          </cell>
          <cell r="F2433" t="str">
            <v>Subcontractor</v>
          </cell>
          <cell r="G2433" t="str">
            <v>20/02/2017</v>
          </cell>
          <cell r="H2433" t="str">
            <v/>
          </cell>
          <cell r="I2433" t="str">
            <v/>
          </cell>
          <cell r="J2433">
            <v>51210</v>
          </cell>
          <cell r="K2433">
            <v>10242</v>
          </cell>
          <cell r="L2433">
            <v>51210</v>
          </cell>
          <cell r="M2433" t="str">
            <v/>
          </cell>
          <cell r="N2433">
            <v>0</v>
          </cell>
        </row>
        <row r="2434">
          <cell r="A2434">
            <v>10170</v>
          </cell>
          <cell r="B2434" t="str">
            <v>17/02/2017</v>
          </cell>
          <cell r="C2434" t="str">
            <v>CALLOUT</v>
          </cell>
          <cell r="D2434" t="str">
            <v>Supply &amp; Replace A New Fuse &amp; Fuse Carrier to Supply</v>
          </cell>
          <cell r="E2434" t="str">
            <v>Kestrel North West Limited</v>
          </cell>
          <cell r="F2434" t="str">
            <v>Subcontractor</v>
          </cell>
          <cell r="G2434" t="str">
            <v/>
          </cell>
          <cell r="H2434" t="str">
            <v/>
          </cell>
          <cell r="I2434" t="str">
            <v/>
          </cell>
          <cell r="J2434">
            <v>66</v>
          </cell>
          <cell r="K2434">
            <v>13.2</v>
          </cell>
          <cell r="L2434">
            <v>66</v>
          </cell>
          <cell r="M2434" t="str">
            <v/>
          </cell>
          <cell r="N2434">
            <v>0</v>
          </cell>
        </row>
        <row r="2435">
          <cell r="A2435">
            <v>10159</v>
          </cell>
          <cell r="B2435" t="str">
            <v>16/02/2017</v>
          </cell>
          <cell r="C2435" t="str">
            <v>C1347</v>
          </cell>
          <cell r="D2435" t="str">
            <v>Supply , Delivery, Installation &amp; Testing of mech Services</v>
          </cell>
          <cell r="E2435" t="str">
            <v>Climatix Group Ltd</v>
          </cell>
          <cell r="F2435" t="str">
            <v>Subcontractor</v>
          </cell>
          <cell r="G2435" t="str">
            <v>20/02/2017</v>
          </cell>
          <cell r="H2435" t="str">
            <v>Part</v>
          </cell>
          <cell r="I2435" t="str">
            <v/>
          </cell>
          <cell r="J2435">
            <v>52000</v>
          </cell>
          <cell r="K2435">
            <v>10400</v>
          </cell>
          <cell r="L2435">
            <v>52000</v>
          </cell>
          <cell r="M2435" t="str">
            <v/>
          </cell>
          <cell r="N2435">
            <v>0</v>
          </cell>
        </row>
        <row r="2436">
          <cell r="A2436">
            <v>10123</v>
          </cell>
          <cell r="B2436" t="str">
            <v>11/02/2017</v>
          </cell>
          <cell r="C2436" t="str">
            <v>C1347</v>
          </cell>
          <cell r="D2436" t="str">
            <v>Design, Manufacture, Supply, Install, Test &amp; Commission</v>
          </cell>
          <cell r="E2436" t="str">
            <v>Compco Fire Systems</v>
          </cell>
          <cell r="F2436" t="str">
            <v>Subcontractor</v>
          </cell>
          <cell r="G2436" t="str">
            <v>13/02/2017</v>
          </cell>
          <cell r="H2436" t="str">
            <v/>
          </cell>
          <cell r="I2436" t="str">
            <v/>
          </cell>
          <cell r="J2436">
            <v>18204</v>
          </cell>
          <cell r="K2436">
            <v>3640.8</v>
          </cell>
          <cell r="L2436">
            <v>18204</v>
          </cell>
          <cell r="M2436" t="str">
            <v/>
          </cell>
          <cell r="N2436">
            <v>0</v>
          </cell>
        </row>
        <row r="2437">
          <cell r="A2437">
            <v>10120</v>
          </cell>
          <cell r="B2437" t="str">
            <v>10/02/2017</v>
          </cell>
          <cell r="C2437" t="str">
            <v>C1347</v>
          </cell>
          <cell r="D2437" t="str">
            <v>Manufacture, Supply &amp; Installation all galvinized Installati</v>
          </cell>
          <cell r="E2437" t="str">
            <v>Maine Engineering Ltd</v>
          </cell>
          <cell r="F2437" t="str">
            <v>Subcontractor</v>
          </cell>
          <cell r="G2437" t="str">
            <v>13/02/2017</v>
          </cell>
          <cell r="H2437" t="str">
            <v/>
          </cell>
          <cell r="I2437" t="str">
            <v/>
          </cell>
          <cell r="J2437">
            <v>84059</v>
          </cell>
          <cell r="K2437">
            <v>16811.8</v>
          </cell>
          <cell r="L2437">
            <v>84509</v>
          </cell>
          <cell r="M2437" t="str">
            <v/>
          </cell>
          <cell r="N2437">
            <v>-450</v>
          </cell>
        </row>
        <row r="2438">
          <cell r="A2438">
            <v>10104</v>
          </cell>
          <cell r="B2438" t="str">
            <v>08/02/2017</v>
          </cell>
          <cell r="C2438" t="str">
            <v>C1347</v>
          </cell>
          <cell r="D2438" t="str">
            <v>Diamond Drilling day rate holes as required once on site for</v>
          </cell>
          <cell r="E2438" t="str">
            <v>D-Drill Group</v>
          </cell>
          <cell r="F2438" t="str">
            <v>Subcontractor</v>
          </cell>
          <cell r="G2438" t="str">
            <v>09/02/2017</v>
          </cell>
          <cell r="H2438" t="str">
            <v/>
          </cell>
          <cell r="I2438" t="str">
            <v/>
          </cell>
          <cell r="J2438">
            <v>460</v>
          </cell>
          <cell r="K2438">
            <v>92</v>
          </cell>
          <cell r="L2438">
            <v>460</v>
          </cell>
          <cell r="M2438" t="str">
            <v/>
          </cell>
          <cell r="N2438">
            <v>0</v>
          </cell>
        </row>
        <row r="2439">
          <cell r="A2439">
            <v>10064</v>
          </cell>
          <cell r="B2439" t="str">
            <v>31/01/2017</v>
          </cell>
          <cell r="C2439" t="str">
            <v>C1411</v>
          </cell>
          <cell r="D2439" t="str">
            <v>Install of all stainless steel</v>
          </cell>
          <cell r="E2439" t="str">
            <v>OLD COUGAR ACCOUNT- DO NOT USE</v>
          </cell>
          <cell r="F2439" t="str">
            <v>Subcontractor</v>
          </cell>
          <cell r="G2439" t="str">
            <v/>
          </cell>
          <cell r="H2439" t="str">
            <v/>
          </cell>
          <cell r="I2439" t="str">
            <v/>
          </cell>
          <cell r="J2439">
            <v>4500</v>
          </cell>
          <cell r="K2439">
            <v>900</v>
          </cell>
          <cell r="L2439">
            <v>4500</v>
          </cell>
          <cell r="M2439" t="str">
            <v/>
          </cell>
          <cell r="N2439">
            <v>0</v>
          </cell>
        </row>
        <row r="2440">
          <cell r="A2440">
            <v>10051</v>
          </cell>
          <cell r="B2440" t="str">
            <v>27/01/2017</v>
          </cell>
          <cell r="C2440" t="str">
            <v>C1382</v>
          </cell>
          <cell r="D2440" t="str">
            <v>Insulation works QU TN MP NU 10</v>
          </cell>
          <cell r="E2440" t="str">
            <v>Scottfab Insulation Ltd</v>
          </cell>
          <cell r="F2440" t="str">
            <v>Subcontractor</v>
          </cell>
          <cell r="G2440" t="str">
            <v/>
          </cell>
          <cell r="H2440" t="str">
            <v/>
          </cell>
          <cell r="I2440" t="str">
            <v/>
          </cell>
          <cell r="J2440">
            <v>985</v>
          </cell>
          <cell r="K2440">
            <v>197</v>
          </cell>
          <cell r="L2440">
            <v>985</v>
          </cell>
          <cell r="M2440" t="str">
            <v/>
          </cell>
          <cell r="N2440">
            <v>0</v>
          </cell>
        </row>
        <row r="2441">
          <cell r="A2441">
            <v>9978</v>
          </cell>
          <cell r="B2441" t="str">
            <v>18/01/2017</v>
          </cell>
          <cell r="C2441" t="str">
            <v>C1421</v>
          </cell>
          <cell r="D2441" t="str">
            <v>Supply &amp; installation of Steam &amp; Condensate Mains</v>
          </cell>
          <cell r="E2441" t="str">
            <v>Enco Ltd</v>
          </cell>
          <cell r="F2441" t="str">
            <v>Subcontractor</v>
          </cell>
          <cell r="G2441" t="str">
            <v>23/01/2017</v>
          </cell>
          <cell r="H2441" t="str">
            <v/>
          </cell>
          <cell r="I2441" t="str">
            <v/>
          </cell>
          <cell r="J2441">
            <v>5700</v>
          </cell>
          <cell r="K2441">
            <v>1140</v>
          </cell>
          <cell r="L2441">
            <v>5700</v>
          </cell>
          <cell r="M2441" t="str">
            <v/>
          </cell>
          <cell r="N2441">
            <v>0</v>
          </cell>
        </row>
        <row r="2442">
          <cell r="A2442">
            <v>9975</v>
          </cell>
          <cell r="B2442" t="str">
            <v>18/01/2017</v>
          </cell>
          <cell r="C2442" t="str">
            <v>CALLOUT</v>
          </cell>
          <cell r="D2442" t="str">
            <v>Supply, Deliver, SEt up new Controller your Quote CDD 0505</v>
          </cell>
          <cell r="E2442" t="str">
            <v>Pole to Pole Climate Control Ltd</v>
          </cell>
          <cell r="F2442" t="str">
            <v>Subcontractor</v>
          </cell>
          <cell r="G2442" t="str">
            <v/>
          </cell>
          <cell r="H2442" t="str">
            <v/>
          </cell>
          <cell r="I2442" t="str">
            <v/>
          </cell>
          <cell r="J2442">
            <v>60</v>
          </cell>
          <cell r="K2442">
            <v>12</v>
          </cell>
          <cell r="L2442">
            <v>0</v>
          </cell>
          <cell r="M2442" t="str">
            <v/>
          </cell>
          <cell r="N2442">
            <v>60</v>
          </cell>
        </row>
        <row r="2443">
          <cell r="A2443">
            <v>9970</v>
          </cell>
          <cell r="B2443" t="str">
            <v>17/01/2017</v>
          </cell>
          <cell r="C2443" t="str">
            <v>C1421</v>
          </cell>
          <cell r="D2443" t="str">
            <v>Thermal Insulation to Steam Main</v>
          </cell>
          <cell r="E2443" t="str">
            <v>Scottfab Insulation Ltd</v>
          </cell>
          <cell r="F2443" t="str">
            <v>Subcontractor</v>
          </cell>
          <cell r="G2443" t="str">
            <v>30/01/2017</v>
          </cell>
          <cell r="H2443" t="str">
            <v/>
          </cell>
          <cell r="I2443" t="str">
            <v/>
          </cell>
          <cell r="J2443">
            <v>910</v>
          </cell>
          <cell r="K2443">
            <v>182</v>
          </cell>
          <cell r="L2443">
            <v>910</v>
          </cell>
          <cell r="M2443" t="str">
            <v/>
          </cell>
          <cell r="N2443">
            <v>0</v>
          </cell>
        </row>
        <row r="2444">
          <cell r="A2444">
            <v>9959</v>
          </cell>
          <cell r="B2444" t="str">
            <v>16/01/2017</v>
          </cell>
          <cell r="C2444" t="str">
            <v>CALLOUT</v>
          </cell>
          <cell r="D2444" t="str">
            <v>Install 1no 5ft IP Florry to Plant Room to right side of doo</v>
          </cell>
          <cell r="E2444" t="str">
            <v>Kestrel North West Limited</v>
          </cell>
          <cell r="F2444" t="str">
            <v>Subcontractor</v>
          </cell>
          <cell r="G2444" t="str">
            <v/>
          </cell>
          <cell r="H2444" t="str">
            <v>Part</v>
          </cell>
          <cell r="I2444" t="str">
            <v/>
          </cell>
          <cell r="J2444">
            <v>681.39</v>
          </cell>
          <cell r="K2444">
            <v>136.28</v>
          </cell>
          <cell r="L2444">
            <v>681.39</v>
          </cell>
          <cell r="M2444" t="str">
            <v/>
          </cell>
          <cell r="N2444">
            <v>0</v>
          </cell>
        </row>
        <row r="2445">
          <cell r="A2445">
            <v>9941</v>
          </cell>
          <cell r="B2445" t="str">
            <v>13/01/2017</v>
          </cell>
          <cell r="C2445" t="str">
            <v>C1396</v>
          </cell>
          <cell r="D2445" t="str">
            <v>Air balance checks</v>
          </cell>
          <cell r="E2445" t="str">
            <v>New Era Commissioning Specialists Ltd</v>
          </cell>
          <cell r="F2445" t="str">
            <v>Subcontractor</v>
          </cell>
          <cell r="G2445" t="str">
            <v/>
          </cell>
          <cell r="H2445" t="str">
            <v/>
          </cell>
          <cell r="I2445" t="str">
            <v/>
          </cell>
          <cell r="J2445">
            <v>250</v>
          </cell>
          <cell r="K2445">
            <v>50</v>
          </cell>
          <cell r="L2445">
            <v>250</v>
          </cell>
          <cell r="M2445" t="str">
            <v/>
          </cell>
          <cell r="N2445">
            <v>0</v>
          </cell>
        </row>
        <row r="2446">
          <cell r="A2446">
            <v>9913</v>
          </cell>
          <cell r="B2446" t="str">
            <v>05/01/2017</v>
          </cell>
          <cell r="C2446" t="str">
            <v>CALLOUT</v>
          </cell>
          <cell r="D2446" t="str">
            <v>Quoted Works</v>
          </cell>
          <cell r="E2446" t="str">
            <v>Adcock Refrigeration &amp; Air Conditioning</v>
          </cell>
          <cell r="F2446" t="str">
            <v>Subcontractor</v>
          </cell>
          <cell r="G2446" t="str">
            <v/>
          </cell>
          <cell r="H2446" t="str">
            <v/>
          </cell>
          <cell r="I2446" t="str">
            <v/>
          </cell>
          <cell r="J2446">
            <v>2024.8</v>
          </cell>
          <cell r="K2446">
            <v>404.96</v>
          </cell>
          <cell r="L2446">
            <v>1615</v>
          </cell>
          <cell r="M2446" t="str">
            <v/>
          </cell>
          <cell r="N2446">
            <v>409.8</v>
          </cell>
        </row>
        <row r="2447">
          <cell r="A2447">
            <v>9912</v>
          </cell>
          <cell r="B2447" t="str">
            <v>05/01/2017</v>
          </cell>
          <cell r="C2447" t="str">
            <v>CALLOUT</v>
          </cell>
          <cell r="D2447" t="str">
            <v>Supply &amp; Replace PIR as quoted</v>
          </cell>
          <cell r="E2447" t="str">
            <v>Kestrel North West Limited</v>
          </cell>
          <cell r="F2447" t="str">
            <v>Subcontractor</v>
          </cell>
          <cell r="G2447" t="str">
            <v/>
          </cell>
          <cell r="H2447" t="str">
            <v/>
          </cell>
          <cell r="I2447" t="str">
            <v/>
          </cell>
          <cell r="J2447">
            <v>161.5</v>
          </cell>
          <cell r="K2447">
            <v>32.299999999999997</v>
          </cell>
          <cell r="L2447">
            <v>161.5</v>
          </cell>
          <cell r="M2447" t="str">
            <v/>
          </cell>
          <cell r="N2447">
            <v>0</v>
          </cell>
        </row>
        <row r="2448">
          <cell r="A2448">
            <v>9897</v>
          </cell>
          <cell r="B2448" t="str">
            <v>04/01/2017</v>
          </cell>
          <cell r="C2448" t="str">
            <v>C1417</v>
          </cell>
          <cell r="D2448" t="str">
            <v>Insulation works as per quote</v>
          </cell>
          <cell r="E2448" t="str">
            <v>Intertherm Integrated Services Ltd</v>
          </cell>
          <cell r="F2448" t="str">
            <v>Subcontractor</v>
          </cell>
          <cell r="G2448" t="str">
            <v/>
          </cell>
          <cell r="H2448" t="str">
            <v/>
          </cell>
          <cell r="I2448" t="str">
            <v/>
          </cell>
          <cell r="J2448">
            <v>3000</v>
          </cell>
          <cell r="K2448">
            <v>600</v>
          </cell>
          <cell r="L2448">
            <v>3000</v>
          </cell>
          <cell r="M2448" t="str">
            <v/>
          </cell>
          <cell r="N2448">
            <v>0</v>
          </cell>
        </row>
        <row r="2449">
          <cell r="A2449">
            <v>9896</v>
          </cell>
          <cell r="B2449" t="str">
            <v>04/01/2017</v>
          </cell>
          <cell r="C2449" t="str">
            <v>C1417</v>
          </cell>
          <cell r="D2449" t="str">
            <v>BMS works as per email 13.12.17</v>
          </cell>
          <cell r="E2449" t="str">
            <v>Impact Control Systems Ltd</v>
          </cell>
          <cell r="F2449" t="str">
            <v>Subcontractor</v>
          </cell>
          <cell r="G2449" t="str">
            <v/>
          </cell>
          <cell r="H2449" t="str">
            <v/>
          </cell>
          <cell r="I2449" t="str">
            <v/>
          </cell>
          <cell r="J2449">
            <v>20000</v>
          </cell>
          <cell r="K2449">
            <v>4000</v>
          </cell>
          <cell r="L2449">
            <v>20000</v>
          </cell>
          <cell r="M2449" t="str">
            <v/>
          </cell>
          <cell r="N2449">
            <v>0</v>
          </cell>
        </row>
        <row r="2450">
          <cell r="A2450">
            <v>9895</v>
          </cell>
          <cell r="B2450" t="str">
            <v>04/01/2017</v>
          </cell>
          <cell r="C2450" t="str">
            <v>CALLOUT</v>
          </cell>
          <cell r="D2450" t="str">
            <v>Carry out Remedial Works as per Quote Q230543</v>
          </cell>
          <cell r="E2450" t="str">
            <v>Burtonwood Generator &amp; Switchgear Services Ltd</v>
          </cell>
          <cell r="F2450" t="str">
            <v>Subcontractor</v>
          </cell>
          <cell r="G2450" t="str">
            <v/>
          </cell>
          <cell r="H2450" t="str">
            <v/>
          </cell>
          <cell r="I2450" t="str">
            <v/>
          </cell>
          <cell r="J2450">
            <v>360.93</v>
          </cell>
          <cell r="K2450">
            <v>72.19</v>
          </cell>
          <cell r="L2450">
            <v>360.93</v>
          </cell>
          <cell r="M2450" t="str">
            <v/>
          </cell>
          <cell r="N2450">
            <v>0</v>
          </cell>
        </row>
        <row r="2451">
          <cell r="A2451">
            <v>9892</v>
          </cell>
          <cell r="B2451" t="str">
            <v>04/01/2017</v>
          </cell>
          <cell r="C2451" t="str">
            <v>C1417</v>
          </cell>
          <cell r="D2451" t="str">
            <v>Commissioning and Chlorination works</v>
          </cell>
          <cell r="E2451" t="str">
            <v>New Era Commissioning Specialists Ltd</v>
          </cell>
          <cell r="F2451" t="str">
            <v>Subcontractor</v>
          </cell>
          <cell r="G2451" t="str">
            <v/>
          </cell>
          <cell r="H2451" t="str">
            <v/>
          </cell>
          <cell r="I2451" t="str">
            <v/>
          </cell>
          <cell r="J2451">
            <v>1450</v>
          </cell>
          <cell r="K2451">
            <v>290</v>
          </cell>
          <cell r="L2451">
            <v>1610</v>
          </cell>
          <cell r="M2451" t="str">
            <v/>
          </cell>
          <cell r="N2451">
            <v>-160</v>
          </cell>
        </row>
        <row r="2452">
          <cell r="A2452">
            <v>9882</v>
          </cell>
          <cell r="B2452" t="str">
            <v>03/01/2017</v>
          </cell>
          <cell r="C2452" t="str">
            <v>C1347</v>
          </cell>
          <cell r="D2452" t="str">
            <v>Electrical Design, Supply, Install &amp; Commission of all servi</v>
          </cell>
          <cell r="E2452" t="str">
            <v>Kestrel North West Limited</v>
          </cell>
          <cell r="F2452" t="str">
            <v>Subcontractor</v>
          </cell>
          <cell r="G2452" t="str">
            <v>23/01/2017</v>
          </cell>
          <cell r="H2452" t="str">
            <v/>
          </cell>
          <cell r="I2452" t="str">
            <v/>
          </cell>
          <cell r="J2452">
            <v>90976.69</v>
          </cell>
          <cell r="K2452">
            <v>18195.34</v>
          </cell>
          <cell r="L2452">
            <v>90976.69</v>
          </cell>
          <cell r="M2452" t="str">
            <v/>
          </cell>
          <cell r="N2452">
            <v>0</v>
          </cell>
        </row>
        <row r="2453">
          <cell r="A2453">
            <v>9881</v>
          </cell>
          <cell r="B2453" t="str">
            <v>03/01/2017</v>
          </cell>
          <cell r="C2453" t="str">
            <v>C1382</v>
          </cell>
          <cell r="D2453" t="str">
            <v>Commissioning &amp; Water Treatment NU</v>
          </cell>
          <cell r="E2453" t="str">
            <v>New Era Commissioning Specialists Ltd</v>
          </cell>
          <cell r="F2453" t="str">
            <v>Subcontractor</v>
          </cell>
          <cell r="G2453" t="str">
            <v/>
          </cell>
          <cell r="H2453" t="str">
            <v/>
          </cell>
          <cell r="I2453" t="str">
            <v/>
          </cell>
          <cell r="J2453">
            <v>3500</v>
          </cell>
          <cell r="K2453">
            <v>700</v>
          </cell>
          <cell r="L2453">
            <v>3500</v>
          </cell>
          <cell r="M2453" t="str">
            <v/>
          </cell>
          <cell r="N2453">
            <v>0</v>
          </cell>
        </row>
        <row r="2454">
          <cell r="A2454">
            <v>9869</v>
          </cell>
          <cell r="B2454" t="str">
            <v>21/12/2016</v>
          </cell>
          <cell r="C2454" t="str">
            <v>C1382</v>
          </cell>
          <cell r="D2454" t="str">
            <v>Insulation works as per quote NU 09</v>
          </cell>
          <cell r="E2454" t="str">
            <v>Scottfab Insulation Ltd</v>
          </cell>
          <cell r="F2454" t="str">
            <v>Subcontractor</v>
          </cell>
          <cell r="G2454" t="str">
            <v/>
          </cell>
          <cell r="H2454" t="str">
            <v/>
          </cell>
          <cell r="I2454" t="str">
            <v/>
          </cell>
          <cell r="J2454">
            <v>1050</v>
          </cell>
          <cell r="K2454">
            <v>210</v>
          </cell>
          <cell r="L2454">
            <v>1050</v>
          </cell>
          <cell r="M2454" t="str">
            <v/>
          </cell>
          <cell r="N2454">
            <v>0</v>
          </cell>
        </row>
        <row r="2455">
          <cell r="A2455">
            <v>9858</v>
          </cell>
          <cell r="B2455" t="str">
            <v>19/12/2016</v>
          </cell>
          <cell r="C2455" t="str">
            <v>C1396</v>
          </cell>
          <cell r="D2455" t="str">
            <v>Insulation of external traywash ductwork</v>
          </cell>
          <cell r="E2455" t="str">
            <v>Scottfab Insulation Ltd</v>
          </cell>
          <cell r="F2455" t="str">
            <v>Subcontractor</v>
          </cell>
          <cell r="G2455" t="str">
            <v/>
          </cell>
          <cell r="H2455" t="str">
            <v/>
          </cell>
          <cell r="I2455" t="str">
            <v/>
          </cell>
          <cell r="J2455">
            <v>2860</v>
          </cell>
          <cell r="K2455">
            <v>572</v>
          </cell>
          <cell r="L2455">
            <v>2860</v>
          </cell>
          <cell r="M2455" t="str">
            <v/>
          </cell>
          <cell r="N2455">
            <v>0</v>
          </cell>
        </row>
        <row r="2456">
          <cell r="A2456">
            <v>9836</v>
          </cell>
          <cell r="B2456" t="str">
            <v>15/12/2016</v>
          </cell>
          <cell r="C2456" t="str">
            <v>CALLOUT</v>
          </cell>
          <cell r="D2456" t="str">
            <v>Carry out works as quoted out of hours</v>
          </cell>
          <cell r="E2456" t="str">
            <v>Barrie Beard Ltd</v>
          </cell>
          <cell r="F2456" t="str">
            <v>Subcontractor</v>
          </cell>
          <cell r="G2456" t="str">
            <v/>
          </cell>
          <cell r="H2456" t="str">
            <v/>
          </cell>
          <cell r="I2456" t="str">
            <v/>
          </cell>
          <cell r="J2456">
            <v>2521.94</v>
          </cell>
          <cell r="K2456">
            <v>504.39</v>
          </cell>
          <cell r="L2456">
            <v>2521.94</v>
          </cell>
          <cell r="M2456" t="str">
            <v/>
          </cell>
          <cell r="N2456">
            <v>0</v>
          </cell>
        </row>
        <row r="2457">
          <cell r="A2457">
            <v>9824</v>
          </cell>
          <cell r="B2457" t="str">
            <v>14/12/2016</v>
          </cell>
          <cell r="C2457" t="str">
            <v>C1408</v>
          </cell>
          <cell r="D2457" t="str">
            <v>Ventilation Air Balance to supply, Extract &amp; Toilet Extract</v>
          </cell>
          <cell r="E2457" t="str">
            <v>Commissioning &amp; Maintenance Services Ltd</v>
          </cell>
          <cell r="F2457" t="str">
            <v>Subcontractor</v>
          </cell>
          <cell r="G2457" t="str">
            <v>22/12/2016</v>
          </cell>
          <cell r="H2457" t="str">
            <v/>
          </cell>
          <cell r="I2457" t="str">
            <v/>
          </cell>
          <cell r="J2457">
            <v>385</v>
          </cell>
          <cell r="K2457">
            <v>77</v>
          </cell>
          <cell r="L2457">
            <v>385</v>
          </cell>
          <cell r="M2457" t="str">
            <v/>
          </cell>
          <cell r="N2457">
            <v>0</v>
          </cell>
        </row>
        <row r="2458">
          <cell r="A2458">
            <v>9819</v>
          </cell>
          <cell r="B2458" t="str">
            <v>13/12/2016</v>
          </cell>
          <cell r="C2458" t="str">
            <v>C1414</v>
          </cell>
          <cell r="D2458" t="str">
            <v>Installation of all galvanised ductwork</v>
          </cell>
          <cell r="E2458" t="str">
            <v>OLD COUGAR ACCOUNT- DO NOT USE</v>
          </cell>
          <cell r="F2458" t="str">
            <v>Subcontractor</v>
          </cell>
          <cell r="G2458" t="str">
            <v/>
          </cell>
          <cell r="H2458" t="str">
            <v/>
          </cell>
          <cell r="I2458" t="str">
            <v/>
          </cell>
          <cell r="J2458">
            <v>6052</v>
          </cell>
          <cell r="K2458">
            <v>1210.4000000000001</v>
          </cell>
          <cell r="L2458">
            <v>6052</v>
          </cell>
          <cell r="M2458" t="str">
            <v/>
          </cell>
          <cell r="N2458">
            <v>0</v>
          </cell>
        </row>
        <row r="2459">
          <cell r="A2459">
            <v>9812</v>
          </cell>
          <cell r="B2459" t="str">
            <v>12/12/2016</v>
          </cell>
          <cell r="C2459" t="str">
            <v>C1396</v>
          </cell>
          <cell r="D2459" t="str">
            <v>Traywash extract ductwork</v>
          </cell>
          <cell r="E2459" t="str">
            <v>Firth Sheet Metal Limited</v>
          </cell>
          <cell r="F2459" t="str">
            <v>Subcontractor</v>
          </cell>
          <cell r="G2459" t="str">
            <v/>
          </cell>
          <cell r="H2459" t="str">
            <v>Complete</v>
          </cell>
          <cell r="I2459" t="str">
            <v/>
          </cell>
          <cell r="J2459">
            <v>0</v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</row>
        <row r="2460">
          <cell r="A2460">
            <v>9805</v>
          </cell>
          <cell r="B2460" t="str">
            <v>09/12/2016</v>
          </cell>
          <cell r="C2460" t="str">
            <v>C1409</v>
          </cell>
          <cell r="D2460" t="str">
            <v>Ventilation Commissioning</v>
          </cell>
          <cell r="E2460" t="str">
            <v>Commissioning &amp; Maintenance Services Ltd</v>
          </cell>
          <cell r="F2460" t="str">
            <v>Subcontractor</v>
          </cell>
          <cell r="G2460" t="str">
            <v>13/12/2016</v>
          </cell>
          <cell r="H2460" t="str">
            <v>Part</v>
          </cell>
          <cell r="I2460" t="str">
            <v/>
          </cell>
          <cell r="J2460">
            <v>380</v>
          </cell>
          <cell r="K2460">
            <v>76</v>
          </cell>
          <cell r="L2460">
            <v>380</v>
          </cell>
          <cell r="M2460" t="str">
            <v/>
          </cell>
          <cell r="N2460">
            <v>0</v>
          </cell>
        </row>
        <row r="2461">
          <cell r="A2461">
            <v>9802</v>
          </cell>
          <cell r="B2461" t="str">
            <v>08/12/2016</v>
          </cell>
          <cell r="C2461" t="str">
            <v>SERVICE</v>
          </cell>
          <cell r="D2461" t="str">
            <v>Major Visit</v>
          </cell>
          <cell r="E2461" t="str">
            <v>Burtonwood Generator &amp; Switchgear Services Ltd</v>
          </cell>
          <cell r="F2461" t="str">
            <v>Subcontractor</v>
          </cell>
          <cell r="G2461" t="str">
            <v/>
          </cell>
          <cell r="H2461" t="str">
            <v/>
          </cell>
          <cell r="I2461" t="str">
            <v/>
          </cell>
          <cell r="J2461">
            <v>169</v>
          </cell>
          <cell r="K2461">
            <v>33.799999999999997</v>
          </cell>
          <cell r="L2461">
            <v>169</v>
          </cell>
          <cell r="M2461" t="str">
            <v/>
          </cell>
          <cell r="N2461">
            <v>0</v>
          </cell>
        </row>
        <row r="2462">
          <cell r="A2462">
            <v>9792</v>
          </cell>
          <cell r="B2462" t="str">
            <v>07/12/2016</v>
          </cell>
          <cell r="C2462" t="str">
            <v>C1396</v>
          </cell>
          <cell r="D2462" t="str">
            <v>Traywash extract</v>
          </cell>
          <cell r="E2462" t="str">
            <v>Firth Sheet Metal Limited</v>
          </cell>
          <cell r="F2462" t="str">
            <v>Subcontractor</v>
          </cell>
          <cell r="G2462" t="str">
            <v>21/12/2016</v>
          </cell>
          <cell r="H2462" t="str">
            <v/>
          </cell>
          <cell r="I2462" t="str">
            <v/>
          </cell>
          <cell r="J2462">
            <v>1493</v>
          </cell>
          <cell r="K2462">
            <v>298.60000000000002</v>
          </cell>
          <cell r="L2462">
            <v>1493</v>
          </cell>
          <cell r="M2462" t="str">
            <v/>
          </cell>
          <cell r="N2462">
            <v>0</v>
          </cell>
        </row>
        <row r="2463">
          <cell r="A2463">
            <v>9791</v>
          </cell>
          <cell r="B2463" t="str">
            <v>07/12/2016</v>
          </cell>
          <cell r="C2463" t="str">
            <v>C1360</v>
          </cell>
          <cell r="D2463" t="str">
            <v>Chlorination and samples</v>
          </cell>
          <cell r="E2463" t="str">
            <v>Commissioning &amp; Maintenance Services Ltd</v>
          </cell>
          <cell r="F2463" t="str">
            <v>Subcontractor</v>
          </cell>
          <cell r="G2463" t="str">
            <v/>
          </cell>
          <cell r="H2463" t="str">
            <v/>
          </cell>
          <cell r="I2463" t="str">
            <v/>
          </cell>
          <cell r="J2463">
            <v>583</v>
          </cell>
          <cell r="K2463">
            <v>116.6</v>
          </cell>
          <cell r="L2463">
            <v>583</v>
          </cell>
          <cell r="M2463" t="str">
            <v/>
          </cell>
          <cell r="N2463">
            <v>0</v>
          </cell>
        </row>
        <row r="2464">
          <cell r="A2464">
            <v>9790</v>
          </cell>
          <cell r="B2464" t="str">
            <v>07/12/2016</v>
          </cell>
          <cell r="C2464" t="str">
            <v>C1323</v>
          </cell>
          <cell r="D2464" t="str">
            <v>Access hatches</v>
          </cell>
          <cell r="E2464" t="str">
            <v>Enviroplas Limited</v>
          </cell>
          <cell r="F2464" t="str">
            <v>Subcontractor</v>
          </cell>
          <cell r="G2464" t="str">
            <v/>
          </cell>
          <cell r="H2464" t="str">
            <v/>
          </cell>
          <cell r="I2464" t="str">
            <v/>
          </cell>
          <cell r="J2464">
            <v>836.2</v>
          </cell>
          <cell r="K2464">
            <v>167.24</v>
          </cell>
          <cell r="L2464">
            <v>836.2</v>
          </cell>
          <cell r="M2464" t="str">
            <v/>
          </cell>
          <cell r="N2464">
            <v>0</v>
          </cell>
        </row>
        <row r="2465">
          <cell r="A2465">
            <v>9789</v>
          </cell>
          <cell r="B2465" t="str">
            <v>07/12/2016</v>
          </cell>
          <cell r="C2465" t="str">
            <v>C1396</v>
          </cell>
          <cell r="D2465" t="str">
            <v>Wiring of extract fans</v>
          </cell>
          <cell r="E2465" t="str">
            <v>Kestrel North West Limited</v>
          </cell>
          <cell r="F2465" t="str">
            <v>Subcontractor</v>
          </cell>
          <cell r="G2465" t="str">
            <v/>
          </cell>
          <cell r="H2465" t="str">
            <v/>
          </cell>
          <cell r="I2465" t="str">
            <v/>
          </cell>
          <cell r="J2465">
            <v>322.05</v>
          </cell>
          <cell r="K2465">
            <v>64.41</v>
          </cell>
          <cell r="L2465">
            <v>322.05</v>
          </cell>
          <cell r="M2465" t="str">
            <v/>
          </cell>
          <cell r="N2465">
            <v>0</v>
          </cell>
        </row>
        <row r="2466">
          <cell r="A2466">
            <v>9786</v>
          </cell>
          <cell r="B2466" t="str">
            <v>07/12/2016</v>
          </cell>
          <cell r="C2466" t="str">
            <v>C1409</v>
          </cell>
          <cell r="D2466" t="str">
            <v>Integration of New Daikin AHU with Trend BMS Controls</v>
          </cell>
          <cell r="E2466" t="str">
            <v>Demma Controls Ltd</v>
          </cell>
          <cell r="F2466" t="str">
            <v>Subcontractor</v>
          </cell>
          <cell r="G2466" t="str">
            <v/>
          </cell>
          <cell r="H2466" t="str">
            <v/>
          </cell>
          <cell r="I2466" t="str">
            <v/>
          </cell>
          <cell r="J2466">
            <v>1436</v>
          </cell>
          <cell r="K2466">
            <v>287.2</v>
          </cell>
          <cell r="L2466">
            <v>1436</v>
          </cell>
          <cell r="M2466" t="str">
            <v/>
          </cell>
          <cell r="N2466">
            <v>0</v>
          </cell>
        </row>
        <row r="2467">
          <cell r="A2467">
            <v>9785</v>
          </cell>
          <cell r="B2467" t="str">
            <v>07/12/2016</v>
          </cell>
          <cell r="C2467" t="str">
            <v>SERVICE</v>
          </cell>
          <cell r="D2467" t="str">
            <v>2no Planned Maintenance Visits on UPS System</v>
          </cell>
          <cell r="E2467" t="str">
            <v>Centiel UK Ltd</v>
          </cell>
          <cell r="F2467" t="str">
            <v>Subcontractor</v>
          </cell>
          <cell r="G2467" t="str">
            <v/>
          </cell>
          <cell r="H2467" t="str">
            <v/>
          </cell>
          <cell r="I2467" t="str">
            <v/>
          </cell>
          <cell r="J2467">
            <v>850</v>
          </cell>
          <cell r="K2467">
            <v>170</v>
          </cell>
          <cell r="L2467">
            <v>850</v>
          </cell>
          <cell r="M2467" t="str">
            <v/>
          </cell>
          <cell r="N2467">
            <v>0</v>
          </cell>
        </row>
        <row r="2468">
          <cell r="A2468">
            <v>9764</v>
          </cell>
          <cell r="B2468" t="str">
            <v>02/12/2016</v>
          </cell>
          <cell r="C2468" t="str">
            <v>CALLOUT</v>
          </cell>
          <cell r="D2468" t="str">
            <v>Remove existing grilles and flexy ductwork &amp; reinstall</v>
          </cell>
          <cell r="E2468" t="str">
            <v>NCS Air Conditioning Ltd</v>
          </cell>
          <cell r="F2468" t="str">
            <v>Subcontractor</v>
          </cell>
          <cell r="G2468" t="str">
            <v/>
          </cell>
          <cell r="H2468" t="str">
            <v/>
          </cell>
          <cell r="I2468" t="str">
            <v/>
          </cell>
          <cell r="J2468">
            <v>505</v>
          </cell>
          <cell r="K2468">
            <v>101</v>
          </cell>
          <cell r="L2468">
            <v>505</v>
          </cell>
          <cell r="M2468" t="str">
            <v/>
          </cell>
          <cell r="N2468">
            <v>0</v>
          </cell>
        </row>
        <row r="2469">
          <cell r="A2469">
            <v>9762</v>
          </cell>
          <cell r="B2469" t="str">
            <v>02/12/2016</v>
          </cell>
          <cell r="C2469" t="str">
            <v>C1409</v>
          </cell>
          <cell r="D2469" t="str">
            <v>Crane lift at Festival Park.</v>
          </cell>
          <cell r="E2469" t="str">
            <v>Armquest Industrial Services Ltd</v>
          </cell>
          <cell r="F2469" t="str">
            <v>Subcontractor</v>
          </cell>
          <cell r="G2469" t="str">
            <v/>
          </cell>
          <cell r="H2469" t="str">
            <v>Part</v>
          </cell>
          <cell r="I2469" t="str">
            <v/>
          </cell>
          <cell r="J2469">
            <v>1250</v>
          </cell>
          <cell r="K2469">
            <v>250</v>
          </cell>
          <cell r="L2469">
            <v>1250</v>
          </cell>
          <cell r="M2469" t="str">
            <v/>
          </cell>
          <cell r="N2469">
            <v>0</v>
          </cell>
        </row>
        <row r="2470">
          <cell r="A2470">
            <v>9761</v>
          </cell>
          <cell r="B2470" t="str">
            <v>01/12/2016</v>
          </cell>
          <cell r="C2470" t="str">
            <v>C1377</v>
          </cell>
          <cell r="D2470" t="str">
            <v>AC Install &amp; Commissioning inc bigfoot supports</v>
          </cell>
          <cell r="E2470" t="str">
            <v>Heat Control Air Conditioning Ltd</v>
          </cell>
          <cell r="F2470" t="str">
            <v>Subcontractor</v>
          </cell>
          <cell r="G2470" t="str">
            <v/>
          </cell>
          <cell r="H2470" t="str">
            <v/>
          </cell>
          <cell r="I2470" t="str">
            <v/>
          </cell>
          <cell r="J2470">
            <v>37664.75</v>
          </cell>
          <cell r="K2470">
            <v>7532.95</v>
          </cell>
          <cell r="L2470">
            <v>37663.75</v>
          </cell>
          <cell r="M2470" t="str">
            <v/>
          </cell>
          <cell r="N2470">
            <v>1</v>
          </cell>
        </row>
        <row r="2471">
          <cell r="A2471">
            <v>9732</v>
          </cell>
          <cell r="B2471" t="str">
            <v>25/11/2016</v>
          </cell>
          <cell r="C2471" t="str">
            <v>C1377</v>
          </cell>
          <cell r="D2471" t="str">
            <v/>
          </cell>
          <cell r="E2471" t="str">
            <v>New Era Commissioning Specialists Ltd</v>
          </cell>
          <cell r="F2471" t="str">
            <v>Subcontractor</v>
          </cell>
          <cell r="G2471" t="str">
            <v>15/12/2016</v>
          </cell>
          <cell r="H2471" t="str">
            <v/>
          </cell>
          <cell r="I2471" t="str">
            <v/>
          </cell>
          <cell r="J2471">
            <v>11525</v>
          </cell>
          <cell r="K2471">
            <v>2305</v>
          </cell>
          <cell r="L2471">
            <v>11525</v>
          </cell>
          <cell r="M2471" t="str">
            <v/>
          </cell>
          <cell r="N2471">
            <v>0</v>
          </cell>
        </row>
        <row r="2472">
          <cell r="A2472">
            <v>9718</v>
          </cell>
          <cell r="B2472" t="str">
            <v>23/11/2016</v>
          </cell>
          <cell r="C2472" t="str">
            <v>C1413</v>
          </cell>
          <cell r="D2472" t="str">
            <v>Installation Works on Saturday as Discussed with Ryan Gillig</v>
          </cell>
          <cell r="E2472" t="str">
            <v>Enco Ltd</v>
          </cell>
          <cell r="F2472" t="str">
            <v>Subcontractor</v>
          </cell>
          <cell r="G2472" t="str">
            <v/>
          </cell>
          <cell r="H2472" t="str">
            <v/>
          </cell>
          <cell r="I2472" t="str">
            <v/>
          </cell>
          <cell r="J2472">
            <v>739</v>
          </cell>
          <cell r="K2472">
            <v>147.80000000000001</v>
          </cell>
          <cell r="L2472">
            <v>739</v>
          </cell>
          <cell r="M2472" t="str">
            <v/>
          </cell>
          <cell r="N2472">
            <v>0</v>
          </cell>
        </row>
        <row r="2473">
          <cell r="A2473">
            <v>9705</v>
          </cell>
          <cell r="B2473" t="str">
            <v>21/11/2016</v>
          </cell>
          <cell r="C2473" t="str">
            <v>C1379</v>
          </cell>
          <cell r="D2473" t="str">
            <v>Chlorination</v>
          </cell>
          <cell r="E2473" t="str">
            <v>New Era Commissioning Specialists Ltd</v>
          </cell>
          <cell r="F2473" t="str">
            <v>Subcontractor</v>
          </cell>
          <cell r="G2473" t="str">
            <v/>
          </cell>
          <cell r="H2473" t="str">
            <v/>
          </cell>
          <cell r="I2473" t="str">
            <v/>
          </cell>
          <cell r="J2473">
            <v>845</v>
          </cell>
          <cell r="K2473">
            <v>169</v>
          </cell>
          <cell r="L2473">
            <v>845</v>
          </cell>
          <cell r="M2473" t="str">
            <v/>
          </cell>
          <cell r="N2473">
            <v>0</v>
          </cell>
        </row>
        <row r="2474">
          <cell r="A2474">
            <v>9643</v>
          </cell>
          <cell r="B2474" t="str">
            <v>09/11/2016</v>
          </cell>
          <cell r="C2474" t="str">
            <v>C1409</v>
          </cell>
          <cell r="D2474" t="str">
            <v>Supply &amp; Install thermal insulation to internal supply ductw</v>
          </cell>
          <cell r="E2474" t="str">
            <v>Scottfab Insulation Ltd</v>
          </cell>
          <cell r="F2474" t="str">
            <v>Subcontractor</v>
          </cell>
          <cell r="G2474" t="str">
            <v>14/11/2016</v>
          </cell>
          <cell r="H2474" t="str">
            <v>Part</v>
          </cell>
          <cell r="I2474" t="str">
            <v/>
          </cell>
          <cell r="J2474">
            <v>1680</v>
          </cell>
          <cell r="K2474">
            <v>336</v>
          </cell>
          <cell r="L2474">
            <v>1630</v>
          </cell>
          <cell r="M2474" t="str">
            <v/>
          </cell>
          <cell r="N2474">
            <v>50</v>
          </cell>
        </row>
        <row r="2475">
          <cell r="A2475">
            <v>9636</v>
          </cell>
          <cell r="B2475" t="str">
            <v>08/11/2016</v>
          </cell>
          <cell r="C2475" t="str">
            <v>C1409</v>
          </cell>
          <cell r="D2475" t="str">
            <v>Strip out, remove suplly &amp; Install ventilation Ductwork</v>
          </cell>
          <cell r="E2475" t="str">
            <v>Auto-Vent Limited</v>
          </cell>
          <cell r="F2475" t="str">
            <v>Subcontractor</v>
          </cell>
          <cell r="G2475" t="str">
            <v>10/11/2016</v>
          </cell>
          <cell r="H2475" t="str">
            <v>Part</v>
          </cell>
          <cell r="I2475" t="str">
            <v/>
          </cell>
          <cell r="J2475">
            <v>6030.5</v>
          </cell>
          <cell r="K2475">
            <v>1206.0999999999999</v>
          </cell>
          <cell r="L2475">
            <v>6030.5</v>
          </cell>
          <cell r="M2475" t="str">
            <v/>
          </cell>
          <cell r="N2475">
            <v>0</v>
          </cell>
        </row>
        <row r="2476">
          <cell r="A2476">
            <v>9625</v>
          </cell>
          <cell r="B2476" t="str">
            <v>08/11/2016</v>
          </cell>
          <cell r="C2476" t="str">
            <v>C1412</v>
          </cell>
          <cell r="D2476" t="str">
            <v>Leeds EFW- M&amp;E fan installation works</v>
          </cell>
          <cell r="E2476" t="str">
            <v>Kestrel North West Limited</v>
          </cell>
          <cell r="F2476" t="str">
            <v>Subcontractor</v>
          </cell>
          <cell r="G2476" t="str">
            <v/>
          </cell>
          <cell r="H2476" t="str">
            <v/>
          </cell>
          <cell r="I2476" t="str">
            <v/>
          </cell>
          <cell r="J2476">
            <v>1088.75</v>
          </cell>
          <cell r="K2476">
            <v>217.75</v>
          </cell>
          <cell r="L2476">
            <v>1088.75</v>
          </cell>
          <cell r="M2476" t="str">
            <v/>
          </cell>
          <cell r="N2476">
            <v>0</v>
          </cell>
        </row>
        <row r="2477">
          <cell r="A2477">
            <v>9617</v>
          </cell>
          <cell r="B2477" t="str">
            <v>07/11/2016</v>
          </cell>
          <cell r="C2477" t="str">
            <v>SERVICE</v>
          </cell>
          <cell r="D2477" t="str">
            <v>EML Remedial Works plus completion of Annual Flick Test</v>
          </cell>
          <cell r="E2477" t="str">
            <v>Kestrel North West Limited</v>
          </cell>
          <cell r="F2477" t="str">
            <v>Subcontractor</v>
          </cell>
          <cell r="G2477" t="str">
            <v/>
          </cell>
          <cell r="H2477" t="str">
            <v/>
          </cell>
          <cell r="I2477" t="str">
            <v/>
          </cell>
          <cell r="J2477">
            <v>417.44</v>
          </cell>
          <cell r="K2477">
            <v>83.49</v>
          </cell>
          <cell r="L2477">
            <v>0</v>
          </cell>
          <cell r="M2477" t="str">
            <v/>
          </cell>
          <cell r="N2477">
            <v>417.44</v>
          </cell>
        </row>
        <row r="2478">
          <cell r="A2478">
            <v>9580</v>
          </cell>
          <cell r="B2478" t="str">
            <v>03/11/2016</v>
          </cell>
          <cell r="C2478" t="str">
            <v>C1407</v>
          </cell>
          <cell r="D2478" t="str">
            <v>Supply &amp; Installation Of Thermal Insulation Block 1</v>
          </cell>
          <cell r="E2478" t="str">
            <v>Insul-eight (Contracts) Limited</v>
          </cell>
          <cell r="F2478" t="str">
            <v>Subcontractor</v>
          </cell>
          <cell r="G2478" t="str">
            <v/>
          </cell>
          <cell r="H2478" t="str">
            <v/>
          </cell>
          <cell r="I2478" t="str">
            <v/>
          </cell>
          <cell r="J2478">
            <v>385</v>
          </cell>
          <cell r="K2478">
            <v>77</v>
          </cell>
          <cell r="L2478">
            <v>385</v>
          </cell>
          <cell r="M2478" t="str">
            <v/>
          </cell>
          <cell r="N2478">
            <v>0</v>
          </cell>
        </row>
        <row r="2479">
          <cell r="A2479">
            <v>9577</v>
          </cell>
          <cell r="B2479" t="str">
            <v>02/11/2016</v>
          </cell>
          <cell r="C2479" t="str">
            <v>C1396</v>
          </cell>
          <cell r="D2479" t="str">
            <v>Supply of control panel</v>
          </cell>
          <cell r="E2479" t="str">
            <v>Impact Control Systems Ltd</v>
          </cell>
          <cell r="F2479" t="str">
            <v>Subcontractor</v>
          </cell>
          <cell r="G2479" t="str">
            <v/>
          </cell>
          <cell r="H2479" t="str">
            <v/>
          </cell>
          <cell r="I2479" t="str">
            <v/>
          </cell>
          <cell r="J2479">
            <v>2000</v>
          </cell>
          <cell r="K2479">
            <v>400</v>
          </cell>
          <cell r="L2479">
            <v>2000</v>
          </cell>
          <cell r="M2479" t="str">
            <v/>
          </cell>
          <cell r="N2479">
            <v>0</v>
          </cell>
        </row>
        <row r="2480">
          <cell r="A2480">
            <v>9572</v>
          </cell>
          <cell r="B2480" t="str">
            <v>02/11/2016</v>
          </cell>
          <cell r="C2480" t="str">
            <v>C1396</v>
          </cell>
          <cell r="D2480" t="str">
            <v>Diamond drilling services</v>
          </cell>
          <cell r="E2480" t="str">
            <v>Diamond Drilling Services</v>
          </cell>
          <cell r="F2480" t="str">
            <v>Subcontractor</v>
          </cell>
          <cell r="G2480" t="str">
            <v>08/11/2016</v>
          </cell>
          <cell r="H2480" t="str">
            <v>Complete</v>
          </cell>
          <cell r="I2480" t="str">
            <v/>
          </cell>
          <cell r="J2480">
            <v>250</v>
          </cell>
          <cell r="K2480">
            <v>50</v>
          </cell>
          <cell r="L2480">
            <v>250</v>
          </cell>
          <cell r="M2480" t="str">
            <v/>
          </cell>
          <cell r="N2480">
            <v>0</v>
          </cell>
        </row>
        <row r="2481">
          <cell r="A2481">
            <v>9557</v>
          </cell>
          <cell r="B2481" t="str">
            <v>01/11/2016</v>
          </cell>
          <cell r="C2481" t="str">
            <v>C1396</v>
          </cell>
          <cell r="D2481" t="str">
            <v>lagging works</v>
          </cell>
          <cell r="E2481" t="str">
            <v>Scottfab Insulation Ltd</v>
          </cell>
          <cell r="F2481" t="str">
            <v>Subcontractor</v>
          </cell>
          <cell r="G2481" t="str">
            <v/>
          </cell>
          <cell r="H2481" t="str">
            <v/>
          </cell>
          <cell r="I2481" t="str">
            <v/>
          </cell>
          <cell r="J2481">
            <v>2115</v>
          </cell>
          <cell r="K2481">
            <v>423</v>
          </cell>
          <cell r="L2481">
            <v>2115</v>
          </cell>
          <cell r="M2481" t="str">
            <v/>
          </cell>
          <cell r="N2481">
            <v>0</v>
          </cell>
        </row>
        <row r="2482">
          <cell r="A2482">
            <v>9556</v>
          </cell>
          <cell r="B2482" t="str">
            <v>01/11/2016</v>
          </cell>
          <cell r="C2482" t="str">
            <v>C1377</v>
          </cell>
          <cell r="D2482" t="str">
            <v>Lagging works</v>
          </cell>
          <cell r="E2482" t="str">
            <v>Scottfab Insulation Ltd</v>
          </cell>
          <cell r="F2482" t="str">
            <v>Subcontractor</v>
          </cell>
          <cell r="G2482" t="str">
            <v/>
          </cell>
          <cell r="H2482" t="str">
            <v/>
          </cell>
          <cell r="I2482" t="str">
            <v/>
          </cell>
          <cell r="J2482">
            <v>35802</v>
          </cell>
          <cell r="K2482">
            <v>7160.4</v>
          </cell>
          <cell r="L2482">
            <v>35802</v>
          </cell>
          <cell r="M2482" t="str">
            <v/>
          </cell>
          <cell r="N2482">
            <v>0</v>
          </cell>
        </row>
        <row r="2483">
          <cell r="A2483">
            <v>9540</v>
          </cell>
          <cell r="B2483" t="str">
            <v>27/10/2016</v>
          </cell>
          <cell r="C2483" t="str">
            <v>CALLOUT</v>
          </cell>
          <cell r="D2483" t="str">
            <v>Carry out works as per email sent across 27.10.2016</v>
          </cell>
          <cell r="E2483" t="str">
            <v>Kestrel North West Limited</v>
          </cell>
          <cell r="F2483" t="str">
            <v>Subcontractor</v>
          </cell>
          <cell r="G2483" t="str">
            <v/>
          </cell>
          <cell r="H2483" t="str">
            <v/>
          </cell>
          <cell r="I2483" t="str">
            <v/>
          </cell>
          <cell r="J2483">
            <v>1859.2</v>
          </cell>
          <cell r="K2483">
            <v>371.84</v>
          </cell>
          <cell r="L2483">
            <v>1859.2</v>
          </cell>
          <cell r="M2483" t="str">
            <v/>
          </cell>
          <cell r="N2483">
            <v>0</v>
          </cell>
        </row>
        <row r="2484">
          <cell r="A2484">
            <v>9536</v>
          </cell>
          <cell r="B2484" t="str">
            <v>26/10/2016</v>
          </cell>
          <cell r="C2484" t="str">
            <v>C1408</v>
          </cell>
          <cell r="D2484" t="str">
            <v>Supply &amp; Install Thermal Insulation to Supply &amp; FA I Ductwor</v>
          </cell>
          <cell r="E2484" t="str">
            <v>Insul-eight (Contracts) Limited</v>
          </cell>
          <cell r="F2484" t="str">
            <v>Subcontractor</v>
          </cell>
          <cell r="G2484" t="str">
            <v>14/11/2016</v>
          </cell>
          <cell r="H2484" t="str">
            <v/>
          </cell>
          <cell r="I2484" t="str">
            <v/>
          </cell>
          <cell r="J2484">
            <v>1800</v>
          </cell>
          <cell r="K2484">
            <v>360</v>
          </cell>
          <cell r="L2484">
            <v>1800</v>
          </cell>
          <cell r="M2484" t="str">
            <v/>
          </cell>
          <cell r="N2484">
            <v>0</v>
          </cell>
        </row>
        <row r="2485">
          <cell r="A2485">
            <v>9534</v>
          </cell>
          <cell r="B2485" t="str">
            <v>26/10/2016</v>
          </cell>
          <cell r="C2485" t="str">
            <v>C1407</v>
          </cell>
          <cell r="D2485" t="str">
            <v>Sub Contract Order as Job Number C1407 for Supply &amp; Installa</v>
          </cell>
          <cell r="E2485" t="str">
            <v>Auto-Vent Limited</v>
          </cell>
          <cell r="F2485" t="str">
            <v>Subcontractor</v>
          </cell>
          <cell r="G2485" t="str">
            <v>31/10/2016</v>
          </cell>
          <cell r="H2485" t="str">
            <v>Part</v>
          </cell>
          <cell r="I2485" t="str">
            <v/>
          </cell>
          <cell r="J2485">
            <v>15935.94</v>
          </cell>
          <cell r="K2485">
            <v>3187.19</v>
          </cell>
          <cell r="L2485">
            <v>15935.94</v>
          </cell>
          <cell r="M2485" t="str">
            <v/>
          </cell>
          <cell r="N2485">
            <v>0</v>
          </cell>
        </row>
        <row r="2486">
          <cell r="A2486">
            <v>9532</v>
          </cell>
          <cell r="B2486" t="str">
            <v>26/10/2016</v>
          </cell>
          <cell r="C2486" t="str">
            <v>C1408</v>
          </cell>
          <cell r="D2486" t="str">
            <v>Sub Contract Order as Job Number C1407</v>
          </cell>
          <cell r="E2486" t="str">
            <v>Auto-Vent Limited</v>
          </cell>
          <cell r="F2486" t="str">
            <v>Subcontractor</v>
          </cell>
          <cell r="G2486" t="str">
            <v>03/11/2016</v>
          </cell>
          <cell r="H2486" t="str">
            <v/>
          </cell>
          <cell r="I2486" t="str">
            <v/>
          </cell>
          <cell r="J2486">
            <v>20700</v>
          </cell>
          <cell r="K2486">
            <v>4140</v>
          </cell>
          <cell r="L2486">
            <v>20700</v>
          </cell>
          <cell r="M2486" t="str">
            <v/>
          </cell>
          <cell r="N2486">
            <v>0</v>
          </cell>
        </row>
        <row r="2487">
          <cell r="A2487">
            <v>9531</v>
          </cell>
          <cell r="B2487" t="str">
            <v>26/10/2016</v>
          </cell>
          <cell r="C2487" t="str">
            <v>C1346</v>
          </cell>
          <cell r="D2487" t="str">
            <v>Return Visit - AC works</v>
          </cell>
          <cell r="E2487" t="str">
            <v>Auto-Vent Limited</v>
          </cell>
          <cell r="F2487" t="str">
            <v>Subcontractor</v>
          </cell>
          <cell r="G2487" t="str">
            <v/>
          </cell>
          <cell r="H2487" t="str">
            <v/>
          </cell>
          <cell r="I2487" t="str">
            <v/>
          </cell>
          <cell r="J2487">
            <v>420</v>
          </cell>
          <cell r="K2487">
            <v>84</v>
          </cell>
          <cell r="L2487">
            <v>420</v>
          </cell>
          <cell r="M2487" t="str">
            <v/>
          </cell>
          <cell r="N2487">
            <v>0</v>
          </cell>
        </row>
        <row r="2488">
          <cell r="A2488">
            <v>9530</v>
          </cell>
          <cell r="B2488" t="str">
            <v>26/10/2016</v>
          </cell>
          <cell r="C2488" t="str">
            <v>C1382</v>
          </cell>
          <cell r="D2488" t="str">
            <v>Install of plastic ductwork as per the drawings</v>
          </cell>
          <cell r="E2488" t="str">
            <v>GPL Specialist Ventilations Services Ltd</v>
          </cell>
          <cell r="F2488" t="str">
            <v>Subcontractor</v>
          </cell>
          <cell r="G2488" t="str">
            <v/>
          </cell>
          <cell r="H2488" t="str">
            <v/>
          </cell>
          <cell r="I2488" t="str">
            <v/>
          </cell>
          <cell r="J2488">
            <v>1850</v>
          </cell>
          <cell r="K2488">
            <v>370</v>
          </cell>
          <cell r="L2488">
            <v>1850</v>
          </cell>
          <cell r="M2488" t="str">
            <v/>
          </cell>
          <cell r="N2488">
            <v>0</v>
          </cell>
        </row>
        <row r="2489">
          <cell r="A2489">
            <v>9513</v>
          </cell>
          <cell r="B2489" t="str">
            <v>21/10/2016</v>
          </cell>
          <cell r="C2489" t="str">
            <v>C1382</v>
          </cell>
          <cell r="D2489" t="str">
            <v>Commissioning works</v>
          </cell>
          <cell r="E2489" t="str">
            <v>Schneider Electric Ltd</v>
          </cell>
          <cell r="F2489" t="str">
            <v>Subcontractor</v>
          </cell>
          <cell r="G2489" t="str">
            <v/>
          </cell>
          <cell r="H2489" t="str">
            <v/>
          </cell>
          <cell r="I2489" t="str">
            <v/>
          </cell>
          <cell r="J2489">
            <v>924</v>
          </cell>
          <cell r="K2489">
            <v>184.8</v>
          </cell>
          <cell r="L2489">
            <v>924</v>
          </cell>
          <cell r="M2489" t="str">
            <v/>
          </cell>
          <cell r="N2489">
            <v>0</v>
          </cell>
        </row>
        <row r="2490">
          <cell r="A2490">
            <v>9512</v>
          </cell>
          <cell r="B2490" t="str">
            <v>21/10/2016</v>
          </cell>
          <cell r="C2490" t="str">
            <v>C1382</v>
          </cell>
          <cell r="D2490" t="str">
            <v>Balancing of floor 2 Newcastle Uni</v>
          </cell>
          <cell r="E2490" t="str">
            <v>New Era Commissioning Specialists Ltd</v>
          </cell>
          <cell r="F2490" t="str">
            <v>Subcontractor</v>
          </cell>
          <cell r="G2490" t="str">
            <v/>
          </cell>
          <cell r="H2490" t="str">
            <v/>
          </cell>
          <cell r="I2490" t="str">
            <v/>
          </cell>
          <cell r="J2490">
            <v>500</v>
          </cell>
          <cell r="K2490">
            <v>100</v>
          </cell>
          <cell r="L2490">
            <v>500</v>
          </cell>
          <cell r="M2490" t="str">
            <v/>
          </cell>
          <cell r="N2490">
            <v>0</v>
          </cell>
        </row>
        <row r="2491">
          <cell r="A2491">
            <v>9511</v>
          </cell>
          <cell r="B2491" t="str">
            <v>21/10/2016</v>
          </cell>
          <cell r="C2491" t="str">
            <v>C1396</v>
          </cell>
          <cell r="D2491" t="str">
            <v>Chlorination of water services</v>
          </cell>
          <cell r="E2491" t="str">
            <v>Commissioning &amp; Maintenance Services Ltd</v>
          </cell>
          <cell r="F2491" t="str">
            <v>Subcontractor</v>
          </cell>
          <cell r="G2491" t="str">
            <v/>
          </cell>
          <cell r="H2491" t="str">
            <v/>
          </cell>
          <cell r="I2491" t="str">
            <v/>
          </cell>
          <cell r="J2491">
            <v>812.3</v>
          </cell>
          <cell r="K2491">
            <v>162.46</v>
          </cell>
          <cell r="L2491">
            <v>812.3</v>
          </cell>
          <cell r="M2491" t="str">
            <v/>
          </cell>
          <cell r="N2491">
            <v>0</v>
          </cell>
        </row>
        <row r="2492">
          <cell r="A2492">
            <v>9510</v>
          </cell>
          <cell r="B2492" t="str">
            <v>21/10/2016</v>
          </cell>
          <cell r="C2492" t="str">
            <v>C1396</v>
          </cell>
          <cell r="D2492" t="str">
            <v>Labour</v>
          </cell>
          <cell r="E2492" t="str">
            <v>ICB Plumbing and Heating T/A Vic Coupland Mechanical Ltd</v>
          </cell>
          <cell r="F2492" t="str">
            <v>Subcontractor</v>
          </cell>
          <cell r="G2492" t="str">
            <v/>
          </cell>
          <cell r="H2492" t="str">
            <v>Part</v>
          </cell>
          <cell r="I2492" t="str">
            <v/>
          </cell>
          <cell r="J2492">
            <v>656.7</v>
          </cell>
          <cell r="K2492">
            <v>131.34</v>
          </cell>
          <cell r="L2492">
            <v>656.7</v>
          </cell>
          <cell r="M2492" t="str">
            <v/>
          </cell>
          <cell r="N2492">
            <v>0</v>
          </cell>
        </row>
        <row r="2493">
          <cell r="A2493">
            <v>9507</v>
          </cell>
          <cell r="B2493" t="str">
            <v>20/10/2016</v>
          </cell>
          <cell r="C2493" t="str">
            <v>C1396</v>
          </cell>
          <cell r="D2493" t="str">
            <v>AC Install &amp;Commission</v>
          </cell>
          <cell r="E2493" t="str">
            <v>Heat Control Air Conditioning Ltd</v>
          </cell>
          <cell r="F2493" t="str">
            <v>Subcontractor</v>
          </cell>
          <cell r="G2493" t="str">
            <v/>
          </cell>
          <cell r="H2493" t="str">
            <v>Part</v>
          </cell>
          <cell r="I2493" t="str">
            <v/>
          </cell>
          <cell r="J2493">
            <v>9700</v>
          </cell>
          <cell r="K2493">
            <v>1940</v>
          </cell>
          <cell r="L2493">
            <v>9700</v>
          </cell>
          <cell r="M2493" t="str">
            <v/>
          </cell>
          <cell r="N2493">
            <v>0</v>
          </cell>
        </row>
        <row r="2494">
          <cell r="A2494">
            <v>9502</v>
          </cell>
          <cell r="B2494" t="str">
            <v>19/10/2016</v>
          </cell>
          <cell r="C2494" t="str">
            <v>CALLOUT</v>
          </cell>
          <cell r="D2494" t="str">
            <v>Install 2no Key Switches as Quoted</v>
          </cell>
          <cell r="E2494" t="str">
            <v>Kestrel North West Limited</v>
          </cell>
          <cell r="F2494" t="str">
            <v>Subcontractor</v>
          </cell>
          <cell r="G2494" t="str">
            <v/>
          </cell>
          <cell r="H2494" t="str">
            <v/>
          </cell>
          <cell r="I2494" t="str">
            <v/>
          </cell>
          <cell r="J2494">
            <v>223.35</v>
          </cell>
          <cell r="K2494">
            <v>44.67</v>
          </cell>
          <cell r="L2494">
            <v>223.35</v>
          </cell>
          <cell r="M2494" t="str">
            <v/>
          </cell>
          <cell r="N2494">
            <v>0</v>
          </cell>
        </row>
        <row r="2495">
          <cell r="A2495">
            <v>9499</v>
          </cell>
          <cell r="B2495" t="str">
            <v>19/10/2016</v>
          </cell>
          <cell r="C2495" t="str">
            <v>C1382</v>
          </cell>
          <cell r="D2495" t="str">
            <v>Trace HTG a sper quote NU 06</v>
          </cell>
          <cell r="E2495" t="str">
            <v>Scottfab Insulation Ltd</v>
          </cell>
          <cell r="F2495" t="str">
            <v>Subcontractor</v>
          </cell>
          <cell r="G2495" t="str">
            <v/>
          </cell>
          <cell r="H2495" t="str">
            <v/>
          </cell>
          <cell r="I2495" t="str">
            <v/>
          </cell>
          <cell r="J2495">
            <v>570</v>
          </cell>
          <cell r="K2495">
            <v>114</v>
          </cell>
          <cell r="L2495">
            <v>570</v>
          </cell>
          <cell r="M2495" t="str">
            <v/>
          </cell>
          <cell r="N2495">
            <v>0</v>
          </cell>
        </row>
        <row r="2496">
          <cell r="A2496">
            <v>9464</v>
          </cell>
          <cell r="B2496" t="str">
            <v>13/10/2016</v>
          </cell>
          <cell r="C2496" t="str">
            <v>C1397</v>
          </cell>
          <cell r="D2496" t="str">
            <v>VENT MODS</v>
          </cell>
          <cell r="E2496" t="str">
            <v>OLD COUGAR ACCOUNT- DO NOT USE</v>
          </cell>
          <cell r="F2496" t="str">
            <v>Subcontractor</v>
          </cell>
          <cell r="G2496" t="str">
            <v/>
          </cell>
          <cell r="H2496" t="str">
            <v>Part</v>
          </cell>
          <cell r="I2496" t="str">
            <v/>
          </cell>
          <cell r="J2496">
            <v>452</v>
          </cell>
          <cell r="K2496">
            <v>90.4</v>
          </cell>
          <cell r="L2496">
            <v>452</v>
          </cell>
          <cell r="M2496" t="str">
            <v/>
          </cell>
          <cell r="N2496">
            <v>0</v>
          </cell>
        </row>
        <row r="2497">
          <cell r="A2497">
            <v>9462</v>
          </cell>
          <cell r="B2497" t="str">
            <v>13/10/2016</v>
          </cell>
          <cell r="C2497" t="str">
            <v>C1396</v>
          </cell>
          <cell r="D2497" t="str">
            <v>Lagging works as quoted</v>
          </cell>
          <cell r="E2497" t="str">
            <v>Scottfab Insulation Ltd</v>
          </cell>
          <cell r="F2497" t="str">
            <v>Subcontractor</v>
          </cell>
          <cell r="G2497" t="str">
            <v/>
          </cell>
          <cell r="H2497" t="str">
            <v>Part</v>
          </cell>
          <cell r="I2497" t="str">
            <v/>
          </cell>
          <cell r="J2497">
            <v>1400</v>
          </cell>
          <cell r="K2497">
            <v>280</v>
          </cell>
          <cell r="L2497">
            <v>1400</v>
          </cell>
          <cell r="M2497" t="str">
            <v/>
          </cell>
          <cell r="N2497">
            <v>0</v>
          </cell>
        </row>
        <row r="2498">
          <cell r="A2498">
            <v>9446</v>
          </cell>
          <cell r="B2498" t="str">
            <v>11/10/2016</v>
          </cell>
          <cell r="C2498" t="str">
            <v>C1382</v>
          </cell>
          <cell r="D2498" t="str">
            <v>Carry out works as per quotation ref TN-MP-NU-05</v>
          </cell>
          <cell r="E2498" t="str">
            <v>Scottfab Insulation Ltd</v>
          </cell>
          <cell r="F2498" t="str">
            <v>Subcontractor</v>
          </cell>
          <cell r="G2498" t="str">
            <v/>
          </cell>
          <cell r="H2498" t="str">
            <v/>
          </cell>
          <cell r="I2498" t="str">
            <v/>
          </cell>
          <cell r="J2498">
            <v>285</v>
          </cell>
          <cell r="K2498">
            <v>57</v>
          </cell>
          <cell r="L2498">
            <v>285</v>
          </cell>
          <cell r="M2498" t="str">
            <v/>
          </cell>
          <cell r="N2498">
            <v>0</v>
          </cell>
        </row>
        <row r="2499">
          <cell r="A2499">
            <v>9430</v>
          </cell>
          <cell r="B2499" t="str">
            <v>10/10/2016</v>
          </cell>
          <cell r="C2499" t="str">
            <v>CALLOUT</v>
          </cell>
          <cell r="D2499" t="str">
            <v>Investigation required on 1st floor emergency lighting</v>
          </cell>
          <cell r="E2499" t="str">
            <v>Kestrel North West Limited</v>
          </cell>
          <cell r="F2499" t="str">
            <v>Subcontractor</v>
          </cell>
          <cell r="G2499" t="str">
            <v/>
          </cell>
          <cell r="H2499" t="str">
            <v/>
          </cell>
          <cell r="I2499" t="str">
            <v/>
          </cell>
          <cell r="J2499">
            <v>65</v>
          </cell>
          <cell r="K2499">
            <v>13</v>
          </cell>
          <cell r="L2499">
            <v>65</v>
          </cell>
          <cell r="M2499" t="str">
            <v/>
          </cell>
          <cell r="N2499">
            <v>0</v>
          </cell>
        </row>
        <row r="2500">
          <cell r="A2500">
            <v>9400</v>
          </cell>
          <cell r="B2500" t="str">
            <v>04/10/2016</v>
          </cell>
          <cell r="C2500" t="str">
            <v>C1406</v>
          </cell>
          <cell r="D2500" t="str">
            <v>Installation of all dwk &amp; associated</v>
          </cell>
          <cell r="E2500" t="str">
            <v>OLD COUGAR ACCOUNT- DO NOT USE</v>
          </cell>
          <cell r="F2500" t="str">
            <v>Subcontractor</v>
          </cell>
          <cell r="G2500" t="str">
            <v/>
          </cell>
          <cell r="H2500" t="str">
            <v/>
          </cell>
          <cell r="I2500" t="str">
            <v/>
          </cell>
          <cell r="J2500">
            <v>31577.5</v>
          </cell>
          <cell r="K2500">
            <v>6315.5</v>
          </cell>
          <cell r="L2500">
            <v>31577.5</v>
          </cell>
          <cell r="M2500" t="str">
            <v/>
          </cell>
          <cell r="N2500">
            <v>0</v>
          </cell>
        </row>
        <row r="2501">
          <cell r="A2501">
            <v>9399</v>
          </cell>
          <cell r="B2501" t="str">
            <v>04/10/2016</v>
          </cell>
          <cell r="C2501" t="str">
            <v>C1402</v>
          </cell>
          <cell r="D2501" t="str">
            <v>Installation of all dwk &amp; associated</v>
          </cell>
          <cell r="E2501" t="str">
            <v>OLD COUGAR ACCOUNT- DO NOT USE</v>
          </cell>
          <cell r="F2501" t="str">
            <v>Subcontractor</v>
          </cell>
          <cell r="G2501" t="str">
            <v/>
          </cell>
          <cell r="H2501" t="str">
            <v>Part</v>
          </cell>
          <cell r="I2501" t="str">
            <v/>
          </cell>
          <cell r="J2501">
            <v>5750</v>
          </cell>
          <cell r="K2501">
            <v>1150</v>
          </cell>
          <cell r="L2501">
            <v>5750</v>
          </cell>
          <cell r="M2501" t="str">
            <v/>
          </cell>
          <cell r="N2501">
            <v>0</v>
          </cell>
        </row>
        <row r="2502">
          <cell r="A2502">
            <v>9398</v>
          </cell>
          <cell r="B2502" t="str">
            <v>04/10/2016</v>
          </cell>
          <cell r="C2502" t="str">
            <v>C1403</v>
          </cell>
          <cell r="D2502" t="str">
            <v>Installation of all dwk &amp; associated</v>
          </cell>
          <cell r="E2502" t="str">
            <v>OLD COUGAR ACCOUNT- DO NOT USE</v>
          </cell>
          <cell r="F2502" t="str">
            <v>Subcontractor</v>
          </cell>
          <cell r="G2502" t="str">
            <v/>
          </cell>
          <cell r="H2502" t="str">
            <v>Part</v>
          </cell>
          <cell r="I2502" t="str">
            <v/>
          </cell>
          <cell r="J2502">
            <v>36436</v>
          </cell>
          <cell r="K2502">
            <v>7287.2</v>
          </cell>
          <cell r="L2502">
            <v>36436</v>
          </cell>
          <cell r="M2502" t="str">
            <v/>
          </cell>
          <cell r="N2502">
            <v>0</v>
          </cell>
        </row>
        <row r="2503">
          <cell r="A2503">
            <v>9397</v>
          </cell>
          <cell r="B2503" t="str">
            <v>04/10/2016</v>
          </cell>
          <cell r="C2503" t="str">
            <v>C1386</v>
          </cell>
          <cell r="D2503" t="str">
            <v>Installation of all dwk &amp; associated</v>
          </cell>
          <cell r="E2503" t="str">
            <v>OLD COUGAR ACCOUNT- DO NOT USE</v>
          </cell>
          <cell r="F2503" t="str">
            <v>Subcontractor</v>
          </cell>
          <cell r="G2503" t="str">
            <v/>
          </cell>
          <cell r="H2503" t="str">
            <v>Part</v>
          </cell>
          <cell r="I2503" t="str">
            <v/>
          </cell>
          <cell r="J2503">
            <v>53430</v>
          </cell>
          <cell r="K2503">
            <v>10686</v>
          </cell>
          <cell r="L2503">
            <v>53430</v>
          </cell>
          <cell r="M2503" t="str">
            <v/>
          </cell>
          <cell r="N2503">
            <v>0</v>
          </cell>
        </row>
        <row r="2504">
          <cell r="A2504">
            <v>9383</v>
          </cell>
          <cell r="B2504" t="str">
            <v>30/09/2016</v>
          </cell>
          <cell r="C2504" t="str">
            <v>C1382</v>
          </cell>
          <cell r="D2504" t="str">
            <v>AC Install Works</v>
          </cell>
          <cell r="E2504" t="str">
            <v>Heat Control Air Conditioning Ltd</v>
          </cell>
          <cell r="F2504" t="str">
            <v>Subcontractor</v>
          </cell>
          <cell r="G2504" t="str">
            <v/>
          </cell>
          <cell r="H2504" t="str">
            <v>Part</v>
          </cell>
          <cell r="I2504" t="str">
            <v/>
          </cell>
          <cell r="J2504">
            <v>4332.75</v>
          </cell>
          <cell r="K2504">
            <v>866.55</v>
          </cell>
          <cell r="L2504">
            <v>4332.75</v>
          </cell>
          <cell r="M2504" t="str">
            <v/>
          </cell>
          <cell r="N2504">
            <v>0</v>
          </cell>
        </row>
        <row r="2505">
          <cell r="A2505">
            <v>9364</v>
          </cell>
          <cell r="B2505" t="str">
            <v>28/09/2016</v>
          </cell>
          <cell r="C2505" t="str">
            <v>CALLOUT</v>
          </cell>
          <cell r="D2505" t="str">
            <v>Attend Site to Invesitgate/Fix Fire Door</v>
          </cell>
          <cell r="E2505" t="str">
            <v>Wroot Contracts Limited</v>
          </cell>
          <cell r="F2505" t="str">
            <v>Subcontractor</v>
          </cell>
          <cell r="G2505" t="str">
            <v/>
          </cell>
          <cell r="H2505" t="str">
            <v/>
          </cell>
          <cell r="I2505" t="str">
            <v/>
          </cell>
          <cell r="J2505">
            <v>250</v>
          </cell>
          <cell r="K2505">
            <v>50</v>
          </cell>
          <cell r="L2505">
            <v>250</v>
          </cell>
          <cell r="M2505" t="str">
            <v/>
          </cell>
          <cell r="N2505">
            <v>0</v>
          </cell>
        </row>
        <row r="2506">
          <cell r="A2506">
            <v>9326</v>
          </cell>
          <cell r="B2506" t="str">
            <v>23/09/2016</v>
          </cell>
          <cell r="C2506" t="str">
            <v>C1404</v>
          </cell>
          <cell r="D2506" t="str">
            <v>Labour</v>
          </cell>
          <cell r="E2506" t="str">
            <v>ICB Plumbing and Heating T/A Vic Coupland Mechanical Ltd</v>
          </cell>
          <cell r="F2506" t="str">
            <v>Subcontractor</v>
          </cell>
          <cell r="G2506" t="str">
            <v>26/09/2016</v>
          </cell>
          <cell r="H2506" t="str">
            <v/>
          </cell>
          <cell r="I2506" t="str">
            <v/>
          </cell>
          <cell r="J2506">
            <v>7020</v>
          </cell>
          <cell r="K2506">
            <v>1404</v>
          </cell>
          <cell r="L2506">
            <v>7020</v>
          </cell>
          <cell r="M2506" t="str">
            <v/>
          </cell>
          <cell r="N2506">
            <v>0</v>
          </cell>
        </row>
        <row r="2507">
          <cell r="A2507">
            <v>9318</v>
          </cell>
          <cell r="B2507" t="str">
            <v>22/09/2016</v>
          </cell>
          <cell r="C2507" t="str">
            <v>C1404</v>
          </cell>
          <cell r="D2507" t="str">
            <v>Relocate 1No Tank &amp; Pump House as Quote 5946 (21.9.16)</v>
          </cell>
          <cell r="E2507" t="str">
            <v>Jack Waghorn International Ltd</v>
          </cell>
          <cell r="F2507" t="str">
            <v>Subcontractor</v>
          </cell>
          <cell r="G2507" t="str">
            <v>04/10/2016</v>
          </cell>
          <cell r="H2507" t="str">
            <v/>
          </cell>
          <cell r="I2507" t="str">
            <v/>
          </cell>
          <cell r="J2507">
            <v>1970</v>
          </cell>
          <cell r="K2507">
            <v>394</v>
          </cell>
          <cell r="L2507">
            <v>1970</v>
          </cell>
          <cell r="M2507" t="str">
            <v/>
          </cell>
          <cell r="N2507">
            <v>0</v>
          </cell>
        </row>
        <row r="2508">
          <cell r="A2508">
            <v>9304</v>
          </cell>
          <cell r="B2508" t="str">
            <v>21/09/2016</v>
          </cell>
          <cell r="C2508" t="str">
            <v>C1397</v>
          </cell>
          <cell r="D2508" t="str">
            <v>WC mods</v>
          </cell>
          <cell r="E2508" t="str">
            <v>ICB Plumbing and Heating T/A Vic Coupland Mechanical Ltd</v>
          </cell>
          <cell r="F2508" t="str">
            <v>Subcontractor</v>
          </cell>
          <cell r="G2508" t="str">
            <v/>
          </cell>
          <cell r="H2508" t="str">
            <v>Part</v>
          </cell>
          <cell r="I2508" t="str">
            <v/>
          </cell>
          <cell r="J2508">
            <v>578.01</v>
          </cell>
          <cell r="K2508">
            <v>115.6</v>
          </cell>
          <cell r="L2508">
            <v>578.01</v>
          </cell>
          <cell r="M2508" t="str">
            <v/>
          </cell>
          <cell r="N2508">
            <v>0</v>
          </cell>
        </row>
        <row r="2509">
          <cell r="A2509">
            <v>9303</v>
          </cell>
          <cell r="B2509" t="str">
            <v>21/09/2016</v>
          </cell>
          <cell r="C2509" t="str">
            <v>C1387</v>
          </cell>
          <cell r="D2509" t="str">
            <v>Mods to mech services</v>
          </cell>
          <cell r="E2509" t="str">
            <v>ICB Plumbing and Heating T/A Vic Coupland Mechanical Ltd</v>
          </cell>
          <cell r="F2509" t="str">
            <v>Subcontractor</v>
          </cell>
          <cell r="G2509" t="str">
            <v/>
          </cell>
          <cell r="H2509" t="str">
            <v>Part</v>
          </cell>
          <cell r="I2509" t="str">
            <v/>
          </cell>
          <cell r="J2509">
            <v>1792</v>
          </cell>
          <cell r="K2509">
            <v>358.4</v>
          </cell>
          <cell r="L2509">
            <v>1792</v>
          </cell>
          <cell r="M2509" t="str">
            <v/>
          </cell>
          <cell r="N2509">
            <v>0</v>
          </cell>
        </row>
        <row r="2510">
          <cell r="A2510">
            <v>9298</v>
          </cell>
          <cell r="B2510" t="str">
            <v>20/09/2016</v>
          </cell>
          <cell r="C2510" t="str">
            <v>C1323</v>
          </cell>
          <cell r="D2510" t="str">
            <v>NHS Quote Ref: 160641</v>
          </cell>
          <cell r="E2510" t="str">
            <v>RJ Urmston Commissioning Engineers Ltd</v>
          </cell>
          <cell r="F2510" t="str">
            <v>Subcontractor</v>
          </cell>
          <cell r="G2510" t="str">
            <v/>
          </cell>
          <cell r="H2510" t="str">
            <v>Part</v>
          </cell>
          <cell r="I2510" t="str">
            <v/>
          </cell>
          <cell r="J2510">
            <v>900</v>
          </cell>
          <cell r="K2510">
            <v>180</v>
          </cell>
          <cell r="L2510">
            <v>900</v>
          </cell>
          <cell r="M2510" t="str">
            <v/>
          </cell>
          <cell r="N2510">
            <v>0</v>
          </cell>
        </row>
        <row r="2511">
          <cell r="A2511">
            <v>9289</v>
          </cell>
          <cell r="B2511" t="str">
            <v>19/09/2016</v>
          </cell>
          <cell r="C2511" t="str">
            <v>C1346</v>
          </cell>
          <cell r="D2511" t="str">
            <v>VentilEight Order</v>
          </cell>
          <cell r="E2511" t="str">
            <v>OLD COUGAR ACCOUNT- DO NOT USE</v>
          </cell>
          <cell r="F2511" t="str">
            <v>Subcontractor</v>
          </cell>
          <cell r="G2511" t="str">
            <v/>
          </cell>
          <cell r="H2511" t="str">
            <v/>
          </cell>
          <cell r="I2511" t="str">
            <v/>
          </cell>
          <cell r="J2511">
            <v>11510</v>
          </cell>
          <cell r="K2511">
            <v>2302</v>
          </cell>
          <cell r="L2511">
            <v>11510</v>
          </cell>
          <cell r="M2511" t="str">
            <v/>
          </cell>
          <cell r="N2511">
            <v>0</v>
          </cell>
        </row>
        <row r="2512">
          <cell r="A2512">
            <v>9288</v>
          </cell>
          <cell r="B2512" t="str">
            <v>19/09/2016</v>
          </cell>
          <cell r="C2512" t="str">
            <v>C1358</v>
          </cell>
          <cell r="D2512" t="str">
            <v>VentilEight Order</v>
          </cell>
          <cell r="E2512" t="str">
            <v>OLD COUGAR ACCOUNT- DO NOT USE</v>
          </cell>
          <cell r="F2512" t="str">
            <v>Subcontractor</v>
          </cell>
          <cell r="G2512" t="str">
            <v/>
          </cell>
          <cell r="H2512" t="str">
            <v/>
          </cell>
          <cell r="I2512" t="str">
            <v/>
          </cell>
          <cell r="J2512">
            <v>5000</v>
          </cell>
          <cell r="K2512">
            <v>1000</v>
          </cell>
          <cell r="L2512">
            <v>5000</v>
          </cell>
          <cell r="M2512" t="str">
            <v/>
          </cell>
          <cell r="N2512">
            <v>0</v>
          </cell>
        </row>
        <row r="2513">
          <cell r="A2513">
            <v>9287</v>
          </cell>
          <cell r="B2513" t="str">
            <v>19/09/2016</v>
          </cell>
          <cell r="C2513" t="str">
            <v>C1372</v>
          </cell>
          <cell r="D2513" t="str">
            <v>VentilEight Order</v>
          </cell>
          <cell r="E2513" t="str">
            <v>OLD COUGAR ACCOUNT- DO NOT USE</v>
          </cell>
          <cell r="F2513" t="str">
            <v>Subcontractor</v>
          </cell>
          <cell r="G2513" t="str">
            <v/>
          </cell>
          <cell r="H2513" t="str">
            <v/>
          </cell>
          <cell r="I2513" t="str">
            <v/>
          </cell>
          <cell r="J2513">
            <v>12470</v>
          </cell>
          <cell r="K2513">
            <v>2494</v>
          </cell>
          <cell r="L2513">
            <v>12470</v>
          </cell>
          <cell r="M2513" t="str">
            <v/>
          </cell>
          <cell r="N2513">
            <v>0</v>
          </cell>
        </row>
        <row r="2514">
          <cell r="A2514">
            <v>9286</v>
          </cell>
          <cell r="B2514" t="str">
            <v>19/09/2016</v>
          </cell>
          <cell r="C2514" t="str">
            <v>C1390</v>
          </cell>
          <cell r="D2514" t="str">
            <v>Newcastle Order</v>
          </cell>
          <cell r="E2514" t="str">
            <v>OLD COUGAR ACCOUNT- DO NOT USE</v>
          </cell>
          <cell r="F2514" t="str">
            <v>Subcontractor</v>
          </cell>
          <cell r="G2514" t="str">
            <v/>
          </cell>
          <cell r="H2514" t="str">
            <v/>
          </cell>
          <cell r="I2514" t="str">
            <v/>
          </cell>
          <cell r="J2514">
            <v>23950</v>
          </cell>
          <cell r="K2514">
            <v>4790</v>
          </cell>
          <cell r="L2514">
            <v>23950</v>
          </cell>
          <cell r="M2514" t="str">
            <v/>
          </cell>
          <cell r="N2514">
            <v>0</v>
          </cell>
        </row>
        <row r="2515">
          <cell r="A2515">
            <v>9285</v>
          </cell>
          <cell r="B2515" t="str">
            <v>19/09/2016</v>
          </cell>
          <cell r="C2515" t="str">
            <v>C1349</v>
          </cell>
          <cell r="D2515" t="str">
            <v>VentilEight Order</v>
          </cell>
          <cell r="E2515" t="str">
            <v>OLD COUGAR ACCOUNT- DO NOT USE</v>
          </cell>
          <cell r="F2515" t="str">
            <v>Subcontractor</v>
          </cell>
          <cell r="G2515" t="str">
            <v/>
          </cell>
          <cell r="H2515" t="str">
            <v>Part</v>
          </cell>
          <cell r="I2515" t="str">
            <v/>
          </cell>
          <cell r="J2515">
            <v>38929</v>
          </cell>
          <cell r="K2515">
            <v>7785.8</v>
          </cell>
          <cell r="L2515">
            <v>38929</v>
          </cell>
          <cell r="M2515" t="str">
            <v/>
          </cell>
          <cell r="N2515">
            <v>0</v>
          </cell>
        </row>
        <row r="2516">
          <cell r="A2516">
            <v>9280</v>
          </cell>
          <cell r="B2516" t="str">
            <v>16/09/2016</v>
          </cell>
          <cell r="C2516" t="str">
            <v>C1360</v>
          </cell>
          <cell r="D2516" t="str">
            <v>Ductwork install</v>
          </cell>
          <cell r="E2516" t="str">
            <v>Auto-Vent Limited</v>
          </cell>
          <cell r="F2516" t="str">
            <v>Subcontractor</v>
          </cell>
          <cell r="G2516" t="str">
            <v/>
          </cell>
          <cell r="H2516" t="str">
            <v>Part</v>
          </cell>
          <cell r="I2516" t="str">
            <v/>
          </cell>
          <cell r="J2516">
            <v>11490</v>
          </cell>
          <cell r="K2516">
            <v>2298</v>
          </cell>
          <cell r="L2516">
            <v>11490</v>
          </cell>
          <cell r="M2516" t="str">
            <v/>
          </cell>
          <cell r="N2516">
            <v>0</v>
          </cell>
        </row>
        <row r="2517">
          <cell r="A2517">
            <v>9272</v>
          </cell>
          <cell r="B2517" t="str">
            <v>14/09/2016</v>
          </cell>
          <cell r="C2517" t="str">
            <v>CALLOUT</v>
          </cell>
          <cell r="D2517" t="str">
            <v>Investigate why Lights are Inoperative</v>
          </cell>
          <cell r="E2517" t="str">
            <v>Kestrel North West Limited</v>
          </cell>
          <cell r="F2517" t="str">
            <v>Subcontractor</v>
          </cell>
          <cell r="G2517" t="str">
            <v/>
          </cell>
          <cell r="H2517" t="str">
            <v>Part</v>
          </cell>
          <cell r="I2517" t="str">
            <v/>
          </cell>
          <cell r="J2517">
            <v>55</v>
          </cell>
          <cell r="K2517">
            <v>11</v>
          </cell>
          <cell r="L2517">
            <v>55</v>
          </cell>
          <cell r="M2517" t="str">
            <v/>
          </cell>
          <cell r="N2517">
            <v>0</v>
          </cell>
        </row>
        <row r="2518">
          <cell r="A2518">
            <v>9265</v>
          </cell>
          <cell r="B2518" t="str">
            <v>13/09/2016</v>
          </cell>
          <cell r="C2518" t="str">
            <v>CALLOUT</v>
          </cell>
          <cell r="D2518" t="str">
            <v>2no Additional Sockets &amp; 3no New Data Points</v>
          </cell>
          <cell r="E2518" t="str">
            <v>Kestrel North West Limited</v>
          </cell>
          <cell r="F2518" t="str">
            <v>Subcontractor</v>
          </cell>
          <cell r="G2518" t="str">
            <v/>
          </cell>
          <cell r="H2518" t="str">
            <v>Part</v>
          </cell>
          <cell r="I2518" t="str">
            <v/>
          </cell>
          <cell r="J2518">
            <v>284</v>
          </cell>
          <cell r="K2518">
            <v>56.8</v>
          </cell>
          <cell r="L2518">
            <v>284</v>
          </cell>
          <cell r="M2518" t="str">
            <v/>
          </cell>
          <cell r="N2518">
            <v>0</v>
          </cell>
        </row>
        <row r="2519">
          <cell r="A2519">
            <v>9261</v>
          </cell>
          <cell r="B2519" t="str">
            <v>13/09/2016</v>
          </cell>
          <cell r="C2519" t="str">
            <v>C1382</v>
          </cell>
          <cell r="D2519" t="str">
            <v>As per MP email 22.06.16</v>
          </cell>
          <cell r="E2519" t="str">
            <v>ICB Plumbing and Heating T/A Vic Coupland Mechanical Ltd</v>
          </cell>
          <cell r="F2519" t="str">
            <v>Subcontractor</v>
          </cell>
          <cell r="G2519" t="str">
            <v/>
          </cell>
          <cell r="H2519" t="str">
            <v>Part</v>
          </cell>
          <cell r="I2519" t="str">
            <v/>
          </cell>
          <cell r="J2519">
            <v>85000</v>
          </cell>
          <cell r="K2519">
            <v>17000</v>
          </cell>
          <cell r="L2519">
            <v>85000</v>
          </cell>
          <cell r="M2519" t="str">
            <v/>
          </cell>
          <cell r="N2519">
            <v>0</v>
          </cell>
        </row>
        <row r="2520">
          <cell r="A2520">
            <v>9259</v>
          </cell>
          <cell r="B2520" t="str">
            <v>13/09/2016</v>
          </cell>
          <cell r="C2520" t="str">
            <v>C1398</v>
          </cell>
          <cell r="D2520" t="str">
            <v>Fit water descaler</v>
          </cell>
          <cell r="E2520" t="str">
            <v>Kestrel North West Limited</v>
          </cell>
          <cell r="F2520" t="str">
            <v>Subcontractor</v>
          </cell>
          <cell r="G2520" t="str">
            <v/>
          </cell>
          <cell r="H2520" t="str">
            <v/>
          </cell>
          <cell r="I2520" t="str">
            <v/>
          </cell>
          <cell r="J2520">
            <v>394.5</v>
          </cell>
          <cell r="K2520">
            <v>78.900000000000006</v>
          </cell>
          <cell r="L2520">
            <v>394.5</v>
          </cell>
          <cell r="M2520" t="str">
            <v/>
          </cell>
          <cell r="N2520">
            <v>0</v>
          </cell>
        </row>
        <row r="2521">
          <cell r="A2521">
            <v>9255</v>
          </cell>
          <cell r="B2521" t="str">
            <v>13/09/2016</v>
          </cell>
          <cell r="C2521" t="str">
            <v>C1382</v>
          </cell>
          <cell r="D2521" t="str">
            <v>Installation of Fume extract</v>
          </cell>
          <cell r="E2521" t="str">
            <v>OLD COUGAR ACCOUNT- DO NOT USE</v>
          </cell>
          <cell r="F2521" t="str">
            <v>Subcontractor</v>
          </cell>
          <cell r="G2521" t="str">
            <v/>
          </cell>
          <cell r="H2521" t="str">
            <v>Part</v>
          </cell>
          <cell r="I2521" t="str">
            <v/>
          </cell>
          <cell r="J2521">
            <v>4000</v>
          </cell>
          <cell r="K2521">
            <v>800</v>
          </cell>
          <cell r="L2521">
            <v>4000</v>
          </cell>
          <cell r="M2521" t="str">
            <v/>
          </cell>
          <cell r="N2521">
            <v>0</v>
          </cell>
        </row>
        <row r="2522">
          <cell r="A2522">
            <v>9252</v>
          </cell>
          <cell r="B2522" t="str">
            <v>13/09/2016</v>
          </cell>
          <cell r="C2522" t="str">
            <v>CALLOUT</v>
          </cell>
          <cell r="D2522" t="str">
            <v>Fix Lights No Longer Working</v>
          </cell>
          <cell r="E2522" t="str">
            <v>Barrie Beard Ltd</v>
          </cell>
          <cell r="F2522" t="str">
            <v>Subcontractor</v>
          </cell>
          <cell r="G2522" t="str">
            <v/>
          </cell>
          <cell r="H2522" t="str">
            <v/>
          </cell>
          <cell r="I2522" t="str">
            <v/>
          </cell>
          <cell r="J2522">
            <v>338</v>
          </cell>
          <cell r="K2522">
            <v>67.599999999999994</v>
          </cell>
          <cell r="L2522">
            <v>338</v>
          </cell>
          <cell r="M2522" t="str">
            <v/>
          </cell>
          <cell r="N2522">
            <v>0</v>
          </cell>
        </row>
        <row r="2523">
          <cell r="A2523">
            <v>9251</v>
          </cell>
          <cell r="B2523" t="str">
            <v>13/09/2016</v>
          </cell>
          <cell r="C2523" t="str">
            <v>CALLOUT</v>
          </cell>
          <cell r="D2523" t="str">
            <v>Investigate Electrical Issue 1st Floor</v>
          </cell>
          <cell r="E2523" t="str">
            <v>Barrie Beard Ltd</v>
          </cell>
          <cell r="F2523" t="str">
            <v>Subcontractor</v>
          </cell>
          <cell r="G2523" t="str">
            <v/>
          </cell>
          <cell r="H2523" t="str">
            <v>Part</v>
          </cell>
          <cell r="I2523" t="str">
            <v/>
          </cell>
          <cell r="J2523">
            <v>125</v>
          </cell>
          <cell r="K2523">
            <v>25</v>
          </cell>
          <cell r="L2523">
            <v>125</v>
          </cell>
          <cell r="M2523" t="str">
            <v/>
          </cell>
          <cell r="N2523">
            <v>0</v>
          </cell>
        </row>
        <row r="2524">
          <cell r="A2524">
            <v>9235</v>
          </cell>
          <cell r="B2524" t="str">
            <v>09/09/2016</v>
          </cell>
          <cell r="C2524" t="str">
            <v>C1377</v>
          </cell>
          <cell r="D2524" t="str">
            <v>Mechanical services installation and testing.</v>
          </cell>
          <cell r="E2524" t="str">
            <v>ICB Plumbing and Heating T/A Vic Coupland Mechanical Ltd</v>
          </cell>
          <cell r="F2524" t="str">
            <v>Subcontractor</v>
          </cell>
          <cell r="G2524" t="str">
            <v>12/09/2016</v>
          </cell>
          <cell r="H2524" t="str">
            <v/>
          </cell>
          <cell r="I2524" t="str">
            <v/>
          </cell>
          <cell r="J2524">
            <v>82544</v>
          </cell>
          <cell r="K2524">
            <v>16508.8</v>
          </cell>
          <cell r="L2524">
            <v>82544</v>
          </cell>
          <cell r="M2524" t="str">
            <v/>
          </cell>
          <cell r="N2524">
            <v>0</v>
          </cell>
        </row>
        <row r="2525">
          <cell r="A2525">
            <v>9234</v>
          </cell>
          <cell r="B2525" t="str">
            <v>09/09/2016</v>
          </cell>
          <cell r="C2525" t="str">
            <v>CALLOUT</v>
          </cell>
          <cell r="D2525" t="str">
            <v>Ductwork Assessment s per Quotation</v>
          </cell>
          <cell r="E2525" t="str">
            <v>OLD COUGAR ACCOUNT- DO NOT USE</v>
          </cell>
          <cell r="F2525" t="str">
            <v>Subcontractor</v>
          </cell>
          <cell r="G2525" t="str">
            <v/>
          </cell>
          <cell r="H2525" t="str">
            <v>Part</v>
          </cell>
          <cell r="I2525" t="str">
            <v/>
          </cell>
          <cell r="J2525">
            <v>1371</v>
          </cell>
          <cell r="K2525">
            <v>274.2</v>
          </cell>
          <cell r="L2525">
            <v>1371</v>
          </cell>
          <cell r="M2525" t="str">
            <v/>
          </cell>
          <cell r="N2525">
            <v>0</v>
          </cell>
        </row>
        <row r="2526">
          <cell r="A2526">
            <v>9195</v>
          </cell>
          <cell r="B2526" t="str">
            <v>06/09/2016</v>
          </cell>
          <cell r="C2526" t="str">
            <v>CALLOUT</v>
          </cell>
          <cell r="D2526" t="str">
            <v>Replaced Various Lamps at JP Melton Mowbray</v>
          </cell>
          <cell r="E2526" t="str">
            <v>Barrie Beard Ltd</v>
          </cell>
          <cell r="F2526" t="str">
            <v>Subcontractor</v>
          </cell>
          <cell r="G2526" t="str">
            <v/>
          </cell>
          <cell r="H2526" t="str">
            <v/>
          </cell>
          <cell r="I2526" t="str">
            <v/>
          </cell>
          <cell r="J2526">
            <v>185.65</v>
          </cell>
          <cell r="K2526">
            <v>37.130000000000003</v>
          </cell>
          <cell r="L2526">
            <v>185.65</v>
          </cell>
          <cell r="M2526" t="str">
            <v/>
          </cell>
          <cell r="N2526">
            <v>0</v>
          </cell>
        </row>
        <row r="2527">
          <cell r="A2527">
            <v>9194</v>
          </cell>
          <cell r="B2527" t="str">
            <v>06/09/2016</v>
          </cell>
          <cell r="C2527" t="str">
            <v>CALLOUT</v>
          </cell>
          <cell r="D2527" t="str">
            <v>Attended Site to Investigate Power Surges as Equipment Got W</v>
          </cell>
          <cell r="E2527" t="str">
            <v>Barrie Beard Ltd</v>
          </cell>
          <cell r="F2527" t="str">
            <v>Subcontractor</v>
          </cell>
          <cell r="G2527" t="str">
            <v/>
          </cell>
          <cell r="H2527" t="str">
            <v/>
          </cell>
          <cell r="I2527" t="str">
            <v/>
          </cell>
          <cell r="J2527">
            <v>95</v>
          </cell>
          <cell r="K2527">
            <v>19</v>
          </cell>
          <cell r="L2527">
            <v>95</v>
          </cell>
          <cell r="M2527" t="str">
            <v/>
          </cell>
          <cell r="N2527">
            <v>0</v>
          </cell>
        </row>
        <row r="2528">
          <cell r="A2528">
            <v>9162</v>
          </cell>
          <cell r="B2528" t="str">
            <v>31/08/2016</v>
          </cell>
          <cell r="C2528" t="str">
            <v>CALLOUT</v>
          </cell>
          <cell r="D2528" t="str">
            <v>2 men 4 hours First Aid Room Installation</v>
          </cell>
          <cell r="E2528" t="str">
            <v>Kestrel North West Limited</v>
          </cell>
          <cell r="F2528" t="str">
            <v>Subcontractor</v>
          </cell>
          <cell r="G2528" t="str">
            <v/>
          </cell>
          <cell r="H2528" t="str">
            <v>Part</v>
          </cell>
          <cell r="I2528" t="str">
            <v/>
          </cell>
          <cell r="J2528">
            <v>272</v>
          </cell>
          <cell r="K2528">
            <v>54.4</v>
          </cell>
          <cell r="L2528">
            <v>272</v>
          </cell>
          <cell r="M2528" t="str">
            <v/>
          </cell>
          <cell r="N2528">
            <v>0</v>
          </cell>
        </row>
        <row r="2529">
          <cell r="A2529">
            <v>9090</v>
          </cell>
          <cell r="B2529" t="str">
            <v>18/08/2016</v>
          </cell>
          <cell r="C2529" t="str">
            <v>C1346</v>
          </cell>
          <cell r="D2529" t="str">
            <v>Welding Works</v>
          </cell>
          <cell r="E2529" t="str">
            <v>Roscow Mechanical Limited</v>
          </cell>
          <cell r="F2529" t="str">
            <v>Subcontractor</v>
          </cell>
          <cell r="G2529" t="str">
            <v/>
          </cell>
          <cell r="H2529" t="str">
            <v/>
          </cell>
          <cell r="I2529" t="str">
            <v/>
          </cell>
          <cell r="J2529">
            <v>798</v>
          </cell>
          <cell r="K2529">
            <v>159.6</v>
          </cell>
          <cell r="L2529">
            <v>798</v>
          </cell>
          <cell r="M2529" t="str">
            <v/>
          </cell>
          <cell r="N2529">
            <v>0</v>
          </cell>
        </row>
        <row r="2530">
          <cell r="A2530">
            <v>9067</v>
          </cell>
          <cell r="B2530" t="str">
            <v>12/08/2016</v>
          </cell>
          <cell r="C2530" t="str">
            <v>C1394</v>
          </cell>
          <cell r="D2530" t="str">
            <v>Sump pump remedial works</v>
          </cell>
          <cell r="E2530" t="str">
            <v>Wisbech Electrical Ltd</v>
          </cell>
          <cell r="F2530" t="str">
            <v>Subcontractor</v>
          </cell>
          <cell r="G2530" t="str">
            <v/>
          </cell>
          <cell r="H2530" t="str">
            <v/>
          </cell>
          <cell r="I2530" t="str">
            <v/>
          </cell>
          <cell r="J2530">
            <v>2375</v>
          </cell>
          <cell r="K2530">
            <v>475</v>
          </cell>
          <cell r="L2530">
            <v>2375</v>
          </cell>
          <cell r="M2530" t="str">
            <v/>
          </cell>
          <cell r="N2530">
            <v>0</v>
          </cell>
        </row>
        <row r="2531">
          <cell r="A2531">
            <v>9066</v>
          </cell>
          <cell r="B2531" t="str">
            <v>12/08/2016</v>
          </cell>
          <cell r="C2531" t="str">
            <v>C1394</v>
          </cell>
          <cell r="D2531" t="str">
            <v>Aluminium cladding of lagged water pipework</v>
          </cell>
          <cell r="E2531" t="str">
            <v>Scottfab Insulation Ltd</v>
          </cell>
          <cell r="F2531" t="str">
            <v>Subcontractor</v>
          </cell>
          <cell r="G2531" t="str">
            <v>30/08/2016</v>
          </cell>
          <cell r="H2531" t="str">
            <v>Part</v>
          </cell>
          <cell r="I2531" t="str">
            <v/>
          </cell>
          <cell r="J2531">
            <v>6470</v>
          </cell>
          <cell r="K2531">
            <v>1294</v>
          </cell>
          <cell r="L2531">
            <v>6470</v>
          </cell>
          <cell r="M2531" t="str">
            <v/>
          </cell>
          <cell r="N2531">
            <v>0</v>
          </cell>
        </row>
        <row r="2532">
          <cell r="A2532">
            <v>9020</v>
          </cell>
          <cell r="B2532" t="str">
            <v>05/08/2016</v>
          </cell>
          <cell r="C2532" t="str">
            <v>CALLOUT</v>
          </cell>
          <cell r="D2532" t="str">
            <v>Remove &amp; Replace Maglocks &amp; Digi Locks to 2no Doors</v>
          </cell>
          <cell r="E2532" t="str">
            <v>Kestrel North West Limited</v>
          </cell>
          <cell r="F2532" t="str">
            <v>Subcontractor</v>
          </cell>
          <cell r="G2532" t="str">
            <v/>
          </cell>
          <cell r="H2532" t="str">
            <v/>
          </cell>
          <cell r="I2532" t="str">
            <v/>
          </cell>
          <cell r="J2532">
            <v>692.8</v>
          </cell>
          <cell r="K2532">
            <v>138.56</v>
          </cell>
          <cell r="L2532">
            <v>0</v>
          </cell>
          <cell r="M2532" t="str">
            <v/>
          </cell>
          <cell r="N2532">
            <v>692.8</v>
          </cell>
        </row>
        <row r="2533">
          <cell r="A2533">
            <v>9012</v>
          </cell>
          <cell r="B2533" t="str">
            <v>04/08/2016</v>
          </cell>
          <cell r="C2533" t="str">
            <v>C1398</v>
          </cell>
          <cell r="D2533" t="str">
            <v>Hot water mods as discussed.</v>
          </cell>
          <cell r="E2533" t="str">
            <v>Enco Ltd</v>
          </cell>
          <cell r="F2533" t="str">
            <v>Subcontractor</v>
          </cell>
          <cell r="G2533" t="str">
            <v/>
          </cell>
          <cell r="H2533" t="str">
            <v/>
          </cell>
          <cell r="I2533" t="str">
            <v/>
          </cell>
          <cell r="J2533">
            <v>3176</v>
          </cell>
          <cell r="K2533">
            <v>635.20000000000005</v>
          </cell>
          <cell r="L2533">
            <v>3176</v>
          </cell>
          <cell r="M2533" t="str">
            <v/>
          </cell>
          <cell r="N2533">
            <v>0</v>
          </cell>
        </row>
        <row r="2534">
          <cell r="A2534">
            <v>9000</v>
          </cell>
          <cell r="B2534" t="str">
            <v>04/08/2016</v>
          </cell>
          <cell r="C2534" t="str">
            <v>C1360</v>
          </cell>
          <cell r="D2534" t="str">
            <v>laging est cost</v>
          </cell>
          <cell r="E2534" t="str">
            <v>Scottfab Insulation Ltd</v>
          </cell>
          <cell r="F2534" t="str">
            <v>Subcontractor</v>
          </cell>
          <cell r="G2534" t="str">
            <v/>
          </cell>
          <cell r="H2534" t="str">
            <v/>
          </cell>
          <cell r="I2534" t="str">
            <v/>
          </cell>
          <cell r="J2534">
            <v>1815</v>
          </cell>
          <cell r="K2534">
            <v>363</v>
          </cell>
          <cell r="L2534">
            <v>1815</v>
          </cell>
          <cell r="M2534" t="str">
            <v/>
          </cell>
          <cell r="N2534">
            <v>0</v>
          </cell>
        </row>
        <row r="2535">
          <cell r="A2535">
            <v>8984</v>
          </cell>
          <cell r="B2535" t="str">
            <v>02/08/2016</v>
          </cell>
          <cell r="C2535" t="str">
            <v>CALLOUT</v>
          </cell>
          <cell r="D2535" t="str">
            <v>Supply &amp; Install Various Lights as per email 26.07.16</v>
          </cell>
          <cell r="E2535" t="str">
            <v>Barrie Beard Ltd</v>
          </cell>
          <cell r="F2535" t="str">
            <v>Subcontractor</v>
          </cell>
          <cell r="G2535" t="str">
            <v/>
          </cell>
          <cell r="H2535" t="str">
            <v/>
          </cell>
          <cell r="I2535" t="str">
            <v/>
          </cell>
          <cell r="J2535">
            <v>684</v>
          </cell>
          <cell r="K2535">
            <v>136.80000000000001</v>
          </cell>
          <cell r="L2535">
            <v>684</v>
          </cell>
          <cell r="M2535" t="str">
            <v/>
          </cell>
          <cell r="N2535">
            <v>0</v>
          </cell>
        </row>
        <row r="2536">
          <cell r="A2536">
            <v>8963</v>
          </cell>
          <cell r="B2536" t="str">
            <v>29/07/2016</v>
          </cell>
          <cell r="C2536" t="str">
            <v>C1382</v>
          </cell>
          <cell r="D2536" t="str">
            <v>Insulation as per quote NU 3</v>
          </cell>
          <cell r="E2536" t="str">
            <v>Scottfab Insulation Ltd</v>
          </cell>
          <cell r="F2536" t="str">
            <v>Subcontractor</v>
          </cell>
          <cell r="G2536" t="str">
            <v/>
          </cell>
          <cell r="H2536" t="str">
            <v/>
          </cell>
          <cell r="I2536" t="str">
            <v/>
          </cell>
          <cell r="J2536">
            <v>15109</v>
          </cell>
          <cell r="K2536">
            <v>3021.8</v>
          </cell>
          <cell r="L2536">
            <v>15109</v>
          </cell>
          <cell r="M2536" t="str">
            <v/>
          </cell>
          <cell r="N2536">
            <v>0</v>
          </cell>
        </row>
        <row r="2537">
          <cell r="A2537">
            <v>8952</v>
          </cell>
          <cell r="B2537" t="str">
            <v>27/07/2016</v>
          </cell>
          <cell r="C2537" t="str">
            <v>CALLOUT</v>
          </cell>
          <cell r="D2537" t="str">
            <v>Call out to faulty light in loft</v>
          </cell>
          <cell r="E2537" t="str">
            <v>Kestrel North West Limited</v>
          </cell>
          <cell r="F2537" t="str">
            <v>Subcontractor</v>
          </cell>
          <cell r="G2537" t="str">
            <v/>
          </cell>
          <cell r="H2537" t="str">
            <v/>
          </cell>
          <cell r="I2537" t="str">
            <v/>
          </cell>
          <cell r="J2537">
            <v>55</v>
          </cell>
          <cell r="K2537">
            <v>11</v>
          </cell>
          <cell r="L2537">
            <v>0</v>
          </cell>
          <cell r="M2537" t="str">
            <v/>
          </cell>
          <cell r="N2537">
            <v>55</v>
          </cell>
        </row>
        <row r="2538">
          <cell r="A2538">
            <v>8951</v>
          </cell>
          <cell r="B2538" t="str">
            <v>27/07/2016</v>
          </cell>
          <cell r="C2538" t="str">
            <v>CALLOUT</v>
          </cell>
          <cell r="D2538" t="str">
            <v>Supply &amp; Install 5ft Batten</v>
          </cell>
          <cell r="E2538" t="str">
            <v>Kestrel North West Limited</v>
          </cell>
          <cell r="F2538" t="str">
            <v>Subcontractor</v>
          </cell>
          <cell r="G2538" t="str">
            <v/>
          </cell>
          <cell r="H2538" t="str">
            <v/>
          </cell>
          <cell r="I2538" t="str">
            <v/>
          </cell>
          <cell r="J2538">
            <v>55</v>
          </cell>
          <cell r="K2538">
            <v>11</v>
          </cell>
          <cell r="L2538">
            <v>55</v>
          </cell>
          <cell r="M2538" t="str">
            <v/>
          </cell>
          <cell r="N2538">
            <v>0</v>
          </cell>
        </row>
        <row r="2539">
          <cell r="A2539">
            <v>8949</v>
          </cell>
          <cell r="B2539" t="str">
            <v>27/07/2016</v>
          </cell>
          <cell r="C2539" t="str">
            <v>CALLOUT</v>
          </cell>
          <cell r="D2539" t="str">
            <v>Attend site to investigate stairwell lights</v>
          </cell>
          <cell r="E2539" t="str">
            <v>Kestrel North West Limited</v>
          </cell>
          <cell r="F2539" t="str">
            <v>Subcontractor</v>
          </cell>
          <cell r="G2539" t="str">
            <v/>
          </cell>
          <cell r="H2539" t="str">
            <v/>
          </cell>
          <cell r="I2539" t="str">
            <v/>
          </cell>
          <cell r="J2539">
            <v>451</v>
          </cell>
          <cell r="K2539">
            <v>90.2</v>
          </cell>
          <cell r="L2539">
            <v>451</v>
          </cell>
          <cell r="M2539" t="str">
            <v/>
          </cell>
          <cell r="N2539">
            <v>0</v>
          </cell>
        </row>
        <row r="2540">
          <cell r="A2540">
            <v>8933</v>
          </cell>
          <cell r="B2540" t="str">
            <v>26/07/2016</v>
          </cell>
          <cell r="C2540" t="str">
            <v>CALLOUT</v>
          </cell>
          <cell r="D2540" t="str">
            <v>Attend site to replace keypads as discussed with mark poulto</v>
          </cell>
          <cell r="E2540" t="str">
            <v>Kestrel North West Limited</v>
          </cell>
          <cell r="F2540" t="str">
            <v>Subcontractor</v>
          </cell>
          <cell r="G2540" t="str">
            <v/>
          </cell>
          <cell r="H2540" t="str">
            <v/>
          </cell>
          <cell r="I2540" t="str">
            <v/>
          </cell>
          <cell r="J2540">
            <v>500</v>
          </cell>
          <cell r="K2540">
            <v>100</v>
          </cell>
          <cell r="L2540">
            <v>500</v>
          </cell>
          <cell r="M2540" t="str">
            <v/>
          </cell>
          <cell r="N2540">
            <v>0</v>
          </cell>
        </row>
        <row r="2541">
          <cell r="A2541">
            <v>8908</v>
          </cell>
          <cell r="B2541" t="str">
            <v>21/07/2016</v>
          </cell>
          <cell r="C2541" t="str">
            <v>C1377</v>
          </cell>
          <cell r="D2541" t="str">
            <v>Design, supply, installation, testing and commissioning of c</v>
          </cell>
          <cell r="E2541" t="str">
            <v>Impact Control Systems Ltd</v>
          </cell>
          <cell r="F2541" t="str">
            <v>Subcontractor</v>
          </cell>
          <cell r="G2541" t="str">
            <v>12/09/2016</v>
          </cell>
          <cell r="H2541" t="str">
            <v/>
          </cell>
          <cell r="I2541" t="str">
            <v/>
          </cell>
          <cell r="J2541">
            <v>28761</v>
          </cell>
          <cell r="K2541">
            <v>5752.2</v>
          </cell>
          <cell r="L2541">
            <v>28761.1</v>
          </cell>
          <cell r="M2541" t="str">
            <v/>
          </cell>
          <cell r="N2541">
            <v>-0.1</v>
          </cell>
        </row>
        <row r="2542">
          <cell r="A2542">
            <v>8902</v>
          </cell>
          <cell r="B2542" t="str">
            <v>21/07/2016</v>
          </cell>
          <cell r="C2542" t="str">
            <v>CALLOUT</v>
          </cell>
          <cell r="D2542" t="str">
            <v>Replaced Lamps &amp; Starters</v>
          </cell>
          <cell r="E2542" t="str">
            <v>Barrie Beard Ltd</v>
          </cell>
          <cell r="F2542" t="str">
            <v>Subcontractor</v>
          </cell>
          <cell r="G2542" t="str">
            <v/>
          </cell>
          <cell r="H2542" t="str">
            <v/>
          </cell>
          <cell r="I2542" t="str">
            <v/>
          </cell>
          <cell r="J2542">
            <v>95</v>
          </cell>
          <cell r="K2542">
            <v>19</v>
          </cell>
          <cell r="L2542">
            <v>95</v>
          </cell>
          <cell r="M2542" t="str">
            <v/>
          </cell>
          <cell r="N2542">
            <v>0</v>
          </cell>
        </row>
        <row r="2543">
          <cell r="A2543">
            <v>8901</v>
          </cell>
          <cell r="B2543" t="str">
            <v>21/07/2016</v>
          </cell>
          <cell r="C2543" t="str">
            <v>CALLOUT</v>
          </cell>
          <cell r="D2543" t="str">
            <v>Replaced 2no Lights</v>
          </cell>
          <cell r="E2543" t="str">
            <v>Barrie Beard Ltd</v>
          </cell>
          <cell r="F2543" t="str">
            <v>Subcontractor</v>
          </cell>
          <cell r="G2543" t="str">
            <v/>
          </cell>
          <cell r="H2543" t="str">
            <v/>
          </cell>
          <cell r="I2543" t="str">
            <v/>
          </cell>
          <cell r="J2543">
            <v>85</v>
          </cell>
          <cell r="K2543">
            <v>17</v>
          </cell>
          <cell r="L2543">
            <v>0</v>
          </cell>
          <cell r="M2543" t="str">
            <v/>
          </cell>
          <cell r="N2543">
            <v>85</v>
          </cell>
        </row>
        <row r="2544">
          <cell r="A2544">
            <v>8893</v>
          </cell>
          <cell r="B2544" t="str">
            <v>20/07/2016</v>
          </cell>
          <cell r="C2544" t="str">
            <v>CALLOUT</v>
          </cell>
          <cell r="D2544" t="str">
            <v>Attended site floorbox circuit tripping</v>
          </cell>
          <cell r="E2544" t="str">
            <v>Barrie Beard Ltd</v>
          </cell>
          <cell r="F2544" t="str">
            <v>Subcontractor</v>
          </cell>
          <cell r="G2544" t="str">
            <v/>
          </cell>
          <cell r="H2544" t="str">
            <v/>
          </cell>
          <cell r="I2544" t="str">
            <v/>
          </cell>
          <cell r="J2544">
            <v>97.5</v>
          </cell>
          <cell r="K2544">
            <v>19.5</v>
          </cell>
          <cell r="L2544">
            <v>97.5</v>
          </cell>
          <cell r="M2544" t="str">
            <v/>
          </cell>
          <cell r="N2544">
            <v>0</v>
          </cell>
        </row>
        <row r="2545">
          <cell r="A2545">
            <v>8887</v>
          </cell>
          <cell r="B2545" t="str">
            <v>19/07/2016</v>
          </cell>
          <cell r="C2545" t="str">
            <v>C1379</v>
          </cell>
          <cell r="D2545" t="str">
            <v>Insulation of pipework services as quoted 18.7.16</v>
          </cell>
          <cell r="E2545" t="str">
            <v>Scottfab Insulation Ltd</v>
          </cell>
          <cell r="F2545" t="str">
            <v>Subcontractor</v>
          </cell>
          <cell r="G2545" t="str">
            <v>20/07/2016</v>
          </cell>
          <cell r="H2545" t="str">
            <v/>
          </cell>
          <cell r="I2545" t="str">
            <v/>
          </cell>
          <cell r="J2545">
            <v>1280</v>
          </cell>
          <cell r="K2545">
            <v>256</v>
          </cell>
          <cell r="L2545">
            <v>1280</v>
          </cell>
          <cell r="M2545" t="str">
            <v/>
          </cell>
          <cell r="N2545">
            <v>0</v>
          </cell>
        </row>
        <row r="2546">
          <cell r="A2546">
            <v>8885</v>
          </cell>
          <cell r="B2546" t="str">
            <v>19/07/2016</v>
          </cell>
          <cell r="C2546" t="str">
            <v>C1323</v>
          </cell>
          <cell r="D2546" t="str">
            <v>Buffer tank lid and brackets</v>
          </cell>
          <cell r="E2546" t="str">
            <v>Specialist Welding Services Ltd</v>
          </cell>
          <cell r="F2546" t="str">
            <v>Subcontractor</v>
          </cell>
          <cell r="G2546" t="str">
            <v/>
          </cell>
          <cell r="H2546" t="str">
            <v/>
          </cell>
          <cell r="I2546" t="str">
            <v/>
          </cell>
          <cell r="J2546">
            <v>290</v>
          </cell>
          <cell r="K2546">
            <v>58</v>
          </cell>
          <cell r="L2546">
            <v>290</v>
          </cell>
          <cell r="M2546" t="str">
            <v/>
          </cell>
          <cell r="N2546">
            <v>0</v>
          </cell>
        </row>
        <row r="2547">
          <cell r="A2547">
            <v>8856</v>
          </cell>
          <cell r="B2547" t="str">
            <v>12/07/2016</v>
          </cell>
          <cell r="C2547" t="str">
            <v>CALLOUT</v>
          </cell>
          <cell r="D2547" t="str">
            <v>No Power on 2nd and 3rd Floor</v>
          </cell>
          <cell r="E2547" t="str">
            <v>Barrie Beard Ltd</v>
          </cell>
          <cell r="F2547" t="str">
            <v>Subcontractor</v>
          </cell>
          <cell r="G2547" t="str">
            <v/>
          </cell>
          <cell r="H2547" t="str">
            <v>Part</v>
          </cell>
          <cell r="I2547" t="str">
            <v/>
          </cell>
          <cell r="J2547">
            <v>145</v>
          </cell>
          <cell r="K2547">
            <v>29</v>
          </cell>
          <cell r="L2547">
            <v>145</v>
          </cell>
          <cell r="M2547" t="str">
            <v/>
          </cell>
          <cell r="N2547">
            <v>0</v>
          </cell>
        </row>
        <row r="2548">
          <cell r="A2548">
            <v>8855</v>
          </cell>
          <cell r="B2548" t="str">
            <v>12/07/2016</v>
          </cell>
          <cell r="C2548" t="str">
            <v>CALLOUT</v>
          </cell>
          <cell r="D2548" t="str">
            <v>Loss of Power on site - 05.07.2016</v>
          </cell>
          <cell r="E2548" t="str">
            <v>Barrie Beard Ltd</v>
          </cell>
          <cell r="F2548" t="str">
            <v>Subcontractor</v>
          </cell>
          <cell r="G2548" t="str">
            <v/>
          </cell>
          <cell r="H2548" t="str">
            <v/>
          </cell>
          <cell r="I2548" t="str">
            <v/>
          </cell>
          <cell r="J2548">
            <v>90</v>
          </cell>
          <cell r="K2548">
            <v>18</v>
          </cell>
          <cell r="L2548">
            <v>0</v>
          </cell>
          <cell r="M2548" t="str">
            <v/>
          </cell>
          <cell r="N2548">
            <v>90</v>
          </cell>
        </row>
        <row r="2549">
          <cell r="A2549">
            <v>8852</v>
          </cell>
          <cell r="B2549" t="str">
            <v>11/07/2016</v>
          </cell>
          <cell r="C2549" t="str">
            <v>C1379</v>
          </cell>
          <cell r="D2549" t="str">
            <v>Plumbing services est cost</v>
          </cell>
          <cell r="E2549" t="str">
            <v>Enco Ltd</v>
          </cell>
          <cell r="F2549" t="str">
            <v>Subcontractor</v>
          </cell>
          <cell r="G2549" t="str">
            <v/>
          </cell>
          <cell r="H2549" t="str">
            <v/>
          </cell>
          <cell r="I2549" t="str">
            <v/>
          </cell>
          <cell r="J2549">
            <v>1002.25</v>
          </cell>
          <cell r="K2549">
            <v>200.45</v>
          </cell>
          <cell r="L2549">
            <v>1002.25</v>
          </cell>
          <cell r="M2549" t="str">
            <v/>
          </cell>
          <cell r="N2549">
            <v>0</v>
          </cell>
        </row>
        <row r="2550">
          <cell r="A2550">
            <v>8826</v>
          </cell>
          <cell r="B2550" t="str">
            <v>06/07/2016</v>
          </cell>
          <cell r="C2550" t="str">
            <v>SERVICE</v>
          </cell>
          <cell r="D2550" t="str">
            <v>Carried out minor service on diesel generator</v>
          </cell>
          <cell r="E2550" t="str">
            <v>Burtonwood Generator &amp; Switchgear Services Ltd</v>
          </cell>
          <cell r="F2550" t="str">
            <v>Subcontractor</v>
          </cell>
          <cell r="G2550" t="str">
            <v/>
          </cell>
          <cell r="H2550" t="str">
            <v/>
          </cell>
          <cell r="I2550" t="str">
            <v/>
          </cell>
          <cell r="J2550">
            <v>79</v>
          </cell>
          <cell r="K2550">
            <v>15.8</v>
          </cell>
          <cell r="L2550">
            <v>79</v>
          </cell>
          <cell r="M2550" t="str">
            <v/>
          </cell>
          <cell r="N2550">
            <v>0</v>
          </cell>
        </row>
        <row r="2551">
          <cell r="A2551">
            <v>8813</v>
          </cell>
          <cell r="B2551" t="str">
            <v>05/07/2016</v>
          </cell>
          <cell r="C2551" t="str">
            <v>CALLOUT</v>
          </cell>
          <cell r="D2551" t="str">
            <v>Investigate no electrics in ground floor kitchen</v>
          </cell>
          <cell r="E2551" t="str">
            <v>Barrie Beard Ltd</v>
          </cell>
          <cell r="F2551" t="str">
            <v>Subcontractor</v>
          </cell>
          <cell r="G2551" t="str">
            <v/>
          </cell>
          <cell r="H2551" t="str">
            <v/>
          </cell>
          <cell r="I2551" t="str">
            <v/>
          </cell>
          <cell r="J2551">
            <v>91.81</v>
          </cell>
          <cell r="K2551">
            <v>18.36</v>
          </cell>
          <cell r="L2551">
            <v>91.81</v>
          </cell>
          <cell r="M2551" t="str">
            <v/>
          </cell>
          <cell r="N2551">
            <v>0</v>
          </cell>
        </row>
        <row r="2552">
          <cell r="A2552">
            <v>8799</v>
          </cell>
          <cell r="B2552" t="str">
            <v>01/07/2016</v>
          </cell>
          <cell r="C2552" t="str">
            <v>C1379</v>
          </cell>
          <cell r="D2552" t="str">
            <v>Q123633</v>
          </cell>
          <cell r="E2552" t="str">
            <v>Clearwater Technology Limited</v>
          </cell>
          <cell r="F2552" t="str">
            <v>Subcontractor</v>
          </cell>
          <cell r="G2552" t="str">
            <v/>
          </cell>
          <cell r="H2552" t="str">
            <v/>
          </cell>
          <cell r="I2552" t="str">
            <v/>
          </cell>
          <cell r="J2552">
            <v>393</v>
          </cell>
          <cell r="K2552">
            <v>78.599999999999994</v>
          </cell>
          <cell r="L2552">
            <v>393</v>
          </cell>
          <cell r="M2552" t="str">
            <v/>
          </cell>
          <cell r="N2552">
            <v>0</v>
          </cell>
        </row>
        <row r="2553">
          <cell r="A2553">
            <v>8798</v>
          </cell>
          <cell r="B2553" t="str">
            <v>01/07/2016</v>
          </cell>
          <cell r="C2553" t="str">
            <v>C1382</v>
          </cell>
          <cell r="D2553" t="str">
            <v>Work agreed with Mark Poulton in email dated 15.06.2016</v>
          </cell>
          <cell r="E2553" t="str">
            <v>Schneider Electric Ltd</v>
          </cell>
          <cell r="F2553" t="str">
            <v>Subcontractor</v>
          </cell>
          <cell r="G2553" t="str">
            <v/>
          </cell>
          <cell r="H2553" t="str">
            <v>Part</v>
          </cell>
          <cell r="I2553" t="str">
            <v/>
          </cell>
          <cell r="J2553">
            <v>85219.4</v>
          </cell>
          <cell r="K2553">
            <v>17043.88</v>
          </cell>
          <cell r="L2553">
            <v>85219.4</v>
          </cell>
          <cell r="M2553" t="str">
            <v/>
          </cell>
          <cell r="N2553">
            <v>0</v>
          </cell>
        </row>
        <row r="2554">
          <cell r="A2554">
            <v>8790</v>
          </cell>
          <cell r="B2554" t="str">
            <v>30/06/2016</v>
          </cell>
          <cell r="C2554" t="str">
            <v>C1379</v>
          </cell>
          <cell r="D2554" t="str">
            <v>Vent works</v>
          </cell>
          <cell r="E2554" t="str">
            <v>Auto-Vent Limited</v>
          </cell>
          <cell r="F2554" t="str">
            <v>Subcontractor</v>
          </cell>
          <cell r="G2554" t="str">
            <v/>
          </cell>
          <cell r="H2554" t="str">
            <v>Part</v>
          </cell>
          <cell r="I2554" t="str">
            <v/>
          </cell>
          <cell r="J2554">
            <v>23863.79</v>
          </cell>
          <cell r="K2554">
            <v>4772.76</v>
          </cell>
          <cell r="L2554">
            <v>23863.79</v>
          </cell>
          <cell r="M2554" t="str">
            <v/>
          </cell>
          <cell r="N2554">
            <v>0</v>
          </cell>
        </row>
        <row r="2555">
          <cell r="A2555">
            <v>8781</v>
          </cell>
          <cell r="B2555" t="str">
            <v>29/06/2016</v>
          </cell>
          <cell r="C2555" t="str">
            <v>C1346</v>
          </cell>
          <cell r="D2555" t="str">
            <v>As per quote 5659 Rev 1</v>
          </cell>
          <cell r="E2555" t="str">
            <v>Jack Waghorn International Ltd</v>
          </cell>
          <cell r="F2555" t="str">
            <v>Subcontractor</v>
          </cell>
          <cell r="G2555" t="str">
            <v/>
          </cell>
          <cell r="H2555" t="str">
            <v/>
          </cell>
          <cell r="I2555" t="str">
            <v/>
          </cell>
          <cell r="J2555">
            <v>2630</v>
          </cell>
          <cell r="K2555">
            <v>526</v>
          </cell>
          <cell r="L2555">
            <v>2630</v>
          </cell>
          <cell r="M2555" t="str">
            <v/>
          </cell>
          <cell r="N2555">
            <v>0</v>
          </cell>
        </row>
        <row r="2556">
          <cell r="A2556">
            <v>8777</v>
          </cell>
          <cell r="B2556" t="str">
            <v>29/06/2016</v>
          </cell>
          <cell r="C2556" t="str">
            <v>CALLOUT</v>
          </cell>
          <cell r="D2556" t="str">
            <v>Several Emergency Lights not coming on</v>
          </cell>
          <cell r="E2556" t="str">
            <v>Kestrel North West Limited</v>
          </cell>
          <cell r="F2556" t="str">
            <v>Subcontractor</v>
          </cell>
          <cell r="G2556" t="str">
            <v/>
          </cell>
          <cell r="H2556" t="str">
            <v/>
          </cell>
          <cell r="I2556" t="str">
            <v/>
          </cell>
          <cell r="J2556">
            <v>220.4</v>
          </cell>
          <cell r="K2556">
            <v>44.08</v>
          </cell>
          <cell r="L2556">
            <v>220.4</v>
          </cell>
          <cell r="M2556" t="str">
            <v/>
          </cell>
          <cell r="N2556">
            <v>0</v>
          </cell>
        </row>
        <row r="2557">
          <cell r="A2557">
            <v>8776</v>
          </cell>
          <cell r="B2557" t="str">
            <v>29/06/2016</v>
          </cell>
          <cell r="C2557" t="str">
            <v>C1346</v>
          </cell>
          <cell r="D2557" t="str">
            <v>Booster &amp; Commissioning Quote - H11206PA</v>
          </cell>
          <cell r="E2557" t="str">
            <v>Harroquip Pump Systems</v>
          </cell>
          <cell r="F2557" t="str">
            <v>Subcontractor</v>
          </cell>
          <cell r="G2557" t="str">
            <v/>
          </cell>
          <cell r="H2557" t="str">
            <v/>
          </cell>
          <cell r="I2557" t="str">
            <v/>
          </cell>
          <cell r="J2557">
            <v>4775</v>
          </cell>
          <cell r="K2557">
            <v>955</v>
          </cell>
          <cell r="L2557">
            <v>4775</v>
          </cell>
          <cell r="M2557" t="str">
            <v/>
          </cell>
          <cell r="N2557">
            <v>0</v>
          </cell>
        </row>
        <row r="2558">
          <cell r="A2558">
            <v>8775</v>
          </cell>
          <cell r="B2558" t="str">
            <v>29/06/2016</v>
          </cell>
          <cell r="C2558" t="str">
            <v>CALLOUT</v>
          </cell>
          <cell r="D2558" t="str">
            <v>Removed metal pole from back of desk</v>
          </cell>
          <cell r="E2558" t="str">
            <v>Wisbech Electrical Ltd</v>
          </cell>
          <cell r="F2558" t="str">
            <v>Subcontractor</v>
          </cell>
          <cell r="G2558" t="str">
            <v/>
          </cell>
          <cell r="H2558" t="str">
            <v/>
          </cell>
          <cell r="I2558" t="str">
            <v/>
          </cell>
          <cell r="J2558">
            <v>44.85</v>
          </cell>
          <cell r="K2558">
            <v>8.9700000000000006</v>
          </cell>
          <cell r="L2558">
            <v>44.85</v>
          </cell>
          <cell r="M2558" t="str">
            <v/>
          </cell>
          <cell r="N2558">
            <v>0</v>
          </cell>
        </row>
        <row r="2559">
          <cell r="A2559">
            <v>8748</v>
          </cell>
          <cell r="B2559" t="str">
            <v>24/06/2016</v>
          </cell>
          <cell r="C2559" t="str">
            <v>SERVICE</v>
          </cell>
          <cell r="D2559" t="str">
            <v>1 Visit to service the UPS</v>
          </cell>
          <cell r="E2559" t="str">
            <v>Burtonwood Generator &amp; Switchgear Services Ltd</v>
          </cell>
          <cell r="F2559" t="str">
            <v>Subcontractor</v>
          </cell>
          <cell r="G2559" t="str">
            <v/>
          </cell>
          <cell r="H2559" t="str">
            <v/>
          </cell>
          <cell r="I2559" t="str">
            <v/>
          </cell>
          <cell r="J2559">
            <v>517.5</v>
          </cell>
          <cell r="K2559">
            <v>103.5</v>
          </cell>
          <cell r="L2559">
            <v>517.5</v>
          </cell>
          <cell r="M2559" t="str">
            <v/>
          </cell>
          <cell r="N2559">
            <v>0</v>
          </cell>
        </row>
        <row r="2560">
          <cell r="A2560">
            <v>8708</v>
          </cell>
          <cell r="B2560" t="str">
            <v>16/06/2016</v>
          </cell>
          <cell r="C2560" t="str">
            <v>C1382</v>
          </cell>
          <cell r="D2560" t="str">
            <v>Work agreed with Mark Poulton in email 16.06.2016</v>
          </cell>
          <cell r="E2560" t="str">
            <v>Kestrel North West Limited</v>
          </cell>
          <cell r="F2560" t="str">
            <v>Subcontractor</v>
          </cell>
          <cell r="G2560" t="str">
            <v/>
          </cell>
          <cell r="H2560" t="str">
            <v>Part</v>
          </cell>
          <cell r="I2560" t="str">
            <v/>
          </cell>
          <cell r="J2560">
            <v>335080.56</v>
          </cell>
          <cell r="K2560">
            <v>67016.12</v>
          </cell>
          <cell r="L2560">
            <v>335080.56</v>
          </cell>
          <cell r="M2560" t="str">
            <v/>
          </cell>
          <cell r="N2560">
            <v>0</v>
          </cell>
        </row>
        <row r="2561">
          <cell r="A2561">
            <v>8681</v>
          </cell>
          <cell r="B2561" t="str">
            <v>09/06/2016</v>
          </cell>
          <cell r="C2561" t="str">
            <v>CALLOUT</v>
          </cell>
          <cell r="D2561" t="str">
            <v>Electrical Works at Towergate Southport</v>
          </cell>
          <cell r="E2561" t="str">
            <v>Kestrel North West Limited</v>
          </cell>
          <cell r="F2561" t="str">
            <v>Subcontractor</v>
          </cell>
          <cell r="G2561" t="str">
            <v/>
          </cell>
          <cell r="H2561" t="str">
            <v/>
          </cell>
          <cell r="I2561" t="str">
            <v/>
          </cell>
          <cell r="J2561">
            <v>182.5</v>
          </cell>
          <cell r="K2561">
            <v>36.5</v>
          </cell>
          <cell r="L2561">
            <v>0</v>
          </cell>
          <cell r="M2561" t="str">
            <v/>
          </cell>
          <cell r="N2561">
            <v>182.5</v>
          </cell>
        </row>
        <row r="2562">
          <cell r="A2562">
            <v>8666</v>
          </cell>
          <cell r="B2562" t="str">
            <v>07/06/2016</v>
          </cell>
          <cell r="C2562" t="str">
            <v>CALLOUT</v>
          </cell>
          <cell r="D2562" t="str">
            <v>Replace Battery PAck - 1st Floor 28w T5 EM</v>
          </cell>
          <cell r="E2562" t="str">
            <v>Kestrel North West Limited</v>
          </cell>
          <cell r="F2562" t="str">
            <v>Subcontractor</v>
          </cell>
          <cell r="G2562" t="str">
            <v/>
          </cell>
          <cell r="H2562" t="str">
            <v/>
          </cell>
          <cell r="I2562" t="str">
            <v/>
          </cell>
          <cell r="J2562">
            <v>340</v>
          </cell>
          <cell r="K2562">
            <v>68</v>
          </cell>
          <cell r="L2562">
            <v>340</v>
          </cell>
          <cell r="M2562" t="str">
            <v/>
          </cell>
          <cell r="N2562">
            <v>0</v>
          </cell>
        </row>
        <row r="2563">
          <cell r="A2563">
            <v>8665</v>
          </cell>
          <cell r="B2563" t="str">
            <v>07/06/2016</v>
          </cell>
          <cell r="C2563" t="str">
            <v>CALLOUT</v>
          </cell>
          <cell r="D2563" t="str">
            <v>Attend site to remove asbestos gasket remnants on roof as pe</v>
          </cell>
          <cell r="E2563" t="str">
            <v>Northern Insulation Contractors LLP</v>
          </cell>
          <cell r="F2563" t="str">
            <v>Subcontractor</v>
          </cell>
          <cell r="G2563" t="str">
            <v/>
          </cell>
          <cell r="H2563" t="str">
            <v/>
          </cell>
          <cell r="I2563" t="str">
            <v/>
          </cell>
          <cell r="J2563">
            <v>800</v>
          </cell>
          <cell r="K2563">
            <v>160</v>
          </cell>
          <cell r="L2563">
            <v>800</v>
          </cell>
          <cell r="M2563" t="str">
            <v/>
          </cell>
          <cell r="N2563">
            <v>0</v>
          </cell>
        </row>
        <row r="2564">
          <cell r="A2564">
            <v>8654</v>
          </cell>
          <cell r="B2564" t="str">
            <v>03/06/2016</v>
          </cell>
          <cell r="C2564" t="str">
            <v>C1379</v>
          </cell>
          <cell r="D2564" t="str">
            <v>Quote 13414R1</v>
          </cell>
          <cell r="E2564" t="str">
            <v>RJ Urmston Commissioning Engineers Ltd</v>
          </cell>
          <cell r="F2564" t="str">
            <v>Subcontractor</v>
          </cell>
          <cell r="G2564" t="str">
            <v/>
          </cell>
          <cell r="H2564" t="str">
            <v/>
          </cell>
          <cell r="I2564" t="str">
            <v/>
          </cell>
          <cell r="J2564">
            <v>5590</v>
          </cell>
          <cell r="K2564">
            <v>1118</v>
          </cell>
          <cell r="L2564">
            <v>5590</v>
          </cell>
          <cell r="M2564" t="str">
            <v/>
          </cell>
          <cell r="N2564">
            <v>0</v>
          </cell>
        </row>
        <row r="2565">
          <cell r="A2565">
            <v>8632</v>
          </cell>
          <cell r="B2565" t="str">
            <v>31/05/2016</v>
          </cell>
          <cell r="C2565" t="str">
            <v>CALLOUT</v>
          </cell>
          <cell r="D2565" t="str">
            <v>Install 4no Electric Sockets, 1no HDMI port fed from ceiling</v>
          </cell>
          <cell r="E2565" t="str">
            <v>Kestrel North West Limited</v>
          </cell>
          <cell r="F2565" t="str">
            <v>Subcontractor</v>
          </cell>
          <cell r="G2565" t="str">
            <v/>
          </cell>
          <cell r="H2565" t="str">
            <v/>
          </cell>
          <cell r="I2565" t="str">
            <v/>
          </cell>
          <cell r="J2565">
            <v>364</v>
          </cell>
          <cell r="K2565">
            <v>72.8</v>
          </cell>
          <cell r="L2565">
            <v>364</v>
          </cell>
          <cell r="M2565" t="str">
            <v/>
          </cell>
          <cell r="N2565">
            <v>0</v>
          </cell>
        </row>
        <row r="2566">
          <cell r="A2566">
            <v>8626</v>
          </cell>
          <cell r="B2566" t="str">
            <v>27/05/2016</v>
          </cell>
          <cell r="C2566" t="str">
            <v>CALLOUT</v>
          </cell>
          <cell r="D2566" t="str">
            <v>Carry out works on Tuesday 31st May as per your quote 13420</v>
          </cell>
          <cell r="E2566" t="str">
            <v>Urmson LLP</v>
          </cell>
          <cell r="F2566" t="str">
            <v>Subcontractor</v>
          </cell>
          <cell r="G2566" t="str">
            <v/>
          </cell>
          <cell r="H2566" t="str">
            <v/>
          </cell>
          <cell r="I2566" t="str">
            <v/>
          </cell>
          <cell r="J2566">
            <v>320</v>
          </cell>
          <cell r="K2566">
            <v>64</v>
          </cell>
          <cell r="L2566">
            <v>320</v>
          </cell>
          <cell r="M2566" t="str">
            <v/>
          </cell>
          <cell r="N2566">
            <v>0</v>
          </cell>
        </row>
        <row r="2567">
          <cell r="A2567">
            <v>8620</v>
          </cell>
          <cell r="B2567" t="str">
            <v>26/05/2016</v>
          </cell>
          <cell r="C2567" t="str">
            <v>CALLOUT</v>
          </cell>
          <cell r="D2567" t="str">
            <v>Supply &amp; Install 2no rubber joints on the main heat</v>
          </cell>
          <cell r="E2567" t="str">
            <v>K Gammon Plumbing &amp; Heating Ltd</v>
          </cell>
          <cell r="F2567" t="str">
            <v>Subcontractor</v>
          </cell>
          <cell r="G2567" t="str">
            <v/>
          </cell>
          <cell r="H2567" t="str">
            <v/>
          </cell>
          <cell r="I2567" t="str">
            <v/>
          </cell>
          <cell r="J2567">
            <v>155</v>
          </cell>
          <cell r="K2567">
            <v>31</v>
          </cell>
          <cell r="L2567">
            <v>155</v>
          </cell>
          <cell r="M2567" t="str">
            <v/>
          </cell>
          <cell r="N2567">
            <v>0</v>
          </cell>
        </row>
        <row r="2568">
          <cell r="A2568">
            <v>8612</v>
          </cell>
          <cell r="B2568" t="str">
            <v>25/05/2016</v>
          </cell>
          <cell r="C2568" t="str">
            <v>C1379</v>
          </cell>
          <cell r="D2568" t="str">
            <v>Install of split unit</v>
          </cell>
          <cell r="E2568" t="str">
            <v>Pole to Pole Climate Control Ltd</v>
          </cell>
          <cell r="F2568" t="str">
            <v>Subcontractor</v>
          </cell>
          <cell r="G2568" t="str">
            <v/>
          </cell>
          <cell r="H2568" t="str">
            <v/>
          </cell>
          <cell r="I2568" t="str">
            <v/>
          </cell>
          <cell r="J2568">
            <v>1450</v>
          </cell>
          <cell r="K2568">
            <v>290</v>
          </cell>
          <cell r="L2568">
            <v>1450</v>
          </cell>
          <cell r="M2568" t="str">
            <v/>
          </cell>
          <cell r="N2568">
            <v>0</v>
          </cell>
        </row>
        <row r="2569">
          <cell r="A2569">
            <v>8611</v>
          </cell>
          <cell r="B2569" t="str">
            <v>25/05/2016</v>
          </cell>
          <cell r="C2569" t="str">
            <v>C1379</v>
          </cell>
          <cell r="D2569" t="str">
            <v>Ductwork Cleaning as per email 24.05.16</v>
          </cell>
          <cell r="E2569" t="str">
            <v>Urmson LLP</v>
          </cell>
          <cell r="F2569" t="str">
            <v>Subcontractor</v>
          </cell>
          <cell r="G2569" t="str">
            <v/>
          </cell>
          <cell r="H2569" t="str">
            <v/>
          </cell>
          <cell r="I2569" t="str">
            <v/>
          </cell>
          <cell r="J2569">
            <v>6200</v>
          </cell>
          <cell r="K2569">
            <v>1240</v>
          </cell>
          <cell r="L2569">
            <v>6200</v>
          </cell>
          <cell r="M2569" t="str">
            <v/>
          </cell>
          <cell r="N2569">
            <v>0</v>
          </cell>
        </row>
        <row r="2570">
          <cell r="A2570">
            <v>8609</v>
          </cell>
          <cell r="B2570" t="str">
            <v>24/05/2016</v>
          </cell>
          <cell r="C2570" t="str">
            <v>C1358</v>
          </cell>
          <cell r="D2570" t="str">
            <v>Work agreed with Brad on 19/05/2016</v>
          </cell>
          <cell r="E2570" t="str">
            <v>Commissioning &amp; Maintenance Services Ltd</v>
          </cell>
          <cell r="F2570" t="str">
            <v>Subcontractor</v>
          </cell>
          <cell r="G2570" t="str">
            <v/>
          </cell>
          <cell r="H2570" t="str">
            <v/>
          </cell>
          <cell r="I2570" t="str">
            <v/>
          </cell>
          <cell r="J2570">
            <v>2300</v>
          </cell>
          <cell r="K2570">
            <v>460</v>
          </cell>
          <cell r="L2570">
            <v>2300</v>
          </cell>
          <cell r="M2570" t="str">
            <v/>
          </cell>
          <cell r="N2570">
            <v>0</v>
          </cell>
        </row>
        <row r="2571">
          <cell r="A2571">
            <v>8599</v>
          </cell>
          <cell r="B2571" t="str">
            <v>23/05/2016</v>
          </cell>
          <cell r="C2571" t="str">
            <v>CALLOUT</v>
          </cell>
          <cell r="D2571" t="str">
            <v>Investigate emergency llight not wroking</v>
          </cell>
          <cell r="E2571" t="str">
            <v>Barrie Beard Ltd</v>
          </cell>
          <cell r="F2571" t="str">
            <v>Subcontractor</v>
          </cell>
          <cell r="G2571" t="str">
            <v/>
          </cell>
          <cell r="H2571" t="str">
            <v/>
          </cell>
          <cell r="I2571" t="str">
            <v/>
          </cell>
          <cell r="J2571">
            <v>102</v>
          </cell>
          <cell r="K2571">
            <v>20.399999999999999</v>
          </cell>
          <cell r="L2571">
            <v>102</v>
          </cell>
          <cell r="M2571" t="str">
            <v/>
          </cell>
          <cell r="N2571">
            <v>0</v>
          </cell>
        </row>
        <row r="2572">
          <cell r="A2572">
            <v>8592</v>
          </cell>
          <cell r="B2572" t="str">
            <v>19/05/2016</v>
          </cell>
          <cell r="C2572" t="str">
            <v>C1388</v>
          </cell>
          <cell r="D2572" t="str">
            <v>FLOW RATE CHECK</v>
          </cell>
          <cell r="E2572" t="str">
            <v>New Era Commissioning Specialists Ltd</v>
          </cell>
          <cell r="F2572" t="str">
            <v>Subcontractor</v>
          </cell>
          <cell r="G2572" t="str">
            <v/>
          </cell>
          <cell r="H2572" t="str">
            <v>Complete</v>
          </cell>
          <cell r="I2572" t="str">
            <v/>
          </cell>
          <cell r="J2572">
            <v>0</v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</row>
        <row r="2573">
          <cell r="A2573">
            <v>8591</v>
          </cell>
          <cell r="B2573" t="str">
            <v>19/05/2016</v>
          </cell>
          <cell r="C2573" t="str">
            <v>C1360</v>
          </cell>
          <cell r="D2573" t="str">
            <v>Electrical works as per quote dated 18.2.16</v>
          </cell>
          <cell r="E2573" t="str">
            <v>Wisbech Electrical Ltd</v>
          </cell>
          <cell r="F2573" t="str">
            <v>Subcontractor</v>
          </cell>
          <cell r="G2573" t="str">
            <v>05/06/2016</v>
          </cell>
          <cell r="H2573" t="str">
            <v/>
          </cell>
          <cell r="I2573" t="str">
            <v/>
          </cell>
          <cell r="J2573">
            <v>54952</v>
          </cell>
          <cell r="K2573">
            <v>10990.4</v>
          </cell>
          <cell r="L2573">
            <v>54952</v>
          </cell>
          <cell r="M2573" t="str">
            <v/>
          </cell>
          <cell r="N2573">
            <v>0</v>
          </cell>
        </row>
        <row r="2574">
          <cell r="A2574">
            <v>8584</v>
          </cell>
          <cell r="B2574" t="str">
            <v>18/05/2016</v>
          </cell>
          <cell r="C2574" t="str">
            <v>C1349</v>
          </cell>
          <cell r="D2574" t="str">
            <v>232 Plenum Boxes</v>
          </cell>
          <cell r="E2574" t="str">
            <v>Auto-Vent Limited</v>
          </cell>
          <cell r="F2574" t="str">
            <v>Subcontractor</v>
          </cell>
          <cell r="G2574" t="str">
            <v/>
          </cell>
          <cell r="H2574" t="str">
            <v/>
          </cell>
          <cell r="I2574" t="str">
            <v/>
          </cell>
          <cell r="J2574">
            <v>4976.5</v>
          </cell>
          <cell r="K2574">
            <v>995.3</v>
          </cell>
          <cell r="L2574">
            <v>4976.5</v>
          </cell>
          <cell r="M2574" t="str">
            <v/>
          </cell>
          <cell r="N2574">
            <v>0</v>
          </cell>
        </row>
        <row r="2575">
          <cell r="A2575">
            <v>8571</v>
          </cell>
          <cell r="B2575" t="str">
            <v>17/05/2016</v>
          </cell>
          <cell r="C2575" t="str">
            <v>CALLOUT</v>
          </cell>
          <cell r="D2575" t="str">
            <v>Install 5 electric sockets</v>
          </cell>
          <cell r="E2575" t="str">
            <v>Kestrel North West Limited</v>
          </cell>
          <cell r="F2575" t="str">
            <v>Subcontractor</v>
          </cell>
          <cell r="G2575" t="str">
            <v/>
          </cell>
          <cell r="H2575" t="str">
            <v/>
          </cell>
          <cell r="I2575" t="str">
            <v/>
          </cell>
          <cell r="J2575">
            <v>205</v>
          </cell>
          <cell r="K2575">
            <v>41</v>
          </cell>
          <cell r="L2575">
            <v>205</v>
          </cell>
          <cell r="M2575" t="str">
            <v/>
          </cell>
          <cell r="N2575">
            <v>0</v>
          </cell>
        </row>
        <row r="2576">
          <cell r="A2576">
            <v>8570</v>
          </cell>
          <cell r="B2576" t="str">
            <v>17/05/2016</v>
          </cell>
          <cell r="C2576" t="str">
            <v>CALLOUT</v>
          </cell>
          <cell r="D2576" t="str">
            <v>Install 2 electric sockets - mess room</v>
          </cell>
          <cell r="E2576" t="str">
            <v>Kestrel North West Limited</v>
          </cell>
          <cell r="F2576" t="str">
            <v>Subcontractor</v>
          </cell>
          <cell r="G2576" t="str">
            <v/>
          </cell>
          <cell r="H2576" t="str">
            <v/>
          </cell>
          <cell r="I2576" t="str">
            <v/>
          </cell>
          <cell r="J2576">
            <v>283</v>
          </cell>
          <cell r="K2576">
            <v>56.6</v>
          </cell>
          <cell r="L2576">
            <v>283</v>
          </cell>
          <cell r="M2576" t="str">
            <v/>
          </cell>
          <cell r="N2576">
            <v>0</v>
          </cell>
        </row>
        <row r="2577">
          <cell r="A2577">
            <v>8567</v>
          </cell>
          <cell r="B2577" t="str">
            <v>16/05/2016</v>
          </cell>
          <cell r="C2577" t="str">
            <v>C1379</v>
          </cell>
          <cell r="D2577" t="str">
            <v>Decommision 2 No ac split systems</v>
          </cell>
          <cell r="E2577" t="str">
            <v>Pole to Pole Climate Control Ltd</v>
          </cell>
          <cell r="F2577" t="str">
            <v>Subcontractor</v>
          </cell>
          <cell r="G2577" t="str">
            <v>18/05/2016</v>
          </cell>
          <cell r="H2577" t="str">
            <v/>
          </cell>
          <cell r="I2577" t="str">
            <v/>
          </cell>
          <cell r="J2577">
            <v>655</v>
          </cell>
          <cell r="K2577">
            <v>131</v>
          </cell>
          <cell r="L2577">
            <v>655</v>
          </cell>
          <cell r="M2577" t="str">
            <v/>
          </cell>
          <cell r="N2577">
            <v>0</v>
          </cell>
        </row>
        <row r="2578">
          <cell r="A2578">
            <v>8559</v>
          </cell>
          <cell r="B2578" t="str">
            <v>16/05/2016</v>
          </cell>
          <cell r="C2578" t="str">
            <v>CALLOUT</v>
          </cell>
          <cell r="D2578" t="str">
            <v>Supply &amp; Install 2no Mesh Ends to Open Fire Dampers</v>
          </cell>
          <cell r="E2578" t="str">
            <v>Ventil-Eight Systems Limited</v>
          </cell>
          <cell r="F2578" t="str">
            <v>Subcontractor</v>
          </cell>
          <cell r="G2578" t="str">
            <v/>
          </cell>
          <cell r="H2578" t="str">
            <v/>
          </cell>
          <cell r="I2578" t="str">
            <v/>
          </cell>
          <cell r="J2578">
            <v>450</v>
          </cell>
          <cell r="K2578">
            <v>90</v>
          </cell>
          <cell r="L2578">
            <v>450</v>
          </cell>
          <cell r="M2578" t="str">
            <v/>
          </cell>
          <cell r="N2578">
            <v>0</v>
          </cell>
        </row>
        <row r="2579">
          <cell r="A2579">
            <v>8553</v>
          </cell>
          <cell r="B2579" t="str">
            <v>12/05/2016</v>
          </cell>
          <cell r="C2579" t="str">
            <v>C1385</v>
          </cell>
          <cell r="D2579" t="str">
            <v>External lighting and Cafe works</v>
          </cell>
          <cell r="E2579" t="str">
            <v>Wisbech Electrical Ltd</v>
          </cell>
          <cell r="F2579" t="str">
            <v>Subcontractor</v>
          </cell>
          <cell r="G2579" t="str">
            <v>16/05/2016</v>
          </cell>
          <cell r="H2579" t="str">
            <v>Part</v>
          </cell>
          <cell r="I2579" t="str">
            <v/>
          </cell>
          <cell r="J2579">
            <v>10195.530000000001</v>
          </cell>
          <cell r="K2579">
            <v>2039.11</v>
          </cell>
          <cell r="L2579">
            <v>10195.530000000001</v>
          </cell>
          <cell r="M2579" t="str">
            <v/>
          </cell>
          <cell r="N2579">
            <v>0</v>
          </cell>
        </row>
        <row r="2580">
          <cell r="A2580">
            <v>8548</v>
          </cell>
          <cell r="B2580" t="str">
            <v>12/05/2016</v>
          </cell>
          <cell r="C2580" t="str">
            <v>C1382</v>
          </cell>
          <cell r="D2580" t="str">
            <v>Engineer for 3 nights as discussed with Mark Poulton</v>
          </cell>
          <cell r="E2580" t="str">
            <v>RJ Urmston Commissioning Engineers Ltd</v>
          </cell>
          <cell r="F2580" t="str">
            <v>Subcontractor</v>
          </cell>
          <cell r="G2580" t="str">
            <v/>
          </cell>
          <cell r="H2580" t="str">
            <v/>
          </cell>
          <cell r="I2580" t="str">
            <v/>
          </cell>
          <cell r="J2580">
            <v>2700</v>
          </cell>
          <cell r="K2580">
            <v>540</v>
          </cell>
          <cell r="L2580">
            <v>2700</v>
          </cell>
          <cell r="M2580" t="str">
            <v/>
          </cell>
          <cell r="N2580">
            <v>0</v>
          </cell>
        </row>
        <row r="2581">
          <cell r="A2581">
            <v>8539</v>
          </cell>
          <cell r="B2581" t="str">
            <v>11/05/2016</v>
          </cell>
          <cell r="C2581" t="str">
            <v>CALLOUT</v>
          </cell>
          <cell r="D2581" t="str">
            <v>Maintenance &amp; Certification of 2no RPZ Valves</v>
          </cell>
          <cell r="E2581" t="str">
            <v>Commissioning &amp; Maintenance Services Ltd</v>
          </cell>
          <cell r="F2581" t="str">
            <v>Subcontractor</v>
          </cell>
          <cell r="G2581" t="str">
            <v/>
          </cell>
          <cell r="H2581" t="str">
            <v/>
          </cell>
          <cell r="I2581" t="str">
            <v/>
          </cell>
          <cell r="J2581">
            <v>400</v>
          </cell>
          <cell r="K2581">
            <v>80</v>
          </cell>
          <cell r="L2581">
            <v>400</v>
          </cell>
          <cell r="M2581" t="str">
            <v/>
          </cell>
          <cell r="N2581">
            <v>0</v>
          </cell>
        </row>
        <row r="2582">
          <cell r="A2582">
            <v>8489</v>
          </cell>
          <cell r="B2582" t="str">
            <v>03/05/2016</v>
          </cell>
          <cell r="C2582" t="str">
            <v>C1378</v>
          </cell>
          <cell r="D2582" t="str">
            <v>Labour to fit intake ductwork</v>
          </cell>
          <cell r="E2582" t="str">
            <v>Ventil-Eight Systems Limited</v>
          </cell>
          <cell r="F2582" t="str">
            <v>Subcontractor</v>
          </cell>
          <cell r="G2582" t="str">
            <v/>
          </cell>
          <cell r="H2582" t="str">
            <v/>
          </cell>
          <cell r="I2582" t="str">
            <v/>
          </cell>
          <cell r="J2582">
            <v>1421</v>
          </cell>
          <cell r="K2582">
            <v>284.2</v>
          </cell>
          <cell r="L2582">
            <v>1421</v>
          </cell>
          <cell r="M2582" t="str">
            <v/>
          </cell>
          <cell r="N2582">
            <v>0</v>
          </cell>
        </row>
        <row r="2583">
          <cell r="A2583">
            <v>8477</v>
          </cell>
          <cell r="B2583" t="str">
            <v>27/04/2016</v>
          </cell>
          <cell r="C2583" t="str">
            <v>C1346</v>
          </cell>
          <cell r="D2583" t="str">
            <v>As per quote Rev 1 CR/501592Q</v>
          </cell>
          <cell r="E2583" t="str">
            <v>Impact Control Systems Ltd</v>
          </cell>
          <cell r="F2583" t="str">
            <v>Subcontractor</v>
          </cell>
          <cell r="G2583" t="str">
            <v/>
          </cell>
          <cell r="H2583" t="str">
            <v>Part</v>
          </cell>
          <cell r="I2583" t="str">
            <v/>
          </cell>
          <cell r="J2583">
            <v>44808.67</v>
          </cell>
          <cell r="K2583">
            <v>8961.73</v>
          </cell>
          <cell r="L2583">
            <v>44808.67</v>
          </cell>
          <cell r="M2583" t="str">
            <v/>
          </cell>
          <cell r="N2583">
            <v>0</v>
          </cell>
        </row>
        <row r="2584">
          <cell r="A2584">
            <v>8475</v>
          </cell>
          <cell r="B2584" t="str">
            <v>27/04/2016</v>
          </cell>
          <cell r="C2584" t="str">
            <v>C1346</v>
          </cell>
          <cell r="D2584" t="str">
            <v>AC install test/com/demo/as fits</v>
          </cell>
          <cell r="E2584" t="str">
            <v>Auto-Vent Limited</v>
          </cell>
          <cell r="F2584" t="str">
            <v>Subcontractor</v>
          </cell>
          <cell r="G2584" t="str">
            <v/>
          </cell>
          <cell r="H2584" t="str">
            <v>Part</v>
          </cell>
          <cell r="I2584" t="str">
            <v/>
          </cell>
          <cell r="J2584">
            <v>18000</v>
          </cell>
          <cell r="K2584">
            <v>3600</v>
          </cell>
          <cell r="L2584">
            <v>18000</v>
          </cell>
          <cell r="M2584" t="str">
            <v/>
          </cell>
          <cell r="N2584">
            <v>0</v>
          </cell>
        </row>
        <row r="2585">
          <cell r="A2585">
            <v>8474</v>
          </cell>
          <cell r="B2585" t="str">
            <v>27/04/2016</v>
          </cell>
          <cell r="C2585" t="str">
            <v>C1346</v>
          </cell>
          <cell r="D2585" t="str">
            <v>Insulation Works</v>
          </cell>
          <cell r="E2585" t="str">
            <v>Ventil-Eight Systems Limited</v>
          </cell>
          <cell r="F2585" t="str">
            <v>Subcontractor</v>
          </cell>
          <cell r="G2585" t="str">
            <v/>
          </cell>
          <cell r="H2585" t="str">
            <v/>
          </cell>
          <cell r="I2585" t="str">
            <v/>
          </cell>
          <cell r="J2585">
            <v>500</v>
          </cell>
          <cell r="K2585">
            <v>100</v>
          </cell>
          <cell r="L2585">
            <v>500</v>
          </cell>
          <cell r="M2585" t="str">
            <v/>
          </cell>
          <cell r="N2585">
            <v>0</v>
          </cell>
        </row>
        <row r="2586">
          <cell r="A2586">
            <v>8461</v>
          </cell>
          <cell r="B2586" t="str">
            <v>26/04/2016</v>
          </cell>
          <cell r="C2586" t="str">
            <v>C1343</v>
          </cell>
          <cell r="D2586" t="str">
            <v>Insulation works</v>
          </cell>
          <cell r="E2586" t="str">
            <v>Ventil-Eight Systems Limited</v>
          </cell>
          <cell r="F2586" t="str">
            <v>Subcontractor</v>
          </cell>
          <cell r="G2586" t="str">
            <v/>
          </cell>
          <cell r="H2586" t="str">
            <v/>
          </cell>
          <cell r="I2586" t="str">
            <v/>
          </cell>
          <cell r="J2586">
            <v>600</v>
          </cell>
          <cell r="K2586">
            <v>120</v>
          </cell>
          <cell r="L2586">
            <v>600</v>
          </cell>
          <cell r="M2586" t="str">
            <v/>
          </cell>
          <cell r="N2586">
            <v>0</v>
          </cell>
        </row>
        <row r="2587">
          <cell r="A2587">
            <v>8436</v>
          </cell>
          <cell r="B2587" t="str">
            <v>21/04/2016</v>
          </cell>
          <cell r="C2587" t="str">
            <v>CALLOUT</v>
          </cell>
          <cell r="D2587" t="str">
            <v>Investigate door bell not working</v>
          </cell>
          <cell r="E2587" t="str">
            <v>Barrie Beard Ltd</v>
          </cell>
          <cell r="F2587" t="str">
            <v>Subcontractor</v>
          </cell>
          <cell r="G2587" t="str">
            <v/>
          </cell>
          <cell r="H2587" t="str">
            <v/>
          </cell>
          <cell r="I2587" t="str">
            <v/>
          </cell>
          <cell r="J2587">
            <v>94</v>
          </cell>
          <cell r="K2587">
            <v>18.8</v>
          </cell>
          <cell r="L2587">
            <v>94</v>
          </cell>
          <cell r="M2587" t="str">
            <v/>
          </cell>
          <cell r="N2587">
            <v>0</v>
          </cell>
        </row>
        <row r="2588">
          <cell r="A2588">
            <v>8426</v>
          </cell>
          <cell r="B2588" t="str">
            <v>20/04/2016</v>
          </cell>
          <cell r="C2588" t="str">
            <v>C1376</v>
          </cell>
          <cell r="D2588" t="str">
            <v>Install of ductwork, dampers, silencers,</v>
          </cell>
          <cell r="E2588" t="str">
            <v>ExcelVent Solutions Ltd</v>
          </cell>
          <cell r="F2588" t="str">
            <v>Subcontractor</v>
          </cell>
          <cell r="G2588" t="str">
            <v/>
          </cell>
          <cell r="H2588" t="str">
            <v/>
          </cell>
          <cell r="I2588" t="str">
            <v/>
          </cell>
          <cell r="J2588">
            <v>1250</v>
          </cell>
          <cell r="K2588">
            <v>250</v>
          </cell>
          <cell r="L2588">
            <v>1000</v>
          </cell>
          <cell r="M2588" t="str">
            <v/>
          </cell>
          <cell r="N2588">
            <v>250</v>
          </cell>
        </row>
        <row r="2589">
          <cell r="A2589">
            <v>8423</v>
          </cell>
          <cell r="B2589" t="str">
            <v>20/04/2016</v>
          </cell>
          <cell r="C2589" t="str">
            <v>C1186</v>
          </cell>
          <cell r="D2589" t="str">
            <v>Plantroom and external lagging</v>
          </cell>
          <cell r="E2589" t="str">
            <v>Scottfab Insulation Ltd</v>
          </cell>
          <cell r="F2589" t="str">
            <v>Subcontractor</v>
          </cell>
          <cell r="G2589" t="str">
            <v/>
          </cell>
          <cell r="H2589" t="str">
            <v>Complete</v>
          </cell>
          <cell r="I2589" t="str">
            <v/>
          </cell>
          <cell r="J2589">
            <v>0</v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</row>
        <row r="2590">
          <cell r="A2590">
            <v>8395</v>
          </cell>
          <cell r="B2590" t="str">
            <v>18/04/2016</v>
          </cell>
          <cell r="C2590" t="str">
            <v>C1323</v>
          </cell>
          <cell r="D2590" t="str">
            <v>Quotation LF10109</v>
          </cell>
          <cell r="E2590" t="str">
            <v>Jones Scaffolding Limited</v>
          </cell>
          <cell r="F2590" t="str">
            <v>Subcontractor</v>
          </cell>
          <cell r="G2590" t="str">
            <v/>
          </cell>
          <cell r="H2590" t="str">
            <v/>
          </cell>
          <cell r="I2590" t="str">
            <v/>
          </cell>
          <cell r="J2590">
            <v>1650</v>
          </cell>
          <cell r="K2590">
            <v>330</v>
          </cell>
          <cell r="L2590">
            <v>1650</v>
          </cell>
          <cell r="M2590" t="str">
            <v/>
          </cell>
          <cell r="N2590">
            <v>0</v>
          </cell>
        </row>
        <row r="2591">
          <cell r="A2591">
            <v>8375</v>
          </cell>
          <cell r="B2591" t="str">
            <v>13/04/2016</v>
          </cell>
          <cell r="C2591" t="str">
            <v>C1375</v>
          </cell>
          <cell r="D2591" t="str">
            <v>Installation of all ductwork , HRU's,</v>
          </cell>
          <cell r="E2591" t="str">
            <v>ExcelVent Solutions Ltd</v>
          </cell>
          <cell r="F2591" t="str">
            <v>Subcontractor</v>
          </cell>
          <cell r="G2591" t="str">
            <v/>
          </cell>
          <cell r="H2591" t="str">
            <v>Part</v>
          </cell>
          <cell r="I2591" t="str">
            <v/>
          </cell>
          <cell r="J2591">
            <v>3000</v>
          </cell>
          <cell r="K2591">
            <v>600</v>
          </cell>
          <cell r="L2591">
            <v>3000</v>
          </cell>
          <cell r="M2591" t="str">
            <v/>
          </cell>
          <cell r="N2591">
            <v>0</v>
          </cell>
        </row>
        <row r="2592">
          <cell r="A2592">
            <v>8514</v>
          </cell>
          <cell r="B2592" t="str">
            <v>12/04/2016</v>
          </cell>
          <cell r="C2592" t="str">
            <v>C1370</v>
          </cell>
          <cell r="D2592" t="str">
            <v>Fit out works as quoted</v>
          </cell>
          <cell r="E2592" t="str">
            <v>Wroot Contracts Limited</v>
          </cell>
          <cell r="F2592" t="str">
            <v>Subcontractor</v>
          </cell>
          <cell r="G2592" t="str">
            <v/>
          </cell>
          <cell r="H2592" t="str">
            <v/>
          </cell>
          <cell r="I2592" t="str">
            <v/>
          </cell>
          <cell r="J2592">
            <v>9661</v>
          </cell>
          <cell r="K2592">
            <v>1932.2</v>
          </cell>
          <cell r="L2592">
            <v>9661</v>
          </cell>
          <cell r="M2592" t="str">
            <v/>
          </cell>
          <cell r="N2592">
            <v>0</v>
          </cell>
        </row>
        <row r="2593">
          <cell r="A2593">
            <v>8370</v>
          </cell>
          <cell r="B2593" t="str">
            <v>12/04/2016</v>
          </cell>
          <cell r="C2593" t="str">
            <v>C1358</v>
          </cell>
          <cell r="D2593" t="str">
            <v>Work as Discussed with Linda Barnes</v>
          </cell>
          <cell r="E2593" t="str">
            <v>Ventil-Eight Systems Limited</v>
          </cell>
          <cell r="F2593" t="str">
            <v>Subcontractor</v>
          </cell>
          <cell r="G2593" t="str">
            <v/>
          </cell>
          <cell r="H2593" t="str">
            <v/>
          </cell>
          <cell r="I2593" t="str">
            <v/>
          </cell>
          <cell r="J2593">
            <v>36927</v>
          </cell>
          <cell r="K2593">
            <v>7385.4</v>
          </cell>
          <cell r="L2593">
            <v>36927</v>
          </cell>
          <cell r="M2593" t="str">
            <v/>
          </cell>
          <cell r="N2593">
            <v>0</v>
          </cell>
        </row>
        <row r="2594">
          <cell r="A2594">
            <v>8367</v>
          </cell>
          <cell r="B2594" t="str">
            <v>12/04/2016</v>
          </cell>
          <cell r="C2594" t="str">
            <v>C1186</v>
          </cell>
          <cell r="D2594" t="str">
            <v>Air balancing checks</v>
          </cell>
          <cell r="E2594" t="str">
            <v>New Era Commissioning Specialists Ltd</v>
          </cell>
          <cell r="F2594" t="str">
            <v>Subcontractor</v>
          </cell>
          <cell r="G2594" t="str">
            <v/>
          </cell>
          <cell r="H2594" t="str">
            <v>Part</v>
          </cell>
          <cell r="I2594" t="str">
            <v/>
          </cell>
          <cell r="J2594">
            <v>1050</v>
          </cell>
          <cell r="K2594">
            <v>210</v>
          </cell>
          <cell r="L2594">
            <v>1050</v>
          </cell>
          <cell r="M2594" t="str">
            <v/>
          </cell>
          <cell r="N2594">
            <v>0</v>
          </cell>
        </row>
        <row r="2595">
          <cell r="A2595">
            <v>8361</v>
          </cell>
          <cell r="B2595" t="str">
            <v>11/04/2016</v>
          </cell>
          <cell r="C2595" t="str">
            <v>CALLOUT</v>
          </cell>
          <cell r="D2595" t="str">
            <v>Supply &amp; Install Weather Cravat</v>
          </cell>
          <cell r="E2595" t="str">
            <v>Ventil-Eight Systems Limited</v>
          </cell>
          <cell r="F2595" t="str">
            <v>Subcontractor</v>
          </cell>
          <cell r="G2595" t="str">
            <v/>
          </cell>
          <cell r="H2595" t="str">
            <v/>
          </cell>
          <cell r="I2595" t="str">
            <v/>
          </cell>
          <cell r="J2595">
            <v>300</v>
          </cell>
          <cell r="K2595">
            <v>60</v>
          </cell>
          <cell r="L2595">
            <v>300</v>
          </cell>
          <cell r="M2595" t="str">
            <v/>
          </cell>
          <cell r="N2595">
            <v>0</v>
          </cell>
        </row>
        <row r="2596">
          <cell r="A2596">
            <v>8355</v>
          </cell>
          <cell r="B2596" t="str">
            <v>08/04/2016</v>
          </cell>
          <cell r="C2596" t="str">
            <v>C1372</v>
          </cell>
          <cell r="D2596" t="str">
            <v>Installation of all ductwork inc</v>
          </cell>
          <cell r="E2596" t="str">
            <v>Ventil-Eight Systems Limited</v>
          </cell>
          <cell r="F2596" t="str">
            <v>Subcontractor</v>
          </cell>
          <cell r="G2596" t="str">
            <v/>
          </cell>
          <cell r="H2596" t="str">
            <v/>
          </cell>
          <cell r="I2596" t="str">
            <v/>
          </cell>
          <cell r="J2596">
            <v>15930</v>
          </cell>
          <cell r="K2596">
            <v>3186</v>
          </cell>
          <cell r="L2596">
            <v>15930</v>
          </cell>
          <cell r="M2596" t="str">
            <v/>
          </cell>
          <cell r="N2596">
            <v>0</v>
          </cell>
        </row>
        <row r="2597">
          <cell r="A2597">
            <v>8354</v>
          </cell>
          <cell r="B2597" t="str">
            <v>08/04/2016</v>
          </cell>
          <cell r="C2597" t="str">
            <v>C1372</v>
          </cell>
          <cell r="D2597" t="str">
            <v>The Supply and delivery of all rectangular ductwork</v>
          </cell>
          <cell r="E2597" t="str">
            <v>Auto-Vent Limited</v>
          </cell>
          <cell r="F2597" t="str">
            <v>Subcontractor</v>
          </cell>
          <cell r="G2597" t="str">
            <v/>
          </cell>
          <cell r="H2597" t="str">
            <v>Part</v>
          </cell>
          <cell r="I2597" t="str">
            <v/>
          </cell>
          <cell r="J2597">
            <v>9167.43</v>
          </cell>
          <cell r="K2597">
            <v>1833.49</v>
          </cell>
          <cell r="L2597">
            <v>9167.43</v>
          </cell>
          <cell r="M2597" t="str">
            <v/>
          </cell>
          <cell r="N2597">
            <v>0</v>
          </cell>
        </row>
        <row r="2598">
          <cell r="A2598">
            <v>8325</v>
          </cell>
          <cell r="B2598" t="str">
            <v>01/04/2016</v>
          </cell>
          <cell r="C2598" t="str">
            <v>C1343</v>
          </cell>
          <cell r="D2598" t="str">
            <v>As per quote ref 5616</v>
          </cell>
          <cell r="E2598" t="str">
            <v>Jack Waghorn International Ltd</v>
          </cell>
          <cell r="F2598" t="str">
            <v>Subcontractor</v>
          </cell>
          <cell r="G2598" t="str">
            <v/>
          </cell>
          <cell r="H2598" t="str">
            <v/>
          </cell>
          <cell r="I2598" t="str">
            <v/>
          </cell>
          <cell r="J2598">
            <v>1090</v>
          </cell>
          <cell r="K2598">
            <v>218</v>
          </cell>
          <cell r="L2598">
            <v>1090</v>
          </cell>
          <cell r="M2598" t="str">
            <v/>
          </cell>
          <cell r="N2598">
            <v>0</v>
          </cell>
        </row>
        <row r="2599">
          <cell r="A2599">
            <v>8299</v>
          </cell>
          <cell r="B2599" t="str">
            <v>23/03/2016</v>
          </cell>
          <cell r="C2599" t="str">
            <v>C1186</v>
          </cell>
          <cell r="D2599" t="str">
            <v>Clean tank and chlorinate pipework services</v>
          </cell>
          <cell r="E2599" t="str">
            <v>Commissioning &amp; Maintenance Services Ltd</v>
          </cell>
          <cell r="F2599" t="str">
            <v>Subcontractor</v>
          </cell>
          <cell r="G2599" t="str">
            <v/>
          </cell>
          <cell r="H2599" t="str">
            <v>Complete</v>
          </cell>
          <cell r="I2599" t="str">
            <v/>
          </cell>
          <cell r="J2599">
            <v>0</v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</row>
        <row r="2600">
          <cell r="A2600">
            <v>8293</v>
          </cell>
          <cell r="B2600" t="str">
            <v>23/03/2016</v>
          </cell>
          <cell r="C2600" t="str">
            <v>C1359</v>
          </cell>
          <cell r="D2600" t="str">
            <v>Lagging to new water main pipework</v>
          </cell>
          <cell r="E2600" t="str">
            <v>Scottfab Insulation Ltd</v>
          </cell>
          <cell r="F2600" t="str">
            <v>Subcontractor</v>
          </cell>
          <cell r="G2600" t="str">
            <v>24/03/2016</v>
          </cell>
          <cell r="H2600" t="str">
            <v/>
          </cell>
          <cell r="I2600" t="str">
            <v/>
          </cell>
          <cell r="J2600">
            <v>650</v>
          </cell>
          <cell r="K2600">
            <v>130</v>
          </cell>
          <cell r="L2600">
            <v>650</v>
          </cell>
          <cell r="M2600" t="str">
            <v/>
          </cell>
          <cell r="N2600">
            <v>0</v>
          </cell>
        </row>
        <row r="2601">
          <cell r="A2601">
            <v>8263</v>
          </cell>
          <cell r="B2601" t="str">
            <v>15/03/2016</v>
          </cell>
          <cell r="C2601" t="str">
            <v>C1343</v>
          </cell>
          <cell r="D2601" t="str">
            <v>Welded Gas pipe 80mm</v>
          </cell>
          <cell r="E2601" t="str">
            <v>Roscow Mechanical Limited</v>
          </cell>
          <cell r="F2601" t="str">
            <v>Subcontractor</v>
          </cell>
          <cell r="G2601" t="str">
            <v/>
          </cell>
          <cell r="H2601" t="str">
            <v/>
          </cell>
          <cell r="I2601" t="str">
            <v/>
          </cell>
          <cell r="J2601">
            <v>147.84</v>
          </cell>
          <cell r="K2601">
            <v>29.57</v>
          </cell>
          <cell r="L2601">
            <v>147.84</v>
          </cell>
          <cell r="M2601" t="str">
            <v/>
          </cell>
          <cell r="N2601">
            <v>0</v>
          </cell>
        </row>
        <row r="2602">
          <cell r="A2602">
            <v>8255</v>
          </cell>
          <cell r="B2602" t="str">
            <v>14/03/2016</v>
          </cell>
          <cell r="C2602" t="str">
            <v>C1357</v>
          </cell>
          <cell r="D2602" t="str">
            <v>Insulation to all supply ductwork</v>
          </cell>
          <cell r="E2602" t="str">
            <v>Ventil-Eight Systems Limited</v>
          </cell>
          <cell r="F2602" t="str">
            <v>Subcontractor</v>
          </cell>
          <cell r="G2602" t="str">
            <v/>
          </cell>
          <cell r="H2602" t="str">
            <v/>
          </cell>
          <cell r="I2602" t="str">
            <v/>
          </cell>
          <cell r="J2602">
            <v>18000</v>
          </cell>
          <cell r="K2602">
            <v>3600</v>
          </cell>
          <cell r="L2602">
            <v>18000</v>
          </cell>
          <cell r="M2602" t="str">
            <v/>
          </cell>
          <cell r="N2602">
            <v>0</v>
          </cell>
        </row>
        <row r="2603">
          <cell r="A2603">
            <v>8250</v>
          </cell>
          <cell r="B2603" t="str">
            <v>11/03/2016</v>
          </cell>
          <cell r="C2603" t="str">
            <v>SERVICE</v>
          </cell>
          <cell r="D2603" t="str">
            <v>Extra cost to carry out Maintenance to Generator on Saturday</v>
          </cell>
          <cell r="E2603" t="str">
            <v>Burtonwood Generator &amp; Switchgear Services Ltd</v>
          </cell>
          <cell r="F2603" t="str">
            <v>Subcontractor</v>
          </cell>
          <cell r="G2603" t="str">
            <v/>
          </cell>
          <cell r="H2603" t="str">
            <v/>
          </cell>
          <cell r="I2603" t="str">
            <v/>
          </cell>
          <cell r="J2603">
            <v>163</v>
          </cell>
          <cell r="K2603">
            <v>32.6</v>
          </cell>
          <cell r="L2603">
            <v>163</v>
          </cell>
          <cell r="M2603" t="str">
            <v/>
          </cell>
          <cell r="N2603">
            <v>0</v>
          </cell>
        </row>
        <row r="2604">
          <cell r="A2604">
            <v>8210</v>
          </cell>
          <cell r="B2604" t="str">
            <v>03/03/2016</v>
          </cell>
          <cell r="C2604" t="str">
            <v>C1366</v>
          </cell>
          <cell r="D2604" t="str">
            <v>Supply and fitting of all insulation and cladding to the ext</v>
          </cell>
          <cell r="E2604" t="str">
            <v>Ventil-Eight Systems Limited</v>
          </cell>
          <cell r="F2604" t="str">
            <v>Subcontractor</v>
          </cell>
          <cell r="G2604" t="str">
            <v/>
          </cell>
          <cell r="H2604" t="str">
            <v/>
          </cell>
          <cell r="I2604" t="str">
            <v/>
          </cell>
          <cell r="J2604">
            <v>7500</v>
          </cell>
          <cell r="K2604">
            <v>1500</v>
          </cell>
          <cell r="L2604">
            <v>7500</v>
          </cell>
          <cell r="M2604" t="str">
            <v/>
          </cell>
          <cell r="N2604">
            <v>0</v>
          </cell>
        </row>
        <row r="2605">
          <cell r="A2605">
            <v>8208</v>
          </cell>
          <cell r="B2605" t="str">
            <v>02/03/2016</v>
          </cell>
          <cell r="C2605" t="str">
            <v>C1343</v>
          </cell>
          <cell r="D2605" t="str">
            <v>Commissioning and Chlorination works</v>
          </cell>
          <cell r="E2605" t="str">
            <v>New Era Commissioning Specialists Ltd</v>
          </cell>
          <cell r="F2605" t="str">
            <v>Subcontractor</v>
          </cell>
          <cell r="G2605" t="str">
            <v/>
          </cell>
          <cell r="H2605" t="str">
            <v/>
          </cell>
          <cell r="I2605" t="str">
            <v/>
          </cell>
          <cell r="J2605">
            <v>3008</v>
          </cell>
          <cell r="K2605">
            <v>601.6</v>
          </cell>
          <cell r="L2605">
            <v>3008</v>
          </cell>
          <cell r="M2605" t="str">
            <v/>
          </cell>
          <cell r="N2605">
            <v>0</v>
          </cell>
        </row>
        <row r="2606">
          <cell r="A2606">
            <v>8206</v>
          </cell>
          <cell r="B2606" t="str">
            <v>02/03/2016</v>
          </cell>
          <cell r="C2606" t="str">
            <v>CALLOUT</v>
          </cell>
          <cell r="D2606" t="str">
            <v>Attend site to Carry out quoted works</v>
          </cell>
          <cell r="E2606" t="str">
            <v>Kestrel North West Limited</v>
          </cell>
          <cell r="F2606" t="str">
            <v>Subcontractor</v>
          </cell>
          <cell r="G2606" t="str">
            <v/>
          </cell>
          <cell r="H2606" t="str">
            <v/>
          </cell>
          <cell r="I2606" t="str">
            <v/>
          </cell>
          <cell r="J2606">
            <v>304.2</v>
          </cell>
          <cell r="K2606">
            <v>60.84</v>
          </cell>
          <cell r="L2606">
            <v>304.2</v>
          </cell>
          <cell r="M2606" t="str">
            <v/>
          </cell>
          <cell r="N2606">
            <v>0</v>
          </cell>
        </row>
        <row r="2607">
          <cell r="A2607">
            <v>8181</v>
          </cell>
          <cell r="B2607" t="str">
            <v>25/02/2016</v>
          </cell>
          <cell r="C2607" t="str">
            <v>C1353</v>
          </cell>
          <cell r="D2607" t="str">
            <v>Commissioning and Chlorination based on two visit</v>
          </cell>
          <cell r="E2607" t="str">
            <v>New Era Commissioning Specialists Ltd</v>
          </cell>
          <cell r="F2607" t="str">
            <v>Subcontractor</v>
          </cell>
          <cell r="G2607" t="str">
            <v/>
          </cell>
          <cell r="H2607" t="str">
            <v/>
          </cell>
          <cell r="I2607" t="str">
            <v/>
          </cell>
          <cell r="J2607">
            <v>830</v>
          </cell>
          <cell r="K2607">
            <v>166</v>
          </cell>
          <cell r="L2607">
            <v>830</v>
          </cell>
          <cell r="M2607" t="str">
            <v/>
          </cell>
          <cell r="N2607">
            <v>0</v>
          </cell>
        </row>
        <row r="2608">
          <cell r="A2608">
            <v>8175</v>
          </cell>
          <cell r="B2608" t="str">
            <v>24/02/2016</v>
          </cell>
          <cell r="C2608" t="str">
            <v>CALLOUT</v>
          </cell>
          <cell r="D2608" t="str">
            <v>Completed Quoted Works</v>
          </cell>
          <cell r="E2608" t="str">
            <v>Kestrel North West Limited</v>
          </cell>
          <cell r="F2608" t="str">
            <v>Subcontractor</v>
          </cell>
          <cell r="G2608" t="str">
            <v/>
          </cell>
          <cell r="H2608" t="str">
            <v/>
          </cell>
          <cell r="I2608" t="str">
            <v/>
          </cell>
          <cell r="J2608">
            <v>440</v>
          </cell>
          <cell r="K2608">
            <v>88</v>
          </cell>
          <cell r="L2608">
            <v>440</v>
          </cell>
          <cell r="M2608" t="str">
            <v/>
          </cell>
          <cell r="N2608">
            <v>0</v>
          </cell>
        </row>
        <row r="2609">
          <cell r="A2609">
            <v>8142</v>
          </cell>
          <cell r="B2609" t="str">
            <v>17/02/2016</v>
          </cell>
          <cell r="C2609" t="str">
            <v>C1323</v>
          </cell>
          <cell r="D2609" t="str">
            <v>Labour &amp; Mateials Quote ref 15184/IS</v>
          </cell>
          <cell r="E2609" t="str">
            <v>Specialist Welding Services Ltd</v>
          </cell>
          <cell r="F2609" t="str">
            <v>Subcontractor</v>
          </cell>
          <cell r="G2609" t="str">
            <v/>
          </cell>
          <cell r="H2609" t="str">
            <v/>
          </cell>
          <cell r="I2609" t="str">
            <v/>
          </cell>
          <cell r="J2609">
            <v>1306</v>
          </cell>
          <cell r="K2609">
            <v>261.2</v>
          </cell>
          <cell r="L2609">
            <v>1306</v>
          </cell>
          <cell r="M2609" t="str">
            <v/>
          </cell>
          <cell r="N2609">
            <v>0</v>
          </cell>
        </row>
        <row r="2610">
          <cell r="A2610">
            <v>8128</v>
          </cell>
          <cell r="B2610" t="str">
            <v>11/02/2016</v>
          </cell>
          <cell r="C2610" t="str">
            <v>C1353</v>
          </cell>
          <cell r="D2610" t="str">
            <v>VO Additional Out Of Hours Work</v>
          </cell>
          <cell r="E2610" t="str">
            <v>GPL Specialist Ventilations Services Ltd</v>
          </cell>
          <cell r="F2610" t="str">
            <v>Subcontractor</v>
          </cell>
          <cell r="G2610" t="str">
            <v/>
          </cell>
          <cell r="H2610" t="str">
            <v>Complete</v>
          </cell>
          <cell r="I2610" t="str">
            <v/>
          </cell>
          <cell r="J2610">
            <v>0</v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</row>
        <row r="2611">
          <cell r="A2611">
            <v>8127</v>
          </cell>
          <cell r="B2611" t="str">
            <v>11/02/2016</v>
          </cell>
          <cell r="C2611" t="str">
            <v>C1343</v>
          </cell>
          <cell r="D2611" t="str">
            <v>Mechancial Services</v>
          </cell>
          <cell r="E2611" t="str">
            <v>Roscow Mechanical Limited</v>
          </cell>
          <cell r="F2611" t="str">
            <v>Subcontractor</v>
          </cell>
          <cell r="G2611" t="str">
            <v/>
          </cell>
          <cell r="H2611" t="str">
            <v/>
          </cell>
          <cell r="I2611" t="str">
            <v/>
          </cell>
          <cell r="J2611">
            <v>247.52</v>
          </cell>
          <cell r="K2611">
            <v>49.5</v>
          </cell>
          <cell r="L2611">
            <v>247.52</v>
          </cell>
          <cell r="M2611" t="str">
            <v/>
          </cell>
          <cell r="N2611">
            <v>0</v>
          </cell>
        </row>
        <row r="2612">
          <cell r="A2612">
            <v>8118</v>
          </cell>
          <cell r="B2612" t="str">
            <v>10/02/2016</v>
          </cell>
          <cell r="C2612" t="str">
            <v>C1353</v>
          </cell>
          <cell r="D2612" t="str">
            <v>Mechanical Services For Liverpool Innovation Park</v>
          </cell>
          <cell r="E2612" t="str">
            <v>GPL Specialist Ventilations Services Ltd</v>
          </cell>
          <cell r="F2612" t="str">
            <v>Subcontractor</v>
          </cell>
          <cell r="G2612" t="str">
            <v/>
          </cell>
          <cell r="H2612" t="str">
            <v/>
          </cell>
          <cell r="I2612" t="str">
            <v/>
          </cell>
          <cell r="J2612">
            <v>20765</v>
          </cell>
          <cell r="K2612">
            <v>4153</v>
          </cell>
          <cell r="L2612">
            <v>20765</v>
          </cell>
          <cell r="M2612" t="str">
            <v/>
          </cell>
          <cell r="N2612">
            <v>0</v>
          </cell>
        </row>
        <row r="2613">
          <cell r="A2613">
            <v>8089</v>
          </cell>
          <cell r="B2613" t="str">
            <v>02/02/2016</v>
          </cell>
          <cell r="C2613" t="str">
            <v>CALLOUT</v>
          </cell>
          <cell r="D2613" t="str">
            <v>Re-Fuel Generator as per Quote QR220286</v>
          </cell>
          <cell r="E2613" t="str">
            <v>Burtonwood Generator &amp; Switchgear Services Ltd</v>
          </cell>
          <cell r="F2613" t="str">
            <v>Subcontractor</v>
          </cell>
          <cell r="G2613" t="str">
            <v/>
          </cell>
          <cell r="H2613" t="str">
            <v/>
          </cell>
          <cell r="I2613" t="str">
            <v/>
          </cell>
          <cell r="J2613">
            <v>823</v>
          </cell>
          <cell r="K2613">
            <v>164.6</v>
          </cell>
          <cell r="L2613">
            <v>715</v>
          </cell>
          <cell r="M2613" t="str">
            <v/>
          </cell>
          <cell r="N2613">
            <v>108</v>
          </cell>
        </row>
        <row r="2614">
          <cell r="A2614">
            <v>8063</v>
          </cell>
          <cell r="B2614" t="str">
            <v>28/01/2016</v>
          </cell>
          <cell r="C2614" t="str">
            <v>C1357</v>
          </cell>
          <cell r="D2614" t="str">
            <v>installation of all ductwork , dampers , silencers, grilles,</v>
          </cell>
          <cell r="E2614" t="str">
            <v>ExcelVent Solutions Ltd</v>
          </cell>
          <cell r="F2614" t="str">
            <v>Subcontractor</v>
          </cell>
          <cell r="G2614" t="str">
            <v/>
          </cell>
          <cell r="H2614" t="str">
            <v>Part</v>
          </cell>
          <cell r="I2614" t="str">
            <v/>
          </cell>
          <cell r="J2614">
            <v>27687.5</v>
          </cell>
          <cell r="K2614">
            <v>5537.5</v>
          </cell>
          <cell r="L2614">
            <v>27687.5</v>
          </cell>
          <cell r="M2614" t="str">
            <v/>
          </cell>
          <cell r="N2614">
            <v>0</v>
          </cell>
        </row>
        <row r="2615">
          <cell r="A2615">
            <v>8062</v>
          </cell>
          <cell r="B2615" t="str">
            <v>28/01/2016</v>
          </cell>
          <cell r="C2615" t="str">
            <v>C1357</v>
          </cell>
          <cell r="D2615" t="str">
            <v>The manufacture of all rectangular ductwork inc necessary fi</v>
          </cell>
          <cell r="E2615" t="str">
            <v>Auto-Vent Limited</v>
          </cell>
          <cell r="F2615" t="str">
            <v>Subcontractor</v>
          </cell>
          <cell r="G2615" t="str">
            <v/>
          </cell>
          <cell r="H2615" t="str">
            <v/>
          </cell>
          <cell r="I2615" t="str">
            <v/>
          </cell>
          <cell r="J2615">
            <v>20577.740000000002</v>
          </cell>
          <cell r="K2615">
            <v>4115.55</v>
          </cell>
          <cell r="L2615">
            <v>20577.740000000002</v>
          </cell>
          <cell r="M2615" t="str">
            <v/>
          </cell>
          <cell r="N2615">
            <v>0</v>
          </cell>
        </row>
        <row r="2616">
          <cell r="A2616">
            <v>8024</v>
          </cell>
          <cell r="B2616" t="str">
            <v>19/01/2016</v>
          </cell>
          <cell r="C2616" t="str">
            <v>C1343</v>
          </cell>
          <cell r="D2616" t="str">
            <v>Insulation works</v>
          </cell>
          <cell r="E2616" t="str">
            <v>Ventil-Eight Systems Limited</v>
          </cell>
          <cell r="F2616" t="str">
            <v>Subcontractor</v>
          </cell>
          <cell r="G2616" t="str">
            <v/>
          </cell>
          <cell r="H2616" t="str">
            <v/>
          </cell>
          <cell r="I2616" t="str">
            <v/>
          </cell>
          <cell r="J2616">
            <v>7600</v>
          </cell>
          <cell r="K2616">
            <v>1520</v>
          </cell>
          <cell r="L2616">
            <v>7600</v>
          </cell>
          <cell r="M2616" t="str">
            <v/>
          </cell>
          <cell r="N2616">
            <v>0</v>
          </cell>
        </row>
        <row r="2617">
          <cell r="A2617">
            <v>8016</v>
          </cell>
          <cell r="B2617" t="str">
            <v>15/01/2016</v>
          </cell>
          <cell r="C2617" t="str">
            <v>C1359</v>
          </cell>
          <cell r="D2617" t="str">
            <v>LPG Mods</v>
          </cell>
          <cell r="E2617" t="str">
            <v>Enco Ltd</v>
          </cell>
          <cell r="F2617" t="str">
            <v>Subcontractor</v>
          </cell>
          <cell r="G2617" t="str">
            <v/>
          </cell>
          <cell r="H2617" t="str">
            <v/>
          </cell>
          <cell r="I2617" t="str">
            <v/>
          </cell>
          <cell r="J2617">
            <v>4000</v>
          </cell>
          <cell r="K2617">
            <v>800</v>
          </cell>
          <cell r="L2617">
            <v>4000</v>
          </cell>
          <cell r="M2617" t="str">
            <v/>
          </cell>
          <cell r="N2617">
            <v>0</v>
          </cell>
        </row>
        <row r="2618">
          <cell r="A2618">
            <v>7981</v>
          </cell>
          <cell r="B2618" t="str">
            <v>08/01/2016</v>
          </cell>
          <cell r="C2618" t="str">
            <v>C1343</v>
          </cell>
          <cell r="D2618" t="str">
            <v>As per quote REF CR/50174Q Rev 2</v>
          </cell>
          <cell r="E2618" t="str">
            <v>Impact Control Systems Ltd</v>
          </cell>
          <cell r="F2618" t="str">
            <v>Subcontractor</v>
          </cell>
          <cell r="G2618" t="str">
            <v/>
          </cell>
          <cell r="H2618" t="str">
            <v/>
          </cell>
          <cell r="I2618" t="str">
            <v/>
          </cell>
          <cell r="J2618">
            <v>29314</v>
          </cell>
          <cell r="K2618">
            <v>5862.8</v>
          </cell>
          <cell r="L2618">
            <v>29314</v>
          </cell>
          <cell r="M2618" t="str">
            <v/>
          </cell>
          <cell r="N2618">
            <v>0</v>
          </cell>
        </row>
        <row r="2619">
          <cell r="A2619">
            <v>7964</v>
          </cell>
          <cell r="B2619" t="str">
            <v>07/01/2016</v>
          </cell>
          <cell r="C2619" t="str">
            <v>C1343</v>
          </cell>
          <cell r="D2619" t="str">
            <v>AC and Ventilation Install</v>
          </cell>
          <cell r="E2619" t="str">
            <v>Auto-Vent Limited</v>
          </cell>
          <cell r="F2619" t="str">
            <v>Subcontractor</v>
          </cell>
          <cell r="G2619" t="str">
            <v/>
          </cell>
          <cell r="H2619" t="str">
            <v/>
          </cell>
          <cell r="I2619" t="str">
            <v/>
          </cell>
          <cell r="J2619">
            <v>50000</v>
          </cell>
          <cell r="K2619">
            <v>10000</v>
          </cell>
          <cell r="L2619">
            <v>50000</v>
          </cell>
          <cell r="M2619" t="str">
            <v/>
          </cell>
          <cell r="N2619">
            <v>0</v>
          </cell>
        </row>
        <row r="2620">
          <cell r="A2620">
            <v>7961</v>
          </cell>
          <cell r="B2620" t="str">
            <v>07/01/2016</v>
          </cell>
          <cell r="C2620" t="str">
            <v>CALLOUT</v>
          </cell>
          <cell r="D2620" t="str">
            <v>Replace emergency light fitting in stairwell and lamps in to</v>
          </cell>
          <cell r="E2620" t="str">
            <v>Kestrel North West Limited</v>
          </cell>
          <cell r="F2620" t="str">
            <v>Subcontractor</v>
          </cell>
          <cell r="G2620" t="str">
            <v/>
          </cell>
          <cell r="H2620" t="str">
            <v/>
          </cell>
          <cell r="I2620" t="str">
            <v/>
          </cell>
          <cell r="J2620">
            <v>119.6</v>
          </cell>
          <cell r="K2620">
            <v>23.92</v>
          </cell>
          <cell r="L2620">
            <v>119.6</v>
          </cell>
          <cell r="M2620" t="str">
            <v/>
          </cell>
          <cell r="N2620">
            <v>0</v>
          </cell>
        </row>
        <row r="2621">
          <cell r="A2621">
            <v>7939</v>
          </cell>
          <cell r="B2621" t="str">
            <v>05/01/2016</v>
          </cell>
          <cell r="C2621" t="str">
            <v>CALLOUT</v>
          </cell>
          <cell r="D2621" t="str">
            <v>Install digital timeclock with sumer set back &amp; install manu</v>
          </cell>
          <cell r="E2621" t="str">
            <v>Kestrel North West Limited</v>
          </cell>
          <cell r="F2621" t="str">
            <v>Subcontractor</v>
          </cell>
          <cell r="G2621" t="str">
            <v/>
          </cell>
          <cell r="H2621" t="str">
            <v/>
          </cell>
          <cell r="I2621" t="str">
            <v/>
          </cell>
          <cell r="J2621">
            <v>420</v>
          </cell>
          <cell r="K2621">
            <v>84</v>
          </cell>
          <cell r="L2621">
            <v>420</v>
          </cell>
          <cell r="M2621" t="str">
            <v/>
          </cell>
          <cell r="N2621">
            <v>0</v>
          </cell>
        </row>
        <row r="2622">
          <cell r="A2622">
            <v>7934</v>
          </cell>
          <cell r="B2622" t="str">
            <v>04/01/2016</v>
          </cell>
          <cell r="C2622" t="str">
            <v>C1323</v>
          </cell>
          <cell r="D2622" t="str">
            <v>Commissioning of air and chilled water systems</v>
          </cell>
          <cell r="E2622" t="str">
            <v>New Era Commissioning Specialists Ltd</v>
          </cell>
          <cell r="F2622" t="str">
            <v>Subcontractor</v>
          </cell>
          <cell r="G2622" t="str">
            <v>04/01/2016</v>
          </cell>
          <cell r="H2622" t="str">
            <v/>
          </cell>
          <cell r="I2622" t="str">
            <v/>
          </cell>
          <cell r="J2622">
            <v>3250</v>
          </cell>
          <cell r="K2622">
            <v>650</v>
          </cell>
          <cell r="L2622">
            <v>3250</v>
          </cell>
          <cell r="M2622" t="str">
            <v/>
          </cell>
          <cell r="N2622">
            <v>0</v>
          </cell>
        </row>
        <row r="2623">
          <cell r="A2623">
            <v>7933</v>
          </cell>
          <cell r="B2623" t="str">
            <v>04/01/2016</v>
          </cell>
          <cell r="C2623" t="str">
            <v>C1323</v>
          </cell>
          <cell r="D2623" t="str">
            <v>250 Litres of food safe glycol</v>
          </cell>
          <cell r="E2623" t="str">
            <v>Commissioning &amp; Maintenance Services Ltd</v>
          </cell>
          <cell r="F2623" t="str">
            <v>Subcontractor</v>
          </cell>
          <cell r="G2623" t="str">
            <v>06/01/2016</v>
          </cell>
          <cell r="H2623" t="str">
            <v/>
          </cell>
          <cell r="I2623" t="str">
            <v/>
          </cell>
          <cell r="J2623">
            <v>600</v>
          </cell>
          <cell r="K2623">
            <v>120</v>
          </cell>
          <cell r="L2623">
            <v>600</v>
          </cell>
          <cell r="M2623" t="str">
            <v/>
          </cell>
          <cell r="N2623">
            <v>0</v>
          </cell>
        </row>
        <row r="2624">
          <cell r="A2624">
            <v>7930</v>
          </cell>
          <cell r="B2624" t="str">
            <v>23/12/2015</v>
          </cell>
          <cell r="C2624" t="str">
            <v>C1313</v>
          </cell>
          <cell r="D2624" t="str">
            <v>Commissioning Works for DEF</v>
          </cell>
          <cell r="E2624" t="str">
            <v>New Era Commissioning Specialists Ltd</v>
          </cell>
          <cell r="F2624" t="str">
            <v>Subcontractor</v>
          </cell>
          <cell r="G2624" t="str">
            <v/>
          </cell>
          <cell r="H2624" t="str">
            <v/>
          </cell>
          <cell r="I2624" t="str">
            <v/>
          </cell>
          <cell r="J2624">
            <v>375</v>
          </cell>
          <cell r="K2624">
            <v>75</v>
          </cell>
          <cell r="L2624">
            <v>375</v>
          </cell>
          <cell r="M2624" t="str">
            <v/>
          </cell>
          <cell r="N2624">
            <v>0</v>
          </cell>
        </row>
        <row r="2625">
          <cell r="A2625">
            <v>7929</v>
          </cell>
          <cell r="B2625" t="str">
            <v>23/12/2015</v>
          </cell>
          <cell r="C2625" t="str">
            <v>C1350</v>
          </cell>
          <cell r="D2625" t="str">
            <v>Return visit to Dunnes for failed Units</v>
          </cell>
          <cell r="E2625" t="str">
            <v>GPL Specialist Ventilations Services Ltd</v>
          </cell>
          <cell r="F2625" t="str">
            <v>Subcontractor</v>
          </cell>
          <cell r="G2625" t="str">
            <v/>
          </cell>
          <cell r="H2625" t="str">
            <v/>
          </cell>
          <cell r="I2625" t="str">
            <v/>
          </cell>
          <cell r="J2625">
            <v>245</v>
          </cell>
          <cell r="K2625">
            <v>49</v>
          </cell>
          <cell r="L2625">
            <v>245</v>
          </cell>
          <cell r="M2625" t="str">
            <v/>
          </cell>
          <cell r="N2625">
            <v>0</v>
          </cell>
        </row>
        <row r="2626">
          <cell r="A2626">
            <v>7921</v>
          </cell>
          <cell r="B2626" t="str">
            <v>17/12/2015</v>
          </cell>
          <cell r="C2626" t="str">
            <v>C1323</v>
          </cell>
          <cell r="D2626" t="str">
            <v>Quote Reference Q9107</v>
          </cell>
          <cell r="E2626" t="str">
            <v>Enviroplas Limited</v>
          </cell>
          <cell r="F2626" t="str">
            <v>Subcontractor</v>
          </cell>
          <cell r="G2626" t="str">
            <v/>
          </cell>
          <cell r="H2626" t="str">
            <v>Part</v>
          </cell>
          <cell r="I2626" t="str">
            <v/>
          </cell>
          <cell r="J2626">
            <v>53721.16</v>
          </cell>
          <cell r="K2626">
            <v>10744.23</v>
          </cell>
          <cell r="L2626">
            <v>53721.16</v>
          </cell>
          <cell r="M2626" t="str">
            <v/>
          </cell>
          <cell r="N2626">
            <v>0</v>
          </cell>
        </row>
        <row r="2627">
          <cell r="A2627">
            <v>7920</v>
          </cell>
          <cell r="B2627" t="str">
            <v>17/12/2015</v>
          </cell>
          <cell r="C2627" t="str">
            <v>CALLOUT</v>
          </cell>
          <cell r="D2627" t="str">
            <v>Carry out varous lighting repairs over 3no floors as per quo</v>
          </cell>
          <cell r="E2627" t="str">
            <v>Kestrel North West Limited</v>
          </cell>
          <cell r="F2627" t="str">
            <v>Subcontractor</v>
          </cell>
          <cell r="G2627" t="str">
            <v/>
          </cell>
          <cell r="H2627" t="str">
            <v>Part</v>
          </cell>
          <cell r="I2627" t="str">
            <v/>
          </cell>
          <cell r="J2627">
            <v>568.20000000000005</v>
          </cell>
          <cell r="K2627">
            <v>113.64</v>
          </cell>
          <cell r="L2627">
            <v>568.20000000000005</v>
          </cell>
          <cell r="M2627" t="str">
            <v/>
          </cell>
          <cell r="N2627">
            <v>0</v>
          </cell>
        </row>
        <row r="2628">
          <cell r="A2628">
            <v>7919</v>
          </cell>
          <cell r="B2628" t="str">
            <v>17/12/2015</v>
          </cell>
          <cell r="C2628" t="str">
            <v>CALLOUT</v>
          </cell>
          <cell r="D2628" t="str">
            <v>Supply and Install disabled alarm in toilet - as per quotati</v>
          </cell>
          <cell r="E2628" t="str">
            <v>Kestrel North West Limited</v>
          </cell>
          <cell r="F2628" t="str">
            <v>Subcontractor</v>
          </cell>
          <cell r="G2628" t="str">
            <v/>
          </cell>
          <cell r="H2628" t="str">
            <v>Part</v>
          </cell>
          <cell r="I2628" t="str">
            <v/>
          </cell>
          <cell r="J2628">
            <v>556.03</v>
          </cell>
          <cell r="K2628">
            <v>111.21</v>
          </cell>
          <cell r="L2628">
            <v>556.03</v>
          </cell>
          <cell r="M2628" t="str">
            <v/>
          </cell>
          <cell r="N2628">
            <v>0</v>
          </cell>
        </row>
        <row r="2629">
          <cell r="A2629">
            <v>7914</v>
          </cell>
          <cell r="B2629" t="str">
            <v>17/12/2015</v>
          </cell>
          <cell r="C2629" t="str">
            <v>CALLOUT</v>
          </cell>
          <cell r="D2629" t="str">
            <v>Replace various lights and sensors</v>
          </cell>
          <cell r="E2629" t="str">
            <v>Kestrel North West Limited</v>
          </cell>
          <cell r="F2629" t="str">
            <v>Subcontractor</v>
          </cell>
          <cell r="G2629" t="str">
            <v/>
          </cell>
          <cell r="H2629" t="str">
            <v>Part</v>
          </cell>
          <cell r="I2629" t="str">
            <v/>
          </cell>
          <cell r="J2629">
            <v>381.54</v>
          </cell>
          <cell r="K2629">
            <v>76.31</v>
          </cell>
          <cell r="L2629">
            <v>381.54</v>
          </cell>
          <cell r="M2629" t="str">
            <v/>
          </cell>
          <cell r="N2629">
            <v>0</v>
          </cell>
        </row>
        <row r="2630">
          <cell r="A2630">
            <v>7912</v>
          </cell>
          <cell r="B2630" t="str">
            <v>17/12/2015</v>
          </cell>
          <cell r="C2630" t="str">
            <v>C1353</v>
          </cell>
          <cell r="D2630" t="str">
            <v>Work as discussed with Mark Poulton</v>
          </cell>
          <cell r="E2630" t="str">
            <v>New Era Commissioning Specialists Ltd</v>
          </cell>
          <cell r="F2630" t="str">
            <v>Subcontractor</v>
          </cell>
          <cell r="G2630" t="str">
            <v/>
          </cell>
          <cell r="H2630" t="str">
            <v/>
          </cell>
          <cell r="I2630" t="str">
            <v/>
          </cell>
          <cell r="J2630">
            <v>400</v>
          </cell>
          <cell r="K2630">
            <v>80</v>
          </cell>
          <cell r="L2630">
            <v>400</v>
          </cell>
          <cell r="M2630" t="str">
            <v/>
          </cell>
          <cell r="N2630">
            <v>0</v>
          </cell>
        </row>
        <row r="2631">
          <cell r="A2631">
            <v>7905</v>
          </cell>
          <cell r="B2631" t="str">
            <v>15/12/2015</v>
          </cell>
          <cell r="C2631" t="str">
            <v>C1313</v>
          </cell>
          <cell r="D2631" t="str">
            <v>Return Visit Cost For Phase 3 Works</v>
          </cell>
          <cell r="E2631" t="str">
            <v>CDM Fire Protection Limited</v>
          </cell>
          <cell r="F2631" t="str">
            <v>Subcontractor</v>
          </cell>
          <cell r="G2631" t="str">
            <v/>
          </cell>
          <cell r="H2631" t="str">
            <v>Part</v>
          </cell>
          <cell r="I2631" t="str">
            <v/>
          </cell>
          <cell r="J2631">
            <v>600</v>
          </cell>
          <cell r="K2631">
            <v>120</v>
          </cell>
          <cell r="L2631">
            <v>600</v>
          </cell>
          <cell r="M2631" t="str">
            <v/>
          </cell>
          <cell r="N2631">
            <v>0</v>
          </cell>
        </row>
        <row r="2632">
          <cell r="A2632">
            <v>7904</v>
          </cell>
          <cell r="B2632" t="str">
            <v>15/12/2015</v>
          </cell>
          <cell r="C2632" t="str">
            <v>C1313</v>
          </cell>
          <cell r="D2632" t="str">
            <v>Alteration to Ventilation Labour and Materilas</v>
          </cell>
          <cell r="E2632" t="str">
            <v>Ventil-Eight Systems Limited</v>
          </cell>
          <cell r="F2632" t="str">
            <v>Subcontractor</v>
          </cell>
          <cell r="G2632" t="str">
            <v/>
          </cell>
          <cell r="H2632" t="str">
            <v/>
          </cell>
          <cell r="I2632" t="str">
            <v/>
          </cell>
          <cell r="J2632">
            <v>350</v>
          </cell>
          <cell r="K2632">
            <v>70</v>
          </cell>
          <cell r="L2632">
            <v>350</v>
          </cell>
          <cell r="M2632" t="str">
            <v/>
          </cell>
          <cell r="N2632">
            <v>0</v>
          </cell>
        </row>
        <row r="2633">
          <cell r="A2633">
            <v>7903</v>
          </cell>
          <cell r="B2633" t="str">
            <v>15/12/2015</v>
          </cell>
          <cell r="C2633" t="str">
            <v>C1354</v>
          </cell>
          <cell r="D2633" t="str">
            <v>Chlorination Works</v>
          </cell>
          <cell r="E2633" t="str">
            <v>Commissioning &amp; Maintenance Services Ltd</v>
          </cell>
          <cell r="F2633" t="str">
            <v>Subcontractor</v>
          </cell>
          <cell r="G2633" t="str">
            <v/>
          </cell>
          <cell r="H2633" t="str">
            <v/>
          </cell>
          <cell r="I2633" t="str">
            <v/>
          </cell>
          <cell r="J2633">
            <v>320</v>
          </cell>
          <cell r="K2633">
            <v>64</v>
          </cell>
          <cell r="L2633">
            <v>0</v>
          </cell>
          <cell r="M2633" t="str">
            <v/>
          </cell>
          <cell r="N2633">
            <v>320</v>
          </cell>
        </row>
        <row r="2634">
          <cell r="A2634">
            <v>7902</v>
          </cell>
          <cell r="B2634" t="str">
            <v>15/12/2015</v>
          </cell>
          <cell r="C2634" t="str">
            <v>C1354</v>
          </cell>
          <cell r="D2634" t="str">
            <v>Works at Screwfix Stoke</v>
          </cell>
          <cell r="E2634" t="str">
            <v>Ventil-Eight Systems Limited</v>
          </cell>
          <cell r="F2634" t="str">
            <v>Subcontractor</v>
          </cell>
          <cell r="G2634" t="str">
            <v/>
          </cell>
          <cell r="H2634" t="str">
            <v/>
          </cell>
          <cell r="I2634" t="str">
            <v/>
          </cell>
          <cell r="J2634">
            <v>550</v>
          </cell>
          <cell r="K2634">
            <v>110</v>
          </cell>
          <cell r="L2634">
            <v>550</v>
          </cell>
          <cell r="M2634" t="str">
            <v/>
          </cell>
          <cell r="N2634">
            <v>0</v>
          </cell>
        </row>
        <row r="2635">
          <cell r="A2635">
            <v>7900</v>
          </cell>
          <cell r="B2635" t="str">
            <v>15/12/2015</v>
          </cell>
          <cell r="C2635" t="str">
            <v>CALLOUT</v>
          </cell>
          <cell r="D2635" t="str">
            <v>Supply and Install 1no Twin Spot Fitting as per quotation</v>
          </cell>
          <cell r="E2635" t="str">
            <v>Barrie Beard Ltd</v>
          </cell>
          <cell r="F2635" t="str">
            <v>Subcontractor</v>
          </cell>
          <cell r="G2635" t="str">
            <v/>
          </cell>
          <cell r="H2635" t="str">
            <v/>
          </cell>
          <cell r="I2635" t="str">
            <v/>
          </cell>
          <cell r="J2635">
            <v>240</v>
          </cell>
          <cell r="K2635">
            <v>48</v>
          </cell>
          <cell r="L2635">
            <v>240</v>
          </cell>
          <cell r="M2635" t="str">
            <v/>
          </cell>
          <cell r="N2635">
            <v>0</v>
          </cell>
        </row>
        <row r="2636">
          <cell r="A2636">
            <v>7891</v>
          </cell>
          <cell r="B2636" t="str">
            <v>10/12/2015</v>
          </cell>
          <cell r="C2636" t="str">
            <v>CALLOUT</v>
          </cell>
          <cell r="D2636" t="str">
            <v>Carry out quoted works on saturday 12th december 2015</v>
          </cell>
          <cell r="E2636" t="str">
            <v>Kestrel North West Limited</v>
          </cell>
          <cell r="F2636" t="str">
            <v>Subcontractor</v>
          </cell>
          <cell r="G2636" t="str">
            <v/>
          </cell>
          <cell r="H2636" t="str">
            <v>Part</v>
          </cell>
          <cell r="I2636" t="str">
            <v/>
          </cell>
          <cell r="J2636">
            <v>1000</v>
          </cell>
          <cell r="K2636">
            <v>200</v>
          </cell>
          <cell r="L2636">
            <v>1000</v>
          </cell>
          <cell r="M2636" t="str">
            <v/>
          </cell>
          <cell r="N2636">
            <v>0</v>
          </cell>
        </row>
        <row r="2637">
          <cell r="A2637">
            <v>7887</v>
          </cell>
          <cell r="B2637" t="str">
            <v>10/12/2015</v>
          </cell>
          <cell r="C2637" t="str">
            <v>CALLOUT</v>
          </cell>
          <cell r="D2637" t="str">
            <v>Replace dergo valve in urinals as per quotation</v>
          </cell>
          <cell r="E2637" t="str">
            <v>K Gammon Plumbing &amp; Heating Ltd</v>
          </cell>
          <cell r="F2637" t="str">
            <v>Subcontractor</v>
          </cell>
          <cell r="G2637" t="str">
            <v/>
          </cell>
          <cell r="H2637" t="str">
            <v/>
          </cell>
          <cell r="I2637" t="str">
            <v/>
          </cell>
          <cell r="J2637">
            <v>158.5</v>
          </cell>
          <cell r="K2637">
            <v>31.7</v>
          </cell>
          <cell r="L2637">
            <v>158.5</v>
          </cell>
          <cell r="M2637" t="str">
            <v/>
          </cell>
          <cell r="N2637">
            <v>0</v>
          </cell>
        </row>
        <row r="2638">
          <cell r="A2638">
            <v>7880</v>
          </cell>
          <cell r="B2638" t="str">
            <v>09/12/2015</v>
          </cell>
          <cell r="C2638" t="str">
            <v>C1186</v>
          </cell>
          <cell r="D2638" t="str">
            <v>Controls wiring</v>
          </cell>
          <cell r="E2638" t="str">
            <v>Wisbech Electrical Ltd</v>
          </cell>
          <cell r="F2638" t="str">
            <v>Subcontractor</v>
          </cell>
          <cell r="G2638" t="str">
            <v/>
          </cell>
          <cell r="H2638" t="str">
            <v/>
          </cell>
          <cell r="I2638" t="str">
            <v/>
          </cell>
          <cell r="J2638">
            <v>4000</v>
          </cell>
          <cell r="K2638">
            <v>800</v>
          </cell>
          <cell r="L2638">
            <v>4000</v>
          </cell>
          <cell r="M2638" t="str">
            <v/>
          </cell>
          <cell r="N2638">
            <v>0</v>
          </cell>
        </row>
        <row r="2639">
          <cell r="A2639">
            <v>7822</v>
          </cell>
          <cell r="B2639" t="str">
            <v>20/11/2015</v>
          </cell>
          <cell r="C2639" t="str">
            <v>C1349</v>
          </cell>
          <cell r="D2639" t="str">
            <v>Installation of all ductwork as shown on drgs</v>
          </cell>
          <cell r="E2639" t="str">
            <v>Ventil-Eight Systems Limited</v>
          </cell>
          <cell r="F2639" t="str">
            <v>Subcontractor</v>
          </cell>
          <cell r="G2639" t="str">
            <v/>
          </cell>
          <cell r="H2639" t="str">
            <v/>
          </cell>
          <cell r="I2639" t="str">
            <v/>
          </cell>
          <cell r="J2639">
            <v>48361.2</v>
          </cell>
          <cell r="K2639">
            <v>9672.24</v>
          </cell>
          <cell r="L2639">
            <v>48361.2</v>
          </cell>
          <cell r="M2639" t="str">
            <v/>
          </cell>
          <cell r="N2639">
            <v>0</v>
          </cell>
        </row>
        <row r="2640">
          <cell r="A2640">
            <v>7821</v>
          </cell>
          <cell r="B2640" t="str">
            <v>20/11/2015</v>
          </cell>
          <cell r="C2640" t="str">
            <v>C1352</v>
          </cell>
          <cell r="D2640" t="str">
            <v>Installation of all ductwork - Key IS to supply all scissor</v>
          </cell>
          <cell r="E2640" t="str">
            <v>Ventil-Eight Systems Limited</v>
          </cell>
          <cell r="F2640" t="str">
            <v>Subcontractor</v>
          </cell>
          <cell r="G2640" t="str">
            <v/>
          </cell>
          <cell r="H2640" t="str">
            <v/>
          </cell>
          <cell r="I2640" t="str">
            <v/>
          </cell>
          <cell r="J2640">
            <v>38080</v>
          </cell>
          <cell r="K2640">
            <v>7616</v>
          </cell>
          <cell r="L2640">
            <v>38080</v>
          </cell>
          <cell r="M2640" t="str">
            <v/>
          </cell>
          <cell r="N2640">
            <v>0</v>
          </cell>
        </row>
        <row r="2641">
          <cell r="A2641">
            <v>7817</v>
          </cell>
          <cell r="B2641" t="str">
            <v>19/11/2015</v>
          </cell>
          <cell r="C2641" t="str">
            <v>C1350</v>
          </cell>
          <cell r="D2641" t="str">
            <v>Additional Works To Origional Quote</v>
          </cell>
          <cell r="E2641" t="str">
            <v>GPL Specialist Ventilations Services Ltd</v>
          </cell>
          <cell r="F2641" t="str">
            <v>Subcontractor</v>
          </cell>
          <cell r="G2641" t="str">
            <v/>
          </cell>
          <cell r="H2641" t="str">
            <v/>
          </cell>
          <cell r="I2641" t="str">
            <v/>
          </cell>
          <cell r="J2641">
            <v>2200</v>
          </cell>
          <cell r="K2641">
            <v>440</v>
          </cell>
          <cell r="L2641">
            <v>2200</v>
          </cell>
          <cell r="M2641" t="str">
            <v/>
          </cell>
          <cell r="N2641">
            <v>0</v>
          </cell>
        </row>
        <row r="2642">
          <cell r="A2642">
            <v>7815</v>
          </cell>
          <cell r="B2642" t="str">
            <v>19/11/2015</v>
          </cell>
          <cell r="C2642" t="str">
            <v>C1306</v>
          </cell>
          <cell r="D2642" t="str">
            <v>VO Works on DX AHU and Reposition Condensors</v>
          </cell>
          <cell r="E2642" t="str">
            <v>Auto-Vent Limited</v>
          </cell>
          <cell r="F2642" t="str">
            <v>Subcontractor</v>
          </cell>
          <cell r="G2642" t="str">
            <v/>
          </cell>
          <cell r="H2642" t="str">
            <v/>
          </cell>
          <cell r="I2642" t="str">
            <v/>
          </cell>
          <cell r="J2642">
            <v>1000</v>
          </cell>
          <cell r="K2642">
            <v>200</v>
          </cell>
          <cell r="L2642">
            <v>0</v>
          </cell>
          <cell r="M2642" t="str">
            <v/>
          </cell>
          <cell r="N2642">
            <v>1000</v>
          </cell>
        </row>
        <row r="2643">
          <cell r="A2643">
            <v>7814</v>
          </cell>
          <cell r="B2643" t="str">
            <v>19/11/2015</v>
          </cell>
          <cell r="C2643" t="str">
            <v>C1350</v>
          </cell>
          <cell r="D2643" t="str">
            <v>Crane Hire</v>
          </cell>
          <cell r="E2643" t="str">
            <v>Sutton Crane Hire</v>
          </cell>
          <cell r="F2643" t="str">
            <v>Subcontractor</v>
          </cell>
          <cell r="G2643" t="str">
            <v/>
          </cell>
          <cell r="H2643" t="str">
            <v/>
          </cell>
          <cell r="I2643" t="str">
            <v/>
          </cell>
          <cell r="J2643">
            <v>575</v>
          </cell>
          <cell r="K2643">
            <v>115</v>
          </cell>
          <cell r="L2643">
            <v>575</v>
          </cell>
          <cell r="M2643" t="str">
            <v/>
          </cell>
          <cell r="N2643">
            <v>0</v>
          </cell>
        </row>
        <row r="2644">
          <cell r="A2644">
            <v>7810</v>
          </cell>
          <cell r="B2644" t="str">
            <v>18/11/2015</v>
          </cell>
          <cell r="C2644" t="str">
            <v>CALLOUT</v>
          </cell>
          <cell r="D2644" t="str">
            <v>replace grundfos pump valves and 19no TRV valves as pr quote</v>
          </cell>
          <cell r="E2644" t="str">
            <v>K Gammon Plumbing &amp; Heating Ltd</v>
          </cell>
          <cell r="F2644" t="str">
            <v>Subcontractor</v>
          </cell>
          <cell r="G2644" t="str">
            <v/>
          </cell>
          <cell r="H2644" t="str">
            <v/>
          </cell>
          <cell r="I2644" t="str">
            <v/>
          </cell>
          <cell r="J2644">
            <v>706.65</v>
          </cell>
          <cell r="K2644">
            <v>141.33000000000001</v>
          </cell>
          <cell r="L2644">
            <v>706.65</v>
          </cell>
          <cell r="M2644" t="str">
            <v/>
          </cell>
          <cell r="N2644">
            <v>0</v>
          </cell>
        </row>
        <row r="2645">
          <cell r="A2645">
            <v>7804</v>
          </cell>
          <cell r="B2645" t="str">
            <v>17/11/2015</v>
          </cell>
          <cell r="C2645" t="str">
            <v>CALLOUT</v>
          </cell>
          <cell r="D2645" t="str">
            <v>Carry works out to Bay 14 &amp; 22</v>
          </cell>
          <cell r="E2645" t="str">
            <v>Amber Doors &amp; Loading Bay Services Limited</v>
          </cell>
          <cell r="F2645" t="str">
            <v>Subcontractor</v>
          </cell>
          <cell r="G2645" t="str">
            <v/>
          </cell>
          <cell r="H2645" t="str">
            <v/>
          </cell>
          <cell r="I2645" t="str">
            <v/>
          </cell>
          <cell r="J2645">
            <v>992</v>
          </cell>
          <cell r="K2645">
            <v>198.4</v>
          </cell>
          <cell r="L2645">
            <v>992</v>
          </cell>
          <cell r="M2645" t="str">
            <v/>
          </cell>
          <cell r="N2645">
            <v>0</v>
          </cell>
        </row>
        <row r="2646">
          <cell r="A2646">
            <v>7793</v>
          </cell>
          <cell r="B2646" t="str">
            <v>13/11/2015</v>
          </cell>
          <cell r="C2646" t="str">
            <v>SERVICE</v>
          </cell>
          <cell r="D2646" t="str">
            <v>Carry out maintenance 2no boilers - check all radiators</v>
          </cell>
          <cell r="E2646" t="str">
            <v>Amroc Heating Supplies</v>
          </cell>
          <cell r="F2646" t="str">
            <v>Subcontractor</v>
          </cell>
          <cell r="G2646" t="str">
            <v/>
          </cell>
          <cell r="H2646" t="str">
            <v/>
          </cell>
          <cell r="I2646" t="str">
            <v/>
          </cell>
          <cell r="J2646">
            <v>178.5</v>
          </cell>
          <cell r="K2646">
            <v>35.700000000000003</v>
          </cell>
          <cell r="L2646">
            <v>178.5</v>
          </cell>
          <cell r="M2646" t="str">
            <v/>
          </cell>
          <cell r="N2646">
            <v>0</v>
          </cell>
        </row>
        <row r="2647">
          <cell r="A2647">
            <v>7775</v>
          </cell>
          <cell r="B2647" t="str">
            <v>11/11/2015</v>
          </cell>
          <cell r="C2647" t="str">
            <v>CALLOUT</v>
          </cell>
          <cell r="D2647" t="str">
            <v>Investigate light out in stationary cupboard</v>
          </cell>
          <cell r="E2647" t="str">
            <v>Barrie Beard Ltd</v>
          </cell>
          <cell r="F2647" t="str">
            <v>Subcontractor</v>
          </cell>
          <cell r="G2647" t="str">
            <v/>
          </cell>
          <cell r="H2647" t="str">
            <v/>
          </cell>
          <cell r="I2647" t="str">
            <v/>
          </cell>
          <cell r="J2647">
            <v>65.709999999999994</v>
          </cell>
          <cell r="K2647">
            <v>13.14</v>
          </cell>
          <cell r="L2647">
            <v>65.709999999999994</v>
          </cell>
          <cell r="M2647" t="str">
            <v/>
          </cell>
          <cell r="N2647">
            <v>0</v>
          </cell>
        </row>
        <row r="2648">
          <cell r="A2648">
            <v>7774</v>
          </cell>
          <cell r="B2648" t="str">
            <v>11/11/2015</v>
          </cell>
          <cell r="C2648" t="str">
            <v>CALLOUT</v>
          </cell>
          <cell r="D2648" t="str">
            <v>Investigate faulty emergency lights</v>
          </cell>
          <cell r="E2648" t="str">
            <v>Barrie Beard Ltd</v>
          </cell>
          <cell r="F2648" t="str">
            <v>Subcontractor</v>
          </cell>
          <cell r="G2648" t="str">
            <v/>
          </cell>
          <cell r="H2648" t="str">
            <v/>
          </cell>
          <cell r="I2648" t="str">
            <v/>
          </cell>
          <cell r="J2648">
            <v>171.2</v>
          </cell>
          <cell r="K2648">
            <v>34.24</v>
          </cell>
          <cell r="L2648">
            <v>171.2</v>
          </cell>
          <cell r="M2648" t="str">
            <v/>
          </cell>
          <cell r="N2648">
            <v>0</v>
          </cell>
        </row>
        <row r="2649">
          <cell r="A2649">
            <v>7763</v>
          </cell>
          <cell r="B2649" t="str">
            <v>06/11/2015</v>
          </cell>
          <cell r="C2649" t="str">
            <v>C1350</v>
          </cell>
          <cell r="D2649" t="str">
            <v>Couriers Works</v>
          </cell>
          <cell r="E2649" t="str">
            <v>GPL Specialist Ventilations Services Ltd</v>
          </cell>
          <cell r="F2649" t="str">
            <v>Subcontractor</v>
          </cell>
          <cell r="G2649" t="str">
            <v/>
          </cell>
          <cell r="H2649" t="str">
            <v/>
          </cell>
          <cell r="I2649" t="str">
            <v/>
          </cell>
          <cell r="J2649">
            <v>450</v>
          </cell>
          <cell r="K2649">
            <v>90</v>
          </cell>
          <cell r="L2649">
            <v>450</v>
          </cell>
          <cell r="M2649" t="str">
            <v/>
          </cell>
          <cell r="N2649">
            <v>0</v>
          </cell>
        </row>
        <row r="2650">
          <cell r="A2650">
            <v>7761</v>
          </cell>
          <cell r="B2650" t="str">
            <v>05/11/2015</v>
          </cell>
          <cell r="C2650" t="str">
            <v>C1350</v>
          </cell>
          <cell r="D2650" t="str">
            <v>Dunnes Heywood work as discussed with Ryan Gilligan</v>
          </cell>
          <cell r="E2650" t="str">
            <v>GPL Specialist Ventilations Services Ltd</v>
          </cell>
          <cell r="F2650" t="str">
            <v>Subcontractor</v>
          </cell>
          <cell r="G2650" t="str">
            <v/>
          </cell>
          <cell r="H2650" t="str">
            <v/>
          </cell>
          <cell r="I2650" t="str">
            <v/>
          </cell>
          <cell r="J2650">
            <v>24350</v>
          </cell>
          <cell r="K2650">
            <v>4870</v>
          </cell>
          <cell r="L2650">
            <v>24350</v>
          </cell>
          <cell r="M2650" t="str">
            <v/>
          </cell>
          <cell r="N2650">
            <v>0</v>
          </cell>
        </row>
        <row r="2651">
          <cell r="A2651">
            <v>7760</v>
          </cell>
          <cell r="B2651" t="str">
            <v>05/11/2015</v>
          </cell>
          <cell r="C2651" t="str">
            <v>C1350</v>
          </cell>
          <cell r="D2651" t="str">
            <v>Crane Hire as discussed with Ryan Gilligan on 08/11/2015</v>
          </cell>
          <cell r="E2651" t="str">
            <v>Sutton Crane Hire</v>
          </cell>
          <cell r="F2651" t="str">
            <v>Subcontractor</v>
          </cell>
          <cell r="G2651" t="str">
            <v/>
          </cell>
          <cell r="H2651" t="str">
            <v/>
          </cell>
          <cell r="I2651" t="str">
            <v/>
          </cell>
          <cell r="J2651">
            <v>1095</v>
          </cell>
          <cell r="K2651">
            <v>219</v>
          </cell>
          <cell r="L2651">
            <v>1095</v>
          </cell>
          <cell r="M2651" t="str">
            <v/>
          </cell>
          <cell r="N2651">
            <v>0</v>
          </cell>
        </row>
        <row r="2652">
          <cell r="A2652">
            <v>7753</v>
          </cell>
          <cell r="B2652" t="str">
            <v>04/11/2015</v>
          </cell>
          <cell r="C2652" t="str">
            <v>C1306</v>
          </cell>
          <cell r="D2652" t="str">
            <v>insulate pipe work in the plant room</v>
          </cell>
          <cell r="E2652" t="str">
            <v>Ventil-Eight Systems Limited</v>
          </cell>
          <cell r="F2652" t="str">
            <v>Subcontractor</v>
          </cell>
          <cell r="G2652" t="str">
            <v/>
          </cell>
          <cell r="H2652" t="str">
            <v/>
          </cell>
          <cell r="I2652" t="str">
            <v/>
          </cell>
          <cell r="J2652">
            <v>750</v>
          </cell>
          <cell r="K2652">
            <v>150</v>
          </cell>
          <cell r="L2652">
            <v>750</v>
          </cell>
          <cell r="M2652" t="str">
            <v/>
          </cell>
          <cell r="N2652">
            <v>0</v>
          </cell>
        </row>
        <row r="2653">
          <cell r="A2653">
            <v>7741</v>
          </cell>
          <cell r="B2653" t="str">
            <v>03/11/2015</v>
          </cell>
          <cell r="C2653" t="str">
            <v>C1323</v>
          </cell>
          <cell r="D2653" t="str">
            <v>Lagging</v>
          </cell>
          <cell r="E2653" t="str">
            <v>Scottfab Insulation Ltd</v>
          </cell>
          <cell r="F2653" t="str">
            <v>Subcontractor</v>
          </cell>
          <cell r="G2653" t="str">
            <v/>
          </cell>
          <cell r="H2653" t="str">
            <v>Part</v>
          </cell>
          <cell r="I2653" t="str">
            <v/>
          </cell>
          <cell r="J2653">
            <v>39196</v>
          </cell>
          <cell r="K2653">
            <v>7839.2</v>
          </cell>
          <cell r="L2653">
            <v>39196</v>
          </cell>
          <cell r="M2653" t="str">
            <v/>
          </cell>
          <cell r="N2653">
            <v>0</v>
          </cell>
        </row>
        <row r="2654">
          <cell r="A2654">
            <v>7737</v>
          </cell>
          <cell r="B2654" t="str">
            <v>02/11/2015</v>
          </cell>
          <cell r="C2654" t="str">
            <v>CALLOUT</v>
          </cell>
          <cell r="D2654" t="str">
            <v>Replace 50m plug in wireless doorbell</v>
          </cell>
          <cell r="E2654" t="str">
            <v>Kestrel North West Limited</v>
          </cell>
          <cell r="F2654" t="str">
            <v>Subcontractor</v>
          </cell>
          <cell r="G2654" t="str">
            <v/>
          </cell>
          <cell r="H2654" t="str">
            <v/>
          </cell>
          <cell r="I2654" t="str">
            <v/>
          </cell>
          <cell r="J2654">
            <v>68</v>
          </cell>
          <cell r="K2654">
            <v>13.6</v>
          </cell>
          <cell r="L2654">
            <v>68</v>
          </cell>
          <cell r="M2654" t="str">
            <v/>
          </cell>
          <cell r="N2654">
            <v>0</v>
          </cell>
        </row>
        <row r="2655">
          <cell r="A2655">
            <v>7735</v>
          </cell>
          <cell r="B2655" t="str">
            <v>02/11/2015</v>
          </cell>
          <cell r="C2655" t="str">
            <v>CALLOUT</v>
          </cell>
          <cell r="D2655" t="str">
            <v>Supply LAbour and Materials - Installation of 2no ac units i</v>
          </cell>
          <cell r="E2655" t="str">
            <v>Premier Air Control</v>
          </cell>
          <cell r="F2655" t="str">
            <v>Subcontractor</v>
          </cell>
          <cell r="G2655" t="str">
            <v/>
          </cell>
          <cell r="H2655" t="str">
            <v/>
          </cell>
          <cell r="I2655" t="str">
            <v/>
          </cell>
          <cell r="J2655">
            <v>3700</v>
          </cell>
          <cell r="K2655">
            <v>740</v>
          </cell>
          <cell r="L2655">
            <v>3700</v>
          </cell>
          <cell r="M2655" t="str">
            <v/>
          </cell>
          <cell r="N2655">
            <v>0</v>
          </cell>
        </row>
        <row r="2656">
          <cell r="A2656">
            <v>7733</v>
          </cell>
          <cell r="B2656" t="str">
            <v>02/11/2015</v>
          </cell>
          <cell r="C2656" t="str">
            <v>CALLOUT</v>
          </cell>
          <cell r="D2656" t="str">
            <v>Call out 22/10/15 Leak on AC</v>
          </cell>
          <cell r="E2656" t="str">
            <v>Johnson Controls Ltd</v>
          </cell>
          <cell r="F2656" t="str">
            <v>Subcontractor</v>
          </cell>
          <cell r="G2656" t="str">
            <v/>
          </cell>
          <cell r="H2656" t="str">
            <v/>
          </cell>
          <cell r="I2656" t="str">
            <v/>
          </cell>
          <cell r="J2656">
            <v>332.86</v>
          </cell>
          <cell r="K2656">
            <v>66.569999999999993</v>
          </cell>
          <cell r="L2656">
            <v>332.86</v>
          </cell>
          <cell r="M2656" t="str">
            <v/>
          </cell>
          <cell r="N2656">
            <v>0</v>
          </cell>
        </row>
        <row r="2657">
          <cell r="A2657">
            <v>7732</v>
          </cell>
          <cell r="B2657" t="str">
            <v>02/11/2015</v>
          </cell>
          <cell r="C2657" t="str">
            <v>CALLOUT</v>
          </cell>
          <cell r="D2657" t="str">
            <v>Carry out works as per your quotation 3882 Rev A</v>
          </cell>
          <cell r="E2657" t="str">
            <v>Roofing Consultants Ltd</v>
          </cell>
          <cell r="F2657" t="str">
            <v>Subcontractor</v>
          </cell>
          <cell r="G2657" t="str">
            <v/>
          </cell>
          <cell r="H2657" t="str">
            <v>Part</v>
          </cell>
          <cell r="I2657" t="str">
            <v/>
          </cell>
          <cell r="J2657">
            <v>20353</v>
          </cell>
          <cell r="K2657">
            <v>4070.6</v>
          </cell>
          <cell r="L2657">
            <v>20353</v>
          </cell>
          <cell r="M2657" t="str">
            <v/>
          </cell>
          <cell r="N2657">
            <v>0</v>
          </cell>
        </row>
        <row r="2658">
          <cell r="A2658">
            <v>7726</v>
          </cell>
          <cell r="B2658" t="str">
            <v>29/10/2015</v>
          </cell>
          <cell r="C2658" t="str">
            <v>CALLOUT</v>
          </cell>
          <cell r="D2658" t="str">
            <v>Supply and Install new 10 litre Hot Flo Water Heater</v>
          </cell>
          <cell r="E2658" t="str">
            <v>K Gammon Plumbing &amp; Heating Ltd</v>
          </cell>
          <cell r="F2658" t="str">
            <v>Subcontractor</v>
          </cell>
          <cell r="G2658" t="str">
            <v/>
          </cell>
          <cell r="H2658" t="str">
            <v/>
          </cell>
          <cell r="I2658" t="str">
            <v/>
          </cell>
          <cell r="J2658">
            <v>408</v>
          </cell>
          <cell r="K2658">
            <v>81.599999999999994</v>
          </cell>
          <cell r="L2658">
            <v>408</v>
          </cell>
          <cell r="M2658" t="str">
            <v/>
          </cell>
          <cell r="N2658">
            <v>0</v>
          </cell>
        </row>
        <row r="2659">
          <cell r="A2659">
            <v>7724</v>
          </cell>
          <cell r="B2659" t="str">
            <v>28/10/2015</v>
          </cell>
          <cell r="C2659" t="str">
            <v>SERVICE</v>
          </cell>
          <cell r="D2659" t="str">
            <v>Generator Maintenance October 2015 - October 2016</v>
          </cell>
          <cell r="E2659" t="str">
            <v>Burtonwood Generator &amp; Switchgear Services Ltd</v>
          </cell>
          <cell r="F2659" t="str">
            <v>Subcontractor</v>
          </cell>
          <cell r="G2659" t="str">
            <v/>
          </cell>
          <cell r="H2659" t="str">
            <v/>
          </cell>
          <cell r="I2659" t="str">
            <v/>
          </cell>
          <cell r="J2659">
            <v>1117.7</v>
          </cell>
          <cell r="K2659">
            <v>223.54</v>
          </cell>
          <cell r="L2659">
            <v>1082.5</v>
          </cell>
          <cell r="M2659" t="str">
            <v/>
          </cell>
          <cell r="N2659">
            <v>35.200000000000003</v>
          </cell>
        </row>
        <row r="2660">
          <cell r="A2660">
            <v>7722</v>
          </cell>
          <cell r="B2660" t="str">
            <v>28/10/2015</v>
          </cell>
          <cell r="C2660" t="str">
            <v>CALLOUT</v>
          </cell>
          <cell r="D2660" t="str">
            <v>Carry out works as per quotation NS6951</v>
          </cell>
          <cell r="E2660" t="str">
            <v>Adcock Refrigeration &amp; Air Conditioning</v>
          </cell>
          <cell r="F2660" t="str">
            <v>Subcontractor</v>
          </cell>
          <cell r="G2660" t="str">
            <v/>
          </cell>
          <cell r="H2660" t="str">
            <v/>
          </cell>
          <cell r="I2660" t="str">
            <v/>
          </cell>
          <cell r="J2660">
            <v>1623.58</v>
          </cell>
          <cell r="K2660">
            <v>324.72000000000003</v>
          </cell>
          <cell r="L2660">
            <v>1623.58</v>
          </cell>
          <cell r="M2660" t="str">
            <v/>
          </cell>
          <cell r="N2660">
            <v>0</v>
          </cell>
        </row>
        <row r="2661">
          <cell r="A2661">
            <v>7716</v>
          </cell>
          <cell r="B2661" t="str">
            <v>23/10/2015</v>
          </cell>
          <cell r="C2661" t="str">
            <v>C1323</v>
          </cell>
          <cell r="D2661" t="str">
            <v>Controls installation and testing</v>
          </cell>
          <cell r="E2661" t="str">
            <v>Wisbech Electrical Ltd</v>
          </cell>
          <cell r="F2661" t="str">
            <v>Subcontractor</v>
          </cell>
          <cell r="G2661" t="str">
            <v>23/10/2015</v>
          </cell>
          <cell r="H2661" t="str">
            <v/>
          </cell>
          <cell r="I2661" t="str">
            <v/>
          </cell>
          <cell r="J2661">
            <v>20581</v>
          </cell>
          <cell r="K2661">
            <v>4116.2</v>
          </cell>
          <cell r="L2661">
            <v>20581</v>
          </cell>
          <cell r="M2661" t="str">
            <v/>
          </cell>
          <cell r="N2661">
            <v>0</v>
          </cell>
        </row>
        <row r="2662">
          <cell r="A2662">
            <v>7710</v>
          </cell>
          <cell r="B2662" t="str">
            <v>22/10/2015</v>
          </cell>
          <cell r="C2662" t="str">
            <v>C1323</v>
          </cell>
          <cell r="D2662" t="str">
            <v>Work as agreed with Paul Hankey: Previously Supplier PO 7442</v>
          </cell>
          <cell r="E2662" t="str">
            <v>Firth Sheet Metal Limited</v>
          </cell>
          <cell r="F2662" t="str">
            <v>Subcontractor</v>
          </cell>
          <cell r="G2662" t="str">
            <v/>
          </cell>
          <cell r="H2662" t="str">
            <v/>
          </cell>
          <cell r="I2662" t="str">
            <v/>
          </cell>
          <cell r="J2662">
            <v>35331</v>
          </cell>
          <cell r="K2662">
            <v>7066.2</v>
          </cell>
          <cell r="L2662">
            <v>35331</v>
          </cell>
          <cell r="M2662" t="str">
            <v/>
          </cell>
          <cell r="N2662">
            <v>0</v>
          </cell>
        </row>
        <row r="2663">
          <cell r="A2663">
            <v>7704</v>
          </cell>
          <cell r="B2663" t="str">
            <v>21/10/2015</v>
          </cell>
          <cell r="C2663" t="str">
            <v>CALLOUT</v>
          </cell>
          <cell r="D2663" t="str">
            <v>Carry out works install Zip Tap &amp; Fused Spur</v>
          </cell>
          <cell r="E2663" t="str">
            <v>Kestrel North West Limited</v>
          </cell>
          <cell r="F2663" t="str">
            <v>Subcontractor</v>
          </cell>
          <cell r="G2663" t="str">
            <v/>
          </cell>
          <cell r="H2663" t="str">
            <v/>
          </cell>
          <cell r="I2663" t="str">
            <v/>
          </cell>
          <cell r="J2663">
            <v>150.30000000000001</v>
          </cell>
          <cell r="K2663">
            <v>30.06</v>
          </cell>
          <cell r="L2663">
            <v>0</v>
          </cell>
          <cell r="M2663" t="str">
            <v/>
          </cell>
          <cell r="N2663">
            <v>150.30000000000001</v>
          </cell>
        </row>
        <row r="2664">
          <cell r="A2664">
            <v>7700</v>
          </cell>
          <cell r="B2664" t="str">
            <v>20/10/2015</v>
          </cell>
          <cell r="C2664" t="str">
            <v>C1333</v>
          </cell>
          <cell r="D2664" t="str">
            <v>10% Pressure Test</v>
          </cell>
          <cell r="E2664" t="str">
            <v>RJ Urmston Commissioning Engineers Ltd</v>
          </cell>
          <cell r="F2664" t="str">
            <v>Subcontractor</v>
          </cell>
          <cell r="G2664" t="str">
            <v/>
          </cell>
          <cell r="H2664" t="str">
            <v/>
          </cell>
          <cell r="I2664" t="str">
            <v/>
          </cell>
          <cell r="J2664">
            <v>750</v>
          </cell>
          <cell r="K2664">
            <v>150</v>
          </cell>
          <cell r="L2664">
            <v>750</v>
          </cell>
          <cell r="M2664" t="str">
            <v/>
          </cell>
          <cell r="N2664">
            <v>0</v>
          </cell>
        </row>
        <row r="2665">
          <cell r="A2665">
            <v>7682</v>
          </cell>
          <cell r="B2665" t="str">
            <v>16/10/2015</v>
          </cell>
          <cell r="C2665" t="str">
            <v>C1323</v>
          </cell>
          <cell r="D2665" t="str">
            <v>Order as discussed with Paul Hankey</v>
          </cell>
          <cell r="E2665" t="str">
            <v>Impact Control Systems Ltd</v>
          </cell>
          <cell r="F2665" t="str">
            <v>Subcontractor</v>
          </cell>
          <cell r="G2665" t="str">
            <v/>
          </cell>
          <cell r="H2665" t="str">
            <v/>
          </cell>
          <cell r="I2665" t="str">
            <v/>
          </cell>
          <cell r="J2665">
            <v>25718</v>
          </cell>
          <cell r="K2665">
            <v>5143.6000000000004</v>
          </cell>
          <cell r="L2665">
            <v>25718</v>
          </cell>
          <cell r="M2665" t="str">
            <v/>
          </cell>
          <cell r="N2665">
            <v>0</v>
          </cell>
        </row>
        <row r="2666">
          <cell r="A2666">
            <v>7676</v>
          </cell>
          <cell r="B2666" t="str">
            <v>15/10/2015</v>
          </cell>
          <cell r="C2666" t="str">
            <v>C1306</v>
          </cell>
          <cell r="D2666" t="str">
            <v>Quotation Reference: 12461</v>
          </cell>
          <cell r="E2666" t="str">
            <v>RJ Urmston Commissioning Engineers Ltd</v>
          </cell>
          <cell r="F2666" t="str">
            <v>Subcontractor</v>
          </cell>
          <cell r="G2666" t="str">
            <v/>
          </cell>
          <cell r="H2666" t="str">
            <v/>
          </cell>
          <cell r="I2666" t="str">
            <v/>
          </cell>
          <cell r="J2666">
            <v>1350</v>
          </cell>
          <cell r="K2666">
            <v>270</v>
          </cell>
          <cell r="L2666">
            <v>1350</v>
          </cell>
          <cell r="M2666" t="str">
            <v/>
          </cell>
          <cell r="N2666">
            <v>0</v>
          </cell>
        </row>
        <row r="2667">
          <cell r="A2667">
            <v>7668</v>
          </cell>
          <cell r="B2667" t="str">
            <v>14/10/2015</v>
          </cell>
          <cell r="C2667" t="str">
            <v>CALLOUT</v>
          </cell>
          <cell r="D2667" t="str">
            <v>Supply &amp; Install System Boiler 30kw Intergas Wall Mounted FF</v>
          </cell>
          <cell r="E2667" t="str">
            <v>K Gammon Plumbing &amp; Heating Ltd</v>
          </cell>
          <cell r="F2667" t="str">
            <v>Subcontractor</v>
          </cell>
          <cell r="G2667" t="str">
            <v/>
          </cell>
          <cell r="H2667" t="str">
            <v/>
          </cell>
          <cell r="I2667" t="str">
            <v/>
          </cell>
          <cell r="J2667">
            <v>1700</v>
          </cell>
          <cell r="K2667">
            <v>340</v>
          </cell>
          <cell r="L2667">
            <v>1700</v>
          </cell>
          <cell r="M2667" t="str">
            <v/>
          </cell>
          <cell r="N2667">
            <v>0</v>
          </cell>
        </row>
        <row r="2668">
          <cell r="A2668">
            <v>7661</v>
          </cell>
          <cell r="B2668" t="str">
            <v>12/10/2015</v>
          </cell>
          <cell r="C2668" t="str">
            <v>CALLOUT</v>
          </cell>
          <cell r="D2668" t="str">
            <v>Racking for Upstairs &amp; Downstairs</v>
          </cell>
          <cell r="E2668" t="str">
            <v>K Gammon Plumbing &amp; Heating Ltd</v>
          </cell>
          <cell r="F2668" t="str">
            <v>Subcontractor</v>
          </cell>
          <cell r="G2668" t="str">
            <v/>
          </cell>
          <cell r="H2668" t="str">
            <v/>
          </cell>
          <cell r="I2668" t="str">
            <v/>
          </cell>
          <cell r="J2668">
            <v>820</v>
          </cell>
          <cell r="K2668">
            <v>164</v>
          </cell>
          <cell r="L2668">
            <v>820</v>
          </cell>
          <cell r="M2668" t="str">
            <v/>
          </cell>
          <cell r="N2668">
            <v>0</v>
          </cell>
        </row>
        <row r="2669">
          <cell r="A2669">
            <v>7655</v>
          </cell>
          <cell r="B2669" t="str">
            <v>12/10/2015</v>
          </cell>
          <cell r="C2669" t="str">
            <v>C1345</v>
          </cell>
          <cell r="D2669" t="str">
            <v>Work as agreed with Ryan</v>
          </cell>
          <cell r="E2669" t="str">
            <v>Ventil-Eight Systems Limited</v>
          </cell>
          <cell r="F2669" t="str">
            <v>Subcontractor</v>
          </cell>
          <cell r="G2669" t="str">
            <v/>
          </cell>
          <cell r="H2669" t="str">
            <v/>
          </cell>
          <cell r="I2669" t="str">
            <v/>
          </cell>
          <cell r="J2669">
            <v>2200</v>
          </cell>
          <cell r="K2669">
            <v>440</v>
          </cell>
          <cell r="L2669">
            <v>2200</v>
          </cell>
          <cell r="M2669" t="str">
            <v/>
          </cell>
          <cell r="N2669">
            <v>0</v>
          </cell>
        </row>
        <row r="2670">
          <cell r="A2670">
            <v>7653</v>
          </cell>
          <cell r="B2670" t="str">
            <v>12/10/2015</v>
          </cell>
          <cell r="C2670" t="str">
            <v>CALLOUT</v>
          </cell>
          <cell r="D2670" t="str">
            <v>Cost for Small Window</v>
          </cell>
          <cell r="E2670" t="str">
            <v>K Gammon Plumbing &amp; Heating Ltd</v>
          </cell>
          <cell r="F2670" t="str">
            <v>Subcontractor</v>
          </cell>
          <cell r="G2670" t="str">
            <v/>
          </cell>
          <cell r="H2670" t="str">
            <v/>
          </cell>
          <cell r="I2670" t="str">
            <v/>
          </cell>
          <cell r="J2670">
            <v>1035</v>
          </cell>
          <cell r="K2670">
            <v>207</v>
          </cell>
          <cell r="L2670">
            <v>1035</v>
          </cell>
          <cell r="M2670" t="str">
            <v/>
          </cell>
          <cell r="N2670">
            <v>0</v>
          </cell>
        </row>
        <row r="2671">
          <cell r="A2671">
            <v>7650</v>
          </cell>
          <cell r="B2671" t="str">
            <v>12/10/2015</v>
          </cell>
          <cell r="C2671" t="str">
            <v>C1345</v>
          </cell>
          <cell r="D2671" t="str">
            <v>Chlorination Works as discussed with Ryan Gilligan</v>
          </cell>
          <cell r="E2671" t="str">
            <v>RJ Urmston Commissioning Engineers Ltd</v>
          </cell>
          <cell r="F2671" t="str">
            <v>Subcontractor</v>
          </cell>
          <cell r="G2671" t="str">
            <v/>
          </cell>
          <cell r="H2671" t="str">
            <v/>
          </cell>
          <cell r="I2671" t="str">
            <v/>
          </cell>
          <cell r="J2671">
            <v>500</v>
          </cell>
          <cell r="K2671">
            <v>100</v>
          </cell>
          <cell r="L2671">
            <v>500</v>
          </cell>
          <cell r="M2671" t="str">
            <v/>
          </cell>
          <cell r="N2671">
            <v>0</v>
          </cell>
        </row>
        <row r="2672">
          <cell r="A2672">
            <v>7640</v>
          </cell>
          <cell r="B2672" t="str">
            <v>08/10/2015</v>
          </cell>
          <cell r="C2672" t="str">
            <v>C1306</v>
          </cell>
          <cell r="D2672" t="str">
            <v>AC Work as discussed with Ryan Gillgan</v>
          </cell>
          <cell r="E2672" t="str">
            <v>Auto-Vent Limited</v>
          </cell>
          <cell r="F2672" t="str">
            <v>Subcontractor</v>
          </cell>
          <cell r="G2672" t="str">
            <v/>
          </cell>
          <cell r="H2672" t="str">
            <v/>
          </cell>
          <cell r="I2672" t="str">
            <v/>
          </cell>
          <cell r="J2672">
            <v>29750</v>
          </cell>
          <cell r="K2672">
            <v>5950</v>
          </cell>
          <cell r="L2672">
            <v>29750</v>
          </cell>
          <cell r="M2672" t="str">
            <v/>
          </cell>
          <cell r="N2672">
            <v>0</v>
          </cell>
        </row>
        <row r="2673">
          <cell r="A2673">
            <v>7619</v>
          </cell>
          <cell r="B2673" t="str">
            <v>05/10/2015</v>
          </cell>
          <cell r="C2673" t="str">
            <v>CALLOUT</v>
          </cell>
          <cell r="D2673" t="str">
            <v/>
          </cell>
          <cell r="E2673" t="str">
            <v>Pole to Pole Climate Control Ltd</v>
          </cell>
          <cell r="F2673" t="str">
            <v>Subcontractor</v>
          </cell>
          <cell r="G2673" t="str">
            <v/>
          </cell>
          <cell r="H2673" t="str">
            <v/>
          </cell>
          <cell r="I2673" t="str">
            <v/>
          </cell>
          <cell r="J2673">
            <v>306.55</v>
          </cell>
          <cell r="K2673">
            <v>61.31</v>
          </cell>
          <cell r="L2673">
            <v>306.55</v>
          </cell>
          <cell r="M2673" t="str">
            <v/>
          </cell>
          <cell r="N2673">
            <v>0</v>
          </cell>
        </row>
        <row r="2674">
          <cell r="A2674">
            <v>7616</v>
          </cell>
          <cell r="B2674" t="str">
            <v>02/10/2015</v>
          </cell>
          <cell r="C2674" t="str">
            <v>CALLOUT</v>
          </cell>
          <cell r="D2674" t="str">
            <v>Rip out of old door and replace with new fire door</v>
          </cell>
          <cell r="E2674" t="str">
            <v>B A Joinery</v>
          </cell>
          <cell r="F2674" t="str">
            <v>Subcontractor</v>
          </cell>
          <cell r="G2674" t="str">
            <v/>
          </cell>
          <cell r="H2674" t="str">
            <v/>
          </cell>
          <cell r="I2674" t="str">
            <v/>
          </cell>
          <cell r="J2674">
            <v>350</v>
          </cell>
          <cell r="K2674">
            <v>0</v>
          </cell>
          <cell r="L2674">
            <v>350</v>
          </cell>
          <cell r="M2674" t="str">
            <v/>
          </cell>
          <cell r="N2674">
            <v>0</v>
          </cell>
        </row>
        <row r="2675">
          <cell r="A2675">
            <v>7591</v>
          </cell>
          <cell r="B2675" t="str">
            <v>30/09/2015</v>
          </cell>
          <cell r="C2675" t="str">
            <v>C1186</v>
          </cell>
          <cell r="D2675" t="str">
            <v>Chlorination &amp; air balancing</v>
          </cell>
          <cell r="E2675" t="str">
            <v>Commissioning &amp; Maintenance Services Ltd</v>
          </cell>
          <cell r="F2675" t="str">
            <v>Subcontractor</v>
          </cell>
          <cell r="G2675" t="str">
            <v/>
          </cell>
          <cell r="H2675" t="str">
            <v/>
          </cell>
          <cell r="I2675" t="str">
            <v/>
          </cell>
          <cell r="J2675">
            <v>504.85</v>
          </cell>
          <cell r="K2675">
            <v>100.97</v>
          </cell>
          <cell r="L2675">
            <v>504.85</v>
          </cell>
          <cell r="M2675" t="str">
            <v/>
          </cell>
          <cell r="N2675">
            <v>0</v>
          </cell>
        </row>
        <row r="2676">
          <cell r="A2676">
            <v>7569</v>
          </cell>
          <cell r="B2676" t="str">
            <v>24/09/2015</v>
          </cell>
          <cell r="C2676" t="str">
            <v>SERVICE</v>
          </cell>
          <cell r="D2676" t="str">
            <v>Carry out Quoted Works - External/Lighting/EML/L8 Monthlys</v>
          </cell>
          <cell r="E2676" t="str">
            <v>Kestrel North West Limited</v>
          </cell>
          <cell r="F2676" t="str">
            <v>Subcontractor</v>
          </cell>
          <cell r="G2676" t="str">
            <v/>
          </cell>
          <cell r="H2676" t="str">
            <v/>
          </cell>
          <cell r="I2676" t="str">
            <v/>
          </cell>
          <cell r="J2676">
            <v>360</v>
          </cell>
          <cell r="K2676">
            <v>0</v>
          </cell>
          <cell r="L2676">
            <v>360</v>
          </cell>
          <cell r="M2676" t="str">
            <v/>
          </cell>
          <cell r="N2676">
            <v>0</v>
          </cell>
        </row>
        <row r="2677">
          <cell r="A2677">
            <v>7566</v>
          </cell>
          <cell r="B2677" t="str">
            <v>23/09/2015</v>
          </cell>
          <cell r="C2677" t="str">
            <v>C1312</v>
          </cell>
          <cell r="D2677" t="str">
            <v>Vent Installation</v>
          </cell>
          <cell r="E2677" t="str">
            <v>PWD Engineering Limited</v>
          </cell>
          <cell r="F2677" t="str">
            <v>Subcontractor</v>
          </cell>
          <cell r="G2677" t="str">
            <v/>
          </cell>
          <cell r="H2677" t="str">
            <v/>
          </cell>
          <cell r="I2677" t="str">
            <v/>
          </cell>
          <cell r="J2677">
            <v>928</v>
          </cell>
          <cell r="K2677">
            <v>185.6</v>
          </cell>
          <cell r="L2677">
            <v>928</v>
          </cell>
          <cell r="M2677" t="str">
            <v/>
          </cell>
          <cell r="N2677">
            <v>0</v>
          </cell>
        </row>
        <row r="2678">
          <cell r="A2678">
            <v>7565</v>
          </cell>
          <cell r="B2678" t="str">
            <v>23/09/2015</v>
          </cell>
          <cell r="C2678" t="str">
            <v>C1213</v>
          </cell>
          <cell r="D2678" t="str">
            <v>Liner Grill Removal &amp; Refit</v>
          </cell>
          <cell r="E2678" t="str">
            <v>PWD Engineering Limited</v>
          </cell>
          <cell r="F2678" t="str">
            <v>Subcontractor</v>
          </cell>
          <cell r="G2678" t="str">
            <v/>
          </cell>
          <cell r="H2678" t="str">
            <v/>
          </cell>
          <cell r="I2678" t="str">
            <v/>
          </cell>
          <cell r="J2678">
            <v>894</v>
          </cell>
          <cell r="K2678">
            <v>178.8</v>
          </cell>
          <cell r="L2678">
            <v>894</v>
          </cell>
          <cell r="M2678" t="str">
            <v/>
          </cell>
          <cell r="N2678">
            <v>0</v>
          </cell>
        </row>
        <row r="2679">
          <cell r="A2679">
            <v>7549</v>
          </cell>
          <cell r="B2679" t="str">
            <v>21/09/2015</v>
          </cell>
          <cell r="C2679" t="str">
            <v>CALLOUT</v>
          </cell>
          <cell r="D2679" t="str">
            <v>Provide Labour (2 Engineers 1 Day) to replace approx 200no l</v>
          </cell>
          <cell r="E2679" t="str">
            <v>Kestrel North West Limited</v>
          </cell>
          <cell r="F2679" t="str">
            <v>Subcontractor</v>
          </cell>
          <cell r="G2679" t="str">
            <v/>
          </cell>
          <cell r="H2679" t="str">
            <v/>
          </cell>
          <cell r="I2679" t="str">
            <v/>
          </cell>
          <cell r="J2679">
            <v>400</v>
          </cell>
          <cell r="K2679">
            <v>80</v>
          </cell>
          <cell r="L2679">
            <v>400</v>
          </cell>
          <cell r="M2679" t="str">
            <v/>
          </cell>
          <cell r="N2679">
            <v>0</v>
          </cell>
        </row>
        <row r="2680">
          <cell r="A2680">
            <v>7548</v>
          </cell>
          <cell r="B2680" t="str">
            <v>21/09/2015</v>
          </cell>
          <cell r="C2680" t="str">
            <v>CALLOUT</v>
          </cell>
          <cell r="D2680" t="str">
            <v>Workshop fire rated after 2pm onwards, approx 3m vertical</v>
          </cell>
          <cell r="E2680" t="str">
            <v>Ventil-Eight Systems Limited</v>
          </cell>
          <cell r="F2680" t="str">
            <v>Subcontractor</v>
          </cell>
          <cell r="G2680" t="str">
            <v/>
          </cell>
          <cell r="H2680" t="str">
            <v>Part</v>
          </cell>
          <cell r="I2680" t="str">
            <v/>
          </cell>
          <cell r="J2680">
            <v>1100</v>
          </cell>
          <cell r="K2680">
            <v>220</v>
          </cell>
          <cell r="L2680">
            <v>1100</v>
          </cell>
          <cell r="M2680" t="str">
            <v/>
          </cell>
          <cell r="N2680">
            <v>0</v>
          </cell>
        </row>
        <row r="2681">
          <cell r="A2681">
            <v>7541</v>
          </cell>
          <cell r="B2681" t="str">
            <v>18/09/2015</v>
          </cell>
          <cell r="C2681" t="str">
            <v>C1186</v>
          </cell>
          <cell r="D2681" t="str">
            <v>S/S BRACKETS</v>
          </cell>
          <cell r="E2681" t="str">
            <v>Enco Ltd</v>
          </cell>
          <cell r="F2681" t="str">
            <v>Subcontractor</v>
          </cell>
          <cell r="G2681" t="str">
            <v/>
          </cell>
          <cell r="H2681" t="str">
            <v/>
          </cell>
          <cell r="I2681" t="str">
            <v/>
          </cell>
          <cell r="J2681">
            <v>320</v>
          </cell>
          <cell r="K2681">
            <v>64</v>
          </cell>
          <cell r="L2681">
            <v>320</v>
          </cell>
          <cell r="M2681" t="str">
            <v/>
          </cell>
          <cell r="N2681">
            <v>0</v>
          </cell>
        </row>
        <row r="2682">
          <cell r="A2682">
            <v>7535</v>
          </cell>
          <cell r="B2682" t="str">
            <v>17/09/2015</v>
          </cell>
          <cell r="C2682" t="str">
            <v>C1306</v>
          </cell>
          <cell r="D2682" t="str">
            <v>Pipe Work</v>
          </cell>
          <cell r="E2682" t="str">
            <v>Ventil-Eight Systems Limited</v>
          </cell>
          <cell r="F2682" t="str">
            <v>Subcontractor</v>
          </cell>
          <cell r="G2682" t="str">
            <v/>
          </cell>
          <cell r="H2682" t="str">
            <v/>
          </cell>
          <cell r="I2682" t="str">
            <v/>
          </cell>
          <cell r="J2682">
            <v>5647.5</v>
          </cell>
          <cell r="K2682">
            <v>1129.5</v>
          </cell>
          <cell r="L2682">
            <v>5647.5</v>
          </cell>
          <cell r="M2682" t="str">
            <v/>
          </cell>
          <cell r="N2682">
            <v>0</v>
          </cell>
        </row>
        <row r="2683">
          <cell r="A2683">
            <v>7534</v>
          </cell>
          <cell r="B2683" t="str">
            <v>17/09/2015</v>
          </cell>
          <cell r="C2683" t="str">
            <v>C1313</v>
          </cell>
          <cell r="D2683" t="str">
            <v>Commissioning &amp; Chlorination</v>
          </cell>
          <cell r="E2683" t="str">
            <v>Commissioning &amp; Maintenance Services Ltd</v>
          </cell>
          <cell r="F2683" t="str">
            <v>Subcontractor</v>
          </cell>
          <cell r="G2683" t="str">
            <v/>
          </cell>
          <cell r="H2683" t="str">
            <v/>
          </cell>
          <cell r="I2683" t="str">
            <v/>
          </cell>
          <cell r="J2683">
            <v>2475</v>
          </cell>
          <cell r="K2683">
            <v>495</v>
          </cell>
          <cell r="L2683">
            <v>2475</v>
          </cell>
          <cell r="M2683" t="str">
            <v/>
          </cell>
          <cell r="N2683">
            <v>0</v>
          </cell>
        </row>
        <row r="2684">
          <cell r="A2684">
            <v>7516</v>
          </cell>
          <cell r="B2684" t="str">
            <v>15/09/2015</v>
          </cell>
          <cell r="C2684" t="str">
            <v>C1323</v>
          </cell>
          <cell r="D2684" t="str">
            <v>Order Number for Paul</v>
          </cell>
          <cell r="E2684" t="str">
            <v>Jack Waghorn International Ltd</v>
          </cell>
          <cell r="F2684" t="str">
            <v>Subcontractor</v>
          </cell>
          <cell r="G2684" t="str">
            <v>21/09/2015</v>
          </cell>
          <cell r="H2684" t="str">
            <v>Part</v>
          </cell>
          <cell r="I2684" t="str">
            <v/>
          </cell>
          <cell r="J2684">
            <v>8660</v>
          </cell>
          <cell r="K2684">
            <v>1732</v>
          </cell>
          <cell r="L2684">
            <v>8660</v>
          </cell>
          <cell r="M2684" t="str">
            <v/>
          </cell>
          <cell r="N2684">
            <v>0</v>
          </cell>
        </row>
        <row r="2685">
          <cell r="A2685">
            <v>7499</v>
          </cell>
          <cell r="B2685" t="str">
            <v>11/09/2015</v>
          </cell>
          <cell r="C2685" t="str">
            <v>CALLOUT</v>
          </cell>
          <cell r="D2685" t="str">
            <v>Fire Damper Drop Test &amp; Access Doors Required to be Installe</v>
          </cell>
          <cell r="E2685" t="str">
            <v>Ventil-Eight Systems Limited</v>
          </cell>
          <cell r="F2685" t="str">
            <v>Subcontractor</v>
          </cell>
          <cell r="G2685" t="str">
            <v/>
          </cell>
          <cell r="H2685" t="str">
            <v/>
          </cell>
          <cell r="I2685" t="str">
            <v/>
          </cell>
          <cell r="J2685">
            <v>265</v>
          </cell>
          <cell r="K2685">
            <v>53</v>
          </cell>
          <cell r="L2685">
            <v>265</v>
          </cell>
          <cell r="M2685" t="str">
            <v/>
          </cell>
          <cell r="N2685">
            <v>0</v>
          </cell>
        </row>
        <row r="2686">
          <cell r="A2686">
            <v>7490</v>
          </cell>
          <cell r="B2686" t="str">
            <v>10/09/2015</v>
          </cell>
          <cell r="C2686" t="str">
            <v>C1213</v>
          </cell>
          <cell r="D2686" t="str">
            <v>Insulation Works</v>
          </cell>
          <cell r="E2686" t="str">
            <v>Ventil-Eight Systems Limited</v>
          </cell>
          <cell r="F2686" t="str">
            <v>Subcontractor</v>
          </cell>
          <cell r="G2686" t="str">
            <v/>
          </cell>
          <cell r="H2686" t="str">
            <v/>
          </cell>
          <cell r="I2686" t="str">
            <v/>
          </cell>
          <cell r="J2686">
            <v>2300</v>
          </cell>
          <cell r="K2686">
            <v>460</v>
          </cell>
          <cell r="L2686">
            <v>2300</v>
          </cell>
          <cell r="M2686" t="str">
            <v/>
          </cell>
          <cell r="N2686">
            <v>0</v>
          </cell>
        </row>
        <row r="2687">
          <cell r="A2687">
            <v>7489</v>
          </cell>
          <cell r="B2687" t="str">
            <v>10/09/2015</v>
          </cell>
          <cell r="C2687" t="str">
            <v>C1313</v>
          </cell>
          <cell r="D2687" t="str">
            <v>Insulation &amp; Ventilation WOrk</v>
          </cell>
          <cell r="E2687" t="str">
            <v>Ventil-Eight Systems Limited</v>
          </cell>
          <cell r="F2687" t="str">
            <v>Subcontractor</v>
          </cell>
          <cell r="G2687" t="str">
            <v/>
          </cell>
          <cell r="H2687" t="str">
            <v/>
          </cell>
          <cell r="I2687" t="str">
            <v/>
          </cell>
          <cell r="J2687">
            <v>4647</v>
          </cell>
          <cell r="K2687">
            <v>929.4</v>
          </cell>
          <cell r="L2687">
            <v>4647</v>
          </cell>
          <cell r="M2687" t="str">
            <v/>
          </cell>
          <cell r="N2687">
            <v>0</v>
          </cell>
        </row>
        <row r="2688">
          <cell r="A2688">
            <v>7488</v>
          </cell>
          <cell r="B2688" t="str">
            <v>10/09/2015</v>
          </cell>
          <cell r="C2688" t="str">
            <v>C1317</v>
          </cell>
          <cell r="D2688" t="str">
            <v>Bolton Bank Insulation</v>
          </cell>
          <cell r="E2688" t="str">
            <v>Ventil-Eight Systems Limited</v>
          </cell>
          <cell r="F2688" t="str">
            <v>Subcontractor</v>
          </cell>
          <cell r="G2688" t="str">
            <v/>
          </cell>
          <cell r="H2688" t="str">
            <v/>
          </cell>
          <cell r="I2688" t="str">
            <v/>
          </cell>
          <cell r="J2688">
            <v>2300</v>
          </cell>
          <cell r="K2688">
            <v>460</v>
          </cell>
          <cell r="L2688">
            <v>2300</v>
          </cell>
          <cell r="M2688" t="str">
            <v/>
          </cell>
          <cell r="N2688">
            <v>0</v>
          </cell>
        </row>
        <row r="2689">
          <cell r="A2689">
            <v>7486</v>
          </cell>
          <cell r="B2689" t="str">
            <v>10/09/2015</v>
          </cell>
          <cell r="C2689" t="str">
            <v>C1312</v>
          </cell>
          <cell r="D2689" t="str">
            <v>Wrexham Ventilation</v>
          </cell>
          <cell r="E2689" t="str">
            <v>Ventil-Eight Systems Limited</v>
          </cell>
          <cell r="F2689" t="str">
            <v>Subcontractor</v>
          </cell>
          <cell r="G2689" t="str">
            <v/>
          </cell>
          <cell r="H2689" t="str">
            <v/>
          </cell>
          <cell r="I2689" t="str">
            <v/>
          </cell>
          <cell r="J2689">
            <v>180</v>
          </cell>
          <cell r="K2689">
            <v>36</v>
          </cell>
          <cell r="L2689">
            <v>180</v>
          </cell>
          <cell r="M2689" t="str">
            <v/>
          </cell>
          <cell r="N2689">
            <v>0</v>
          </cell>
        </row>
        <row r="2690">
          <cell r="A2690">
            <v>7466</v>
          </cell>
          <cell r="B2690" t="str">
            <v>08/09/2015</v>
          </cell>
          <cell r="C2690" t="str">
            <v>C1338</v>
          </cell>
          <cell r="D2690" t="str">
            <v>Work as agreed with Ryan Gilligan</v>
          </cell>
          <cell r="E2690" t="str">
            <v>GPL Specialist Ventilations Services Ltd</v>
          </cell>
          <cell r="F2690" t="str">
            <v>Subcontractor</v>
          </cell>
          <cell r="G2690" t="str">
            <v/>
          </cell>
          <cell r="H2690" t="str">
            <v>Complete</v>
          </cell>
          <cell r="I2690" t="str">
            <v/>
          </cell>
          <cell r="J2690">
            <v>0</v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</row>
        <row r="2691">
          <cell r="A2691">
            <v>7465</v>
          </cell>
          <cell r="B2691" t="str">
            <v>08/09/2015</v>
          </cell>
          <cell r="C2691" t="str">
            <v>C1312</v>
          </cell>
          <cell r="D2691" t="str">
            <v>Ventilation works to be completed by Friday 18TH</v>
          </cell>
          <cell r="E2691" t="str">
            <v>GPL Specialist Ventilations Services Ltd</v>
          </cell>
          <cell r="F2691" t="str">
            <v>Subcontractor</v>
          </cell>
          <cell r="G2691" t="str">
            <v/>
          </cell>
          <cell r="H2691" t="str">
            <v>Complete</v>
          </cell>
          <cell r="I2691" t="str">
            <v/>
          </cell>
          <cell r="J2691">
            <v>0</v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</row>
        <row r="2692">
          <cell r="A2692">
            <v>7464</v>
          </cell>
          <cell r="B2692" t="str">
            <v>08/09/2015</v>
          </cell>
          <cell r="C2692" t="str">
            <v>C1213</v>
          </cell>
          <cell r="D2692" t="str">
            <v>Work as agreed with Ryan Gilligan</v>
          </cell>
          <cell r="E2692" t="str">
            <v>GPL Specialist Ventilations Services Ltd</v>
          </cell>
          <cell r="F2692" t="str">
            <v>Subcontractor</v>
          </cell>
          <cell r="G2692" t="str">
            <v/>
          </cell>
          <cell r="H2692" t="str">
            <v>Part</v>
          </cell>
          <cell r="I2692" t="str">
            <v/>
          </cell>
          <cell r="J2692">
            <v>1120</v>
          </cell>
          <cell r="K2692">
            <v>224</v>
          </cell>
          <cell r="L2692">
            <v>1120</v>
          </cell>
          <cell r="M2692" t="str">
            <v/>
          </cell>
          <cell r="N2692">
            <v>0</v>
          </cell>
        </row>
        <row r="2693">
          <cell r="A2693">
            <v>7463</v>
          </cell>
          <cell r="B2693" t="str">
            <v>08/09/2015</v>
          </cell>
          <cell r="C2693" t="str">
            <v>C1306</v>
          </cell>
          <cell r="D2693" t="str">
            <v>Work as agreed with Ryan Gilligan</v>
          </cell>
          <cell r="E2693" t="str">
            <v>GPL Specialist Ventilations Services Ltd</v>
          </cell>
          <cell r="F2693" t="str">
            <v>Subcontractor</v>
          </cell>
          <cell r="G2693" t="str">
            <v/>
          </cell>
          <cell r="H2693" t="str">
            <v>Part</v>
          </cell>
          <cell r="I2693" t="str">
            <v/>
          </cell>
          <cell r="J2693">
            <v>1280</v>
          </cell>
          <cell r="K2693">
            <v>256</v>
          </cell>
          <cell r="L2693">
            <v>1280</v>
          </cell>
          <cell r="M2693" t="str">
            <v/>
          </cell>
          <cell r="N2693">
            <v>0</v>
          </cell>
        </row>
        <row r="2694">
          <cell r="A2694">
            <v>7460</v>
          </cell>
          <cell r="B2694" t="str">
            <v>08/09/2015</v>
          </cell>
          <cell r="C2694" t="str">
            <v>C1342</v>
          </cell>
          <cell r="D2694" t="str">
            <v>Works carried out on Carshalton College</v>
          </cell>
          <cell r="E2694" t="str">
            <v>Ventil-Eight Systems Limited</v>
          </cell>
          <cell r="F2694" t="str">
            <v>Subcontractor</v>
          </cell>
          <cell r="G2694" t="str">
            <v/>
          </cell>
          <cell r="H2694" t="str">
            <v/>
          </cell>
          <cell r="I2694" t="str">
            <v/>
          </cell>
          <cell r="J2694">
            <v>350</v>
          </cell>
          <cell r="K2694">
            <v>70</v>
          </cell>
          <cell r="L2694">
            <v>350</v>
          </cell>
          <cell r="M2694" t="str">
            <v/>
          </cell>
          <cell r="N2694">
            <v>0</v>
          </cell>
        </row>
        <row r="2695">
          <cell r="A2695">
            <v>7458</v>
          </cell>
          <cell r="B2695" t="str">
            <v>08/09/2015</v>
          </cell>
          <cell r="C2695" t="str">
            <v>C1306</v>
          </cell>
          <cell r="D2695" t="str">
            <v>Quotation Ref: CR/501644Q</v>
          </cell>
          <cell r="E2695" t="str">
            <v>Impact Control Systems Ltd</v>
          </cell>
          <cell r="F2695" t="str">
            <v>Subcontractor</v>
          </cell>
          <cell r="G2695" t="str">
            <v/>
          </cell>
          <cell r="H2695" t="str">
            <v/>
          </cell>
          <cell r="I2695" t="str">
            <v/>
          </cell>
          <cell r="J2695">
            <v>13306</v>
          </cell>
          <cell r="K2695">
            <v>2661.2</v>
          </cell>
          <cell r="L2695">
            <v>13306</v>
          </cell>
          <cell r="M2695" t="str">
            <v/>
          </cell>
          <cell r="N2695">
            <v>0</v>
          </cell>
        </row>
        <row r="2696">
          <cell r="A2696">
            <v>7454</v>
          </cell>
          <cell r="B2696" t="str">
            <v>07/09/2015</v>
          </cell>
          <cell r="C2696" t="str">
            <v>C1306</v>
          </cell>
          <cell r="D2696" t="str">
            <v>Out of Hours Work</v>
          </cell>
          <cell r="E2696" t="str">
            <v>Impact Control Systems Ltd</v>
          </cell>
          <cell r="F2696" t="str">
            <v>Subcontractor</v>
          </cell>
          <cell r="G2696" t="str">
            <v/>
          </cell>
          <cell r="H2696" t="str">
            <v>Complete</v>
          </cell>
          <cell r="I2696" t="str">
            <v/>
          </cell>
          <cell r="J2696">
            <v>0</v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</row>
        <row r="2697">
          <cell r="A2697">
            <v>7450</v>
          </cell>
          <cell r="B2697" t="str">
            <v>07/09/2015</v>
          </cell>
          <cell r="C2697" t="str">
            <v>C1186</v>
          </cell>
          <cell r="D2697" t="str">
            <v>To supply and install galvanised ductwork services as per ou</v>
          </cell>
          <cell r="E2697" t="str">
            <v>Auto-Vent Limited</v>
          </cell>
          <cell r="F2697" t="str">
            <v>Subcontractor</v>
          </cell>
          <cell r="G2697" t="str">
            <v/>
          </cell>
          <cell r="H2697" t="str">
            <v>Complete</v>
          </cell>
          <cell r="I2697" t="str">
            <v/>
          </cell>
          <cell r="J2697">
            <v>16670.849999999999</v>
          </cell>
          <cell r="K2697">
            <v>3334.17</v>
          </cell>
          <cell r="L2697">
            <v>16670.849999999999</v>
          </cell>
          <cell r="M2697" t="str">
            <v/>
          </cell>
          <cell r="N2697">
            <v>0</v>
          </cell>
        </row>
        <row r="2698">
          <cell r="A2698">
            <v>7449</v>
          </cell>
          <cell r="B2698" t="str">
            <v>07/09/2015</v>
          </cell>
          <cell r="C2698" t="str">
            <v>C1252</v>
          </cell>
          <cell r="D2698" t="str">
            <v>Wire Up Gas Guard Units</v>
          </cell>
          <cell r="E2698" t="str">
            <v>Kestrel North West Limited</v>
          </cell>
          <cell r="F2698" t="str">
            <v>Subcontractor</v>
          </cell>
          <cell r="G2698" t="str">
            <v/>
          </cell>
          <cell r="H2698" t="str">
            <v/>
          </cell>
          <cell r="I2698" t="str">
            <v/>
          </cell>
          <cell r="J2698">
            <v>356</v>
          </cell>
          <cell r="K2698">
            <v>71.2</v>
          </cell>
          <cell r="L2698">
            <v>356</v>
          </cell>
          <cell r="M2698" t="str">
            <v/>
          </cell>
          <cell r="N2698">
            <v>0</v>
          </cell>
        </row>
        <row r="2699">
          <cell r="A2699">
            <v>7448</v>
          </cell>
          <cell r="B2699" t="str">
            <v>07/09/2015</v>
          </cell>
          <cell r="C2699" t="str">
            <v>C1186</v>
          </cell>
          <cell r="D2699" t="str">
            <v>Ductwork Lagging</v>
          </cell>
          <cell r="E2699" t="str">
            <v>Scottfab Insulation Ltd</v>
          </cell>
          <cell r="F2699" t="str">
            <v>Subcontractor</v>
          </cell>
          <cell r="G2699" t="str">
            <v/>
          </cell>
          <cell r="H2699" t="str">
            <v/>
          </cell>
          <cell r="I2699" t="str">
            <v/>
          </cell>
          <cell r="J2699">
            <v>2865</v>
          </cell>
          <cell r="K2699">
            <v>573</v>
          </cell>
          <cell r="L2699">
            <v>2865</v>
          </cell>
          <cell r="M2699" t="str">
            <v/>
          </cell>
          <cell r="N2699">
            <v>0</v>
          </cell>
        </row>
        <row r="2700">
          <cell r="A2700">
            <v>7447</v>
          </cell>
          <cell r="B2700" t="str">
            <v>07/09/2015</v>
          </cell>
          <cell r="C2700" t="str">
            <v>C1186</v>
          </cell>
          <cell r="D2700" t="str">
            <v>Pipework Lagging</v>
          </cell>
          <cell r="E2700" t="str">
            <v>Scottfab Insulation Ltd</v>
          </cell>
          <cell r="F2700" t="str">
            <v>Subcontractor</v>
          </cell>
          <cell r="G2700" t="str">
            <v/>
          </cell>
          <cell r="H2700" t="str">
            <v/>
          </cell>
          <cell r="I2700" t="str">
            <v/>
          </cell>
          <cell r="J2700">
            <v>2355</v>
          </cell>
          <cell r="K2700">
            <v>471</v>
          </cell>
          <cell r="L2700">
            <v>2355</v>
          </cell>
          <cell r="M2700" t="str">
            <v/>
          </cell>
          <cell r="N2700">
            <v>0</v>
          </cell>
        </row>
        <row r="2701">
          <cell r="A2701">
            <v>7444</v>
          </cell>
          <cell r="B2701" t="str">
            <v>07/09/2015</v>
          </cell>
          <cell r="C2701" t="str">
            <v>C1313</v>
          </cell>
          <cell r="D2701" t="str">
            <v>Plumbing Works</v>
          </cell>
          <cell r="E2701" t="str">
            <v>GPL Specialist Ventilations Services Ltd</v>
          </cell>
          <cell r="F2701" t="str">
            <v>Subcontractor</v>
          </cell>
          <cell r="G2701" t="str">
            <v/>
          </cell>
          <cell r="H2701" t="str">
            <v>Part</v>
          </cell>
          <cell r="I2701" t="str">
            <v/>
          </cell>
          <cell r="J2701">
            <v>3300</v>
          </cell>
          <cell r="K2701">
            <v>660</v>
          </cell>
          <cell r="L2701">
            <v>3300</v>
          </cell>
          <cell r="M2701" t="str">
            <v/>
          </cell>
          <cell r="N2701">
            <v>0</v>
          </cell>
        </row>
        <row r="2702">
          <cell r="A2702">
            <v>7415</v>
          </cell>
          <cell r="B2702" t="str">
            <v>02/09/2015</v>
          </cell>
          <cell r="C2702" t="str">
            <v>C1186</v>
          </cell>
          <cell r="D2702" t="str">
            <v>Supply &amp; install fully welded oven vent as quote 26.8.15</v>
          </cell>
          <cell r="E2702" t="str">
            <v>Auto-Vent Limited</v>
          </cell>
          <cell r="F2702" t="str">
            <v>Subcontractor</v>
          </cell>
          <cell r="G2702" t="str">
            <v/>
          </cell>
          <cell r="H2702" t="str">
            <v/>
          </cell>
          <cell r="I2702" t="str">
            <v/>
          </cell>
          <cell r="J2702">
            <v>3178</v>
          </cell>
          <cell r="K2702">
            <v>635.6</v>
          </cell>
          <cell r="L2702">
            <v>3178</v>
          </cell>
          <cell r="M2702" t="str">
            <v/>
          </cell>
          <cell r="N2702">
            <v>0</v>
          </cell>
        </row>
        <row r="2703">
          <cell r="A2703">
            <v>7396</v>
          </cell>
          <cell r="B2703" t="str">
            <v>26/08/2015</v>
          </cell>
          <cell r="C2703" t="str">
            <v>C1213</v>
          </cell>
          <cell r="D2703" t="str">
            <v>Works carried out at Shrewsbury on 23/08/15</v>
          </cell>
          <cell r="E2703" t="str">
            <v>Ventil-Eight Systems Limited</v>
          </cell>
          <cell r="F2703" t="str">
            <v>Subcontractor</v>
          </cell>
          <cell r="G2703" t="str">
            <v/>
          </cell>
          <cell r="H2703" t="str">
            <v/>
          </cell>
          <cell r="I2703" t="str">
            <v/>
          </cell>
          <cell r="J2703">
            <v>1805</v>
          </cell>
          <cell r="K2703">
            <v>361</v>
          </cell>
          <cell r="L2703">
            <v>1805</v>
          </cell>
          <cell r="M2703" t="str">
            <v/>
          </cell>
          <cell r="N2703">
            <v>0</v>
          </cell>
        </row>
        <row r="2704">
          <cell r="A2704">
            <v>7395</v>
          </cell>
          <cell r="B2704" t="str">
            <v>26/08/2015</v>
          </cell>
          <cell r="C2704" t="str">
            <v>C1313</v>
          </cell>
          <cell r="D2704" t="str">
            <v>As per Quotation - Phase 2 - Based on 2 Visits</v>
          </cell>
          <cell r="E2704" t="str">
            <v>CDM Fire Protection Limited</v>
          </cell>
          <cell r="F2704" t="str">
            <v>Subcontractor</v>
          </cell>
          <cell r="G2704" t="str">
            <v/>
          </cell>
          <cell r="H2704" t="str">
            <v>Part</v>
          </cell>
          <cell r="I2704" t="str">
            <v/>
          </cell>
          <cell r="J2704">
            <v>9636</v>
          </cell>
          <cell r="K2704">
            <v>1927.2</v>
          </cell>
          <cell r="L2704">
            <v>9636</v>
          </cell>
          <cell r="M2704" t="str">
            <v/>
          </cell>
          <cell r="N2704">
            <v>0</v>
          </cell>
        </row>
        <row r="2705">
          <cell r="A2705">
            <v>7387</v>
          </cell>
          <cell r="B2705" t="str">
            <v>25/08/2015</v>
          </cell>
          <cell r="C2705" t="str">
            <v>CALLOUT</v>
          </cell>
          <cell r="D2705" t="str">
            <v>Supply and Install new Blind as per quotation dated 20.07.20</v>
          </cell>
          <cell r="E2705" t="str">
            <v>K Gammon Plumbing &amp; Heating Ltd</v>
          </cell>
          <cell r="F2705" t="str">
            <v>Subcontractor</v>
          </cell>
          <cell r="G2705" t="str">
            <v/>
          </cell>
          <cell r="H2705" t="str">
            <v/>
          </cell>
          <cell r="I2705" t="str">
            <v/>
          </cell>
          <cell r="J2705">
            <v>230.44</v>
          </cell>
          <cell r="K2705">
            <v>46.09</v>
          </cell>
          <cell r="L2705">
            <v>230.44</v>
          </cell>
          <cell r="M2705" t="str">
            <v/>
          </cell>
          <cell r="N2705">
            <v>0</v>
          </cell>
        </row>
        <row r="2706">
          <cell r="A2706">
            <v>7367</v>
          </cell>
          <cell r="B2706" t="str">
            <v>20/08/2015</v>
          </cell>
          <cell r="C2706" t="str">
            <v>C1337</v>
          </cell>
          <cell r="D2706" t="str">
            <v>Original Quote</v>
          </cell>
          <cell r="E2706" t="str">
            <v>GPL Specialist Ventilations Services Ltd</v>
          </cell>
          <cell r="F2706" t="str">
            <v>Subcontractor</v>
          </cell>
          <cell r="G2706" t="str">
            <v/>
          </cell>
          <cell r="H2706" t="str">
            <v/>
          </cell>
          <cell r="I2706" t="str">
            <v/>
          </cell>
          <cell r="J2706">
            <v>3050</v>
          </cell>
          <cell r="K2706">
            <v>610</v>
          </cell>
          <cell r="L2706">
            <v>3050</v>
          </cell>
          <cell r="M2706" t="str">
            <v/>
          </cell>
          <cell r="N2706">
            <v>0</v>
          </cell>
        </row>
        <row r="2707">
          <cell r="A2707">
            <v>7334</v>
          </cell>
          <cell r="B2707" t="str">
            <v>17/08/2015</v>
          </cell>
          <cell r="C2707" t="str">
            <v>C1323</v>
          </cell>
          <cell r="D2707" t="str">
            <v>Fork lift driver</v>
          </cell>
          <cell r="E2707" t="str">
            <v>Jack Waghorn International Ltd</v>
          </cell>
          <cell r="F2707" t="str">
            <v>Subcontractor</v>
          </cell>
          <cell r="G2707" t="str">
            <v/>
          </cell>
          <cell r="H2707" t="str">
            <v/>
          </cell>
          <cell r="I2707" t="str">
            <v/>
          </cell>
          <cell r="J2707">
            <v>450</v>
          </cell>
          <cell r="K2707">
            <v>90</v>
          </cell>
          <cell r="L2707">
            <v>450</v>
          </cell>
          <cell r="M2707" t="str">
            <v/>
          </cell>
          <cell r="N2707">
            <v>0</v>
          </cell>
        </row>
        <row r="2708">
          <cell r="A2708">
            <v>7310</v>
          </cell>
          <cell r="B2708" t="str">
            <v>13/08/2015</v>
          </cell>
          <cell r="C2708" t="str">
            <v>C1332</v>
          </cell>
          <cell r="D2708" t="str">
            <v>Installation of ductwork and plant equipment</v>
          </cell>
          <cell r="E2708" t="str">
            <v>Ventil-Eight Systems Limited</v>
          </cell>
          <cell r="F2708" t="str">
            <v>Subcontractor</v>
          </cell>
          <cell r="G2708" t="str">
            <v/>
          </cell>
          <cell r="H2708" t="str">
            <v/>
          </cell>
          <cell r="I2708" t="str">
            <v/>
          </cell>
          <cell r="J2708">
            <v>15300</v>
          </cell>
          <cell r="K2708">
            <v>3060</v>
          </cell>
          <cell r="L2708">
            <v>15300</v>
          </cell>
          <cell r="M2708" t="str">
            <v/>
          </cell>
          <cell r="N2708">
            <v>0</v>
          </cell>
        </row>
        <row r="2709">
          <cell r="A2709">
            <v>7298</v>
          </cell>
          <cell r="B2709" t="str">
            <v>11/08/2015</v>
          </cell>
          <cell r="C2709" t="str">
            <v>C1222</v>
          </cell>
          <cell r="D2709" t="str">
            <v>Ventilation Works</v>
          </cell>
          <cell r="E2709" t="str">
            <v>GPL Specialist Ventilations Services Ltd</v>
          </cell>
          <cell r="F2709" t="str">
            <v>Subcontractor</v>
          </cell>
          <cell r="G2709" t="str">
            <v/>
          </cell>
          <cell r="H2709" t="str">
            <v/>
          </cell>
          <cell r="I2709" t="str">
            <v/>
          </cell>
          <cell r="J2709">
            <v>1212</v>
          </cell>
          <cell r="K2709">
            <v>242.4</v>
          </cell>
          <cell r="L2709">
            <v>1212</v>
          </cell>
          <cell r="M2709" t="str">
            <v/>
          </cell>
          <cell r="N2709">
            <v>0</v>
          </cell>
        </row>
        <row r="2710">
          <cell r="A2710">
            <v>7295</v>
          </cell>
          <cell r="B2710" t="str">
            <v>11/08/2015</v>
          </cell>
          <cell r="C2710" t="str">
            <v>C1222</v>
          </cell>
          <cell r="D2710" t="str">
            <v>Materials on the AC works on existing bracketing</v>
          </cell>
          <cell r="E2710" t="str">
            <v>GPL Specialist Ventilations Services Ltd</v>
          </cell>
          <cell r="F2710" t="str">
            <v>Subcontractor</v>
          </cell>
          <cell r="G2710" t="str">
            <v/>
          </cell>
          <cell r="H2710" t="str">
            <v/>
          </cell>
          <cell r="I2710" t="str">
            <v/>
          </cell>
          <cell r="J2710">
            <v>550</v>
          </cell>
          <cell r="K2710">
            <v>110</v>
          </cell>
          <cell r="L2710">
            <v>550</v>
          </cell>
          <cell r="M2710" t="str">
            <v/>
          </cell>
          <cell r="N2710">
            <v>0</v>
          </cell>
        </row>
        <row r="2711">
          <cell r="A2711">
            <v>7294</v>
          </cell>
          <cell r="B2711" t="str">
            <v>10/08/2015</v>
          </cell>
          <cell r="C2711" t="str">
            <v>C1336</v>
          </cell>
          <cell r="D2711" t="str">
            <v>Modifications to external lighting</v>
          </cell>
          <cell r="E2711" t="str">
            <v>M&amp;E Leeds Ltd</v>
          </cell>
          <cell r="F2711" t="str">
            <v>Subcontractor</v>
          </cell>
          <cell r="G2711" t="str">
            <v>14/09/2015</v>
          </cell>
          <cell r="H2711" t="str">
            <v/>
          </cell>
          <cell r="I2711" t="str">
            <v/>
          </cell>
          <cell r="J2711">
            <v>6218.22</v>
          </cell>
          <cell r="K2711">
            <v>1243.6400000000001</v>
          </cell>
          <cell r="L2711">
            <v>6218.22</v>
          </cell>
          <cell r="M2711" t="str">
            <v/>
          </cell>
          <cell r="N2711">
            <v>0</v>
          </cell>
        </row>
        <row r="2712">
          <cell r="A2712">
            <v>7287</v>
          </cell>
          <cell r="B2712" t="str">
            <v>10/08/2015</v>
          </cell>
          <cell r="C2712" t="str">
            <v>SERVICE</v>
          </cell>
          <cell r="D2712" t="str">
            <v>supply shelving racks</v>
          </cell>
          <cell r="E2712" t="str">
            <v>K Gammon Plumbing &amp; Heating Ltd</v>
          </cell>
          <cell r="F2712" t="str">
            <v>Subcontractor</v>
          </cell>
          <cell r="G2712" t="str">
            <v/>
          </cell>
          <cell r="H2712" t="str">
            <v/>
          </cell>
          <cell r="I2712" t="str">
            <v/>
          </cell>
          <cell r="J2712">
            <v>145</v>
          </cell>
          <cell r="K2712">
            <v>29</v>
          </cell>
          <cell r="L2712">
            <v>0</v>
          </cell>
          <cell r="M2712" t="str">
            <v/>
          </cell>
          <cell r="N2712">
            <v>145</v>
          </cell>
        </row>
        <row r="2713">
          <cell r="A2713">
            <v>7285</v>
          </cell>
          <cell r="B2713" t="str">
            <v>10/08/2015</v>
          </cell>
          <cell r="C2713" t="str">
            <v>CALLOUT</v>
          </cell>
          <cell r="D2713" t="str">
            <v>Surge Protection</v>
          </cell>
          <cell r="E2713" t="str">
            <v>Kestrel North West Limited</v>
          </cell>
          <cell r="F2713" t="str">
            <v>Subcontractor</v>
          </cell>
          <cell r="G2713" t="str">
            <v/>
          </cell>
          <cell r="H2713" t="str">
            <v/>
          </cell>
          <cell r="I2713" t="str">
            <v/>
          </cell>
          <cell r="J2713">
            <v>2231.4499999999998</v>
          </cell>
          <cell r="K2713">
            <v>446.29</v>
          </cell>
          <cell r="L2713">
            <v>2231.4499999999998</v>
          </cell>
          <cell r="M2713" t="str">
            <v/>
          </cell>
          <cell r="N2713">
            <v>0</v>
          </cell>
        </row>
        <row r="2714">
          <cell r="A2714">
            <v>7280</v>
          </cell>
          <cell r="B2714" t="str">
            <v>07/08/2015</v>
          </cell>
          <cell r="C2714" t="str">
            <v>C1323</v>
          </cell>
          <cell r="D2714" t="str">
            <v>Mechanical services installation</v>
          </cell>
          <cell r="E2714" t="str">
            <v>Enco Ltd</v>
          </cell>
          <cell r="F2714" t="str">
            <v>Subcontractor</v>
          </cell>
          <cell r="G2714" t="str">
            <v>10/08/2015</v>
          </cell>
          <cell r="H2714" t="str">
            <v>Part</v>
          </cell>
          <cell r="I2714" t="str">
            <v/>
          </cell>
          <cell r="J2714">
            <v>628345.5</v>
          </cell>
          <cell r="K2714">
            <v>125669.1</v>
          </cell>
          <cell r="L2714">
            <v>628345.5</v>
          </cell>
          <cell r="M2714" t="str">
            <v/>
          </cell>
          <cell r="N2714">
            <v>0</v>
          </cell>
        </row>
        <row r="2715">
          <cell r="A2715">
            <v>7277</v>
          </cell>
          <cell r="B2715" t="str">
            <v>07/08/2015</v>
          </cell>
          <cell r="C2715" t="str">
            <v>C1312</v>
          </cell>
          <cell r="D2715" t="str">
            <v>Riop out &amp; disposing of gas</v>
          </cell>
          <cell r="E2715" t="str">
            <v>Auto-Vent Limited</v>
          </cell>
          <cell r="F2715" t="str">
            <v>Subcontractor</v>
          </cell>
          <cell r="G2715" t="str">
            <v/>
          </cell>
          <cell r="H2715" t="str">
            <v/>
          </cell>
          <cell r="I2715" t="str">
            <v/>
          </cell>
          <cell r="J2715">
            <v>560</v>
          </cell>
          <cell r="K2715">
            <v>112</v>
          </cell>
          <cell r="L2715">
            <v>560</v>
          </cell>
          <cell r="M2715" t="str">
            <v/>
          </cell>
          <cell r="N2715">
            <v>0</v>
          </cell>
        </row>
        <row r="2716">
          <cell r="A2716">
            <v>7261</v>
          </cell>
          <cell r="B2716" t="str">
            <v>05/08/2015</v>
          </cell>
          <cell r="C2716" t="str">
            <v>C1186</v>
          </cell>
          <cell r="D2716" t="str">
            <v>AC work as dicussed with Paul Hankey</v>
          </cell>
          <cell r="E2716" t="str">
            <v>Auto-Vent Limited</v>
          </cell>
          <cell r="F2716" t="str">
            <v>Subcontractor</v>
          </cell>
          <cell r="G2716" t="str">
            <v/>
          </cell>
          <cell r="H2716" t="str">
            <v/>
          </cell>
          <cell r="I2716" t="str">
            <v/>
          </cell>
          <cell r="J2716">
            <v>5526</v>
          </cell>
          <cell r="K2716">
            <v>1105.2</v>
          </cell>
          <cell r="L2716">
            <v>5526</v>
          </cell>
          <cell r="M2716" t="str">
            <v/>
          </cell>
          <cell r="N2716">
            <v>0</v>
          </cell>
        </row>
        <row r="2717">
          <cell r="A2717">
            <v>7247</v>
          </cell>
          <cell r="B2717" t="str">
            <v>03/08/2015</v>
          </cell>
          <cell r="C2717" t="str">
            <v>SERVICE</v>
          </cell>
          <cell r="D2717" t="str">
            <v>Emergency Light Flick Test</v>
          </cell>
          <cell r="E2717" t="str">
            <v>Barrie Beard Ltd</v>
          </cell>
          <cell r="F2717" t="str">
            <v>Subcontractor</v>
          </cell>
          <cell r="G2717" t="str">
            <v/>
          </cell>
          <cell r="H2717" t="str">
            <v/>
          </cell>
          <cell r="I2717" t="str">
            <v/>
          </cell>
          <cell r="J2717">
            <v>85</v>
          </cell>
          <cell r="K2717">
            <v>17</v>
          </cell>
          <cell r="L2717">
            <v>85</v>
          </cell>
          <cell r="M2717" t="str">
            <v/>
          </cell>
          <cell r="N2717">
            <v>0</v>
          </cell>
        </row>
        <row r="2718">
          <cell r="A2718">
            <v>7235</v>
          </cell>
          <cell r="B2718" t="str">
            <v>31/07/2015</v>
          </cell>
          <cell r="C2718" t="str">
            <v>CALLOUT</v>
          </cell>
          <cell r="D2718" t="str">
            <v>Attend site investgiate flickering lights in gents toilet</v>
          </cell>
          <cell r="E2718" t="str">
            <v>Barrie Beard Ltd</v>
          </cell>
          <cell r="F2718" t="str">
            <v>Subcontractor</v>
          </cell>
          <cell r="G2718" t="str">
            <v/>
          </cell>
          <cell r="H2718" t="str">
            <v/>
          </cell>
          <cell r="I2718" t="str">
            <v/>
          </cell>
          <cell r="J2718">
            <v>94</v>
          </cell>
          <cell r="K2718">
            <v>18.8</v>
          </cell>
          <cell r="L2718">
            <v>94</v>
          </cell>
          <cell r="M2718" t="str">
            <v/>
          </cell>
          <cell r="N2718">
            <v>0</v>
          </cell>
        </row>
        <row r="2719">
          <cell r="A2719">
            <v>7232</v>
          </cell>
          <cell r="B2719" t="str">
            <v>31/07/2015</v>
          </cell>
          <cell r="C2719" t="str">
            <v>C1333</v>
          </cell>
          <cell r="D2719" t="str">
            <v>Installation of ductwork , dampers and equipment inc plant h</v>
          </cell>
          <cell r="E2719" t="str">
            <v>Ventil-Eight Systems Limited</v>
          </cell>
          <cell r="F2719" t="str">
            <v>Subcontractor</v>
          </cell>
          <cell r="G2719" t="str">
            <v/>
          </cell>
          <cell r="H2719" t="str">
            <v/>
          </cell>
          <cell r="I2719" t="str">
            <v/>
          </cell>
          <cell r="J2719">
            <v>25150</v>
          </cell>
          <cell r="K2719">
            <v>5030</v>
          </cell>
          <cell r="L2719">
            <v>25150</v>
          </cell>
          <cell r="M2719" t="str">
            <v/>
          </cell>
          <cell r="N2719">
            <v>0</v>
          </cell>
        </row>
        <row r="2720">
          <cell r="A2720">
            <v>7215</v>
          </cell>
          <cell r="B2720" t="str">
            <v>30/07/2015</v>
          </cell>
          <cell r="C2720" t="str">
            <v>C1324</v>
          </cell>
          <cell r="D2720" t="str">
            <v>Work in Toxteh as discussed with Ryan</v>
          </cell>
          <cell r="E2720" t="str">
            <v>GPL Specialist Ventilations Services Ltd</v>
          </cell>
          <cell r="F2720" t="str">
            <v>Subcontractor</v>
          </cell>
          <cell r="G2720" t="str">
            <v/>
          </cell>
          <cell r="H2720" t="str">
            <v>Part</v>
          </cell>
          <cell r="I2720" t="str">
            <v/>
          </cell>
          <cell r="J2720">
            <v>7230</v>
          </cell>
          <cell r="K2720">
            <v>1446</v>
          </cell>
          <cell r="L2720">
            <v>7230</v>
          </cell>
          <cell r="M2720" t="str">
            <v/>
          </cell>
          <cell r="N2720">
            <v>0</v>
          </cell>
        </row>
        <row r="2721">
          <cell r="A2721">
            <v>7207</v>
          </cell>
          <cell r="B2721" t="str">
            <v>29/07/2015</v>
          </cell>
          <cell r="C2721" t="str">
            <v>C1317</v>
          </cell>
          <cell r="D2721" t="str">
            <v>Commissioning as discussed with Ryan Gilligan</v>
          </cell>
          <cell r="E2721" t="str">
            <v>Commissioning &amp; Maintenance Services Ltd</v>
          </cell>
          <cell r="F2721" t="str">
            <v>Subcontractor</v>
          </cell>
          <cell r="G2721" t="str">
            <v/>
          </cell>
          <cell r="H2721" t="str">
            <v/>
          </cell>
          <cell r="I2721" t="str">
            <v/>
          </cell>
          <cell r="J2721">
            <v>1150</v>
          </cell>
          <cell r="K2721">
            <v>230</v>
          </cell>
          <cell r="L2721">
            <v>1150</v>
          </cell>
          <cell r="M2721" t="str">
            <v/>
          </cell>
          <cell r="N2721">
            <v>0</v>
          </cell>
        </row>
        <row r="2722">
          <cell r="A2722">
            <v>7206</v>
          </cell>
          <cell r="B2722" t="str">
            <v>29/07/2015</v>
          </cell>
          <cell r="C2722" t="str">
            <v>C1222</v>
          </cell>
          <cell r="D2722" t="str">
            <v>Additional Works including Supply &amp; Labour</v>
          </cell>
          <cell r="E2722" t="str">
            <v>GPL Specialist Ventilations Services Ltd</v>
          </cell>
          <cell r="F2722" t="str">
            <v>Subcontractor</v>
          </cell>
          <cell r="G2722" t="str">
            <v/>
          </cell>
          <cell r="H2722" t="str">
            <v/>
          </cell>
          <cell r="I2722" t="str">
            <v/>
          </cell>
          <cell r="J2722">
            <v>915</v>
          </cell>
          <cell r="K2722">
            <v>183</v>
          </cell>
          <cell r="L2722">
            <v>915</v>
          </cell>
          <cell r="M2722" t="str">
            <v/>
          </cell>
          <cell r="N2722">
            <v>0</v>
          </cell>
        </row>
        <row r="2723">
          <cell r="A2723">
            <v>7200</v>
          </cell>
          <cell r="B2723" t="str">
            <v>29/07/2015</v>
          </cell>
          <cell r="C2723" t="str">
            <v>C1313</v>
          </cell>
          <cell r="D2723" t="str">
            <v>Install ranges back in buildings 1 and 2</v>
          </cell>
          <cell r="E2723" t="str">
            <v>CDM Fire Protection Limited</v>
          </cell>
          <cell r="F2723" t="str">
            <v>Subcontractor</v>
          </cell>
          <cell r="G2723" t="str">
            <v/>
          </cell>
          <cell r="H2723" t="str">
            <v/>
          </cell>
          <cell r="I2723" t="str">
            <v/>
          </cell>
          <cell r="J2723">
            <v>1650</v>
          </cell>
          <cell r="K2723">
            <v>330</v>
          </cell>
          <cell r="L2723">
            <v>1650</v>
          </cell>
          <cell r="M2723" t="str">
            <v/>
          </cell>
          <cell r="N2723">
            <v>0</v>
          </cell>
        </row>
        <row r="2724">
          <cell r="A2724">
            <v>7187</v>
          </cell>
          <cell r="B2724" t="str">
            <v>28/07/2015</v>
          </cell>
          <cell r="C2724" t="str">
            <v>C1335</v>
          </cell>
          <cell r="D2724" t="str">
            <v>Labour &amp; Supply as discussed with Ryan Gilligan</v>
          </cell>
          <cell r="E2724" t="str">
            <v>GPL Specialist Ventilations Services Ltd</v>
          </cell>
          <cell r="F2724" t="str">
            <v>Subcontractor</v>
          </cell>
          <cell r="G2724" t="str">
            <v/>
          </cell>
          <cell r="H2724" t="str">
            <v/>
          </cell>
          <cell r="I2724" t="str">
            <v/>
          </cell>
          <cell r="J2724">
            <v>8345</v>
          </cell>
          <cell r="K2724">
            <v>1669</v>
          </cell>
          <cell r="L2724">
            <v>8345</v>
          </cell>
          <cell r="M2724" t="str">
            <v/>
          </cell>
          <cell r="N2724">
            <v>0</v>
          </cell>
        </row>
        <row r="2725">
          <cell r="A2725">
            <v>7181</v>
          </cell>
          <cell r="B2725" t="str">
            <v>28/07/2015</v>
          </cell>
          <cell r="C2725" t="str">
            <v>C1317</v>
          </cell>
          <cell r="D2725" t="str">
            <v>Remove toilet pans and cisterns from toilets 1 &amp; 2</v>
          </cell>
          <cell r="E2725" t="str">
            <v>GPL Specialist Ventilations Services Ltd</v>
          </cell>
          <cell r="F2725" t="str">
            <v>Subcontractor</v>
          </cell>
          <cell r="G2725" t="str">
            <v/>
          </cell>
          <cell r="H2725" t="str">
            <v/>
          </cell>
          <cell r="I2725" t="str">
            <v/>
          </cell>
          <cell r="J2725">
            <v>150</v>
          </cell>
          <cell r="K2725">
            <v>30</v>
          </cell>
          <cell r="L2725">
            <v>150</v>
          </cell>
          <cell r="M2725" t="str">
            <v/>
          </cell>
          <cell r="N2725">
            <v>0</v>
          </cell>
        </row>
        <row r="2726">
          <cell r="A2726">
            <v>7174</v>
          </cell>
          <cell r="B2726" t="str">
            <v>27/07/2015</v>
          </cell>
          <cell r="C2726" t="str">
            <v>CALLOUT</v>
          </cell>
          <cell r="D2726" t="str">
            <v>Supply &amp; Install as per quote PH10959</v>
          </cell>
          <cell r="E2726" t="str">
            <v>AJH Pump Supply &amp; Repair Ltd</v>
          </cell>
          <cell r="F2726" t="str">
            <v>Subcontractor</v>
          </cell>
          <cell r="G2726" t="str">
            <v/>
          </cell>
          <cell r="H2726" t="str">
            <v/>
          </cell>
          <cell r="I2726" t="str">
            <v/>
          </cell>
          <cell r="J2726">
            <v>512.33000000000004</v>
          </cell>
          <cell r="K2726">
            <v>102.47</v>
          </cell>
          <cell r="L2726">
            <v>512.33000000000004</v>
          </cell>
          <cell r="M2726" t="str">
            <v/>
          </cell>
          <cell r="N2726">
            <v>0</v>
          </cell>
        </row>
        <row r="2727">
          <cell r="A2727">
            <v>7173</v>
          </cell>
          <cell r="B2727" t="str">
            <v>27/07/2015</v>
          </cell>
          <cell r="C2727" t="str">
            <v>C1313</v>
          </cell>
          <cell r="D2727" t="str">
            <v>Installation of 6x split units on Marshall Aerospace phase o</v>
          </cell>
          <cell r="E2727" t="str">
            <v>AFN Airconditioning</v>
          </cell>
          <cell r="F2727" t="str">
            <v>Subcontractor</v>
          </cell>
          <cell r="G2727" t="str">
            <v/>
          </cell>
          <cell r="H2727" t="str">
            <v/>
          </cell>
          <cell r="I2727" t="str">
            <v/>
          </cell>
          <cell r="J2727">
            <v>4800</v>
          </cell>
          <cell r="K2727">
            <v>960</v>
          </cell>
          <cell r="L2727">
            <v>4800</v>
          </cell>
          <cell r="M2727" t="str">
            <v/>
          </cell>
          <cell r="N2727">
            <v>0</v>
          </cell>
        </row>
        <row r="2728">
          <cell r="A2728">
            <v>7172</v>
          </cell>
          <cell r="B2728" t="str">
            <v>27/07/2015</v>
          </cell>
          <cell r="C2728" t="str">
            <v>C1313</v>
          </cell>
          <cell r="D2728" t="str">
            <v>Electrical Works</v>
          </cell>
          <cell r="E2728" t="str">
            <v>Kestrel North West Limited</v>
          </cell>
          <cell r="F2728" t="str">
            <v>Subcontractor</v>
          </cell>
          <cell r="G2728" t="str">
            <v/>
          </cell>
          <cell r="H2728" t="str">
            <v>Part</v>
          </cell>
          <cell r="I2728" t="str">
            <v/>
          </cell>
          <cell r="J2728">
            <v>263513.84999999998</v>
          </cell>
          <cell r="K2728">
            <v>52702.77</v>
          </cell>
          <cell r="L2728">
            <v>263513.84999999998</v>
          </cell>
          <cell r="M2728" t="str">
            <v/>
          </cell>
          <cell r="N2728">
            <v>0</v>
          </cell>
        </row>
        <row r="2729">
          <cell r="A2729">
            <v>7169</v>
          </cell>
          <cell r="B2729" t="str">
            <v>24/07/2015</v>
          </cell>
          <cell r="C2729" t="str">
            <v>C1317</v>
          </cell>
          <cell r="D2729" t="str">
            <v>Crane Lift</v>
          </cell>
          <cell r="E2729" t="str">
            <v>Superior Air Solutions Ltd</v>
          </cell>
          <cell r="F2729" t="str">
            <v>Subcontractor</v>
          </cell>
          <cell r="G2729" t="str">
            <v/>
          </cell>
          <cell r="H2729" t="str">
            <v/>
          </cell>
          <cell r="I2729" t="str">
            <v/>
          </cell>
          <cell r="J2729">
            <v>225</v>
          </cell>
          <cell r="K2729">
            <v>45</v>
          </cell>
          <cell r="L2729">
            <v>225</v>
          </cell>
          <cell r="M2729" t="str">
            <v/>
          </cell>
          <cell r="N2729">
            <v>0</v>
          </cell>
        </row>
        <row r="2730">
          <cell r="A2730">
            <v>7167</v>
          </cell>
          <cell r="B2730" t="str">
            <v>24/07/2015</v>
          </cell>
          <cell r="C2730" t="str">
            <v>CALLOUT</v>
          </cell>
          <cell r="D2730" t="str">
            <v>Supply &amp; Install New Paxton Controller</v>
          </cell>
          <cell r="E2730" t="str">
            <v>Kestrel North West Limited</v>
          </cell>
          <cell r="F2730" t="str">
            <v>Subcontractor</v>
          </cell>
          <cell r="G2730" t="str">
            <v/>
          </cell>
          <cell r="H2730" t="str">
            <v/>
          </cell>
          <cell r="I2730" t="str">
            <v/>
          </cell>
          <cell r="J2730">
            <v>193.55</v>
          </cell>
          <cell r="K2730">
            <v>38.71</v>
          </cell>
          <cell r="L2730">
            <v>193.55</v>
          </cell>
          <cell r="M2730" t="str">
            <v/>
          </cell>
          <cell r="N2730">
            <v>0</v>
          </cell>
        </row>
        <row r="2731">
          <cell r="A2731">
            <v>7155</v>
          </cell>
          <cell r="B2731" t="str">
            <v>23/07/2015</v>
          </cell>
          <cell r="C2731" t="str">
            <v>C1222</v>
          </cell>
          <cell r="D2731" t="str">
            <v>Variation works on Sunderland including materials and labour</v>
          </cell>
          <cell r="E2731" t="str">
            <v>GPL Specialist Ventilations Services Ltd</v>
          </cell>
          <cell r="F2731" t="str">
            <v>Subcontractor</v>
          </cell>
          <cell r="G2731" t="str">
            <v/>
          </cell>
          <cell r="H2731" t="str">
            <v/>
          </cell>
          <cell r="I2731" t="str">
            <v/>
          </cell>
          <cell r="J2731">
            <v>1700</v>
          </cell>
          <cell r="K2731">
            <v>340</v>
          </cell>
          <cell r="L2731">
            <v>1700</v>
          </cell>
          <cell r="M2731" t="str">
            <v/>
          </cell>
          <cell r="N2731">
            <v>0</v>
          </cell>
        </row>
        <row r="2732">
          <cell r="A2732">
            <v>7141</v>
          </cell>
          <cell r="B2732" t="str">
            <v>21/07/2015</v>
          </cell>
          <cell r="C2732" t="str">
            <v>C1186</v>
          </cell>
          <cell r="D2732" t="str">
            <v>Supply and commissioning of the main panel</v>
          </cell>
          <cell r="E2732" t="str">
            <v>Impact Control Systems Ltd</v>
          </cell>
          <cell r="F2732" t="str">
            <v>Subcontractor</v>
          </cell>
          <cell r="G2732" t="str">
            <v/>
          </cell>
          <cell r="H2732" t="str">
            <v/>
          </cell>
          <cell r="I2732" t="str">
            <v/>
          </cell>
          <cell r="J2732">
            <v>5000</v>
          </cell>
          <cell r="K2732">
            <v>1000</v>
          </cell>
          <cell r="L2732">
            <v>5000</v>
          </cell>
          <cell r="M2732" t="str">
            <v/>
          </cell>
          <cell r="N2732">
            <v>0</v>
          </cell>
        </row>
        <row r="2733">
          <cell r="A2733">
            <v>7128</v>
          </cell>
          <cell r="B2733" t="str">
            <v>17/07/2015</v>
          </cell>
          <cell r="C2733" t="str">
            <v>C1213</v>
          </cell>
          <cell r="D2733" t="str">
            <v>Work to be completed as discussed with Ryan Gilligan</v>
          </cell>
          <cell r="E2733" t="str">
            <v>Auto-Vent Limited</v>
          </cell>
          <cell r="F2733" t="str">
            <v>Subcontractor</v>
          </cell>
          <cell r="G2733" t="str">
            <v/>
          </cell>
          <cell r="H2733" t="str">
            <v/>
          </cell>
          <cell r="I2733" t="str">
            <v/>
          </cell>
          <cell r="J2733">
            <v>30506.3</v>
          </cell>
          <cell r="K2733">
            <v>6101.26</v>
          </cell>
          <cell r="L2733">
            <v>30506.3</v>
          </cell>
          <cell r="M2733" t="str">
            <v/>
          </cell>
          <cell r="N2733">
            <v>0</v>
          </cell>
        </row>
        <row r="2734">
          <cell r="A2734">
            <v>7123</v>
          </cell>
          <cell r="B2734" t="str">
            <v>15/07/2015</v>
          </cell>
          <cell r="C2734" t="str">
            <v>C1313</v>
          </cell>
          <cell r="D2734" t="str">
            <v>AC Installation</v>
          </cell>
          <cell r="E2734" t="str">
            <v>AFN Airconditioning</v>
          </cell>
          <cell r="F2734" t="str">
            <v>Subcontractor</v>
          </cell>
          <cell r="G2734" t="str">
            <v/>
          </cell>
          <cell r="H2734" t="str">
            <v/>
          </cell>
          <cell r="I2734" t="str">
            <v/>
          </cell>
          <cell r="J2734">
            <v>15040</v>
          </cell>
          <cell r="K2734">
            <v>3008</v>
          </cell>
          <cell r="L2734">
            <v>15040</v>
          </cell>
          <cell r="M2734" t="str">
            <v/>
          </cell>
          <cell r="N2734">
            <v>0</v>
          </cell>
        </row>
        <row r="2735">
          <cell r="A2735">
            <v>7113</v>
          </cell>
          <cell r="B2735" t="str">
            <v>14/07/2015</v>
          </cell>
          <cell r="C2735" t="str">
            <v>CALLOUT</v>
          </cell>
          <cell r="D2735" t="str">
            <v>Investigate 2no faulty floor boxes</v>
          </cell>
          <cell r="E2735" t="str">
            <v>Barrie Beard Ltd</v>
          </cell>
          <cell r="F2735" t="str">
            <v>Subcontractor</v>
          </cell>
          <cell r="G2735" t="str">
            <v/>
          </cell>
          <cell r="H2735" t="str">
            <v/>
          </cell>
          <cell r="I2735" t="str">
            <v/>
          </cell>
          <cell r="J2735">
            <v>85</v>
          </cell>
          <cell r="K2735">
            <v>17</v>
          </cell>
          <cell r="L2735">
            <v>85</v>
          </cell>
          <cell r="M2735" t="str">
            <v/>
          </cell>
          <cell r="N2735">
            <v>0</v>
          </cell>
        </row>
        <row r="2736">
          <cell r="A2736">
            <v>7112</v>
          </cell>
          <cell r="B2736" t="str">
            <v>14/07/2015</v>
          </cell>
          <cell r="C2736" t="str">
            <v>CALLOUT</v>
          </cell>
          <cell r="D2736" t="str">
            <v>investigate flickering lights in reception and main office</v>
          </cell>
          <cell r="E2736" t="str">
            <v>Barrie Beard Ltd</v>
          </cell>
          <cell r="F2736" t="str">
            <v>Subcontractor</v>
          </cell>
          <cell r="G2736" t="str">
            <v/>
          </cell>
          <cell r="H2736" t="str">
            <v/>
          </cell>
          <cell r="I2736" t="str">
            <v/>
          </cell>
          <cell r="J2736">
            <v>98.1</v>
          </cell>
          <cell r="K2736">
            <v>19.62</v>
          </cell>
          <cell r="L2736">
            <v>98.1</v>
          </cell>
          <cell r="M2736" t="str">
            <v/>
          </cell>
          <cell r="N2736">
            <v>0</v>
          </cell>
        </row>
        <row r="2737">
          <cell r="A2737">
            <v>7101</v>
          </cell>
          <cell r="B2737" t="str">
            <v>14/07/2015</v>
          </cell>
          <cell r="C2737" t="str">
            <v>C1305</v>
          </cell>
          <cell r="D2737" t="str">
            <v>Installation of all ductwork and plant equipment</v>
          </cell>
          <cell r="E2737" t="str">
            <v>Ventil-Eight Systems Limited</v>
          </cell>
          <cell r="F2737" t="str">
            <v>Subcontractor</v>
          </cell>
          <cell r="G2737" t="str">
            <v/>
          </cell>
          <cell r="H2737" t="str">
            <v>Part</v>
          </cell>
          <cell r="I2737" t="str">
            <v/>
          </cell>
          <cell r="J2737">
            <v>103810</v>
          </cell>
          <cell r="K2737">
            <v>20762</v>
          </cell>
          <cell r="L2737">
            <v>103810</v>
          </cell>
          <cell r="M2737" t="str">
            <v/>
          </cell>
          <cell r="N2737">
            <v>0</v>
          </cell>
        </row>
        <row r="2738">
          <cell r="A2738">
            <v>7093</v>
          </cell>
          <cell r="B2738" t="str">
            <v>14/07/2015</v>
          </cell>
          <cell r="C2738" t="str">
            <v>CALLOUT</v>
          </cell>
          <cell r="D2738" t="str">
            <v>Visit 1 - 5 Hours &amp; Materials</v>
          </cell>
          <cell r="E2738" t="str">
            <v>Kestrel North West Limited</v>
          </cell>
          <cell r="F2738" t="str">
            <v>Subcontractor</v>
          </cell>
          <cell r="G2738" t="str">
            <v/>
          </cell>
          <cell r="H2738" t="str">
            <v/>
          </cell>
          <cell r="I2738" t="str">
            <v/>
          </cell>
          <cell r="J2738">
            <v>258</v>
          </cell>
          <cell r="K2738">
            <v>51.6</v>
          </cell>
          <cell r="L2738">
            <v>258</v>
          </cell>
          <cell r="M2738" t="str">
            <v/>
          </cell>
          <cell r="N2738">
            <v>0</v>
          </cell>
        </row>
        <row r="2739">
          <cell r="A2739">
            <v>7088</v>
          </cell>
          <cell r="B2739" t="str">
            <v>13/07/2015</v>
          </cell>
          <cell r="C2739" t="str">
            <v>C1317</v>
          </cell>
          <cell r="D2739" t="str">
            <v>Bolton Strip Out Works</v>
          </cell>
          <cell r="E2739" t="str">
            <v>PWD Engineering Limited</v>
          </cell>
          <cell r="F2739" t="str">
            <v>Subcontractor</v>
          </cell>
          <cell r="G2739" t="str">
            <v/>
          </cell>
          <cell r="H2739" t="str">
            <v/>
          </cell>
          <cell r="I2739" t="str">
            <v/>
          </cell>
          <cell r="J2739">
            <v>600</v>
          </cell>
          <cell r="K2739">
            <v>120</v>
          </cell>
          <cell r="L2739">
            <v>600</v>
          </cell>
          <cell r="M2739" t="str">
            <v/>
          </cell>
          <cell r="N2739">
            <v>0</v>
          </cell>
        </row>
        <row r="2740">
          <cell r="A2740">
            <v>7068</v>
          </cell>
          <cell r="B2740" t="str">
            <v>07/07/2015</v>
          </cell>
          <cell r="C2740" t="str">
            <v>C1317</v>
          </cell>
          <cell r="D2740" t="str">
            <v>2 Nights Additional Works</v>
          </cell>
          <cell r="E2740" t="str">
            <v>PWD Engineering Limited</v>
          </cell>
          <cell r="F2740" t="str">
            <v>Subcontractor</v>
          </cell>
          <cell r="G2740" t="str">
            <v/>
          </cell>
          <cell r="H2740" t="str">
            <v/>
          </cell>
          <cell r="I2740" t="str">
            <v/>
          </cell>
          <cell r="J2740">
            <v>800</v>
          </cell>
          <cell r="K2740">
            <v>160</v>
          </cell>
          <cell r="L2740">
            <v>800</v>
          </cell>
          <cell r="M2740" t="str">
            <v/>
          </cell>
          <cell r="N2740">
            <v>0</v>
          </cell>
        </row>
        <row r="2741">
          <cell r="A2741">
            <v>7055</v>
          </cell>
          <cell r="B2741" t="str">
            <v>03/07/2015</v>
          </cell>
          <cell r="C2741" t="str">
            <v>CALLOUT</v>
          </cell>
          <cell r="D2741" t="str">
            <v>Carry out works as per quotation dated 01.07.2015</v>
          </cell>
          <cell r="E2741" t="str">
            <v>Adcock Refrigeration &amp; Air Conditioning</v>
          </cell>
          <cell r="F2741" t="str">
            <v>Subcontractor</v>
          </cell>
          <cell r="G2741" t="str">
            <v/>
          </cell>
          <cell r="H2741" t="str">
            <v/>
          </cell>
          <cell r="I2741" t="str">
            <v/>
          </cell>
          <cell r="J2741">
            <v>550</v>
          </cell>
          <cell r="K2741">
            <v>110</v>
          </cell>
          <cell r="L2741">
            <v>550</v>
          </cell>
          <cell r="M2741" t="str">
            <v/>
          </cell>
          <cell r="N2741">
            <v>0</v>
          </cell>
        </row>
        <row r="2742">
          <cell r="A2742">
            <v>7048</v>
          </cell>
          <cell r="B2742" t="str">
            <v>03/07/2015</v>
          </cell>
          <cell r="C2742" t="str">
            <v>CALLOUT</v>
          </cell>
          <cell r="D2742" t="str">
            <v>Supply and install light fitting</v>
          </cell>
          <cell r="E2742" t="str">
            <v>Kestrel North West Limited</v>
          </cell>
          <cell r="F2742" t="str">
            <v>Subcontractor</v>
          </cell>
          <cell r="G2742" t="str">
            <v/>
          </cell>
          <cell r="H2742" t="str">
            <v/>
          </cell>
          <cell r="I2742" t="str">
            <v/>
          </cell>
          <cell r="J2742">
            <v>354.4</v>
          </cell>
          <cell r="K2742">
            <v>70.88</v>
          </cell>
          <cell r="L2742">
            <v>354.4</v>
          </cell>
          <cell r="M2742" t="str">
            <v/>
          </cell>
          <cell r="N2742">
            <v>0</v>
          </cell>
        </row>
        <row r="2743">
          <cell r="A2743">
            <v>7043</v>
          </cell>
          <cell r="B2743" t="str">
            <v>02/07/2015</v>
          </cell>
          <cell r="C2743" t="str">
            <v>C1313</v>
          </cell>
          <cell r="D2743" t="str">
            <v>Marshall Aerospace work as discussed with Ryan Gilligan</v>
          </cell>
          <cell r="E2743" t="str">
            <v>Norwest Projects Limited</v>
          </cell>
          <cell r="F2743" t="str">
            <v>Subcontractor</v>
          </cell>
          <cell r="G2743" t="str">
            <v/>
          </cell>
          <cell r="H2743" t="str">
            <v>Complete</v>
          </cell>
          <cell r="I2743" t="str">
            <v/>
          </cell>
          <cell r="J2743">
            <v>0</v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</row>
        <row r="2744">
          <cell r="A2744">
            <v>7031</v>
          </cell>
          <cell r="B2744" t="str">
            <v>01/07/2015</v>
          </cell>
          <cell r="C2744" t="str">
            <v>CALLOUT</v>
          </cell>
          <cell r="D2744" t="str">
            <v>Attended Spicers Smethwick (Job No R2786)</v>
          </cell>
          <cell r="E2744" t="str">
            <v>Amber Doors &amp; Loading Bay Services Limited</v>
          </cell>
          <cell r="F2744" t="str">
            <v>Subcontractor</v>
          </cell>
          <cell r="G2744" t="str">
            <v/>
          </cell>
          <cell r="H2744" t="str">
            <v/>
          </cell>
          <cell r="I2744" t="str">
            <v/>
          </cell>
          <cell r="J2744">
            <v>150</v>
          </cell>
          <cell r="K2744">
            <v>30</v>
          </cell>
          <cell r="L2744">
            <v>150</v>
          </cell>
          <cell r="M2744" t="str">
            <v/>
          </cell>
          <cell r="N2744">
            <v>0</v>
          </cell>
        </row>
        <row r="2745">
          <cell r="A2745">
            <v>7029</v>
          </cell>
          <cell r="B2745" t="str">
            <v>01/07/2015</v>
          </cell>
          <cell r="C2745" t="str">
            <v>CALLOUT</v>
          </cell>
          <cell r="D2745" t="str">
            <v>Supply and Install Thermostatic Mono Block Tap</v>
          </cell>
          <cell r="E2745" t="str">
            <v>K Gammon Plumbing &amp; Heating Ltd</v>
          </cell>
          <cell r="F2745" t="str">
            <v>Subcontractor</v>
          </cell>
          <cell r="G2745" t="str">
            <v/>
          </cell>
          <cell r="H2745" t="str">
            <v/>
          </cell>
          <cell r="I2745" t="str">
            <v/>
          </cell>
          <cell r="J2745">
            <v>325.11</v>
          </cell>
          <cell r="K2745">
            <v>65.02</v>
          </cell>
          <cell r="L2745">
            <v>325.11</v>
          </cell>
          <cell r="M2745" t="str">
            <v/>
          </cell>
          <cell r="N2745">
            <v>0</v>
          </cell>
        </row>
        <row r="2746">
          <cell r="A2746">
            <v>7020</v>
          </cell>
          <cell r="B2746" t="str">
            <v>30/06/2015</v>
          </cell>
          <cell r="C2746" t="str">
            <v>C1222</v>
          </cell>
          <cell r="D2746" t="str">
            <v>AC Work including 5 Nights Variation Work</v>
          </cell>
          <cell r="E2746" t="str">
            <v>GPL Specialist Ventilations Services Ltd</v>
          </cell>
          <cell r="F2746" t="str">
            <v>Subcontractor</v>
          </cell>
          <cell r="G2746" t="str">
            <v/>
          </cell>
          <cell r="H2746" t="str">
            <v/>
          </cell>
          <cell r="I2746" t="str">
            <v/>
          </cell>
          <cell r="J2746">
            <v>3550</v>
          </cell>
          <cell r="K2746">
            <v>710</v>
          </cell>
          <cell r="L2746">
            <v>3550</v>
          </cell>
          <cell r="M2746" t="str">
            <v/>
          </cell>
          <cell r="N2746">
            <v>0</v>
          </cell>
        </row>
        <row r="2747">
          <cell r="A2747">
            <v>7009</v>
          </cell>
          <cell r="B2747" t="str">
            <v>25/06/2015</v>
          </cell>
          <cell r="C2747" t="str">
            <v>C1331</v>
          </cell>
          <cell r="D2747" t="str">
            <v>Installation of al ductwork and equipment inc lodgings, expe</v>
          </cell>
          <cell r="E2747" t="str">
            <v>Ventil-Eight Systems Limited</v>
          </cell>
          <cell r="F2747" t="str">
            <v>Subcontractor</v>
          </cell>
          <cell r="G2747" t="str">
            <v/>
          </cell>
          <cell r="H2747" t="str">
            <v/>
          </cell>
          <cell r="I2747" t="str">
            <v/>
          </cell>
          <cell r="J2747">
            <v>9050</v>
          </cell>
          <cell r="K2747">
            <v>1810</v>
          </cell>
          <cell r="L2747">
            <v>9050</v>
          </cell>
          <cell r="M2747" t="str">
            <v/>
          </cell>
          <cell r="N2747">
            <v>0</v>
          </cell>
        </row>
        <row r="2748">
          <cell r="A2748">
            <v>7008</v>
          </cell>
          <cell r="B2748" t="str">
            <v>24/06/2015</v>
          </cell>
          <cell r="C2748" t="str">
            <v>CALLOUT</v>
          </cell>
          <cell r="D2748" t="str">
            <v>Supply &amp; Install New Pump, Overheat Stat, Thermistor &amp; Expan</v>
          </cell>
          <cell r="E2748" t="str">
            <v>Druggitt &amp; Harding Ltd</v>
          </cell>
          <cell r="F2748" t="str">
            <v>Subcontractor</v>
          </cell>
          <cell r="G2748" t="str">
            <v/>
          </cell>
          <cell r="H2748" t="str">
            <v/>
          </cell>
          <cell r="I2748" t="str">
            <v/>
          </cell>
          <cell r="J2748">
            <v>417</v>
          </cell>
          <cell r="K2748">
            <v>83.4</v>
          </cell>
          <cell r="L2748">
            <v>417</v>
          </cell>
          <cell r="M2748" t="str">
            <v/>
          </cell>
          <cell r="N2748">
            <v>0</v>
          </cell>
        </row>
        <row r="2749">
          <cell r="A2749">
            <v>6972</v>
          </cell>
          <cell r="B2749" t="str">
            <v>18/06/2015</v>
          </cell>
          <cell r="C2749" t="str">
            <v>C1317</v>
          </cell>
          <cell r="D2749" t="str">
            <v>Decommissioning the Chiller</v>
          </cell>
          <cell r="E2749" t="str">
            <v>Superior Air Solutions Ltd</v>
          </cell>
          <cell r="F2749" t="str">
            <v>Subcontractor</v>
          </cell>
          <cell r="G2749" t="str">
            <v/>
          </cell>
          <cell r="H2749" t="str">
            <v/>
          </cell>
          <cell r="I2749" t="str">
            <v/>
          </cell>
          <cell r="J2749">
            <v>200</v>
          </cell>
          <cell r="K2749">
            <v>40</v>
          </cell>
          <cell r="L2749">
            <v>200</v>
          </cell>
          <cell r="M2749" t="str">
            <v/>
          </cell>
          <cell r="N2749">
            <v>0</v>
          </cell>
        </row>
        <row r="2750">
          <cell r="A2750">
            <v>6966</v>
          </cell>
          <cell r="B2750" t="str">
            <v>17/06/2015</v>
          </cell>
          <cell r="C2750" t="str">
            <v>C1300</v>
          </cell>
          <cell r="D2750" t="str">
            <v>Night Work on Grilles &amp; Plenums</v>
          </cell>
          <cell r="E2750" t="str">
            <v>Ventil-Eight Systems Limited</v>
          </cell>
          <cell r="F2750" t="str">
            <v>Subcontractor</v>
          </cell>
          <cell r="G2750" t="str">
            <v/>
          </cell>
          <cell r="H2750" t="str">
            <v/>
          </cell>
          <cell r="I2750" t="str">
            <v/>
          </cell>
          <cell r="J2750">
            <v>500</v>
          </cell>
          <cell r="K2750">
            <v>100</v>
          </cell>
          <cell r="L2750">
            <v>500</v>
          </cell>
          <cell r="M2750" t="str">
            <v/>
          </cell>
          <cell r="N2750">
            <v>0</v>
          </cell>
        </row>
        <row r="2751">
          <cell r="A2751">
            <v>6965</v>
          </cell>
          <cell r="B2751" t="str">
            <v>16/06/2015</v>
          </cell>
          <cell r="C2751" t="str">
            <v>C1317</v>
          </cell>
          <cell r="D2751" t="str">
            <v>Insulation Work</v>
          </cell>
          <cell r="E2751" t="str">
            <v>Ventil-Eight Systems Limited</v>
          </cell>
          <cell r="F2751" t="str">
            <v>Subcontractor</v>
          </cell>
          <cell r="G2751" t="str">
            <v/>
          </cell>
          <cell r="H2751" t="str">
            <v/>
          </cell>
          <cell r="I2751" t="str">
            <v/>
          </cell>
          <cell r="J2751">
            <v>750</v>
          </cell>
          <cell r="K2751">
            <v>150</v>
          </cell>
          <cell r="L2751">
            <v>750</v>
          </cell>
          <cell r="M2751" t="str">
            <v/>
          </cell>
          <cell r="N2751">
            <v>0</v>
          </cell>
        </row>
        <row r="2752">
          <cell r="A2752">
            <v>6963</v>
          </cell>
          <cell r="B2752" t="str">
            <v>16/06/2015</v>
          </cell>
          <cell r="C2752" t="str">
            <v>C1222</v>
          </cell>
          <cell r="D2752" t="str">
            <v>Insulation Works</v>
          </cell>
          <cell r="E2752" t="str">
            <v>Ventil-Eight Systems Limited</v>
          </cell>
          <cell r="F2752" t="str">
            <v>Subcontractor</v>
          </cell>
          <cell r="G2752" t="str">
            <v/>
          </cell>
          <cell r="H2752" t="str">
            <v/>
          </cell>
          <cell r="I2752" t="str">
            <v/>
          </cell>
          <cell r="J2752">
            <v>2300</v>
          </cell>
          <cell r="K2752">
            <v>460</v>
          </cell>
          <cell r="L2752">
            <v>2300</v>
          </cell>
          <cell r="M2752" t="str">
            <v/>
          </cell>
          <cell r="N2752">
            <v>0</v>
          </cell>
        </row>
        <row r="2753">
          <cell r="A2753">
            <v>6944</v>
          </cell>
          <cell r="B2753" t="str">
            <v>11/06/2015</v>
          </cell>
          <cell r="C2753" t="str">
            <v>C1317</v>
          </cell>
          <cell r="D2753" t="str">
            <v>AC Works</v>
          </cell>
          <cell r="E2753" t="str">
            <v>Superior Air Solutions Ltd</v>
          </cell>
          <cell r="F2753" t="str">
            <v>Subcontractor</v>
          </cell>
          <cell r="G2753" t="str">
            <v/>
          </cell>
          <cell r="H2753" t="str">
            <v/>
          </cell>
          <cell r="I2753" t="str">
            <v/>
          </cell>
          <cell r="J2753">
            <v>25950</v>
          </cell>
          <cell r="K2753">
            <v>5190</v>
          </cell>
          <cell r="L2753">
            <v>25950</v>
          </cell>
          <cell r="M2753" t="str">
            <v/>
          </cell>
          <cell r="N2753">
            <v>0</v>
          </cell>
        </row>
        <row r="2754">
          <cell r="A2754">
            <v>6932</v>
          </cell>
          <cell r="B2754" t="str">
            <v>10/06/2015</v>
          </cell>
          <cell r="C2754" t="str">
            <v>CALLOUT</v>
          </cell>
          <cell r="D2754" t="str">
            <v>Attended site to investigate boiler</v>
          </cell>
          <cell r="E2754" t="str">
            <v>Druggitt &amp; Harding Ltd</v>
          </cell>
          <cell r="F2754" t="str">
            <v>Subcontractor</v>
          </cell>
          <cell r="G2754" t="str">
            <v/>
          </cell>
          <cell r="H2754" t="str">
            <v/>
          </cell>
          <cell r="I2754" t="str">
            <v/>
          </cell>
          <cell r="J2754">
            <v>98</v>
          </cell>
          <cell r="K2754">
            <v>19.600000000000001</v>
          </cell>
          <cell r="L2754">
            <v>98</v>
          </cell>
          <cell r="M2754" t="str">
            <v/>
          </cell>
          <cell r="N2754">
            <v>0</v>
          </cell>
        </row>
        <row r="2755">
          <cell r="A2755">
            <v>6918</v>
          </cell>
          <cell r="B2755" t="str">
            <v>09/06/2015</v>
          </cell>
          <cell r="C2755" t="str">
            <v>CALLOUT</v>
          </cell>
          <cell r="D2755" t="str">
            <v>Supply, Deliver &amp; Install as per</v>
          </cell>
          <cell r="E2755" t="str">
            <v>Amber Doors &amp; Loading Bay Services Limited</v>
          </cell>
          <cell r="F2755" t="str">
            <v>Subcontractor</v>
          </cell>
          <cell r="G2755" t="str">
            <v/>
          </cell>
          <cell r="H2755" t="str">
            <v/>
          </cell>
          <cell r="I2755" t="str">
            <v/>
          </cell>
          <cell r="J2755">
            <v>1695</v>
          </cell>
          <cell r="K2755">
            <v>339</v>
          </cell>
          <cell r="L2755">
            <v>1695</v>
          </cell>
          <cell r="M2755" t="str">
            <v/>
          </cell>
          <cell r="N2755">
            <v>0</v>
          </cell>
        </row>
        <row r="2756">
          <cell r="A2756">
            <v>6913</v>
          </cell>
          <cell r="B2756" t="str">
            <v>05/06/2015</v>
          </cell>
          <cell r="C2756" t="str">
            <v>CALLOUT</v>
          </cell>
          <cell r="D2756" t="str">
            <v>Call back on Friday 05th June for further investigation</v>
          </cell>
          <cell r="E2756" t="str">
            <v>Druggitt &amp; Harding Ltd</v>
          </cell>
          <cell r="F2756" t="str">
            <v>Subcontractor</v>
          </cell>
          <cell r="G2756" t="str">
            <v/>
          </cell>
          <cell r="H2756" t="str">
            <v/>
          </cell>
          <cell r="I2756" t="str">
            <v/>
          </cell>
          <cell r="J2756">
            <v>56</v>
          </cell>
          <cell r="K2756">
            <v>11.2</v>
          </cell>
          <cell r="L2756">
            <v>56</v>
          </cell>
          <cell r="M2756" t="str">
            <v/>
          </cell>
          <cell r="N2756">
            <v>0</v>
          </cell>
        </row>
        <row r="2757">
          <cell r="A2757">
            <v>6912</v>
          </cell>
          <cell r="B2757" t="str">
            <v>05/06/2015</v>
          </cell>
          <cell r="C2757" t="str">
            <v>CALLOUT</v>
          </cell>
          <cell r="D2757" t="str">
            <v>Call out to no gas in the kitchen area</v>
          </cell>
          <cell r="E2757" t="str">
            <v>Druggitt &amp; Harding Ltd</v>
          </cell>
          <cell r="F2757" t="str">
            <v>Subcontractor</v>
          </cell>
          <cell r="G2757" t="str">
            <v/>
          </cell>
          <cell r="H2757" t="str">
            <v/>
          </cell>
          <cell r="I2757" t="str">
            <v/>
          </cell>
          <cell r="J2757">
            <v>56</v>
          </cell>
          <cell r="K2757">
            <v>11.2</v>
          </cell>
          <cell r="L2757">
            <v>56</v>
          </cell>
          <cell r="M2757" t="str">
            <v/>
          </cell>
          <cell r="N2757">
            <v>0</v>
          </cell>
        </row>
        <row r="2758">
          <cell r="A2758">
            <v>6908</v>
          </cell>
          <cell r="B2758" t="str">
            <v>04/06/2015</v>
          </cell>
          <cell r="C2758" t="str">
            <v>CALLOUT</v>
          </cell>
          <cell r="D2758" t="str">
            <v>Supply and Install new expansion Vessel and Safety Valve</v>
          </cell>
          <cell r="E2758" t="str">
            <v>Druggitt &amp; Harding Ltd</v>
          </cell>
          <cell r="F2758" t="str">
            <v>Subcontractor</v>
          </cell>
          <cell r="G2758" t="str">
            <v/>
          </cell>
          <cell r="H2758" t="str">
            <v/>
          </cell>
          <cell r="I2758" t="str">
            <v/>
          </cell>
          <cell r="J2758">
            <v>420</v>
          </cell>
          <cell r="K2758">
            <v>84</v>
          </cell>
          <cell r="L2758">
            <v>420</v>
          </cell>
          <cell r="M2758" t="str">
            <v/>
          </cell>
          <cell r="N2758">
            <v>0</v>
          </cell>
        </row>
        <row r="2759">
          <cell r="A2759">
            <v>6907</v>
          </cell>
          <cell r="B2759" t="str">
            <v>04/06/2015</v>
          </cell>
          <cell r="C2759" t="str">
            <v>CALLOUT</v>
          </cell>
          <cell r="D2759" t="str">
            <v>To attend site to investigate noise from boiler</v>
          </cell>
          <cell r="E2759" t="str">
            <v>Druggitt &amp; Harding Ltd</v>
          </cell>
          <cell r="F2759" t="str">
            <v>Subcontractor</v>
          </cell>
          <cell r="G2759" t="str">
            <v/>
          </cell>
          <cell r="H2759" t="str">
            <v/>
          </cell>
          <cell r="I2759" t="str">
            <v/>
          </cell>
          <cell r="J2759">
            <v>101</v>
          </cell>
          <cell r="K2759">
            <v>20.2</v>
          </cell>
          <cell r="L2759">
            <v>101</v>
          </cell>
          <cell r="M2759" t="str">
            <v/>
          </cell>
          <cell r="N2759">
            <v>0</v>
          </cell>
        </row>
        <row r="2760">
          <cell r="A2760">
            <v>6904</v>
          </cell>
          <cell r="B2760" t="str">
            <v>04/06/2015</v>
          </cell>
          <cell r="C2760" t="str">
            <v>C1322</v>
          </cell>
          <cell r="D2760" t="str">
            <v>To install all first and second fix ductwork and free issue</v>
          </cell>
          <cell r="E2760" t="str">
            <v>Ventil-Eight Systems Limited</v>
          </cell>
          <cell r="F2760" t="str">
            <v>Subcontractor</v>
          </cell>
          <cell r="G2760" t="str">
            <v/>
          </cell>
          <cell r="H2760" t="str">
            <v/>
          </cell>
          <cell r="I2760" t="str">
            <v/>
          </cell>
          <cell r="J2760">
            <v>29750</v>
          </cell>
          <cell r="K2760">
            <v>5950</v>
          </cell>
          <cell r="L2760">
            <v>29750</v>
          </cell>
          <cell r="M2760" t="str">
            <v/>
          </cell>
          <cell r="N2760">
            <v>0</v>
          </cell>
        </row>
        <row r="2761">
          <cell r="A2761">
            <v>6901</v>
          </cell>
          <cell r="B2761" t="str">
            <v>03/06/2015</v>
          </cell>
          <cell r="C2761" t="str">
            <v>C1188</v>
          </cell>
          <cell r="D2761" t="str">
            <v>Callout/ No hot water</v>
          </cell>
          <cell r="E2761" t="str">
            <v>Druggitt &amp; Harding Ltd</v>
          </cell>
          <cell r="F2761" t="str">
            <v>Subcontractor</v>
          </cell>
          <cell r="G2761" t="str">
            <v/>
          </cell>
          <cell r="H2761" t="str">
            <v/>
          </cell>
          <cell r="I2761" t="str">
            <v/>
          </cell>
          <cell r="J2761">
            <v>150</v>
          </cell>
          <cell r="K2761">
            <v>30</v>
          </cell>
          <cell r="L2761">
            <v>150</v>
          </cell>
          <cell r="M2761" t="str">
            <v/>
          </cell>
          <cell r="N2761">
            <v>0</v>
          </cell>
        </row>
        <row r="2762">
          <cell r="A2762">
            <v>6890</v>
          </cell>
          <cell r="B2762" t="str">
            <v>03/06/2015</v>
          </cell>
          <cell r="C2762" t="str">
            <v>C1300</v>
          </cell>
          <cell r="D2762" t="str">
            <v>Commissioning Works</v>
          </cell>
          <cell r="E2762" t="str">
            <v>Commissioning &amp; Maintenance Services Ltd</v>
          </cell>
          <cell r="F2762" t="str">
            <v>Subcontractor</v>
          </cell>
          <cell r="G2762" t="str">
            <v/>
          </cell>
          <cell r="H2762" t="str">
            <v/>
          </cell>
          <cell r="I2762" t="str">
            <v/>
          </cell>
          <cell r="J2762">
            <v>1160</v>
          </cell>
          <cell r="K2762">
            <v>232</v>
          </cell>
          <cell r="L2762">
            <v>1160</v>
          </cell>
          <cell r="M2762" t="str">
            <v/>
          </cell>
          <cell r="N2762">
            <v>0</v>
          </cell>
        </row>
        <row r="2763">
          <cell r="A2763">
            <v>6889</v>
          </cell>
          <cell r="B2763" t="str">
            <v>03/06/2015</v>
          </cell>
          <cell r="C2763" t="str">
            <v>C1319</v>
          </cell>
          <cell r="D2763" t="str">
            <v>Commissioning Works</v>
          </cell>
          <cell r="E2763" t="str">
            <v>Commissioning &amp; Maintenance Services Ltd</v>
          </cell>
          <cell r="F2763" t="str">
            <v>Subcontractor</v>
          </cell>
          <cell r="G2763" t="str">
            <v/>
          </cell>
          <cell r="H2763" t="str">
            <v/>
          </cell>
          <cell r="I2763" t="str">
            <v/>
          </cell>
          <cell r="J2763">
            <v>1870</v>
          </cell>
          <cell r="K2763">
            <v>374</v>
          </cell>
          <cell r="L2763">
            <v>1870</v>
          </cell>
          <cell r="M2763" t="str">
            <v/>
          </cell>
          <cell r="N2763">
            <v>0</v>
          </cell>
        </row>
        <row r="2764">
          <cell r="A2764">
            <v>6888</v>
          </cell>
          <cell r="B2764" t="str">
            <v>03/06/2015</v>
          </cell>
          <cell r="C2764" t="str">
            <v>C1318</v>
          </cell>
          <cell r="D2764" t="str">
            <v>Commissioning Works</v>
          </cell>
          <cell r="E2764" t="str">
            <v>Commissioning &amp; Maintenance Services Ltd</v>
          </cell>
          <cell r="F2764" t="str">
            <v>Subcontractor</v>
          </cell>
          <cell r="G2764" t="str">
            <v/>
          </cell>
          <cell r="H2764" t="str">
            <v/>
          </cell>
          <cell r="I2764" t="str">
            <v/>
          </cell>
          <cell r="J2764">
            <v>1870</v>
          </cell>
          <cell r="K2764">
            <v>374</v>
          </cell>
          <cell r="L2764">
            <v>1870</v>
          </cell>
          <cell r="M2764" t="str">
            <v/>
          </cell>
          <cell r="N2764">
            <v>0</v>
          </cell>
        </row>
        <row r="2765">
          <cell r="A2765">
            <v>6887</v>
          </cell>
          <cell r="B2765" t="str">
            <v>03/06/2015</v>
          </cell>
          <cell r="C2765" t="str">
            <v>C1314</v>
          </cell>
          <cell r="D2765" t="str">
            <v>Chorination Works</v>
          </cell>
          <cell r="E2765" t="str">
            <v>Commissioning &amp; Maintenance Services Ltd</v>
          </cell>
          <cell r="F2765" t="str">
            <v>Subcontractor</v>
          </cell>
          <cell r="G2765" t="str">
            <v/>
          </cell>
          <cell r="H2765" t="str">
            <v/>
          </cell>
          <cell r="I2765" t="str">
            <v/>
          </cell>
          <cell r="J2765">
            <v>300</v>
          </cell>
          <cell r="K2765">
            <v>60</v>
          </cell>
          <cell r="L2765">
            <v>300</v>
          </cell>
          <cell r="M2765" t="str">
            <v/>
          </cell>
          <cell r="N2765">
            <v>0</v>
          </cell>
        </row>
        <row r="2766">
          <cell r="A2766">
            <v>6886</v>
          </cell>
          <cell r="B2766" t="str">
            <v>03/06/2015</v>
          </cell>
          <cell r="C2766" t="str">
            <v>C1259</v>
          </cell>
          <cell r="D2766" t="str">
            <v>Commissioning Works</v>
          </cell>
          <cell r="E2766" t="str">
            <v>Commissioning &amp; Maintenance Services Ltd</v>
          </cell>
          <cell r="F2766" t="str">
            <v>Subcontractor</v>
          </cell>
          <cell r="G2766" t="str">
            <v/>
          </cell>
          <cell r="H2766" t="str">
            <v/>
          </cell>
          <cell r="I2766" t="str">
            <v/>
          </cell>
          <cell r="J2766">
            <v>2280</v>
          </cell>
          <cell r="K2766">
            <v>456</v>
          </cell>
          <cell r="L2766">
            <v>2280</v>
          </cell>
          <cell r="M2766" t="str">
            <v/>
          </cell>
          <cell r="N2766">
            <v>0</v>
          </cell>
        </row>
        <row r="2767">
          <cell r="A2767">
            <v>6885</v>
          </cell>
          <cell r="B2767" t="str">
            <v>03/06/2015</v>
          </cell>
          <cell r="C2767" t="str">
            <v>C1254</v>
          </cell>
          <cell r="D2767" t="str">
            <v>Commissioning &amp; Chlorination Works</v>
          </cell>
          <cell r="E2767" t="str">
            <v>Commissioning &amp; Maintenance Services Ltd</v>
          </cell>
          <cell r="F2767" t="str">
            <v>Subcontractor</v>
          </cell>
          <cell r="G2767" t="str">
            <v/>
          </cell>
          <cell r="H2767" t="str">
            <v/>
          </cell>
          <cell r="I2767" t="str">
            <v/>
          </cell>
          <cell r="J2767">
            <v>2140</v>
          </cell>
          <cell r="K2767">
            <v>428</v>
          </cell>
          <cell r="L2767">
            <v>2140</v>
          </cell>
          <cell r="M2767" t="str">
            <v/>
          </cell>
          <cell r="N2767">
            <v>0</v>
          </cell>
        </row>
        <row r="2768">
          <cell r="A2768">
            <v>6840</v>
          </cell>
          <cell r="B2768" t="str">
            <v>27/05/2015</v>
          </cell>
          <cell r="C2768" t="str">
            <v>CALLOUT</v>
          </cell>
          <cell r="D2768" t="str">
            <v>Supply and fit new 5no low level lights as per quotation</v>
          </cell>
          <cell r="E2768" t="str">
            <v>Kestrel North West Limited</v>
          </cell>
          <cell r="F2768" t="str">
            <v>Subcontractor</v>
          </cell>
          <cell r="G2768" t="str">
            <v/>
          </cell>
          <cell r="H2768" t="str">
            <v/>
          </cell>
          <cell r="I2768" t="str">
            <v/>
          </cell>
          <cell r="J2768">
            <v>185</v>
          </cell>
          <cell r="K2768">
            <v>37</v>
          </cell>
          <cell r="L2768">
            <v>185</v>
          </cell>
          <cell r="M2768" t="str">
            <v/>
          </cell>
          <cell r="N2768">
            <v>0</v>
          </cell>
        </row>
        <row r="2769">
          <cell r="A2769">
            <v>6817</v>
          </cell>
          <cell r="B2769" t="str">
            <v>19/05/2015</v>
          </cell>
          <cell r="C2769" t="str">
            <v>C1219</v>
          </cell>
          <cell r="D2769" t="str">
            <v>Travel Time</v>
          </cell>
          <cell r="E2769" t="str">
            <v>Kestrel North West Limited</v>
          </cell>
          <cell r="F2769" t="str">
            <v>Subcontractor</v>
          </cell>
          <cell r="G2769" t="str">
            <v/>
          </cell>
          <cell r="H2769" t="str">
            <v/>
          </cell>
          <cell r="I2769" t="str">
            <v/>
          </cell>
          <cell r="J2769">
            <v>574.29999999999995</v>
          </cell>
          <cell r="K2769">
            <v>114.86</v>
          </cell>
          <cell r="L2769">
            <v>574.29999999999995</v>
          </cell>
          <cell r="M2769" t="str">
            <v/>
          </cell>
          <cell r="N2769">
            <v>0</v>
          </cell>
        </row>
        <row r="2770">
          <cell r="A2770">
            <v>6790</v>
          </cell>
          <cell r="B2770" t="str">
            <v>15/05/2015</v>
          </cell>
          <cell r="C2770" t="str">
            <v>C1219</v>
          </cell>
          <cell r="D2770" t="str">
            <v>Ref TN-RG-BC-02</v>
          </cell>
          <cell r="E2770" t="str">
            <v>Scottfab Insulation Ltd</v>
          </cell>
          <cell r="F2770" t="str">
            <v>Subcontractor</v>
          </cell>
          <cell r="G2770" t="str">
            <v/>
          </cell>
          <cell r="H2770" t="str">
            <v/>
          </cell>
          <cell r="I2770" t="str">
            <v/>
          </cell>
          <cell r="J2770">
            <v>150</v>
          </cell>
          <cell r="K2770">
            <v>30</v>
          </cell>
          <cell r="L2770">
            <v>150</v>
          </cell>
          <cell r="M2770" t="str">
            <v/>
          </cell>
          <cell r="N2770">
            <v>0</v>
          </cell>
        </row>
        <row r="2771">
          <cell r="A2771">
            <v>6786</v>
          </cell>
          <cell r="B2771" t="str">
            <v>14/05/2015</v>
          </cell>
          <cell r="C2771" t="str">
            <v>CALLOUT</v>
          </cell>
          <cell r="D2771" t="str">
            <v>Investigated faulty electrical sockets</v>
          </cell>
          <cell r="E2771" t="str">
            <v>Barrie Beard Ltd</v>
          </cell>
          <cell r="F2771" t="str">
            <v>Subcontractor</v>
          </cell>
          <cell r="G2771" t="str">
            <v/>
          </cell>
          <cell r="H2771" t="str">
            <v/>
          </cell>
          <cell r="I2771" t="str">
            <v/>
          </cell>
          <cell r="J2771">
            <v>85</v>
          </cell>
          <cell r="K2771">
            <v>17</v>
          </cell>
          <cell r="L2771">
            <v>85</v>
          </cell>
          <cell r="M2771" t="str">
            <v/>
          </cell>
          <cell r="N2771">
            <v>0</v>
          </cell>
        </row>
        <row r="2772">
          <cell r="A2772">
            <v>6773</v>
          </cell>
          <cell r="B2772" t="str">
            <v>13/05/2015</v>
          </cell>
          <cell r="C2772" t="str">
            <v>CALLOUT</v>
          </cell>
          <cell r="D2772" t="str">
            <v>Cooker Hoood &amp; Ductwork Cleaning as per quotation 24/04/15</v>
          </cell>
          <cell r="E2772" t="str">
            <v>CleanSafe Services (UK) Ltd</v>
          </cell>
          <cell r="F2772" t="str">
            <v>Subcontractor</v>
          </cell>
          <cell r="G2772" t="str">
            <v/>
          </cell>
          <cell r="H2772" t="str">
            <v/>
          </cell>
          <cell r="I2772" t="str">
            <v/>
          </cell>
          <cell r="J2772">
            <v>1020</v>
          </cell>
          <cell r="K2772">
            <v>204</v>
          </cell>
          <cell r="L2772">
            <v>1020</v>
          </cell>
          <cell r="M2772" t="str">
            <v/>
          </cell>
          <cell r="N2772">
            <v>0</v>
          </cell>
        </row>
        <row r="2773">
          <cell r="A2773">
            <v>6772</v>
          </cell>
          <cell r="B2773" t="str">
            <v>13/05/2015</v>
          </cell>
          <cell r="C2773" t="str">
            <v>C1313</v>
          </cell>
          <cell r="D2773" t="str">
            <v>Quote Reference: JDS/SE15734</v>
          </cell>
          <cell r="E2773" t="str">
            <v>Hallfire Protection Ltd</v>
          </cell>
          <cell r="F2773" t="str">
            <v>Subcontractor</v>
          </cell>
          <cell r="G2773" t="str">
            <v/>
          </cell>
          <cell r="H2773" t="str">
            <v/>
          </cell>
          <cell r="I2773" t="str">
            <v/>
          </cell>
          <cell r="J2773">
            <v>3510</v>
          </cell>
          <cell r="K2773">
            <v>702</v>
          </cell>
          <cell r="L2773">
            <v>3510</v>
          </cell>
          <cell r="M2773" t="str">
            <v/>
          </cell>
          <cell r="N2773">
            <v>0</v>
          </cell>
        </row>
        <row r="2774">
          <cell r="A2774">
            <v>6762</v>
          </cell>
          <cell r="B2774" t="str">
            <v>11/05/2015</v>
          </cell>
          <cell r="C2774" t="str">
            <v>CALLOUT</v>
          </cell>
          <cell r="D2774" t="str">
            <v>Supply and Install new Water Heater in Store Room - 1st Floo</v>
          </cell>
          <cell r="E2774" t="str">
            <v>K Gammon Plumbing &amp; Heating Ltd</v>
          </cell>
          <cell r="F2774" t="str">
            <v>Subcontractor</v>
          </cell>
          <cell r="G2774" t="str">
            <v/>
          </cell>
          <cell r="H2774" t="str">
            <v>Complete</v>
          </cell>
          <cell r="I2774" t="str">
            <v/>
          </cell>
          <cell r="J2774">
            <v>0</v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</row>
        <row r="2775">
          <cell r="A2775">
            <v>6733</v>
          </cell>
          <cell r="B2775" t="str">
            <v>06/05/2015</v>
          </cell>
          <cell r="C2775" t="str">
            <v>CALLOUT</v>
          </cell>
          <cell r="D2775" t="str">
            <v>Attended Site to Investigate Red Light on AC Unit</v>
          </cell>
          <cell r="E2775" t="str">
            <v>Murray Contracts</v>
          </cell>
          <cell r="F2775" t="str">
            <v>Subcontractor</v>
          </cell>
          <cell r="G2775" t="str">
            <v/>
          </cell>
          <cell r="H2775" t="str">
            <v>Complete</v>
          </cell>
          <cell r="I2775" t="str">
            <v/>
          </cell>
          <cell r="J2775">
            <v>0</v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</row>
        <row r="2776">
          <cell r="A2776">
            <v>6722</v>
          </cell>
          <cell r="B2776" t="str">
            <v>05/05/2015</v>
          </cell>
          <cell r="C2776" t="str">
            <v>CALLOUT</v>
          </cell>
          <cell r="D2776" t="str">
            <v>Relocate 2no light fittings from offices to sales room plus</v>
          </cell>
          <cell r="E2776" t="str">
            <v>Ammcom Ltd</v>
          </cell>
          <cell r="F2776" t="str">
            <v>Subcontractor</v>
          </cell>
          <cell r="G2776" t="str">
            <v/>
          </cell>
          <cell r="H2776" t="str">
            <v/>
          </cell>
          <cell r="I2776" t="str">
            <v/>
          </cell>
          <cell r="J2776">
            <v>167</v>
          </cell>
          <cell r="K2776">
            <v>33.4</v>
          </cell>
          <cell r="L2776">
            <v>167</v>
          </cell>
          <cell r="M2776" t="str">
            <v/>
          </cell>
          <cell r="N2776">
            <v>0</v>
          </cell>
        </row>
        <row r="2777">
          <cell r="A2777">
            <v>6667</v>
          </cell>
          <cell r="B2777" t="str">
            <v>24/04/2015</v>
          </cell>
          <cell r="C2777" t="str">
            <v>C1219</v>
          </cell>
          <cell r="D2777" t="str">
            <v>Welding at Barclays Chester as discussed with Ryan</v>
          </cell>
          <cell r="E2777" t="str">
            <v>Roscow Mechanical Limited</v>
          </cell>
          <cell r="F2777" t="str">
            <v>Subcontractor</v>
          </cell>
          <cell r="G2777" t="str">
            <v/>
          </cell>
          <cell r="H2777" t="str">
            <v/>
          </cell>
          <cell r="I2777" t="str">
            <v/>
          </cell>
          <cell r="J2777">
            <v>200</v>
          </cell>
          <cell r="K2777">
            <v>40</v>
          </cell>
          <cell r="L2777">
            <v>200</v>
          </cell>
          <cell r="M2777" t="str">
            <v/>
          </cell>
          <cell r="N2777">
            <v>0</v>
          </cell>
        </row>
        <row r="2778">
          <cell r="A2778">
            <v>6657</v>
          </cell>
          <cell r="B2778" t="str">
            <v>23/04/2015</v>
          </cell>
          <cell r="C2778" t="str">
            <v>C1300</v>
          </cell>
          <cell r="D2778" t="str">
            <v>Additional Works</v>
          </cell>
          <cell r="E2778" t="str">
            <v>Norwest Projects Limited</v>
          </cell>
          <cell r="F2778" t="str">
            <v>Subcontractor</v>
          </cell>
          <cell r="G2778" t="str">
            <v/>
          </cell>
          <cell r="H2778" t="str">
            <v/>
          </cell>
          <cell r="I2778" t="str">
            <v/>
          </cell>
          <cell r="J2778">
            <v>650</v>
          </cell>
          <cell r="K2778">
            <v>130</v>
          </cell>
          <cell r="L2778">
            <v>650</v>
          </cell>
          <cell r="M2778" t="str">
            <v/>
          </cell>
          <cell r="N2778">
            <v>0</v>
          </cell>
        </row>
        <row r="2779">
          <cell r="A2779">
            <v>6653</v>
          </cell>
          <cell r="B2779" t="str">
            <v>23/04/2015</v>
          </cell>
          <cell r="C2779" t="str">
            <v>C1310</v>
          </cell>
          <cell r="D2779" t="str">
            <v>Labour for Dean Hoye</v>
          </cell>
          <cell r="E2779" t="str">
            <v>Premier Air Control</v>
          </cell>
          <cell r="F2779" t="str">
            <v>Subcontractor</v>
          </cell>
          <cell r="G2779" t="str">
            <v/>
          </cell>
          <cell r="H2779" t="str">
            <v/>
          </cell>
          <cell r="I2779" t="str">
            <v/>
          </cell>
          <cell r="J2779">
            <v>144</v>
          </cell>
          <cell r="K2779">
            <v>28.8</v>
          </cell>
          <cell r="L2779">
            <v>144</v>
          </cell>
          <cell r="M2779" t="str">
            <v/>
          </cell>
          <cell r="N2779">
            <v>0</v>
          </cell>
        </row>
        <row r="2780">
          <cell r="A2780">
            <v>6652</v>
          </cell>
          <cell r="B2780" t="str">
            <v>23/04/2015</v>
          </cell>
          <cell r="C2780" t="str">
            <v>C1258</v>
          </cell>
          <cell r="D2780" t="str">
            <v>Labour for Dean Hoye</v>
          </cell>
          <cell r="E2780" t="str">
            <v>Premier Air Control</v>
          </cell>
          <cell r="F2780" t="str">
            <v>Subcontractor</v>
          </cell>
          <cell r="G2780" t="str">
            <v/>
          </cell>
          <cell r="H2780" t="str">
            <v/>
          </cell>
          <cell r="I2780" t="str">
            <v/>
          </cell>
          <cell r="J2780">
            <v>294</v>
          </cell>
          <cell r="K2780">
            <v>58.8</v>
          </cell>
          <cell r="L2780">
            <v>294</v>
          </cell>
          <cell r="M2780" t="str">
            <v/>
          </cell>
          <cell r="N2780">
            <v>0</v>
          </cell>
        </row>
        <row r="2781">
          <cell r="A2781">
            <v>6642</v>
          </cell>
          <cell r="B2781" t="str">
            <v>22/04/2015</v>
          </cell>
          <cell r="C2781" t="str">
            <v>C1219</v>
          </cell>
          <cell r="D2781" t="str">
            <v>Quote Reference: TN-RG-BC-01</v>
          </cell>
          <cell r="E2781" t="str">
            <v>Scottfab Insulation Ltd</v>
          </cell>
          <cell r="F2781" t="str">
            <v>Subcontractor</v>
          </cell>
          <cell r="G2781" t="str">
            <v/>
          </cell>
          <cell r="H2781" t="str">
            <v/>
          </cell>
          <cell r="I2781" t="str">
            <v/>
          </cell>
          <cell r="J2781">
            <v>460</v>
          </cell>
          <cell r="K2781">
            <v>92</v>
          </cell>
          <cell r="L2781">
            <v>460</v>
          </cell>
          <cell r="M2781" t="str">
            <v/>
          </cell>
          <cell r="N2781">
            <v>0</v>
          </cell>
        </row>
        <row r="2782">
          <cell r="A2782">
            <v>6641</v>
          </cell>
          <cell r="B2782" t="str">
            <v>22/04/2015</v>
          </cell>
          <cell r="C2782" t="str">
            <v>C1316</v>
          </cell>
          <cell r="D2782" t="str">
            <v>Installation of Ductwork</v>
          </cell>
          <cell r="E2782" t="str">
            <v>Ventil-Eight Systems Limited</v>
          </cell>
          <cell r="F2782" t="str">
            <v>Subcontractor</v>
          </cell>
          <cell r="G2782" t="str">
            <v/>
          </cell>
          <cell r="H2782" t="str">
            <v/>
          </cell>
          <cell r="I2782" t="str">
            <v/>
          </cell>
          <cell r="J2782">
            <v>1050</v>
          </cell>
          <cell r="K2782">
            <v>210</v>
          </cell>
          <cell r="L2782">
            <v>1050</v>
          </cell>
          <cell r="M2782" t="str">
            <v/>
          </cell>
          <cell r="N2782">
            <v>0</v>
          </cell>
        </row>
        <row r="2783">
          <cell r="A2783">
            <v>6640</v>
          </cell>
          <cell r="B2783" t="str">
            <v>22/04/2015</v>
          </cell>
          <cell r="C2783" t="str">
            <v>C1258</v>
          </cell>
          <cell r="D2783" t="str">
            <v>For Labour for Dean Hoye</v>
          </cell>
          <cell r="E2783" t="str">
            <v>Premier Air Control</v>
          </cell>
          <cell r="F2783" t="str">
            <v>Subcontractor</v>
          </cell>
          <cell r="G2783" t="str">
            <v/>
          </cell>
          <cell r="H2783" t="str">
            <v/>
          </cell>
          <cell r="I2783" t="str">
            <v/>
          </cell>
          <cell r="J2783">
            <v>242</v>
          </cell>
          <cell r="K2783">
            <v>48.4</v>
          </cell>
          <cell r="L2783">
            <v>242</v>
          </cell>
          <cell r="M2783" t="str">
            <v/>
          </cell>
          <cell r="N2783">
            <v>0</v>
          </cell>
        </row>
        <row r="2784">
          <cell r="A2784">
            <v>6639</v>
          </cell>
          <cell r="B2784" t="str">
            <v>22/04/2015</v>
          </cell>
          <cell r="C2784" t="str">
            <v>C1310</v>
          </cell>
          <cell r="D2784" t="str">
            <v>For Labour for Dean Hoye</v>
          </cell>
          <cell r="E2784" t="str">
            <v>Premier Air Control</v>
          </cell>
          <cell r="F2784" t="str">
            <v>Subcontractor</v>
          </cell>
          <cell r="G2784" t="str">
            <v/>
          </cell>
          <cell r="H2784" t="str">
            <v>Complete</v>
          </cell>
          <cell r="I2784" t="str">
            <v/>
          </cell>
          <cell r="J2784">
            <v>0</v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</row>
        <row r="2785">
          <cell r="A2785">
            <v>6638</v>
          </cell>
          <cell r="B2785" t="str">
            <v>22/04/2015</v>
          </cell>
          <cell r="C2785" t="str">
            <v>SERVICE</v>
          </cell>
          <cell r="D2785" t="str">
            <v>Carry out Boiler Maintenance</v>
          </cell>
          <cell r="E2785" t="str">
            <v>Amroc Heating Supplies</v>
          </cell>
          <cell r="F2785" t="str">
            <v>Subcontractor</v>
          </cell>
          <cell r="G2785" t="str">
            <v/>
          </cell>
          <cell r="H2785" t="str">
            <v/>
          </cell>
          <cell r="I2785" t="str">
            <v/>
          </cell>
          <cell r="J2785">
            <v>165</v>
          </cell>
          <cell r="K2785">
            <v>33</v>
          </cell>
          <cell r="L2785">
            <v>165</v>
          </cell>
          <cell r="M2785" t="str">
            <v/>
          </cell>
          <cell r="N2785">
            <v>0</v>
          </cell>
        </row>
        <row r="2786">
          <cell r="A2786">
            <v>6622</v>
          </cell>
          <cell r="B2786" t="str">
            <v>17/04/2015</v>
          </cell>
          <cell r="C2786" t="str">
            <v>C1321</v>
          </cell>
          <cell r="D2786" t="str">
            <v>Installation of split AC system</v>
          </cell>
          <cell r="E2786" t="str">
            <v>Superior Air Solutions Ltd</v>
          </cell>
          <cell r="F2786" t="str">
            <v>Subcontractor</v>
          </cell>
          <cell r="G2786" t="str">
            <v/>
          </cell>
          <cell r="H2786" t="str">
            <v>Part</v>
          </cell>
          <cell r="I2786" t="str">
            <v/>
          </cell>
          <cell r="J2786">
            <v>2692</v>
          </cell>
          <cell r="K2786">
            <v>538.4</v>
          </cell>
          <cell r="L2786">
            <v>2692</v>
          </cell>
          <cell r="M2786" t="str">
            <v/>
          </cell>
          <cell r="N2786">
            <v>0</v>
          </cell>
        </row>
        <row r="2787">
          <cell r="A2787">
            <v>6600</v>
          </cell>
          <cell r="B2787" t="str">
            <v>15/04/2015</v>
          </cell>
          <cell r="C2787" t="str">
            <v>C1310</v>
          </cell>
          <cell r="D2787" t="str">
            <v>Labour 20 Hours</v>
          </cell>
          <cell r="E2787" t="str">
            <v>Kestrel North West Limited</v>
          </cell>
          <cell r="F2787" t="str">
            <v>Subcontractor</v>
          </cell>
          <cell r="G2787" t="str">
            <v/>
          </cell>
          <cell r="H2787" t="str">
            <v/>
          </cell>
          <cell r="I2787" t="str">
            <v/>
          </cell>
          <cell r="J2787">
            <v>984.22</v>
          </cell>
          <cell r="K2787">
            <v>196.84</v>
          </cell>
          <cell r="L2787">
            <v>984.22</v>
          </cell>
          <cell r="M2787" t="str">
            <v/>
          </cell>
          <cell r="N2787">
            <v>0</v>
          </cell>
        </row>
        <row r="2788">
          <cell r="A2788">
            <v>6589</v>
          </cell>
          <cell r="B2788" t="str">
            <v>14/04/2015</v>
          </cell>
          <cell r="C2788" t="str">
            <v>CALLOUT</v>
          </cell>
          <cell r="D2788" t="str">
            <v>Sealed up Letterbox at Towergate Lancaster</v>
          </cell>
          <cell r="E2788" t="str">
            <v>Murray Contracts</v>
          </cell>
          <cell r="F2788" t="str">
            <v>Subcontractor</v>
          </cell>
          <cell r="G2788" t="str">
            <v/>
          </cell>
          <cell r="H2788" t="str">
            <v>Complete</v>
          </cell>
          <cell r="I2788" t="str">
            <v/>
          </cell>
          <cell r="J2788">
            <v>0</v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</row>
        <row r="2789">
          <cell r="A2789">
            <v>6588</v>
          </cell>
          <cell r="B2789" t="str">
            <v>14/04/2015</v>
          </cell>
          <cell r="C2789" t="str">
            <v>SERVICE</v>
          </cell>
          <cell r="D2789" t="str">
            <v>Carried out AC Maintenance at Rayners Fleetwood</v>
          </cell>
          <cell r="E2789" t="str">
            <v>Murray Contracts</v>
          </cell>
          <cell r="F2789" t="str">
            <v>Subcontractor</v>
          </cell>
          <cell r="G2789" t="str">
            <v/>
          </cell>
          <cell r="H2789" t="str">
            <v/>
          </cell>
          <cell r="I2789" t="str">
            <v/>
          </cell>
          <cell r="J2789">
            <v>40</v>
          </cell>
          <cell r="K2789">
            <v>0</v>
          </cell>
          <cell r="L2789">
            <v>0</v>
          </cell>
          <cell r="M2789" t="str">
            <v/>
          </cell>
          <cell r="N2789">
            <v>40</v>
          </cell>
        </row>
        <row r="2790">
          <cell r="A2790">
            <v>6568</v>
          </cell>
          <cell r="B2790" t="str">
            <v>09/04/2015</v>
          </cell>
          <cell r="C2790" t="str">
            <v>C1254</v>
          </cell>
          <cell r="D2790" t="str">
            <v>Insulation Works</v>
          </cell>
          <cell r="E2790" t="str">
            <v>Ventil-Eight Systems Limited</v>
          </cell>
          <cell r="F2790" t="str">
            <v>Subcontractor</v>
          </cell>
          <cell r="G2790" t="str">
            <v/>
          </cell>
          <cell r="H2790" t="str">
            <v/>
          </cell>
          <cell r="I2790" t="str">
            <v/>
          </cell>
          <cell r="J2790">
            <v>2212.9499999999998</v>
          </cell>
          <cell r="K2790">
            <v>442.59</v>
          </cell>
          <cell r="L2790">
            <v>2212.9499999999998</v>
          </cell>
          <cell r="M2790" t="str">
            <v/>
          </cell>
          <cell r="N2790">
            <v>0</v>
          </cell>
        </row>
        <row r="2791">
          <cell r="A2791">
            <v>6567</v>
          </cell>
          <cell r="B2791" t="str">
            <v>09/04/2015</v>
          </cell>
          <cell r="C2791" t="str">
            <v>C1259</v>
          </cell>
          <cell r="D2791" t="str">
            <v>Insulation Work</v>
          </cell>
          <cell r="E2791" t="str">
            <v>Ventil-Eight Systems Limited</v>
          </cell>
          <cell r="F2791" t="str">
            <v>Subcontractor</v>
          </cell>
          <cell r="G2791" t="str">
            <v/>
          </cell>
          <cell r="H2791" t="str">
            <v/>
          </cell>
          <cell r="I2791" t="str">
            <v/>
          </cell>
          <cell r="J2791">
            <v>3207.73</v>
          </cell>
          <cell r="K2791">
            <v>641.54999999999995</v>
          </cell>
          <cell r="L2791">
            <v>3207.73</v>
          </cell>
          <cell r="M2791" t="str">
            <v/>
          </cell>
          <cell r="N2791">
            <v>0</v>
          </cell>
        </row>
        <row r="2792">
          <cell r="A2792">
            <v>6556</v>
          </cell>
          <cell r="B2792" t="str">
            <v>07/04/2015</v>
          </cell>
          <cell r="C2792" t="str">
            <v>CALLOUT</v>
          </cell>
          <cell r="D2792" t="str">
            <v>Replace Divertor &amp; Pressure Switch</v>
          </cell>
          <cell r="E2792" t="str">
            <v>K Gammon Plumbing &amp; Heating Ltd</v>
          </cell>
          <cell r="F2792" t="str">
            <v>Subcontractor</v>
          </cell>
          <cell r="G2792" t="str">
            <v/>
          </cell>
          <cell r="H2792" t="str">
            <v/>
          </cell>
          <cell r="I2792" t="str">
            <v/>
          </cell>
          <cell r="J2792">
            <v>463.11</v>
          </cell>
          <cell r="K2792">
            <v>92.62</v>
          </cell>
          <cell r="L2792">
            <v>463.11</v>
          </cell>
          <cell r="M2792" t="str">
            <v/>
          </cell>
          <cell r="N2792">
            <v>0</v>
          </cell>
        </row>
        <row r="2793">
          <cell r="A2793">
            <v>6536</v>
          </cell>
          <cell r="B2793" t="str">
            <v>31/03/2015</v>
          </cell>
          <cell r="C2793" t="str">
            <v>CALLOUT</v>
          </cell>
          <cell r="D2793" t="str">
            <v>Supply and Install 3no Hanging LED Exit Signs</v>
          </cell>
          <cell r="E2793" t="str">
            <v>Barrie Beard Ltd</v>
          </cell>
          <cell r="F2793" t="str">
            <v>Subcontractor</v>
          </cell>
          <cell r="G2793" t="str">
            <v/>
          </cell>
          <cell r="H2793" t="str">
            <v/>
          </cell>
          <cell r="I2793" t="str">
            <v/>
          </cell>
          <cell r="J2793">
            <v>490</v>
          </cell>
          <cell r="K2793">
            <v>98</v>
          </cell>
          <cell r="L2793">
            <v>490</v>
          </cell>
          <cell r="M2793" t="str">
            <v/>
          </cell>
          <cell r="N2793">
            <v>0</v>
          </cell>
        </row>
        <row r="2794">
          <cell r="A2794">
            <v>6528</v>
          </cell>
          <cell r="B2794" t="str">
            <v>31/03/2015</v>
          </cell>
          <cell r="C2794" t="str">
            <v>CALLOUT</v>
          </cell>
          <cell r="D2794" t="str">
            <v>Carry out Chlorination Works - Out of Hours between 5pm - 9p</v>
          </cell>
          <cell r="E2794" t="str">
            <v>MWS (UK) Ltd</v>
          </cell>
          <cell r="F2794" t="str">
            <v>Subcontractor</v>
          </cell>
          <cell r="G2794" t="str">
            <v/>
          </cell>
          <cell r="H2794" t="str">
            <v/>
          </cell>
          <cell r="I2794" t="str">
            <v/>
          </cell>
          <cell r="J2794">
            <v>470.02</v>
          </cell>
          <cell r="K2794">
            <v>94</v>
          </cell>
          <cell r="L2794">
            <v>470.02</v>
          </cell>
          <cell r="M2794" t="str">
            <v/>
          </cell>
          <cell r="N2794">
            <v>0</v>
          </cell>
        </row>
        <row r="2795">
          <cell r="A2795">
            <v>6524</v>
          </cell>
          <cell r="B2795" t="str">
            <v>30/03/2015</v>
          </cell>
          <cell r="C2795" t="str">
            <v>CALLOUT</v>
          </cell>
          <cell r="D2795" t="str">
            <v>No Heat in Accounts Office</v>
          </cell>
          <cell r="E2795" t="str">
            <v>A Jones Heating &amp; Plumbing</v>
          </cell>
          <cell r="F2795" t="str">
            <v>Subcontractor</v>
          </cell>
          <cell r="G2795" t="str">
            <v/>
          </cell>
          <cell r="H2795" t="str">
            <v/>
          </cell>
          <cell r="I2795" t="str">
            <v/>
          </cell>
          <cell r="J2795">
            <v>120</v>
          </cell>
          <cell r="K2795">
            <v>0</v>
          </cell>
          <cell r="L2795">
            <v>120</v>
          </cell>
          <cell r="M2795" t="str">
            <v/>
          </cell>
          <cell r="N2795">
            <v>0</v>
          </cell>
        </row>
        <row r="2796">
          <cell r="A2796">
            <v>6515</v>
          </cell>
          <cell r="B2796" t="str">
            <v>27/03/2015</v>
          </cell>
          <cell r="C2796" t="str">
            <v>C1300</v>
          </cell>
          <cell r="D2796" t="str">
            <v>Insulation as discussed with Ryan</v>
          </cell>
          <cell r="E2796" t="str">
            <v>Ventil-Eight Systems Limited</v>
          </cell>
          <cell r="F2796" t="str">
            <v>Subcontractor</v>
          </cell>
          <cell r="G2796" t="str">
            <v/>
          </cell>
          <cell r="H2796" t="str">
            <v/>
          </cell>
          <cell r="I2796" t="str">
            <v/>
          </cell>
          <cell r="J2796">
            <v>2800</v>
          </cell>
          <cell r="K2796">
            <v>560</v>
          </cell>
          <cell r="L2796">
            <v>2800</v>
          </cell>
          <cell r="M2796" t="str">
            <v/>
          </cell>
          <cell r="N2796">
            <v>0</v>
          </cell>
        </row>
        <row r="2797">
          <cell r="A2797">
            <v>6503</v>
          </cell>
          <cell r="B2797" t="str">
            <v>26/03/2015</v>
          </cell>
          <cell r="C2797" t="str">
            <v>C1254</v>
          </cell>
          <cell r="D2797" t="str">
            <v>AC Install</v>
          </cell>
          <cell r="E2797" t="str">
            <v>F Gas Certification Limited</v>
          </cell>
          <cell r="F2797" t="str">
            <v>Subcontractor</v>
          </cell>
          <cell r="G2797" t="str">
            <v/>
          </cell>
          <cell r="H2797" t="str">
            <v>Part</v>
          </cell>
          <cell r="I2797" t="str">
            <v/>
          </cell>
          <cell r="J2797">
            <v>15650</v>
          </cell>
          <cell r="K2797">
            <v>3130</v>
          </cell>
          <cell r="L2797">
            <v>15650</v>
          </cell>
          <cell r="M2797" t="str">
            <v/>
          </cell>
          <cell r="N2797">
            <v>0</v>
          </cell>
        </row>
        <row r="2798">
          <cell r="A2798">
            <v>6498</v>
          </cell>
          <cell r="B2798" t="str">
            <v>25/03/2015</v>
          </cell>
          <cell r="C2798" t="str">
            <v>C1307</v>
          </cell>
          <cell r="D2798" t="str">
            <v>Installatin of ductwork, fans&amp;grills, excluding strip out</v>
          </cell>
          <cell r="E2798" t="str">
            <v>Ventil-Eight Systems Limited</v>
          </cell>
          <cell r="F2798" t="str">
            <v>Subcontractor</v>
          </cell>
          <cell r="G2798" t="str">
            <v/>
          </cell>
          <cell r="H2798" t="str">
            <v/>
          </cell>
          <cell r="I2798" t="str">
            <v/>
          </cell>
          <cell r="J2798">
            <v>6500</v>
          </cell>
          <cell r="K2798">
            <v>1300</v>
          </cell>
          <cell r="L2798">
            <v>6500</v>
          </cell>
          <cell r="M2798" t="str">
            <v/>
          </cell>
          <cell r="N2798">
            <v>0</v>
          </cell>
        </row>
        <row r="2799">
          <cell r="A2799">
            <v>6495</v>
          </cell>
          <cell r="B2799" t="str">
            <v>25/03/2015</v>
          </cell>
          <cell r="C2799" t="str">
            <v>C1221</v>
          </cell>
          <cell r="D2799" t="str">
            <v>De-comm and VRF mods</v>
          </cell>
          <cell r="E2799" t="str">
            <v>Norwest Projects Limited</v>
          </cell>
          <cell r="F2799" t="str">
            <v>Subcontractor</v>
          </cell>
          <cell r="G2799" t="str">
            <v/>
          </cell>
          <cell r="H2799" t="str">
            <v/>
          </cell>
          <cell r="I2799" t="str">
            <v/>
          </cell>
          <cell r="J2799">
            <v>1018</v>
          </cell>
          <cell r="K2799">
            <v>203.6</v>
          </cell>
          <cell r="L2799">
            <v>1018</v>
          </cell>
          <cell r="M2799" t="str">
            <v/>
          </cell>
          <cell r="N2799">
            <v>0</v>
          </cell>
        </row>
        <row r="2800">
          <cell r="A2800">
            <v>6486</v>
          </cell>
          <cell r="B2800" t="str">
            <v>24/03/2015</v>
          </cell>
          <cell r="C2800" t="str">
            <v>SERVICE</v>
          </cell>
          <cell r="D2800" t="str">
            <v>Carry out Boiler Maintenance</v>
          </cell>
          <cell r="E2800" t="str">
            <v>AEP (NE) LLP</v>
          </cell>
          <cell r="F2800" t="str">
            <v>Subcontractor</v>
          </cell>
          <cell r="G2800" t="str">
            <v/>
          </cell>
          <cell r="H2800" t="str">
            <v/>
          </cell>
          <cell r="I2800" t="str">
            <v/>
          </cell>
          <cell r="J2800">
            <v>60.5</v>
          </cell>
          <cell r="K2800">
            <v>12.1</v>
          </cell>
          <cell r="L2800">
            <v>60.5</v>
          </cell>
          <cell r="M2800" t="str">
            <v/>
          </cell>
          <cell r="N2800">
            <v>0</v>
          </cell>
        </row>
        <row r="2801">
          <cell r="A2801">
            <v>6485</v>
          </cell>
          <cell r="B2801" t="str">
            <v>24/03/2015</v>
          </cell>
          <cell r="C2801" t="str">
            <v>CALLOUT</v>
          </cell>
          <cell r="D2801" t="str">
            <v>Supply &amp; Install Disabled Alarm Kit in Ground/1st/2nd Floor</v>
          </cell>
          <cell r="E2801" t="str">
            <v>Kestrel North West Limited</v>
          </cell>
          <cell r="F2801" t="str">
            <v>Subcontractor</v>
          </cell>
          <cell r="G2801" t="str">
            <v/>
          </cell>
          <cell r="H2801" t="str">
            <v/>
          </cell>
          <cell r="I2801" t="str">
            <v/>
          </cell>
          <cell r="J2801">
            <v>712.5</v>
          </cell>
          <cell r="K2801">
            <v>142.5</v>
          </cell>
          <cell r="L2801">
            <v>712.5</v>
          </cell>
          <cell r="M2801" t="str">
            <v/>
          </cell>
          <cell r="N2801">
            <v>0</v>
          </cell>
        </row>
        <row r="2802">
          <cell r="A2802">
            <v>6469</v>
          </cell>
          <cell r="B2802" t="str">
            <v>20/03/2015</v>
          </cell>
          <cell r="C2802" t="str">
            <v>CALLOUT</v>
          </cell>
          <cell r="D2802" t="str">
            <v>Attend Site to remove old door refit new 1/2 hour fire</v>
          </cell>
          <cell r="E2802" t="str">
            <v>K Gammon Plumbing &amp; Heating Ltd</v>
          </cell>
          <cell r="F2802" t="str">
            <v>Subcontractor</v>
          </cell>
          <cell r="G2802" t="str">
            <v/>
          </cell>
          <cell r="H2802" t="str">
            <v/>
          </cell>
          <cell r="I2802" t="str">
            <v/>
          </cell>
          <cell r="J2802">
            <v>289.33</v>
          </cell>
          <cell r="K2802">
            <v>57.87</v>
          </cell>
          <cell r="L2802">
            <v>289.33</v>
          </cell>
          <cell r="M2802" t="str">
            <v/>
          </cell>
          <cell r="N2802">
            <v>0</v>
          </cell>
        </row>
        <row r="2803">
          <cell r="A2803">
            <v>6458</v>
          </cell>
          <cell r="B2803" t="str">
            <v>18/03/2015</v>
          </cell>
          <cell r="C2803" t="str">
            <v>CALLOUT</v>
          </cell>
          <cell r="D2803" t="str">
            <v>Carry out Cable Managment through Offices as per quotation</v>
          </cell>
          <cell r="E2803" t="str">
            <v>Kestrel North West Limited</v>
          </cell>
          <cell r="F2803" t="str">
            <v>Subcontractor</v>
          </cell>
          <cell r="G2803" t="str">
            <v/>
          </cell>
          <cell r="H2803" t="str">
            <v/>
          </cell>
          <cell r="I2803" t="str">
            <v/>
          </cell>
          <cell r="J2803">
            <v>282</v>
          </cell>
          <cell r="K2803">
            <v>56.4</v>
          </cell>
          <cell r="L2803">
            <v>282</v>
          </cell>
          <cell r="M2803" t="str">
            <v/>
          </cell>
          <cell r="N2803">
            <v>0</v>
          </cell>
        </row>
        <row r="2804">
          <cell r="A2804">
            <v>6457</v>
          </cell>
          <cell r="B2804" t="str">
            <v>18/03/2015</v>
          </cell>
          <cell r="C2804" t="str">
            <v>CALLOUT</v>
          </cell>
          <cell r="D2804" t="str">
            <v>Supply and fit new extractor fan in kitchen</v>
          </cell>
          <cell r="E2804" t="str">
            <v>Kestrel North West Limited</v>
          </cell>
          <cell r="F2804" t="str">
            <v>Subcontractor</v>
          </cell>
          <cell r="G2804" t="str">
            <v/>
          </cell>
          <cell r="H2804" t="str">
            <v/>
          </cell>
          <cell r="I2804" t="str">
            <v/>
          </cell>
          <cell r="J2804">
            <v>121</v>
          </cell>
          <cell r="K2804">
            <v>24.2</v>
          </cell>
          <cell r="L2804">
            <v>121</v>
          </cell>
          <cell r="M2804" t="str">
            <v/>
          </cell>
          <cell r="N2804">
            <v>0</v>
          </cell>
        </row>
        <row r="2805">
          <cell r="A2805">
            <v>6443</v>
          </cell>
          <cell r="B2805" t="str">
            <v>13/03/2015</v>
          </cell>
          <cell r="C2805" t="str">
            <v>C1262</v>
          </cell>
          <cell r="D2805" t="str">
            <v>Installation of all ductwork &amp; night work</v>
          </cell>
          <cell r="E2805" t="str">
            <v>ExcelVent Solutions Ltd</v>
          </cell>
          <cell r="F2805" t="str">
            <v>Subcontractor</v>
          </cell>
          <cell r="G2805" t="str">
            <v/>
          </cell>
          <cell r="H2805" t="str">
            <v/>
          </cell>
          <cell r="I2805" t="str">
            <v/>
          </cell>
          <cell r="J2805">
            <v>8192.9</v>
          </cell>
          <cell r="K2805">
            <v>1638.58</v>
          </cell>
          <cell r="L2805">
            <v>8192.9</v>
          </cell>
          <cell r="M2805" t="str">
            <v/>
          </cell>
          <cell r="N2805">
            <v>0</v>
          </cell>
        </row>
        <row r="2806">
          <cell r="A2806">
            <v>6429</v>
          </cell>
          <cell r="B2806" t="str">
            <v>11/03/2015</v>
          </cell>
          <cell r="C2806" t="str">
            <v>C1236</v>
          </cell>
          <cell r="D2806" t="str">
            <v>Installation of all ductwork as per site survey</v>
          </cell>
          <cell r="E2806" t="str">
            <v>Ventil-Eight Systems Limited</v>
          </cell>
          <cell r="F2806" t="str">
            <v>Subcontractor</v>
          </cell>
          <cell r="G2806" t="str">
            <v/>
          </cell>
          <cell r="H2806" t="str">
            <v/>
          </cell>
          <cell r="I2806" t="str">
            <v/>
          </cell>
          <cell r="J2806">
            <v>2000</v>
          </cell>
          <cell r="K2806">
            <v>400</v>
          </cell>
          <cell r="L2806">
            <v>2000</v>
          </cell>
          <cell r="M2806" t="str">
            <v/>
          </cell>
          <cell r="N2806">
            <v>0</v>
          </cell>
        </row>
        <row r="2807">
          <cell r="A2807">
            <v>6428</v>
          </cell>
          <cell r="B2807" t="str">
            <v>11/03/2015</v>
          </cell>
          <cell r="C2807" t="str">
            <v>CALLOUT</v>
          </cell>
          <cell r="D2807" t="str">
            <v>Quote to replace 1no Bollard as per quote</v>
          </cell>
          <cell r="E2807" t="str">
            <v>Kestrel North West Limited</v>
          </cell>
          <cell r="F2807" t="str">
            <v>Subcontractor</v>
          </cell>
          <cell r="G2807" t="str">
            <v/>
          </cell>
          <cell r="H2807" t="str">
            <v/>
          </cell>
          <cell r="I2807" t="str">
            <v/>
          </cell>
          <cell r="J2807">
            <v>652.5</v>
          </cell>
          <cell r="K2807">
            <v>130.5</v>
          </cell>
          <cell r="L2807">
            <v>652.5</v>
          </cell>
          <cell r="M2807" t="str">
            <v/>
          </cell>
          <cell r="N2807">
            <v>0</v>
          </cell>
        </row>
        <row r="2808">
          <cell r="A2808">
            <v>6391</v>
          </cell>
          <cell r="B2808" t="str">
            <v>05/03/2015</v>
          </cell>
          <cell r="C2808" t="str">
            <v>CALLOUT</v>
          </cell>
          <cell r="D2808" t="str">
            <v>Supply and Install 4 level shelves as per quotation</v>
          </cell>
          <cell r="E2808" t="str">
            <v>K Gammon Plumbing &amp; Heating Ltd</v>
          </cell>
          <cell r="F2808" t="str">
            <v>Subcontractor</v>
          </cell>
          <cell r="G2808" t="str">
            <v/>
          </cell>
          <cell r="H2808" t="str">
            <v/>
          </cell>
          <cell r="I2808" t="str">
            <v/>
          </cell>
          <cell r="J2808">
            <v>229.14</v>
          </cell>
          <cell r="K2808">
            <v>45.83</v>
          </cell>
          <cell r="L2808">
            <v>229.14</v>
          </cell>
          <cell r="M2808" t="str">
            <v/>
          </cell>
          <cell r="N2808">
            <v>0</v>
          </cell>
        </row>
        <row r="2809">
          <cell r="A2809">
            <v>6385</v>
          </cell>
          <cell r="B2809" t="str">
            <v>04/03/2015</v>
          </cell>
          <cell r="C2809" t="str">
            <v>C1240</v>
          </cell>
          <cell r="D2809" t="str">
            <v>Bedroom Plenums</v>
          </cell>
          <cell r="E2809" t="str">
            <v>Ventil-Eight Systems Limited</v>
          </cell>
          <cell r="F2809" t="str">
            <v>Subcontractor</v>
          </cell>
          <cell r="G2809" t="str">
            <v/>
          </cell>
          <cell r="H2809" t="str">
            <v/>
          </cell>
          <cell r="I2809" t="str">
            <v/>
          </cell>
          <cell r="J2809">
            <v>11400</v>
          </cell>
          <cell r="K2809">
            <v>2280</v>
          </cell>
          <cell r="L2809">
            <v>11400</v>
          </cell>
          <cell r="M2809" t="str">
            <v/>
          </cell>
          <cell r="N2809">
            <v>0</v>
          </cell>
        </row>
        <row r="2810">
          <cell r="A2810">
            <v>6382</v>
          </cell>
          <cell r="B2810" t="str">
            <v>02/03/2015</v>
          </cell>
          <cell r="C2810" t="str">
            <v>C1259</v>
          </cell>
          <cell r="D2810" t="str">
            <v>Works to be completed at RBS Exeter</v>
          </cell>
          <cell r="E2810" t="str">
            <v>Adcock Refrigeration &amp; Air Conditioning</v>
          </cell>
          <cell r="F2810" t="str">
            <v>Subcontractor</v>
          </cell>
          <cell r="G2810" t="str">
            <v/>
          </cell>
          <cell r="H2810" t="str">
            <v/>
          </cell>
          <cell r="I2810" t="str">
            <v/>
          </cell>
          <cell r="J2810">
            <v>423.5</v>
          </cell>
          <cell r="K2810">
            <v>84.7</v>
          </cell>
          <cell r="L2810">
            <v>423.5</v>
          </cell>
          <cell r="M2810" t="str">
            <v/>
          </cell>
          <cell r="N2810">
            <v>0</v>
          </cell>
        </row>
        <row r="2811">
          <cell r="A2811">
            <v>6377</v>
          </cell>
          <cell r="B2811" t="str">
            <v>02/03/2015</v>
          </cell>
          <cell r="C2811" t="str">
            <v>C1258</v>
          </cell>
          <cell r="D2811" t="str">
            <v>Labour as discussed with Ryan</v>
          </cell>
          <cell r="E2811" t="str">
            <v>Ventil-Eight Systems Limited</v>
          </cell>
          <cell r="F2811" t="str">
            <v>Subcontractor</v>
          </cell>
          <cell r="G2811" t="str">
            <v/>
          </cell>
          <cell r="H2811" t="str">
            <v/>
          </cell>
          <cell r="I2811" t="str">
            <v/>
          </cell>
          <cell r="J2811">
            <v>4006.5</v>
          </cell>
          <cell r="K2811">
            <v>801.3</v>
          </cell>
          <cell r="L2811">
            <v>4006.5</v>
          </cell>
          <cell r="M2811" t="str">
            <v/>
          </cell>
          <cell r="N2811">
            <v>0</v>
          </cell>
        </row>
        <row r="2812">
          <cell r="A2812">
            <v>6375</v>
          </cell>
          <cell r="B2812" t="str">
            <v>27/02/2015</v>
          </cell>
          <cell r="C2812" t="str">
            <v>C1300</v>
          </cell>
          <cell r="D2812" t="str">
            <v>Q15556: Air Conditioning Pipework Installation</v>
          </cell>
          <cell r="E2812" t="str">
            <v>Norwest Projects Limited</v>
          </cell>
          <cell r="F2812" t="str">
            <v>Subcontractor</v>
          </cell>
          <cell r="G2812" t="str">
            <v/>
          </cell>
          <cell r="H2812" t="str">
            <v/>
          </cell>
          <cell r="I2812" t="str">
            <v/>
          </cell>
          <cell r="J2812">
            <v>19200</v>
          </cell>
          <cell r="K2812">
            <v>3840</v>
          </cell>
          <cell r="L2812">
            <v>19200</v>
          </cell>
          <cell r="M2812" t="str">
            <v/>
          </cell>
          <cell r="N2812">
            <v>0</v>
          </cell>
        </row>
        <row r="2813">
          <cell r="A2813">
            <v>6373</v>
          </cell>
          <cell r="B2813" t="str">
            <v>27/02/2015</v>
          </cell>
          <cell r="C2813" t="str">
            <v>C1252</v>
          </cell>
          <cell r="D2813" t="str">
            <v>Comfort cooling installation 7 commissioning works</v>
          </cell>
          <cell r="E2813" t="str">
            <v>Norwest Projects Limited</v>
          </cell>
          <cell r="F2813" t="str">
            <v>Subcontractor</v>
          </cell>
          <cell r="G2813" t="str">
            <v/>
          </cell>
          <cell r="H2813" t="str">
            <v/>
          </cell>
          <cell r="I2813" t="str">
            <v/>
          </cell>
          <cell r="J2813">
            <v>23517.200000000001</v>
          </cell>
          <cell r="K2813">
            <v>4703.4399999999996</v>
          </cell>
          <cell r="L2813">
            <v>23517.200000000001</v>
          </cell>
          <cell r="M2813" t="str">
            <v/>
          </cell>
          <cell r="N2813">
            <v>0</v>
          </cell>
        </row>
        <row r="2814">
          <cell r="A2814">
            <v>6372</v>
          </cell>
          <cell r="B2814" t="str">
            <v>27/02/2015</v>
          </cell>
          <cell r="C2814" t="str">
            <v>CALLOUT</v>
          </cell>
          <cell r="D2814" t="str">
            <v>Replace Existing 2no 150w SON fitting with 2no new 250w meta</v>
          </cell>
          <cell r="E2814" t="str">
            <v>Kestrel North West Limited</v>
          </cell>
          <cell r="F2814" t="str">
            <v>Subcontractor</v>
          </cell>
          <cell r="G2814" t="str">
            <v/>
          </cell>
          <cell r="H2814" t="str">
            <v/>
          </cell>
          <cell r="I2814" t="str">
            <v/>
          </cell>
          <cell r="J2814">
            <v>265</v>
          </cell>
          <cell r="K2814">
            <v>53</v>
          </cell>
          <cell r="L2814">
            <v>265</v>
          </cell>
          <cell r="M2814" t="str">
            <v/>
          </cell>
          <cell r="N2814">
            <v>0</v>
          </cell>
        </row>
        <row r="2815">
          <cell r="A2815">
            <v>6371</v>
          </cell>
          <cell r="B2815" t="str">
            <v>27/02/2015</v>
          </cell>
          <cell r="C2815" t="str">
            <v>C1252</v>
          </cell>
          <cell r="D2815" t="str">
            <v>Ductwork and pipework lagging</v>
          </cell>
          <cell r="E2815" t="str">
            <v>Scottfab Insulation Ltd</v>
          </cell>
          <cell r="F2815" t="str">
            <v>Subcontractor</v>
          </cell>
          <cell r="G2815" t="str">
            <v/>
          </cell>
          <cell r="H2815" t="str">
            <v/>
          </cell>
          <cell r="I2815" t="str">
            <v/>
          </cell>
          <cell r="J2815">
            <v>99485</v>
          </cell>
          <cell r="K2815">
            <v>19897</v>
          </cell>
          <cell r="L2815">
            <v>99485</v>
          </cell>
          <cell r="M2815" t="str">
            <v/>
          </cell>
          <cell r="N2815">
            <v>0</v>
          </cell>
        </row>
        <row r="2816">
          <cell r="A2816">
            <v>6369</v>
          </cell>
          <cell r="B2816" t="str">
            <v>26/02/2015</v>
          </cell>
          <cell r="C2816" t="str">
            <v>CALLOUT</v>
          </cell>
          <cell r="D2816" t="str">
            <v>Site are without Hot Water</v>
          </cell>
          <cell r="E2816" t="str">
            <v>Druggitt &amp; Harding Ltd</v>
          </cell>
          <cell r="F2816" t="str">
            <v>Subcontractor</v>
          </cell>
          <cell r="G2816" t="str">
            <v/>
          </cell>
          <cell r="H2816" t="str">
            <v/>
          </cell>
          <cell r="I2816" t="str">
            <v/>
          </cell>
          <cell r="J2816">
            <v>84</v>
          </cell>
          <cell r="K2816">
            <v>16.8</v>
          </cell>
          <cell r="L2816">
            <v>84</v>
          </cell>
          <cell r="M2816" t="str">
            <v/>
          </cell>
          <cell r="N2816">
            <v>0</v>
          </cell>
        </row>
        <row r="2817">
          <cell r="A2817">
            <v>6368</v>
          </cell>
          <cell r="B2817" t="str">
            <v>26/02/2015</v>
          </cell>
          <cell r="C2817" t="str">
            <v>CALLOUT</v>
          </cell>
          <cell r="D2817" t="str">
            <v>Investigated Radiator Leaking in downstairs back office</v>
          </cell>
          <cell r="E2817" t="str">
            <v>Druggitt &amp; Harding Ltd</v>
          </cell>
          <cell r="F2817" t="str">
            <v>Subcontractor</v>
          </cell>
          <cell r="G2817" t="str">
            <v/>
          </cell>
          <cell r="H2817" t="str">
            <v/>
          </cell>
          <cell r="I2817" t="str">
            <v/>
          </cell>
          <cell r="J2817">
            <v>84</v>
          </cell>
          <cell r="K2817">
            <v>16.8</v>
          </cell>
          <cell r="L2817">
            <v>84</v>
          </cell>
          <cell r="M2817" t="str">
            <v/>
          </cell>
          <cell r="N2817">
            <v>0</v>
          </cell>
        </row>
        <row r="2818">
          <cell r="A2818">
            <v>6362</v>
          </cell>
          <cell r="B2818" t="str">
            <v>25/02/2015</v>
          </cell>
          <cell r="C2818" t="str">
            <v>C1304</v>
          </cell>
          <cell r="D2818" t="str">
            <v>Ductwork shown on drg M01rev B , inc all out of hours workin</v>
          </cell>
          <cell r="E2818" t="str">
            <v>ExcelVent Solutions Ltd</v>
          </cell>
          <cell r="F2818" t="str">
            <v>Subcontractor</v>
          </cell>
          <cell r="G2818" t="str">
            <v/>
          </cell>
          <cell r="H2818" t="str">
            <v/>
          </cell>
          <cell r="I2818" t="str">
            <v/>
          </cell>
          <cell r="J2818">
            <v>13906.75</v>
          </cell>
          <cell r="K2818">
            <v>2781.35</v>
          </cell>
          <cell r="L2818">
            <v>13906.75</v>
          </cell>
          <cell r="M2818" t="str">
            <v/>
          </cell>
          <cell r="N2818">
            <v>0</v>
          </cell>
        </row>
        <row r="2819">
          <cell r="A2819">
            <v>6359</v>
          </cell>
          <cell r="B2819" t="str">
            <v>25/02/2015</v>
          </cell>
          <cell r="C2819" t="str">
            <v>CALLOUT</v>
          </cell>
          <cell r="D2819" t="str">
            <v>Attended supply and installed 20no lamps</v>
          </cell>
          <cell r="E2819" t="str">
            <v>Barrie Beard Ltd</v>
          </cell>
          <cell r="F2819" t="str">
            <v>Subcontractor</v>
          </cell>
          <cell r="G2819" t="str">
            <v/>
          </cell>
          <cell r="H2819" t="str">
            <v/>
          </cell>
          <cell r="I2819" t="str">
            <v/>
          </cell>
          <cell r="J2819">
            <v>116</v>
          </cell>
          <cell r="K2819">
            <v>23.2</v>
          </cell>
          <cell r="L2819">
            <v>116</v>
          </cell>
          <cell r="M2819" t="str">
            <v/>
          </cell>
          <cell r="N2819">
            <v>0</v>
          </cell>
        </row>
        <row r="2820">
          <cell r="A2820">
            <v>6357</v>
          </cell>
          <cell r="B2820" t="str">
            <v>24/02/2015</v>
          </cell>
          <cell r="C2820" t="str">
            <v>CALLOUT</v>
          </cell>
          <cell r="D2820" t="str">
            <v>Supplied &amp; Installed New Auto Air Vent</v>
          </cell>
          <cell r="E2820" t="str">
            <v>A Jones Heating &amp; Plumbing</v>
          </cell>
          <cell r="F2820" t="str">
            <v>Subcontractor</v>
          </cell>
          <cell r="G2820" t="str">
            <v/>
          </cell>
          <cell r="H2820" t="str">
            <v/>
          </cell>
          <cell r="I2820" t="str">
            <v/>
          </cell>
          <cell r="J2820">
            <v>95</v>
          </cell>
          <cell r="K2820">
            <v>0</v>
          </cell>
          <cell r="L2820">
            <v>95</v>
          </cell>
          <cell r="M2820" t="str">
            <v/>
          </cell>
          <cell r="N2820">
            <v>0</v>
          </cell>
        </row>
        <row r="2821">
          <cell r="A2821">
            <v>6356</v>
          </cell>
          <cell r="B2821" t="str">
            <v>24/02/2015</v>
          </cell>
          <cell r="C2821" t="str">
            <v>CALLOUT</v>
          </cell>
          <cell r="D2821" t="str">
            <v>Investigation on Boiler at Great Bear Skelmersdale</v>
          </cell>
          <cell r="E2821" t="str">
            <v>Druggitt &amp; Harding Ltd</v>
          </cell>
          <cell r="F2821" t="str">
            <v>Subcontractor</v>
          </cell>
          <cell r="G2821" t="str">
            <v/>
          </cell>
          <cell r="H2821" t="str">
            <v/>
          </cell>
          <cell r="I2821" t="str">
            <v/>
          </cell>
          <cell r="J2821">
            <v>112</v>
          </cell>
          <cell r="K2821">
            <v>22.4</v>
          </cell>
          <cell r="L2821">
            <v>112</v>
          </cell>
          <cell r="M2821" t="str">
            <v/>
          </cell>
          <cell r="N2821">
            <v>0</v>
          </cell>
        </row>
        <row r="2822">
          <cell r="A2822">
            <v>6345</v>
          </cell>
          <cell r="B2822" t="str">
            <v>23/02/2015</v>
          </cell>
          <cell r="C2822" t="str">
            <v>CALLOUT</v>
          </cell>
          <cell r="D2822" t="str">
            <v>Supply and Install new Boiler as per quotation</v>
          </cell>
          <cell r="E2822" t="str">
            <v>Amroc Heating Supplies</v>
          </cell>
          <cell r="F2822" t="str">
            <v>Subcontractor</v>
          </cell>
          <cell r="G2822" t="str">
            <v/>
          </cell>
          <cell r="H2822" t="str">
            <v/>
          </cell>
          <cell r="I2822" t="str">
            <v/>
          </cell>
          <cell r="J2822">
            <v>1387</v>
          </cell>
          <cell r="K2822">
            <v>277.39999999999998</v>
          </cell>
          <cell r="L2822">
            <v>1387</v>
          </cell>
          <cell r="M2822" t="str">
            <v/>
          </cell>
          <cell r="N2822">
            <v>0</v>
          </cell>
        </row>
        <row r="2823">
          <cell r="A2823">
            <v>6344</v>
          </cell>
          <cell r="B2823" t="str">
            <v>23/02/2015</v>
          </cell>
          <cell r="C2823" t="str">
            <v>CALLOUT</v>
          </cell>
          <cell r="D2823" t="str">
            <v>Install 2no 250w Halide Type Flood Lights</v>
          </cell>
          <cell r="E2823" t="str">
            <v>Kestrel North West Limited</v>
          </cell>
          <cell r="F2823" t="str">
            <v>Subcontractor</v>
          </cell>
          <cell r="G2823" t="str">
            <v/>
          </cell>
          <cell r="H2823" t="str">
            <v/>
          </cell>
          <cell r="I2823" t="str">
            <v/>
          </cell>
          <cell r="J2823">
            <v>525</v>
          </cell>
          <cell r="K2823">
            <v>105</v>
          </cell>
          <cell r="L2823">
            <v>525</v>
          </cell>
          <cell r="M2823" t="str">
            <v/>
          </cell>
          <cell r="N2823">
            <v>0</v>
          </cell>
        </row>
        <row r="2824">
          <cell r="A2824">
            <v>6340</v>
          </cell>
          <cell r="B2824" t="str">
            <v>20/02/2015</v>
          </cell>
          <cell r="C2824" t="str">
            <v>CALLOUT</v>
          </cell>
          <cell r="D2824" t="str">
            <v>Mount 2no Wifi Points</v>
          </cell>
          <cell r="E2824" t="str">
            <v>Kestrel North West Limited</v>
          </cell>
          <cell r="F2824" t="str">
            <v>Subcontractor</v>
          </cell>
          <cell r="G2824" t="str">
            <v/>
          </cell>
          <cell r="H2824" t="str">
            <v>Complete</v>
          </cell>
          <cell r="I2824" t="str">
            <v/>
          </cell>
          <cell r="J2824">
            <v>0</v>
          </cell>
          <cell r="K2824">
            <v>0</v>
          </cell>
          <cell r="L2824">
            <v>0</v>
          </cell>
          <cell r="M2824" t="str">
            <v/>
          </cell>
          <cell r="N2824">
            <v>0</v>
          </cell>
        </row>
        <row r="2825">
          <cell r="A2825">
            <v>6339</v>
          </cell>
          <cell r="B2825" t="str">
            <v>20/02/2015</v>
          </cell>
          <cell r="C2825" t="str">
            <v>CALLOUT</v>
          </cell>
          <cell r="D2825" t="str">
            <v>Carry out installation of flying leads onto Banjo's as per q</v>
          </cell>
          <cell r="E2825" t="str">
            <v>Kestrel North West Limited</v>
          </cell>
          <cell r="F2825" t="str">
            <v>Subcontractor</v>
          </cell>
          <cell r="G2825" t="str">
            <v/>
          </cell>
          <cell r="H2825" t="str">
            <v/>
          </cell>
          <cell r="I2825" t="str">
            <v/>
          </cell>
          <cell r="J2825">
            <v>180</v>
          </cell>
          <cell r="K2825">
            <v>36</v>
          </cell>
          <cell r="L2825">
            <v>180</v>
          </cell>
          <cell r="M2825" t="str">
            <v/>
          </cell>
          <cell r="N2825">
            <v>0</v>
          </cell>
        </row>
        <row r="2826">
          <cell r="A2826">
            <v>6338</v>
          </cell>
          <cell r="B2826" t="str">
            <v>20/02/2015</v>
          </cell>
          <cell r="C2826" t="str">
            <v>CALLOUT</v>
          </cell>
          <cell r="D2826" t="str">
            <v>Replace 31no Bollards as per Quote</v>
          </cell>
          <cell r="E2826" t="str">
            <v>Kestrel North West Limited</v>
          </cell>
          <cell r="F2826" t="str">
            <v>Subcontractor</v>
          </cell>
          <cell r="G2826" t="str">
            <v/>
          </cell>
          <cell r="H2826" t="str">
            <v/>
          </cell>
          <cell r="I2826" t="str">
            <v/>
          </cell>
          <cell r="J2826">
            <v>7668.7</v>
          </cell>
          <cell r="K2826">
            <v>1533.74</v>
          </cell>
          <cell r="L2826">
            <v>7668.7</v>
          </cell>
          <cell r="M2826" t="str">
            <v/>
          </cell>
          <cell r="N2826">
            <v>0</v>
          </cell>
        </row>
        <row r="2827">
          <cell r="A2827">
            <v>6332</v>
          </cell>
          <cell r="B2827" t="str">
            <v>19/02/2015</v>
          </cell>
          <cell r="C2827" t="str">
            <v>C1294</v>
          </cell>
          <cell r="D2827" t="str">
            <v>Labour as discussed with Ryan</v>
          </cell>
          <cell r="E2827" t="str">
            <v>Ventil-Eight Systems Limited</v>
          </cell>
          <cell r="F2827" t="str">
            <v>Subcontractor</v>
          </cell>
          <cell r="G2827" t="str">
            <v/>
          </cell>
          <cell r="H2827" t="str">
            <v/>
          </cell>
          <cell r="I2827" t="str">
            <v/>
          </cell>
          <cell r="J2827">
            <v>525</v>
          </cell>
          <cell r="K2827">
            <v>105</v>
          </cell>
          <cell r="L2827">
            <v>525</v>
          </cell>
          <cell r="M2827" t="str">
            <v/>
          </cell>
          <cell r="N2827">
            <v>0</v>
          </cell>
        </row>
        <row r="2828">
          <cell r="A2828">
            <v>6329</v>
          </cell>
          <cell r="B2828" t="str">
            <v>19/02/2015</v>
          </cell>
          <cell r="C2828" t="str">
            <v>C1298</v>
          </cell>
          <cell r="D2828" t="str">
            <v>Ductwork installation, night work, plant hire, accommodation</v>
          </cell>
          <cell r="E2828" t="str">
            <v>Ventil-Eight Systems Limited</v>
          </cell>
          <cell r="F2828" t="str">
            <v>Subcontractor</v>
          </cell>
          <cell r="G2828" t="str">
            <v/>
          </cell>
          <cell r="H2828" t="str">
            <v/>
          </cell>
          <cell r="I2828" t="str">
            <v/>
          </cell>
          <cell r="J2828">
            <v>14500</v>
          </cell>
          <cell r="K2828">
            <v>2900</v>
          </cell>
          <cell r="L2828">
            <v>14500</v>
          </cell>
          <cell r="M2828" t="str">
            <v/>
          </cell>
          <cell r="N2828">
            <v>0</v>
          </cell>
        </row>
        <row r="2829">
          <cell r="A2829">
            <v>6325</v>
          </cell>
          <cell r="B2829" t="str">
            <v>18/02/2015</v>
          </cell>
          <cell r="C2829" t="str">
            <v>CALLOUT</v>
          </cell>
          <cell r="D2829" t="str">
            <v>Replace existing 2no wall mount 16w 2D fittings</v>
          </cell>
          <cell r="E2829" t="str">
            <v>Kestrel North West Limited</v>
          </cell>
          <cell r="F2829" t="str">
            <v>Subcontractor</v>
          </cell>
          <cell r="G2829" t="str">
            <v/>
          </cell>
          <cell r="H2829" t="str">
            <v/>
          </cell>
          <cell r="I2829" t="str">
            <v/>
          </cell>
          <cell r="J2829">
            <v>345</v>
          </cell>
          <cell r="K2829">
            <v>69</v>
          </cell>
          <cell r="L2829">
            <v>345</v>
          </cell>
          <cell r="M2829" t="str">
            <v/>
          </cell>
          <cell r="N2829">
            <v>0</v>
          </cell>
        </row>
        <row r="2830">
          <cell r="A2830">
            <v>6322</v>
          </cell>
          <cell r="B2830" t="str">
            <v>17/02/2015</v>
          </cell>
          <cell r="C2830" t="str">
            <v>C1248</v>
          </cell>
          <cell r="D2830" t="str">
            <v>Ductwork install</v>
          </cell>
          <cell r="E2830" t="str">
            <v>Neil Jackson Installations Ltd</v>
          </cell>
          <cell r="F2830" t="str">
            <v>Subcontractor</v>
          </cell>
          <cell r="G2830" t="str">
            <v/>
          </cell>
          <cell r="H2830" t="str">
            <v/>
          </cell>
          <cell r="I2830" t="str">
            <v/>
          </cell>
          <cell r="J2830">
            <v>800</v>
          </cell>
          <cell r="K2830">
            <v>0</v>
          </cell>
          <cell r="L2830">
            <v>800</v>
          </cell>
          <cell r="M2830" t="str">
            <v/>
          </cell>
          <cell r="N2830">
            <v>0</v>
          </cell>
        </row>
        <row r="2831">
          <cell r="A2831">
            <v>6320</v>
          </cell>
          <cell r="B2831" t="str">
            <v>17/02/2015</v>
          </cell>
          <cell r="C2831" t="str">
            <v>C1289</v>
          </cell>
          <cell r="D2831" t="str">
            <v>Installation of fire rated ductwork inc plant hire</v>
          </cell>
          <cell r="E2831" t="str">
            <v>Ventil-Eight Systems Limited</v>
          </cell>
          <cell r="F2831" t="str">
            <v>Subcontractor</v>
          </cell>
          <cell r="G2831" t="str">
            <v/>
          </cell>
          <cell r="H2831" t="str">
            <v/>
          </cell>
          <cell r="I2831" t="str">
            <v/>
          </cell>
          <cell r="J2831">
            <v>8275</v>
          </cell>
          <cell r="K2831">
            <v>1655</v>
          </cell>
          <cell r="L2831">
            <v>8275</v>
          </cell>
          <cell r="M2831" t="str">
            <v/>
          </cell>
          <cell r="N2831">
            <v>0</v>
          </cell>
        </row>
        <row r="2832">
          <cell r="A2832">
            <v>6318</v>
          </cell>
          <cell r="B2832" t="str">
            <v>16/02/2015</v>
          </cell>
          <cell r="C2832" t="str">
            <v>CALLOUT</v>
          </cell>
          <cell r="D2832" t="str">
            <v>Attend site and replaced 4no Lamps</v>
          </cell>
          <cell r="E2832" t="str">
            <v>Barrie Beard Ltd</v>
          </cell>
          <cell r="F2832" t="str">
            <v>Subcontractor</v>
          </cell>
          <cell r="G2832" t="str">
            <v/>
          </cell>
          <cell r="H2832" t="str">
            <v/>
          </cell>
          <cell r="I2832" t="str">
            <v/>
          </cell>
          <cell r="J2832">
            <v>72</v>
          </cell>
          <cell r="K2832">
            <v>14.4</v>
          </cell>
          <cell r="L2832">
            <v>72</v>
          </cell>
          <cell r="M2832" t="str">
            <v/>
          </cell>
          <cell r="N2832">
            <v>0</v>
          </cell>
        </row>
        <row r="2833">
          <cell r="A2833">
            <v>6317</v>
          </cell>
          <cell r="B2833" t="str">
            <v>16/02/2015</v>
          </cell>
          <cell r="C2833" t="str">
            <v>C1252</v>
          </cell>
          <cell r="D2833" t="str">
            <v>Supply and fit insulation to UFH areas</v>
          </cell>
          <cell r="E2833" t="str">
            <v>Giacomini UK Ltd</v>
          </cell>
          <cell r="F2833" t="str">
            <v>Subcontractor</v>
          </cell>
          <cell r="G2833" t="str">
            <v>18/02/2015</v>
          </cell>
          <cell r="H2833" t="str">
            <v/>
          </cell>
          <cell r="I2833" t="str">
            <v/>
          </cell>
          <cell r="J2833">
            <v>9969.11</v>
          </cell>
          <cell r="K2833">
            <v>1993.82</v>
          </cell>
          <cell r="L2833">
            <v>9969.11</v>
          </cell>
          <cell r="M2833" t="str">
            <v/>
          </cell>
          <cell r="N2833">
            <v>0</v>
          </cell>
        </row>
        <row r="2834">
          <cell r="A2834">
            <v>6312</v>
          </cell>
          <cell r="B2834" t="str">
            <v>12/02/2015</v>
          </cell>
          <cell r="C2834" t="str">
            <v>C1283</v>
          </cell>
          <cell r="D2834" t="str">
            <v>Installation of all</v>
          </cell>
          <cell r="E2834" t="str">
            <v>Ventil-Eight Systems Limited</v>
          </cell>
          <cell r="F2834" t="str">
            <v>Subcontractor</v>
          </cell>
          <cell r="G2834" t="str">
            <v/>
          </cell>
          <cell r="H2834" t="str">
            <v/>
          </cell>
          <cell r="I2834" t="str">
            <v/>
          </cell>
          <cell r="J2834">
            <v>65750</v>
          </cell>
          <cell r="K2834">
            <v>13150</v>
          </cell>
          <cell r="L2834">
            <v>65750</v>
          </cell>
          <cell r="M2834" t="str">
            <v/>
          </cell>
          <cell r="N2834">
            <v>0</v>
          </cell>
        </row>
        <row r="2835">
          <cell r="A2835">
            <v>6309</v>
          </cell>
          <cell r="B2835" t="str">
            <v>11/02/2015</v>
          </cell>
          <cell r="C2835" t="str">
            <v>C1252</v>
          </cell>
          <cell r="D2835" t="str">
            <v>Underfloor heating installation</v>
          </cell>
          <cell r="E2835" t="str">
            <v>Giacomini UK Ltd</v>
          </cell>
          <cell r="F2835" t="str">
            <v>Subcontractor</v>
          </cell>
          <cell r="G2835" t="str">
            <v>16/02/2015</v>
          </cell>
          <cell r="H2835" t="str">
            <v>Part</v>
          </cell>
          <cell r="I2835" t="str">
            <v/>
          </cell>
          <cell r="J2835">
            <v>22237.03</v>
          </cell>
          <cell r="K2835">
            <v>4447.41</v>
          </cell>
          <cell r="L2835">
            <v>22237.03</v>
          </cell>
          <cell r="M2835" t="str">
            <v/>
          </cell>
          <cell r="N2835">
            <v>0</v>
          </cell>
        </row>
        <row r="2836">
          <cell r="A2836">
            <v>6308</v>
          </cell>
          <cell r="B2836" t="str">
            <v>11/02/2015</v>
          </cell>
          <cell r="C2836" t="str">
            <v>C1295</v>
          </cell>
          <cell r="D2836" t="str">
            <v>Installation of all ductwork including all plant/access equi</v>
          </cell>
          <cell r="E2836" t="str">
            <v>Ventil-Eight Systems Limited</v>
          </cell>
          <cell r="F2836" t="str">
            <v>Subcontractor</v>
          </cell>
          <cell r="G2836" t="str">
            <v/>
          </cell>
          <cell r="H2836" t="str">
            <v/>
          </cell>
          <cell r="I2836" t="str">
            <v/>
          </cell>
          <cell r="J2836">
            <v>20500</v>
          </cell>
          <cell r="K2836">
            <v>4100</v>
          </cell>
          <cell r="L2836">
            <v>20500</v>
          </cell>
          <cell r="M2836" t="str">
            <v/>
          </cell>
          <cell r="N2836">
            <v>0</v>
          </cell>
        </row>
        <row r="2837">
          <cell r="A2837">
            <v>6307</v>
          </cell>
          <cell r="B2837" t="str">
            <v>11/02/2015</v>
          </cell>
          <cell r="C2837" t="str">
            <v>CALLOUT</v>
          </cell>
          <cell r="D2837" t="str">
            <v>Carry out Diagnostic Checks as agreed with Mark Poulton</v>
          </cell>
          <cell r="E2837" t="str">
            <v>Troughton Air Con Ltd</v>
          </cell>
          <cell r="F2837" t="str">
            <v>Subcontractor</v>
          </cell>
          <cell r="G2837" t="str">
            <v/>
          </cell>
          <cell r="H2837" t="str">
            <v/>
          </cell>
          <cell r="I2837" t="str">
            <v/>
          </cell>
          <cell r="J2837">
            <v>480</v>
          </cell>
          <cell r="K2837">
            <v>96</v>
          </cell>
          <cell r="L2837">
            <v>480</v>
          </cell>
          <cell r="M2837" t="str">
            <v/>
          </cell>
          <cell r="N2837">
            <v>0</v>
          </cell>
        </row>
        <row r="2838">
          <cell r="A2838">
            <v>6302</v>
          </cell>
          <cell r="B2838" t="str">
            <v>10/02/2015</v>
          </cell>
          <cell r="C2838" t="str">
            <v>CALLOUT</v>
          </cell>
          <cell r="D2838" t="str">
            <v>1no TV Installation</v>
          </cell>
          <cell r="E2838" t="str">
            <v>Kestrel North West Limited</v>
          </cell>
          <cell r="F2838" t="str">
            <v>Subcontractor</v>
          </cell>
          <cell r="G2838" t="str">
            <v/>
          </cell>
          <cell r="H2838" t="str">
            <v/>
          </cell>
          <cell r="I2838" t="str">
            <v/>
          </cell>
          <cell r="J2838">
            <v>200</v>
          </cell>
          <cell r="K2838">
            <v>40</v>
          </cell>
          <cell r="L2838">
            <v>200</v>
          </cell>
          <cell r="M2838" t="str">
            <v/>
          </cell>
          <cell r="N2838">
            <v>0</v>
          </cell>
        </row>
        <row r="2839">
          <cell r="A2839">
            <v>6274</v>
          </cell>
          <cell r="B2839" t="str">
            <v>06/02/2015</v>
          </cell>
          <cell r="C2839" t="str">
            <v>C1293</v>
          </cell>
          <cell r="D2839" t="str">
            <v>Labour only on Barclays Asda Birchwood</v>
          </cell>
          <cell r="E2839" t="str">
            <v>Cooling Aspects Limited</v>
          </cell>
          <cell r="F2839" t="str">
            <v>Subcontractor</v>
          </cell>
          <cell r="G2839" t="str">
            <v/>
          </cell>
          <cell r="H2839" t="str">
            <v/>
          </cell>
          <cell r="I2839" t="str">
            <v/>
          </cell>
          <cell r="J2839">
            <v>350</v>
          </cell>
          <cell r="K2839">
            <v>70</v>
          </cell>
          <cell r="L2839">
            <v>350</v>
          </cell>
          <cell r="M2839" t="str">
            <v/>
          </cell>
          <cell r="N2839">
            <v>0</v>
          </cell>
        </row>
        <row r="2840">
          <cell r="A2840">
            <v>6270</v>
          </cell>
          <cell r="B2840" t="str">
            <v>05/02/2015</v>
          </cell>
          <cell r="C2840" t="str">
            <v>CALLOUT</v>
          </cell>
          <cell r="D2840" t="str">
            <v>DB UPS Section Circuit 3TP</v>
          </cell>
          <cell r="E2840" t="str">
            <v>Kestrel North West Limited</v>
          </cell>
          <cell r="F2840" t="str">
            <v>Subcontractor</v>
          </cell>
          <cell r="G2840" t="str">
            <v/>
          </cell>
          <cell r="H2840" t="str">
            <v/>
          </cell>
          <cell r="I2840" t="str">
            <v/>
          </cell>
          <cell r="J2840">
            <v>356.6</v>
          </cell>
          <cell r="K2840">
            <v>71.319999999999993</v>
          </cell>
          <cell r="L2840">
            <v>356.6</v>
          </cell>
          <cell r="M2840" t="str">
            <v/>
          </cell>
          <cell r="N2840">
            <v>0</v>
          </cell>
        </row>
        <row r="2841">
          <cell r="A2841">
            <v>6269</v>
          </cell>
          <cell r="B2841" t="str">
            <v>05/02/2015</v>
          </cell>
          <cell r="C2841" t="str">
            <v>CALLOUT</v>
          </cell>
          <cell r="D2841" t="str">
            <v>Replace 2no High Level Flood Lights</v>
          </cell>
          <cell r="E2841" t="str">
            <v>Kestrel North West Limited</v>
          </cell>
          <cell r="F2841" t="str">
            <v>Subcontractor</v>
          </cell>
          <cell r="G2841" t="str">
            <v/>
          </cell>
          <cell r="H2841" t="str">
            <v/>
          </cell>
          <cell r="I2841" t="str">
            <v/>
          </cell>
          <cell r="J2841">
            <v>574</v>
          </cell>
          <cell r="K2841">
            <v>114.8</v>
          </cell>
          <cell r="L2841">
            <v>574</v>
          </cell>
          <cell r="M2841" t="str">
            <v/>
          </cell>
          <cell r="N2841">
            <v>0</v>
          </cell>
        </row>
        <row r="2842">
          <cell r="A2842">
            <v>6268</v>
          </cell>
          <cell r="B2842" t="str">
            <v>05/02/2015</v>
          </cell>
          <cell r="C2842" t="str">
            <v>C1290</v>
          </cell>
          <cell r="D2842" t="str">
            <v>New price to re locate 2 no local remote controllers, 1 no m</v>
          </cell>
          <cell r="E2842" t="str">
            <v>Superior Air Solutions Ltd</v>
          </cell>
          <cell r="F2842" t="str">
            <v>Subcontractor</v>
          </cell>
          <cell r="G2842" t="str">
            <v/>
          </cell>
          <cell r="H2842" t="str">
            <v/>
          </cell>
          <cell r="I2842" t="str">
            <v/>
          </cell>
          <cell r="J2842">
            <v>500</v>
          </cell>
          <cell r="K2842">
            <v>100</v>
          </cell>
          <cell r="L2842">
            <v>500</v>
          </cell>
          <cell r="M2842" t="str">
            <v/>
          </cell>
          <cell r="N2842">
            <v>0</v>
          </cell>
        </row>
        <row r="2843">
          <cell r="A2843">
            <v>6241</v>
          </cell>
          <cell r="B2843" t="str">
            <v>30/01/2015</v>
          </cell>
          <cell r="C2843" t="str">
            <v>CALLOUT</v>
          </cell>
          <cell r="D2843" t="str">
            <v>Investigated no heat on site</v>
          </cell>
          <cell r="E2843" t="str">
            <v>A Jones Heating &amp; Plumbing</v>
          </cell>
          <cell r="F2843" t="str">
            <v>Subcontractor</v>
          </cell>
          <cell r="G2843" t="str">
            <v/>
          </cell>
          <cell r="H2843" t="str">
            <v/>
          </cell>
          <cell r="I2843" t="str">
            <v/>
          </cell>
          <cell r="J2843">
            <v>95</v>
          </cell>
          <cell r="K2843">
            <v>0</v>
          </cell>
          <cell r="L2843">
            <v>95</v>
          </cell>
          <cell r="M2843" t="str">
            <v/>
          </cell>
          <cell r="N2843">
            <v>0</v>
          </cell>
        </row>
        <row r="2844">
          <cell r="A2844">
            <v>6235</v>
          </cell>
          <cell r="B2844" t="str">
            <v>28/01/2015</v>
          </cell>
          <cell r="C2844" t="str">
            <v>C1252</v>
          </cell>
          <cell r="D2844" t="str">
            <v>Work to be completed on Humber UTC</v>
          </cell>
          <cell r="E2844" t="str">
            <v>SSE Enterprise Energy Solutions</v>
          </cell>
          <cell r="F2844" t="str">
            <v>Subcontractor</v>
          </cell>
          <cell r="G2844" t="str">
            <v/>
          </cell>
          <cell r="H2844" t="str">
            <v>Part</v>
          </cell>
          <cell r="I2844" t="str">
            <v/>
          </cell>
          <cell r="J2844">
            <v>158841.70000000001</v>
          </cell>
          <cell r="K2844">
            <v>31768.34</v>
          </cell>
          <cell r="L2844">
            <v>158841.70000000001</v>
          </cell>
          <cell r="M2844" t="str">
            <v/>
          </cell>
          <cell r="N2844">
            <v>0</v>
          </cell>
        </row>
        <row r="2845">
          <cell r="A2845">
            <v>6223</v>
          </cell>
          <cell r="B2845" t="str">
            <v>26/01/2015</v>
          </cell>
          <cell r="C2845" t="str">
            <v>CALLOUT</v>
          </cell>
          <cell r="D2845" t="str">
            <v>Attended Site investigate Emergency Light Fault</v>
          </cell>
          <cell r="E2845" t="str">
            <v>Barrie Beard Ltd</v>
          </cell>
          <cell r="F2845" t="str">
            <v>Subcontractor</v>
          </cell>
          <cell r="G2845" t="str">
            <v/>
          </cell>
          <cell r="H2845" t="str">
            <v/>
          </cell>
          <cell r="I2845" t="str">
            <v/>
          </cell>
          <cell r="J2845">
            <v>60</v>
          </cell>
          <cell r="K2845">
            <v>12</v>
          </cell>
          <cell r="L2845">
            <v>60</v>
          </cell>
          <cell r="M2845" t="str">
            <v/>
          </cell>
          <cell r="N2845">
            <v>0</v>
          </cell>
        </row>
        <row r="2846">
          <cell r="A2846">
            <v>6222</v>
          </cell>
          <cell r="B2846" t="str">
            <v>22/01/2015</v>
          </cell>
          <cell r="C2846" t="str">
            <v>C1258</v>
          </cell>
          <cell r="D2846" t="str">
            <v>Castle Main House Project</v>
          </cell>
          <cell r="E2846" t="str">
            <v>Cooling Aspects Limited</v>
          </cell>
          <cell r="F2846" t="str">
            <v>Subcontractor</v>
          </cell>
          <cell r="G2846" t="str">
            <v/>
          </cell>
          <cell r="H2846" t="str">
            <v/>
          </cell>
          <cell r="I2846" t="str">
            <v/>
          </cell>
          <cell r="J2846">
            <v>5000</v>
          </cell>
          <cell r="K2846">
            <v>1000</v>
          </cell>
          <cell r="L2846">
            <v>5000</v>
          </cell>
          <cell r="M2846" t="str">
            <v/>
          </cell>
          <cell r="N2846">
            <v>0</v>
          </cell>
        </row>
        <row r="2847">
          <cell r="A2847">
            <v>6209</v>
          </cell>
          <cell r="B2847" t="str">
            <v>19/01/2015</v>
          </cell>
          <cell r="C2847" t="str">
            <v>CALLOUT</v>
          </cell>
          <cell r="D2847" t="str">
            <v>Completed Works</v>
          </cell>
          <cell r="E2847" t="str">
            <v>Barrie Beard Ltd</v>
          </cell>
          <cell r="F2847" t="str">
            <v>Subcontractor</v>
          </cell>
          <cell r="G2847" t="str">
            <v/>
          </cell>
          <cell r="H2847" t="str">
            <v/>
          </cell>
          <cell r="I2847" t="str">
            <v/>
          </cell>
          <cell r="J2847">
            <v>88</v>
          </cell>
          <cell r="K2847">
            <v>17.600000000000001</v>
          </cell>
          <cell r="L2847">
            <v>88</v>
          </cell>
          <cell r="M2847" t="str">
            <v/>
          </cell>
          <cell r="N2847">
            <v>0</v>
          </cell>
        </row>
        <row r="2848">
          <cell r="A2848">
            <v>6208</v>
          </cell>
          <cell r="B2848" t="str">
            <v>19/01/2015</v>
          </cell>
          <cell r="C2848" t="str">
            <v>CALLOUT</v>
          </cell>
          <cell r="D2848" t="str">
            <v>Completed Works</v>
          </cell>
          <cell r="E2848" t="str">
            <v>Barrie Beard Ltd</v>
          </cell>
          <cell r="F2848" t="str">
            <v>Subcontractor</v>
          </cell>
          <cell r="G2848" t="str">
            <v/>
          </cell>
          <cell r="H2848" t="str">
            <v/>
          </cell>
          <cell r="I2848" t="str">
            <v/>
          </cell>
          <cell r="J2848">
            <v>66</v>
          </cell>
          <cell r="K2848">
            <v>13.2</v>
          </cell>
          <cell r="L2848">
            <v>66</v>
          </cell>
          <cell r="M2848" t="str">
            <v/>
          </cell>
          <cell r="N2848">
            <v>0</v>
          </cell>
        </row>
        <row r="2849">
          <cell r="A2849">
            <v>6207</v>
          </cell>
          <cell r="B2849" t="str">
            <v>19/01/2015</v>
          </cell>
          <cell r="C2849" t="str">
            <v>C1287</v>
          </cell>
          <cell r="D2849" t="str">
            <v>Work completed at Barclays Fleetwood Evian</v>
          </cell>
          <cell r="E2849" t="str">
            <v>Cooling Aspects Limited</v>
          </cell>
          <cell r="F2849" t="str">
            <v>Subcontractor</v>
          </cell>
          <cell r="G2849" t="str">
            <v/>
          </cell>
          <cell r="H2849" t="str">
            <v/>
          </cell>
          <cell r="I2849" t="str">
            <v/>
          </cell>
          <cell r="J2849">
            <v>400</v>
          </cell>
          <cell r="K2849">
            <v>80</v>
          </cell>
          <cell r="L2849">
            <v>400</v>
          </cell>
          <cell r="M2849" t="str">
            <v/>
          </cell>
          <cell r="N2849">
            <v>0</v>
          </cell>
        </row>
        <row r="2850">
          <cell r="A2850">
            <v>6192</v>
          </cell>
          <cell r="B2850" t="str">
            <v>16/01/2015</v>
          </cell>
          <cell r="C2850" t="str">
            <v>C1220</v>
          </cell>
          <cell r="D2850" t="str">
            <v>Ground floor duct install</v>
          </cell>
          <cell r="E2850" t="str">
            <v>Neil Jackson Installations Ltd</v>
          </cell>
          <cell r="F2850" t="str">
            <v>Subcontractor</v>
          </cell>
          <cell r="G2850" t="str">
            <v/>
          </cell>
          <cell r="H2850" t="str">
            <v/>
          </cell>
          <cell r="I2850" t="str">
            <v/>
          </cell>
          <cell r="J2850">
            <v>1000</v>
          </cell>
          <cell r="K2850">
            <v>0</v>
          </cell>
          <cell r="L2850">
            <v>1000</v>
          </cell>
          <cell r="M2850" t="str">
            <v/>
          </cell>
          <cell r="N2850">
            <v>0</v>
          </cell>
        </row>
        <row r="2851">
          <cell r="A2851">
            <v>6190</v>
          </cell>
          <cell r="B2851" t="str">
            <v>15/01/2015</v>
          </cell>
          <cell r="C2851" t="str">
            <v>CALLOUT</v>
          </cell>
          <cell r="D2851" t="str">
            <v>Works carried out on Heating at Hattons</v>
          </cell>
          <cell r="E2851" t="str">
            <v>A Jones Heating &amp; Plumbing</v>
          </cell>
          <cell r="F2851" t="str">
            <v>Subcontractor</v>
          </cell>
          <cell r="G2851" t="str">
            <v/>
          </cell>
          <cell r="H2851" t="str">
            <v/>
          </cell>
          <cell r="I2851" t="str">
            <v/>
          </cell>
          <cell r="J2851">
            <v>150</v>
          </cell>
          <cell r="K2851">
            <v>0</v>
          </cell>
          <cell r="L2851">
            <v>150</v>
          </cell>
          <cell r="M2851" t="str">
            <v/>
          </cell>
          <cell r="N2851">
            <v>0</v>
          </cell>
        </row>
        <row r="2852">
          <cell r="A2852">
            <v>6170</v>
          </cell>
          <cell r="B2852" t="str">
            <v>13/01/2015</v>
          </cell>
          <cell r="C2852" t="str">
            <v>C1281</v>
          </cell>
          <cell r="D2852" t="str">
            <v>WATER BALANCE</v>
          </cell>
          <cell r="E2852" t="str">
            <v>Commissioning &amp; Maintenance Services Ltd</v>
          </cell>
          <cell r="F2852" t="str">
            <v>Subcontractor</v>
          </cell>
          <cell r="G2852" t="str">
            <v/>
          </cell>
          <cell r="H2852" t="str">
            <v/>
          </cell>
          <cell r="I2852" t="str">
            <v/>
          </cell>
          <cell r="J2852">
            <v>157.5</v>
          </cell>
          <cell r="K2852">
            <v>31.5</v>
          </cell>
          <cell r="L2852">
            <v>157.5</v>
          </cell>
          <cell r="M2852" t="str">
            <v/>
          </cell>
          <cell r="N2852">
            <v>0</v>
          </cell>
        </row>
        <row r="2853">
          <cell r="A2853">
            <v>6160</v>
          </cell>
          <cell r="B2853" t="str">
            <v>08/01/2015</v>
          </cell>
          <cell r="C2853" t="str">
            <v>C1252</v>
          </cell>
          <cell r="D2853" t="str">
            <v>Pipework installation</v>
          </cell>
          <cell r="E2853" t="str">
            <v>MPH Services</v>
          </cell>
          <cell r="F2853" t="str">
            <v>Subcontractor</v>
          </cell>
          <cell r="G2853" t="str">
            <v/>
          </cell>
          <cell r="H2853" t="str">
            <v>Part</v>
          </cell>
          <cell r="I2853" t="str">
            <v/>
          </cell>
          <cell r="J2853">
            <v>100917.63</v>
          </cell>
          <cell r="K2853">
            <v>20183.53</v>
          </cell>
          <cell r="L2853">
            <v>100917.63</v>
          </cell>
          <cell r="M2853" t="str">
            <v/>
          </cell>
          <cell r="N2853">
            <v>0</v>
          </cell>
        </row>
        <row r="2854">
          <cell r="A2854">
            <v>6151</v>
          </cell>
          <cell r="B2854" t="str">
            <v>06/01/2015</v>
          </cell>
          <cell r="C2854" t="str">
            <v>C1279</v>
          </cell>
          <cell r="D2854" t="str">
            <v>Quottion TN-RG-Ricoh-02</v>
          </cell>
          <cell r="E2854" t="str">
            <v>Scottfab Insulation Ltd</v>
          </cell>
          <cell r="F2854" t="str">
            <v>Subcontractor</v>
          </cell>
          <cell r="G2854" t="str">
            <v/>
          </cell>
          <cell r="H2854" t="str">
            <v/>
          </cell>
          <cell r="I2854" t="str">
            <v/>
          </cell>
          <cell r="J2854">
            <v>817</v>
          </cell>
          <cell r="K2854">
            <v>163.4</v>
          </cell>
          <cell r="L2854">
            <v>790</v>
          </cell>
          <cell r="M2854" t="str">
            <v/>
          </cell>
          <cell r="N2854">
            <v>27</v>
          </cell>
        </row>
        <row r="2855">
          <cell r="A2855">
            <v>6104</v>
          </cell>
          <cell r="B2855" t="str">
            <v>16/12/2014</v>
          </cell>
          <cell r="C2855" t="str">
            <v>C1255</v>
          </cell>
          <cell r="D2855" t="str">
            <v>AC &amp; Vent works generally as quote Q15498-rev2</v>
          </cell>
          <cell r="E2855" t="str">
            <v>Norwest Projects Limited</v>
          </cell>
          <cell r="F2855" t="str">
            <v>Subcontractor</v>
          </cell>
          <cell r="G2855" t="str">
            <v/>
          </cell>
          <cell r="H2855" t="str">
            <v/>
          </cell>
          <cell r="I2855" t="str">
            <v/>
          </cell>
          <cell r="J2855">
            <v>16500</v>
          </cell>
          <cell r="K2855">
            <v>3300</v>
          </cell>
          <cell r="L2855">
            <v>16500</v>
          </cell>
          <cell r="M2855" t="str">
            <v/>
          </cell>
          <cell r="N2855">
            <v>0</v>
          </cell>
        </row>
        <row r="2856">
          <cell r="A2856">
            <v>6102</v>
          </cell>
          <cell r="B2856" t="str">
            <v>16/12/2014</v>
          </cell>
          <cell r="C2856" t="str">
            <v>C1266</v>
          </cell>
          <cell r="D2856" t="str">
            <v>Plumbing works generally as quote QR1861</v>
          </cell>
          <cell r="E2856" t="str">
            <v>B &amp; R Heating Limited</v>
          </cell>
          <cell r="F2856" t="str">
            <v>Subcontractor</v>
          </cell>
          <cell r="G2856" t="str">
            <v/>
          </cell>
          <cell r="H2856" t="str">
            <v/>
          </cell>
          <cell r="I2856" t="str">
            <v/>
          </cell>
          <cell r="J2856">
            <v>2996.42</v>
          </cell>
          <cell r="K2856">
            <v>599.28</v>
          </cell>
          <cell r="L2856">
            <v>2996.42</v>
          </cell>
          <cell r="M2856" t="str">
            <v/>
          </cell>
          <cell r="N2856">
            <v>0</v>
          </cell>
        </row>
        <row r="2857">
          <cell r="A2857">
            <v>6101</v>
          </cell>
          <cell r="B2857" t="str">
            <v>12/12/2014</v>
          </cell>
          <cell r="C2857" t="str">
            <v>C1261</v>
          </cell>
          <cell r="D2857" t="str">
            <v>AC Install</v>
          </cell>
          <cell r="E2857" t="str">
            <v>Norwest Projects Limited</v>
          </cell>
          <cell r="F2857" t="str">
            <v>Subcontractor</v>
          </cell>
          <cell r="G2857" t="str">
            <v/>
          </cell>
          <cell r="H2857" t="str">
            <v/>
          </cell>
          <cell r="I2857" t="str">
            <v/>
          </cell>
          <cell r="J2857">
            <v>550</v>
          </cell>
          <cell r="K2857">
            <v>110</v>
          </cell>
          <cell r="L2857">
            <v>550</v>
          </cell>
          <cell r="M2857" t="str">
            <v/>
          </cell>
          <cell r="N2857">
            <v>0</v>
          </cell>
        </row>
        <row r="2858">
          <cell r="A2858">
            <v>6079</v>
          </cell>
          <cell r="B2858" t="str">
            <v>05/12/2014</v>
          </cell>
          <cell r="C2858" t="str">
            <v>C1225</v>
          </cell>
          <cell r="D2858" t="str">
            <v>Mechanical Installation</v>
          </cell>
          <cell r="E2858" t="str">
            <v>Cooling Aspects Limited</v>
          </cell>
          <cell r="F2858" t="str">
            <v>Subcontractor</v>
          </cell>
          <cell r="G2858" t="str">
            <v/>
          </cell>
          <cell r="H2858" t="str">
            <v/>
          </cell>
          <cell r="I2858" t="str">
            <v/>
          </cell>
          <cell r="J2858">
            <v>15500</v>
          </cell>
          <cell r="K2858">
            <v>3100</v>
          </cell>
          <cell r="L2858">
            <v>11400</v>
          </cell>
          <cell r="M2858" t="str">
            <v/>
          </cell>
          <cell r="N2858">
            <v>4100</v>
          </cell>
        </row>
        <row r="2859">
          <cell r="A2859">
            <v>6064</v>
          </cell>
          <cell r="B2859" t="str">
            <v>02/12/2014</v>
          </cell>
          <cell r="C2859" t="str">
            <v>C1220</v>
          </cell>
          <cell r="D2859" t="str">
            <v>Ductwork lagging</v>
          </cell>
          <cell r="E2859" t="str">
            <v>Scottfab Insulation Ltd</v>
          </cell>
          <cell r="F2859" t="str">
            <v>Subcontractor</v>
          </cell>
          <cell r="G2859" t="str">
            <v>04/12/2014</v>
          </cell>
          <cell r="H2859" t="str">
            <v/>
          </cell>
          <cell r="I2859" t="str">
            <v/>
          </cell>
          <cell r="J2859">
            <v>2000</v>
          </cell>
          <cell r="K2859">
            <v>400</v>
          </cell>
          <cell r="L2859">
            <v>1355</v>
          </cell>
          <cell r="M2859" t="str">
            <v/>
          </cell>
          <cell r="N2859">
            <v>645</v>
          </cell>
        </row>
        <row r="2860">
          <cell r="A2860">
            <v>6056</v>
          </cell>
          <cell r="B2860" t="str">
            <v>01/12/2014</v>
          </cell>
          <cell r="C2860" t="str">
            <v>C1216</v>
          </cell>
          <cell r="D2860" t="str">
            <v>Additional items</v>
          </cell>
          <cell r="E2860" t="str">
            <v>Cooling Aspects Limited</v>
          </cell>
          <cell r="F2860" t="str">
            <v>Subcontractor</v>
          </cell>
          <cell r="G2860" t="str">
            <v/>
          </cell>
          <cell r="H2860" t="str">
            <v/>
          </cell>
          <cell r="I2860" t="str">
            <v/>
          </cell>
          <cell r="J2860">
            <v>1050</v>
          </cell>
          <cell r="K2860">
            <v>210</v>
          </cell>
          <cell r="L2860">
            <v>1050</v>
          </cell>
          <cell r="M2860" t="str">
            <v/>
          </cell>
          <cell r="N2860">
            <v>0</v>
          </cell>
        </row>
        <row r="2861">
          <cell r="A2861">
            <v>6035</v>
          </cell>
          <cell r="B2861" t="str">
            <v>26/11/2014</v>
          </cell>
          <cell r="C2861" t="str">
            <v>C1276</v>
          </cell>
          <cell r="D2861" t="str">
            <v>Chlorinate water heater</v>
          </cell>
          <cell r="E2861" t="str">
            <v>Commissioning &amp; Maintenance Services Ltd</v>
          </cell>
          <cell r="F2861" t="str">
            <v>Subcontractor</v>
          </cell>
          <cell r="G2861" t="str">
            <v>28/11/2014</v>
          </cell>
          <cell r="H2861" t="str">
            <v/>
          </cell>
          <cell r="I2861" t="str">
            <v/>
          </cell>
          <cell r="J2861">
            <v>270</v>
          </cell>
          <cell r="K2861">
            <v>54</v>
          </cell>
          <cell r="L2861">
            <v>270</v>
          </cell>
          <cell r="M2861" t="str">
            <v/>
          </cell>
          <cell r="N2861">
            <v>0</v>
          </cell>
        </row>
        <row r="2862">
          <cell r="A2862">
            <v>6033</v>
          </cell>
          <cell r="B2862" t="str">
            <v>26/11/2014</v>
          </cell>
          <cell r="C2862" t="str">
            <v>CALLOUT</v>
          </cell>
          <cell r="D2862" t="str">
            <v>Carried out Heating Maintenance</v>
          </cell>
          <cell r="E2862" t="str">
            <v>A Jones Heating &amp; Plumbing</v>
          </cell>
          <cell r="F2862" t="str">
            <v>Subcontractor</v>
          </cell>
          <cell r="G2862" t="str">
            <v/>
          </cell>
          <cell r="H2862" t="str">
            <v/>
          </cell>
          <cell r="I2862" t="str">
            <v/>
          </cell>
          <cell r="J2862">
            <v>170</v>
          </cell>
          <cell r="K2862">
            <v>0</v>
          </cell>
          <cell r="L2862">
            <v>170</v>
          </cell>
          <cell r="M2862" t="str">
            <v/>
          </cell>
          <cell r="N2862">
            <v>0</v>
          </cell>
        </row>
        <row r="2863">
          <cell r="A2863">
            <v>6032</v>
          </cell>
          <cell r="B2863" t="str">
            <v>26/11/2014</v>
          </cell>
          <cell r="C2863" t="str">
            <v>CALLOUT</v>
          </cell>
          <cell r="D2863" t="str">
            <v>Carried out boiler maintenance</v>
          </cell>
          <cell r="E2863" t="str">
            <v>A Jones Heating &amp; Plumbing</v>
          </cell>
          <cell r="F2863" t="str">
            <v>Subcontractor</v>
          </cell>
          <cell r="G2863" t="str">
            <v/>
          </cell>
          <cell r="H2863" t="str">
            <v/>
          </cell>
          <cell r="I2863" t="str">
            <v/>
          </cell>
          <cell r="J2863">
            <v>190</v>
          </cell>
          <cell r="K2863">
            <v>0</v>
          </cell>
          <cell r="L2863">
            <v>190</v>
          </cell>
          <cell r="M2863" t="str">
            <v/>
          </cell>
          <cell r="N2863">
            <v>0</v>
          </cell>
        </row>
        <row r="2864">
          <cell r="A2864">
            <v>6031</v>
          </cell>
          <cell r="B2864" t="str">
            <v>26/11/2014</v>
          </cell>
          <cell r="C2864" t="str">
            <v>CALLOUT</v>
          </cell>
          <cell r="D2864" t="str">
            <v>Investigate Fault on Boiler</v>
          </cell>
          <cell r="E2864" t="str">
            <v>A Jones Heating &amp; Plumbing</v>
          </cell>
          <cell r="F2864" t="str">
            <v>Subcontractor</v>
          </cell>
          <cell r="G2864" t="str">
            <v/>
          </cell>
          <cell r="H2864" t="str">
            <v/>
          </cell>
          <cell r="I2864" t="str">
            <v/>
          </cell>
          <cell r="J2864">
            <v>130</v>
          </cell>
          <cell r="K2864">
            <v>0</v>
          </cell>
          <cell r="L2864">
            <v>130</v>
          </cell>
          <cell r="M2864" t="str">
            <v/>
          </cell>
          <cell r="N2864">
            <v>0</v>
          </cell>
        </row>
        <row r="2865">
          <cell r="A2865">
            <v>6023</v>
          </cell>
          <cell r="B2865" t="str">
            <v>24/11/2014</v>
          </cell>
          <cell r="C2865" t="str">
            <v>CALLOUT</v>
          </cell>
          <cell r="D2865" t="str">
            <v>Replace 2no traps/chemically clean pipework and replace spre</v>
          </cell>
          <cell r="E2865" t="str">
            <v>K Gammon Plumbing &amp; Heating Ltd</v>
          </cell>
          <cell r="F2865" t="str">
            <v>Subcontractor</v>
          </cell>
          <cell r="G2865" t="str">
            <v/>
          </cell>
          <cell r="H2865" t="str">
            <v/>
          </cell>
          <cell r="I2865" t="str">
            <v/>
          </cell>
          <cell r="J2865">
            <v>187</v>
          </cell>
          <cell r="K2865">
            <v>37.4</v>
          </cell>
          <cell r="L2865">
            <v>187</v>
          </cell>
          <cell r="M2865" t="str">
            <v/>
          </cell>
          <cell r="N2865">
            <v>0</v>
          </cell>
        </row>
        <row r="2866">
          <cell r="A2866">
            <v>6009</v>
          </cell>
          <cell r="B2866" t="str">
            <v>19/11/2014</v>
          </cell>
          <cell r="C2866" t="str">
            <v>C1271</v>
          </cell>
          <cell r="D2866" t="str">
            <v>AC unit move</v>
          </cell>
          <cell r="E2866" t="str">
            <v>Norwest Projects Limited</v>
          </cell>
          <cell r="F2866" t="str">
            <v>Subcontractor</v>
          </cell>
          <cell r="G2866" t="str">
            <v/>
          </cell>
          <cell r="H2866" t="str">
            <v/>
          </cell>
          <cell r="I2866" t="str">
            <v/>
          </cell>
          <cell r="J2866">
            <v>502.5</v>
          </cell>
          <cell r="K2866">
            <v>100.5</v>
          </cell>
          <cell r="L2866">
            <v>502.5</v>
          </cell>
          <cell r="M2866" t="str">
            <v/>
          </cell>
          <cell r="N2866">
            <v>0</v>
          </cell>
        </row>
        <row r="2867">
          <cell r="A2867">
            <v>6005</v>
          </cell>
          <cell r="B2867" t="str">
            <v>18/11/2014</v>
          </cell>
          <cell r="C2867" t="str">
            <v>CALLOUT</v>
          </cell>
          <cell r="D2867" t="str">
            <v>Attended Site Loss of Lighting Throughout Site</v>
          </cell>
          <cell r="E2867" t="str">
            <v>Barrie Beard Ltd</v>
          </cell>
          <cell r="F2867" t="str">
            <v>Subcontractor</v>
          </cell>
          <cell r="G2867" t="str">
            <v/>
          </cell>
          <cell r="H2867" t="str">
            <v/>
          </cell>
          <cell r="I2867" t="str">
            <v/>
          </cell>
          <cell r="J2867">
            <v>135</v>
          </cell>
          <cell r="K2867">
            <v>27</v>
          </cell>
          <cell r="L2867">
            <v>135</v>
          </cell>
          <cell r="M2867" t="str">
            <v/>
          </cell>
          <cell r="N2867">
            <v>0</v>
          </cell>
        </row>
        <row r="2868">
          <cell r="A2868">
            <v>6004</v>
          </cell>
          <cell r="B2868" t="str">
            <v>18/11/2014</v>
          </cell>
          <cell r="C2868" t="str">
            <v>CALLOUT</v>
          </cell>
          <cell r="D2868" t="str">
            <v>Works completed to Security Lighting</v>
          </cell>
          <cell r="E2868" t="str">
            <v>Barrie Beard Ltd</v>
          </cell>
          <cell r="F2868" t="str">
            <v>Subcontractor</v>
          </cell>
          <cell r="G2868" t="str">
            <v/>
          </cell>
          <cell r="H2868" t="str">
            <v/>
          </cell>
          <cell r="I2868" t="str">
            <v/>
          </cell>
          <cell r="J2868">
            <v>139.5</v>
          </cell>
          <cell r="K2868">
            <v>27.9</v>
          </cell>
          <cell r="L2868">
            <v>139.5</v>
          </cell>
          <cell r="M2868" t="str">
            <v/>
          </cell>
          <cell r="N2868">
            <v>0</v>
          </cell>
        </row>
        <row r="2869">
          <cell r="A2869">
            <v>5990</v>
          </cell>
          <cell r="B2869" t="str">
            <v>14/11/2014</v>
          </cell>
          <cell r="C2869" t="str">
            <v>C1272</v>
          </cell>
          <cell r="D2869" t="str">
            <v>Installation of Ductwoek</v>
          </cell>
          <cell r="E2869" t="str">
            <v>Ventil-Eight Systems Limited</v>
          </cell>
          <cell r="F2869" t="str">
            <v>Subcontractor</v>
          </cell>
          <cell r="G2869" t="str">
            <v/>
          </cell>
          <cell r="H2869" t="str">
            <v/>
          </cell>
          <cell r="I2869" t="str">
            <v/>
          </cell>
          <cell r="J2869">
            <v>1255</v>
          </cell>
          <cell r="K2869">
            <v>251</v>
          </cell>
          <cell r="L2869">
            <v>1255</v>
          </cell>
          <cell r="M2869" t="str">
            <v/>
          </cell>
          <cell r="N2869">
            <v>0</v>
          </cell>
        </row>
        <row r="2870">
          <cell r="A2870">
            <v>5989</v>
          </cell>
          <cell r="B2870" t="str">
            <v>14/11/2014</v>
          </cell>
          <cell r="C2870" t="str">
            <v>C1275</v>
          </cell>
          <cell r="D2870" t="str">
            <v>Installation of Ductwork</v>
          </cell>
          <cell r="E2870" t="str">
            <v>Ventil-Eight Systems Limited</v>
          </cell>
          <cell r="F2870" t="str">
            <v>Subcontractor</v>
          </cell>
          <cell r="G2870" t="str">
            <v/>
          </cell>
          <cell r="H2870" t="str">
            <v/>
          </cell>
          <cell r="I2870" t="str">
            <v/>
          </cell>
          <cell r="J2870">
            <v>2950</v>
          </cell>
          <cell r="K2870">
            <v>590</v>
          </cell>
          <cell r="L2870">
            <v>2950</v>
          </cell>
          <cell r="M2870" t="str">
            <v/>
          </cell>
          <cell r="N2870">
            <v>0</v>
          </cell>
        </row>
        <row r="2871">
          <cell r="A2871">
            <v>5969</v>
          </cell>
          <cell r="B2871" t="str">
            <v>11/11/2014</v>
          </cell>
          <cell r="C2871" t="str">
            <v>CALLOUT</v>
          </cell>
          <cell r="D2871" t="str">
            <v>Investigated Fault with Light Fitting - Supplied &amp; Installed</v>
          </cell>
          <cell r="E2871" t="str">
            <v>Ammcom Ltd</v>
          </cell>
          <cell r="F2871" t="str">
            <v>Subcontractor</v>
          </cell>
          <cell r="G2871" t="str">
            <v/>
          </cell>
          <cell r="H2871" t="str">
            <v/>
          </cell>
          <cell r="I2871" t="str">
            <v/>
          </cell>
          <cell r="J2871">
            <v>125</v>
          </cell>
          <cell r="K2871">
            <v>25</v>
          </cell>
          <cell r="L2871">
            <v>125</v>
          </cell>
          <cell r="M2871" t="str">
            <v/>
          </cell>
          <cell r="N2871">
            <v>0</v>
          </cell>
        </row>
        <row r="2872">
          <cell r="A2872">
            <v>5968</v>
          </cell>
          <cell r="B2872" t="str">
            <v>11/11/2014</v>
          </cell>
          <cell r="C2872" t="str">
            <v>CALLOUT</v>
          </cell>
          <cell r="D2872" t="str">
            <v>Attended Site to Investigate Fault with Staircase/Bolts</v>
          </cell>
          <cell r="E2872" t="str">
            <v>Ammcom Ltd</v>
          </cell>
          <cell r="F2872" t="str">
            <v>Subcontractor</v>
          </cell>
          <cell r="G2872" t="str">
            <v/>
          </cell>
          <cell r="H2872" t="str">
            <v/>
          </cell>
          <cell r="I2872" t="str">
            <v/>
          </cell>
          <cell r="J2872">
            <v>55</v>
          </cell>
          <cell r="K2872">
            <v>11</v>
          </cell>
          <cell r="L2872">
            <v>55</v>
          </cell>
          <cell r="M2872" t="str">
            <v/>
          </cell>
          <cell r="N2872">
            <v>0</v>
          </cell>
        </row>
        <row r="2873">
          <cell r="A2873">
            <v>5966</v>
          </cell>
          <cell r="B2873" t="str">
            <v>11/11/2014</v>
          </cell>
          <cell r="C2873" t="str">
            <v>CALLOUT</v>
          </cell>
          <cell r="D2873" t="str">
            <v>Attended Site Secured Handrail</v>
          </cell>
          <cell r="E2873" t="str">
            <v>Ammcom Ltd</v>
          </cell>
          <cell r="F2873" t="str">
            <v>Subcontractor</v>
          </cell>
          <cell r="G2873" t="str">
            <v/>
          </cell>
          <cell r="H2873" t="str">
            <v/>
          </cell>
          <cell r="I2873" t="str">
            <v/>
          </cell>
          <cell r="J2873">
            <v>55</v>
          </cell>
          <cell r="K2873">
            <v>11</v>
          </cell>
          <cell r="L2873">
            <v>55</v>
          </cell>
          <cell r="M2873" t="str">
            <v/>
          </cell>
          <cell r="N2873">
            <v>0</v>
          </cell>
        </row>
        <row r="2874">
          <cell r="A2874">
            <v>5963</v>
          </cell>
          <cell r="B2874" t="str">
            <v>11/11/2014</v>
          </cell>
          <cell r="C2874" t="str">
            <v>C1273</v>
          </cell>
          <cell r="D2874" t="str">
            <v>installation of all rectangular inc provision of plant hire</v>
          </cell>
          <cell r="E2874" t="str">
            <v>Ventil-Eight Systems Limited</v>
          </cell>
          <cell r="F2874" t="str">
            <v>Subcontractor</v>
          </cell>
          <cell r="G2874" t="str">
            <v/>
          </cell>
          <cell r="H2874" t="str">
            <v/>
          </cell>
          <cell r="I2874" t="str">
            <v/>
          </cell>
          <cell r="J2874">
            <v>10250</v>
          </cell>
          <cell r="K2874">
            <v>2050</v>
          </cell>
          <cell r="L2874">
            <v>10250</v>
          </cell>
          <cell r="M2874" t="str">
            <v/>
          </cell>
          <cell r="N2874">
            <v>0</v>
          </cell>
        </row>
        <row r="2875">
          <cell r="A2875">
            <v>5962</v>
          </cell>
          <cell r="B2875" t="str">
            <v>11/11/2014</v>
          </cell>
          <cell r="C2875" t="str">
            <v>SERVICE</v>
          </cell>
          <cell r="D2875" t="str">
            <v>Carried out Heating Maintenance</v>
          </cell>
          <cell r="E2875" t="str">
            <v>A Jones Heating &amp; Plumbing</v>
          </cell>
          <cell r="F2875" t="str">
            <v>Subcontractor</v>
          </cell>
          <cell r="G2875" t="str">
            <v/>
          </cell>
          <cell r="H2875" t="str">
            <v/>
          </cell>
          <cell r="I2875" t="str">
            <v/>
          </cell>
          <cell r="J2875">
            <v>750</v>
          </cell>
          <cell r="K2875">
            <v>0</v>
          </cell>
          <cell r="L2875">
            <v>750</v>
          </cell>
          <cell r="M2875" t="str">
            <v/>
          </cell>
          <cell r="N2875">
            <v>0</v>
          </cell>
        </row>
        <row r="2876">
          <cell r="A2876">
            <v>5950</v>
          </cell>
          <cell r="B2876" t="str">
            <v>06/11/2014</v>
          </cell>
          <cell r="C2876" t="str">
            <v>C1216</v>
          </cell>
          <cell r="D2876" t="str">
            <v>Chlorination / air balance</v>
          </cell>
          <cell r="E2876" t="str">
            <v>Commissioning &amp; Maintenance Services Ltd</v>
          </cell>
          <cell r="F2876" t="str">
            <v>Subcontractor</v>
          </cell>
          <cell r="G2876" t="str">
            <v/>
          </cell>
          <cell r="H2876" t="str">
            <v/>
          </cell>
          <cell r="I2876" t="str">
            <v/>
          </cell>
          <cell r="J2876">
            <v>1192.5999999999999</v>
          </cell>
          <cell r="K2876">
            <v>238.52</v>
          </cell>
          <cell r="L2876">
            <v>1192</v>
          </cell>
          <cell r="M2876" t="str">
            <v/>
          </cell>
          <cell r="N2876">
            <v>0.6</v>
          </cell>
        </row>
        <row r="2877">
          <cell r="A2877">
            <v>5935</v>
          </cell>
          <cell r="B2877" t="str">
            <v>03/11/2014</v>
          </cell>
          <cell r="C2877" t="str">
            <v>CALLOUT</v>
          </cell>
          <cell r="D2877" t="str">
            <v>AC not Working</v>
          </cell>
          <cell r="E2877" t="str">
            <v>Premier Air Control</v>
          </cell>
          <cell r="F2877" t="str">
            <v>Subcontractor</v>
          </cell>
          <cell r="G2877" t="str">
            <v/>
          </cell>
          <cell r="H2877" t="str">
            <v/>
          </cell>
          <cell r="I2877" t="str">
            <v/>
          </cell>
          <cell r="J2877">
            <v>60</v>
          </cell>
          <cell r="K2877">
            <v>12</v>
          </cell>
          <cell r="L2877">
            <v>60</v>
          </cell>
          <cell r="M2877" t="str">
            <v/>
          </cell>
          <cell r="N2877">
            <v>0</v>
          </cell>
        </row>
        <row r="2878">
          <cell r="A2878">
            <v>5927</v>
          </cell>
          <cell r="B2878" t="str">
            <v>29/10/2014</v>
          </cell>
          <cell r="C2878" t="str">
            <v>C1217</v>
          </cell>
          <cell r="D2878" t="str">
            <v>Ductwork installation</v>
          </cell>
          <cell r="E2878" t="str">
            <v>Neil Jackson Installations Ltd</v>
          </cell>
          <cell r="F2878" t="str">
            <v>Subcontractor</v>
          </cell>
          <cell r="G2878" t="str">
            <v/>
          </cell>
          <cell r="H2878" t="str">
            <v/>
          </cell>
          <cell r="I2878" t="str">
            <v/>
          </cell>
          <cell r="J2878">
            <v>3750</v>
          </cell>
          <cell r="K2878">
            <v>750</v>
          </cell>
          <cell r="L2878">
            <v>3750</v>
          </cell>
          <cell r="M2878" t="str">
            <v/>
          </cell>
          <cell r="N2878">
            <v>0</v>
          </cell>
        </row>
        <row r="2879">
          <cell r="A2879">
            <v>5922</v>
          </cell>
          <cell r="B2879" t="str">
            <v>29/10/2014</v>
          </cell>
          <cell r="C2879" t="str">
            <v>C1243</v>
          </cell>
          <cell r="D2879" t="str">
            <v>AC Works</v>
          </cell>
          <cell r="E2879" t="str">
            <v>Cooling Aspects Limited</v>
          </cell>
          <cell r="F2879" t="str">
            <v>Subcontractor</v>
          </cell>
          <cell r="G2879" t="str">
            <v/>
          </cell>
          <cell r="H2879" t="str">
            <v/>
          </cell>
          <cell r="I2879" t="str">
            <v/>
          </cell>
          <cell r="J2879">
            <v>11000</v>
          </cell>
          <cell r="K2879">
            <v>2200</v>
          </cell>
          <cell r="L2879">
            <v>11000</v>
          </cell>
          <cell r="M2879" t="str">
            <v/>
          </cell>
          <cell r="N2879">
            <v>0</v>
          </cell>
        </row>
        <row r="2880">
          <cell r="A2880">
            <v>5915</v>
          </cell>
          <cell r="B2880" t="str">
            <v>27/10/2014</v>
          </cell>
          <cell r="C2880" t="str">
            <v>CALLOUT</v>
          </cell>
          <cell r="D2880" t="str">
            <v>Supply and Install new Hand Drier in Gents Toilets</v>
          </cell>
          <cell r="E2880" t="str">
            <v>Ammcom Ltd</v>
          </cell>
          <cell r="F2880" t="str">
            <v>Subcontractor</v>
          </cell>
          <cell r="G2880" t="str">
            <v/>
          </cell>
          <cell r="H2880" t="str">
            <v/>
          </cell>
          <cell r="I2880" t="str">
            <v/>
          </cell>
          <cell r="J2880">
            <v>165</v>
          </cell>
          <cell r="K2880">
            <v>33</v>
          </cell>
          <cell r="L2880">
            <v>165</v>
          </cell>
          <cell r="M2880" t="str">
            <v/>
          </cell>
          <cell r="N2880">
            <v>0</v>
          </cell>
        </row>
        <row r="2881">
          <cell r="A2881">
            <v>5894</v>
          </cell>
          <cell r="B2881" t="str">
            <v>23/10/2014</v>
          </cell>
          <cell r="C2881" t="str">
            <v>SERVICE</v>
          </cell>
          <cell r="D2881" t="str">
            <v>Carry out Boiler Maintenance</v>
          </cell>
          <cell r="E2881" t="str">
            <v>Amroc Heating Supplies</v>
          </cell>
          <cell r="F2881" t="str">
            <v>Subcontractor</v>
          </cell>
          <cell r="G2881" t="str">
            <v/>
          </cell>
          <cell r="H2881" t="str">
            <v/>
          </cell>
          <cell r="I2881" t="str">
            <v/>
          </cell>
          <cell r="J2881">
            <v>165</v>
          </cell>
          <cell r="K2881">
            <v>33</v>
          </cell>
          <cell r="L2881">
            <v>165</v>
          </cell>
          <cell r="M2881" t="str">
            <v/>
          </cell>
          <cell r="N2881">
            <v>0</v>
          </cell>
        </row>
        <row r="2882">
          <cell r="A2882">
            <v>5892</v>
          </cell>
          <cell r="B2882" t="str">
            <v>22/10/2014</v>
          </cell>
          <cell r="C2882" t="str">
            <v>SERVICE</v>
          </cell>
          <cell r="D2882" t="str">
            <v>Carry out AC Maintenance - Samsung Model No: SH24AC6</v>
          </cell>
          <cell r="E2882" t="str">
            <v>Pole to Pole Climate Control Ltd</v>
          </cell>
          <cell r="F2882" t="str">
            <v>Subcontractor</v>
          </cell>
          <cell r="G2882" t="str">
            <v/>
          </cell>
          <cell r="H2882" t="str">
            <v/>
          </cell>
          <cell r="I2882" t="str">
            <v/>
          </cell>
          <cell r="J2882">
            <v>180</v>
          </cell>
          <cell r="K2882">
            <v>36</v>
          </cell>
          <cell r="L2882">
            <v>180</v>
          </cell>
          <cell r="M2882" t="str">
            <v/>
          </cell>
          <cell r="N2882">
            <v>0</v>
          </cell>
        </row>
        <row r="2883">
          <cell r="A2883">
            <v>5881</v>
          </cell>
          <cell r="B2883" t="str">
            <v>21/10/2014</v>
          </cell>
          <cell r="C2883" t="str">
            <v>CALLOUT</v>
          </cell>
          <cell r="D2883" t="str">
            <v>Supply and Install new ballast as previously quoted</v>
          </cell>
          <cell r="E2883" t="str">
            <v>Ammcom Ltd</v>
          </cell>
          <cell r="F2883" t="str">
            <v>Subcontractor</v>
          </cell>
          <cell r="G2883" t="str">
            <v/>
          </cell>
          <cell r="H2883" t="str">
            <v/>
          </cell>
          <cell r="I2883" t="str">
            <v/>
          </cell>
          <cell r="J2883">
            <v>85</v>
          </cell>
          <cell r="K2883">
            <v>17</v>
          </cell>
          <cell r="L2883">
            <v>85</v>
          </cell>
          <cell r="M2883" t="str">
            <v/>
          </cell>
          <cell r="N2883">
            <v>0</v>
          </cell>
        </row>
        <row r="2884">
          <cell r="A2884">
            <v>5871</v>
          </cell>
          <cell r="B2884" t="str">
            <v>16/10/2014</v>
          </cell>
          <cell r="C2884" t="str">
            <v>CALLOUT</v>
          </cell>
          <cell r="D2884" t="str">
            <v>Carry out works as per your estimate no: 0736</v>
          </cell>
          <cell r="E2884" t="str">
            <v>AEP (NE) LLP</v>
          </cell>
          <cell r="F2884" t="str">
            <v>Subcontractor</v>
          </cell>
          <cell r="G2884" t="str">
            <v/>
          </cell>
          <cell r="H2884" t="str">
            <v/>
          </cell>
          <cell r="I2884" t="str">
            <v/>
          </cell>
          <cell r="J2884">
            <v>265</v>
          </cell>
          <cell r="K2884">
            <v>53</v>
          </cell>
          <cell r="L2884">
            <v>265</v>
          </cell>
          <cell r="M2884" t="str">
            <v/>
          </cell>
          <cell r="N2884">
            <v>0</v>
          </cell>
        </row>
        <row r="2885">
          <cell r="A2885">
            <v>5870</v>
          </cell>
          <cell r="B2885" t="str">
            <v>16/10/2014</v>
          </cell>
          <cell r="C2885" t="str">
            <v>CALLOUT</v>
          </cell>
          <cell r="D2885" t="str">
            <v>Supply Labour and Materials as discussed ITAC 5 - Daresbury</v>
          </cell>
          <cell r="E2885" t="str">
            <v>Premier Air Control</v>
          </cell>
          <cell r="F2885" t="str">
            <v>Subcontractor</v>
          </cell>
          <cell r="G2885" t="str">
            <v/>
          </cell>
          <cell r="H2885" t="str">
            <v/>
          </cell>
          <cell r="I2885" t="str">
            <v/>
          </cell>
          <cell r="J2885">
            <v>1200</v>
          </cell>
          <cell r="K2885">
            <v>240</v>
          </cell>
          <cell r="L2885">
            <v>1200</v>
          </cell>
          <cell r="M2885" t="str">
            <v/>
          </cell>
          <cell r="N2885">
            <v>0</v>
          </cell>
        </row>
        <row r="2886">
          <cell r="A2886">
            <v>5868</v>
          </cell>
          <cell r="B2886" t="str">
            <v>16/10/2014</v>
          </cell>
          <cell r="C2886" t="str">
            <v>C1197</v>
          </cell>
          <cell r="D2886" t="str">
            <v>Installation of all Ductwork as shown on drawing:</v>
          </cell>
          <cell r="E2886" t="str">
            <v>Ventil-Eight Systems Limited</v>
          </cell>
          <cell r="F2886" t="str">
            <v>Subcontractor</v>
          </cell>
          <cell r="G2886" t="str">
            <v/>
          </cell>
          <cell r="H2886" t="str">
            <v/>
          </cell>
          <cell r="I2886" t="str">
            <v/>
          </cell>
          <cell r="J2886">
            <v>13062.5</v>
          </cell>
          <cell r="K2886">
            <v>2612.5</v>
          </cell>
          <cell r="L2886">
            <v>13062.5</v>
          </cell>
          <cell r="M2886" t="str">
            <v/>
          </cell>
          <cell r="N2886">
            <v>0</v>
          </cell>
        </row>
        <row r="2887">
          <cell r="A2887">
            <v>5867</v>
          </cell>
          <cell r="B2887" t="str">
            <v>16/10/2014</v>
          </cell>
          <cell r="C2887" t="str">
            <v>CALLOUT</v>
          </cell>
          <cell r="D2887" t="str">
            <v>Supply and Install new Extractor Fan</v>
          </cell>
          <cell r="E2887" t="str">
            <v>Ammcom Ltd</v>
          </cell>
          <cell r="F2887" t="str">
            <v>Subcontractor</v>
          </cell>
          <cell r="G2887" t="str">
            <v/>
          </cell>
          <cell r="H2887" t="str">
            <v/>
          </cell>
          <cell r="I2887" t="str">
            <v/>
          </cell>
          <cell r="J2887">
            <v>113</v>
          </cell>
          <cell r="K2887">
            <v>22.6</v>
          </cell>
          <cell r="L2887">
            <v>113</v>
          </cell>
          <cell r="M2887" t="str">
            <v/>
          </cell>
          <cell r="N2887">
            <v>0</v>
          </cell>
        </row>
        <row r="2888">
          <cell r="A2888">
            <v>5853</v>
          </cell>
          <cell r="B2888" t="str">
            <v>14/10/2014</v>
          </cell>
          <cell r="C2888" t="str">
            <v>C1216</v>
          </cell>
          <cell r="D2888" t="str">
            <v>Ductwork installation</v>
          </cell>
          <cell r="E2888" t="str">
            <v>Ventil-Eight Systems Limited</v>
          </cell>
          <cell r="F2888" t="str">
            <v>Subcontractor</v>
          </cell>
          <cell r="G2888" t="str">
            <v/>
          </cell>
          <cell r="H2888" t="str">
            <v/>
          </cell>
          <cell r="I2888" t="str">
            <v/>
          </cell>
          <cell r="J2888">
            <v>5750</v>
          </cell>
          <cell r="K2888">
            <v>1150</v>
          </cell>
          <cell r="L2888">
            <v>5750</v>
          </cell>
          <cell r="M2888" t="str">
            <v/>
          </cell>
          <cell r="N2888">
            <v>0</v>
          </cell>
        </row>
        <row r="2889">
          <cell r="A2889">
            <v>5851</v>
          </cell>
          <cell r="B2889" t="str">
            <v>13/10/2014</v>
          </cell>
          <cell r="C2889" t="str">
            <v>C1244</v>
          </cell>
          <cell r="D2889" t="str">
            <v>Carry out works as per your quote ED811</v>
          </cell>
          <cell r="E2889" t="str">
            <v>Lanes Group PLC</v>
          </cell>
          <cell r="F2889" t="str">
            <v>Subcontractor</v>
          </cell>
          <cell r="G2889" t="str">
            <v/>
          </cell>
          <cell r="H2889" t="str">
            <v/>
          </cell>
          <cell r="I2889" t="str">
            <v/>
          </cell>
          <cell r="J2889">
            <v>550</v>
          </cell>
          <cell r="K2889">
            <v>110</v>
          </cell>
          <cell r="L2889">
            <v>550</v>
          </cell>
          <cell r="M2889" t="str">
            <v/>
          </cell>
          <cell r="N2889">
            <v>0</v>
          </cell>
        </row>
        <row r="2890">
          <cell r="A2890">
            <v>5850</v>
          </cell>
          <cell r="B2890" t="str">
            <v>13/10/2014</v>
          </cell>
          <cell r="C2890" t="str">
            <v>CALLOUT</v>
          </cell>
          <cell r="D2890" t="str">
            <v>Attend site to carry out quoted works</v>
          </cell>
          <cell r="E2890" t="str">
            <v>Technical Building Services</v>
          </cell>
          <cell r="F2890" t="str">
            <v>Subcontractor</v>
          </cell>
          <cell r="G2890" t="str">
            <v/>
          </cell>
          <cell r="H2890" t="str">
            <v/>
          </cell>
          <cell r="I2890" t="str">
            <v/>
          </cell>
          <cell r="J2890">
            <v>440.1</v>
          </cell>
          <cell r="K2890">
            <v>88.02</v>
          </cell>
          <cell r="L2890">
            <v>440.1</v>
          </cell>
          <cell r="M2890" t="str">
            <v/>
          </cell>
          <cell r="N2890">
            <v>0</v>
          </cell>
        </row>
        <row r="2891">
          <cell r="A2891">
            <v>5830</v>
          </cell>
          <cell r="B2891" t="str">
            <v>07/10/2014</v>
          </cell>
          <cell r="C2891" t="str">
            <v>C1244</v>
          </cell>
          <cell r="D2891" t="str">
            <v>Lagging of pipework and ductwork services</v>
          </cell>
          <cell r="E2891" t="str">
            <v>Scottfab Insulation Ltd</v>
          </cell>
          <cell r="F2891" t="str">
            <v>Subcontractor</v>
          </cell>
          <cell r="G2891" t="str">
            <v/>
          </cell>
          <cell r="H2891" t="str">
            <v/>
          </cell>
          <cell r="I2891" t="str">
            <v/>
          </cell>
          <cell r="J2891">
            <v>4680</v>
          </cell>
          <cell r="K2891">
            <v>936</v>
          </cell>
          <cell r="L2891">
            <v>4680</v>
          </cell>
          <cell r="M2891" t="str">
            <v/>
          </cell>
          <cell r="N2891">
            <v>0</v>
          </cell>
        </row>
        <row r="2892">
          <cell r="A2892">
            <v>5829</v>
          </cell>
          <cell r="B2892" t="str">
            <v>07/10/2014</v>
          </cell>
          <cell r="C2892" t="str">
            <v>SERVICE</v>
          </cell>
          <cell r="D2892" t="str">
            <v>To provide labour for 1no day</v>
          </cell>
          <cell r="E2892" t="str">
            <v>K Gammon Plumbing &amp; Heating Ltd</v>
          </cell>
          <cell r="F2892" t="str">
            <v>Subcontractor</v>
          </cell>
          <cell r="G2892" t="str">
            <v/>
          </cell>
          <cell r="H2892" t="str">
            <v/>
          </cell>
          <cell r="I2892" t="str">
            <v/>
          </cell>
          <cell r="J2892">
            <v>125</v>
          </cell>
          <cell r="K2892">
            <v>25</v>
          </cell>
          <cell r="L2892">
            <v>0</v>
          </cell>
          <cell r="M2892" t="str">
            <v/>
          </cell>
          <cell r="N2892">
            <v>125</v>
          </cell>
        </row>
        <row r="2893">
          <cell r="A2893">
            <v>5825</v>
          </cell>
          <cell r="B2893" t="str">
            <v>07/10/2014</v>
          </cell>
          <cell r="C2893" t="str">
            <v>C1217</v>
          </cell>
          <cell r="D2893" t="str">
            <v>Chlorination &amp; air check</v>
          </cell>
          <cell r="E2893" t="str">
            <v>Commissioning &amp; Maintenance Services Ltd</v>
          </cell>
          <cell r="F2893" t="str">
            <v>Subcontractor</v>
          </cell>
          <cell r="G2893" t="str">
            <v>09/10/2014</v>
          </cell>
          <cell r="H2893" t="str">
            <v>Complete</v>
          </cell>
          <cell r="I2893" t="str">
            <v/>
          </cell>
          <cell r="J2893">
            <v>0</v>
          </cell>
          <cell r="K2893">
            <v>0</v>
          </cell>
          <cell r="L2893">
            <v>0</v>
          </cell>
          <cell r="M2893" t="str">
            <v/>
          </cell>
          <cell r="N2893">
            <v>0</v>
          </cell>
        </row>
        <row r="2894">
          <cell r="A2894">
            <v>5783</v>
          </cell>
          <cell r="B2894" t="str">
            <v>01/10/2014</v>
          </cell>
          <cell r="C2894" t="str">
            <v>SERVICE</v>
          </cell>
          <cell r="D2894" t="str">
            <v>Carry out maintenance 2no Gas Boilers and check radiators</v>
          </cell>
          <cell r="E2894" t="str">
            <v>Amroc Heating Supplies</v>
          </cell>
          <cell r="F2894" t="str">
            <v>Subcontractor</v>
          </cell>
          <cell r="G2894" t="str">
            <v/>
          </cell>
          <cell r="H2894" t="str">
            <v>Part</v>
          </cell>
          <cell r="I2894" t="str">
            <v/>
          </cell>
          <cell r="J2894">
            <v>487</v>
          </cell>
          <cell r="K2894">
            <v>97.4</v>
          </cell>
          <cell r="L2894">
            <v>487</v>
          </cell>
          <cell r="M2894" t="str">
            <v/>
          </cell>
          <cell r="N2894">
            <v>0</v>
          </cell>
        </row>
        <row r="2895">
          <cell r="A2895">
            <v>5779</v>
          </cell>
          <cell r="B2895" t="str">
            <v>01/10/2014</v>
          </cell>
          <cell r="C2895" t="str">
            <v>CALLOUT</v>
          </cell>
          <cell r="D2895" t="str">
            <v>Leak in Gents Toilet</v>
          </cell>
          <cell r="E2895" t="str">
            <v>K Gammon Plumbing &amp; Heating Ltd</v>
          </cell>
          <cell r="F2895" t="str">
            <v>Subcontractor</v>
          </cell>
          <cell r="G2895" t="str">
            <v/>
          </cell>
          <cell r="H2895" t="str">
            <v/>
          </cell>
          <cell r="I2895" t="str">
            <v/>
          </cell>
          <cell r="J2895">
            <v>82.5</v>
          </cell>
          <cell r="K2895">
            <v>16.5</v>
          </cell>
          <cell r="L2895">
            <v>82.5</v>
          </cell>
          <cell r="M2895" t="str">
            <v/>
          </cell>
          <cell r="N2895">
            <v>0</v>
          </cell>
        </row>
        <row r="2896">
          <cell r="A2896">
            <v>5776</v>
          </cell>
          <cell r="B2896" t="str">
            <v>30/09/2014</v>
          </cell>
          <cell r="C2896" t="str">
            <v>SERVICE</v>
          </cell>
          <cell r="D2896" t="str">
            <v>Carried out AC Maintenance</v>
          </cell>
          <cell r="E2896" t="str">
            <v>Premier Air Control</v>
          </cell>
          <cell r="F2896" t="str">
            <v>Subcontractor</v>
          </cell>
          <cell r="G2896" t="str">
            <v/>
          </cell>
          <cell r="H2896" t="str">
            <v/>
          </cell>
          <cell r="I2896" t="str">
            <v/>
          </cell>
          <cell r="J2896">
            <v>150</v>
          </cell>
          <cell r="K2896">
            <v>30</v>
          </cell>
          <cell r="L2896">
            <v>150</v>
          </cell>
          <cell r="M2896" t="str">
            <v/>
          </cell>
          <cell r="N2896">
            <v>0</v>
          </cell>
        </row>
        <row r="2897">
          <cell r="A2897">
            <v>5772</v>
          </cell>
          <cell r="B2897" t="str">
            <v>30/09/2014</v>
          </cell>
          <cell r="C2897" t="str">
            <v>CALLOUT</v>
          </cell>
          <cell r="D2897" t="str">
            <v>Carry out works as agreed with Hayley</v>
          </cell>
          <cell r="E2897" t="str">
            <v>RBM Air Conditioning Ltd</v>
          </cell>
          <cell r="F2897" t="str">
            <v>Subcontractor</v>
          </cell>
          <cell r="G2897" t="str">
            <v/>
          </cell>
          <cell r="H2897" t="str">
            <v/>
          </cell>
          <cell r="I2897" t="str">
            <v/>
          </cell>
          <cell r="J2897">
            <v>2000</v>
          </cell>
          <cell r="K2897">
            <v>400</v>
          </cell>
          <cell r="L2897">
            <v>2000</v>
          </cell>
          <cell r="M2897" t="str">
            <v/>
          </cell>
          <cell r="N2897">
            <v>0</v>
          </cell>
        </row>
        <row r="2898">
          <cell r="A2898">
            <v>5769</v>
          </cell>
          <cell r="B2898" t="str">
            <v>30/09/2014</v>
          </cell>
          <cell r="C2898" t="str">
            <v>C1242</v>
          </cell>
          <cell r="D2898" t="str">
            <v>Works to be carried out as agreed with Mark Poulton</v>
          </cell>
          <cell r="E2898" t="str">
            <v>Probalance Ltd</v>
          </cell>
          <cell r="F2898" t="str">
            <v>Subcontractor</v>
          </cell>
          <cell r="G2898" t="str">
            <v/>
          </cell>
          <cell r="H2898" t="str">
            <v/>
          </cell>
          <cell r="I2898" t="str">
            <v/>
          </cell>
          <cell r="J2898">
            <v>275</v>
          </cell>
          <cell r="K2898">
            <v>55</v>
          </cell>
          <cell r="L2898">
            <v>275</v>
          </cell>
          <cell r="M2898" t="str">
            <v/>
          </cell>
          <cell r="N2898">
            <v>0</v>
          </cell>
        </row>
        <row r="2899">
          <cell r="A2899">
            <v>5754</v>
          </cell>
          <cell r="B2899" t="str">
            <v>25/09/2014</v>
          </cell>
          <cell r="C2899" t="str">
            <v>C1217</v>
          </cell>
          <cell r="D2899" t="str">
            <v>Lagging of pipework and ductwork services</v>
          </cell>
          <cell r="E2899" t="str">
            <v>Scottfab Insulation Ltd</v>
          </cell>
          <cell r="F2899" t="str">
            <v>Subcontractor</v>
          </cell>
          <cell r="G2899" t="str">
            <v/>
          </cell>
          <cell r="H2899" t="str">
            <v/>
          </cell>
          <cell r="I2899" t="str">
            <v/>
          </cell>
          <cell r="J2899">
            <v>3629</v>
          </cell>
          <cell r="K2899">
            <v>725.8</v>
          </cell>
          <cell r="L2899">
            <v>3629</v>
          </cell>
          <cell r="M2899" t="str">
            <v/>
          </cell>
          <cell r="N2899">
            <v>0</v>
          </cell>
        </row>
        <row r="2900">
          <cell r="A2900">
            <v>5731</v>
          </cell>
          <cell r="B2900" t="str">
            <v>23/09/2014</v>
          </cell>
          <cell r="C2900" t="str">
            <v>CALLOUT</v>
          </cell>
          <cell r="D2900" t="str">
            <v>Supply and Install Lamps as per your quotation dated 01.09.2</v>
          </cell>
          <cell r="E2900" t="str">
            <v>Ammcom Ltd</v>
          </cell>
          <cell r="F2900" t="str">
            <v>Subcontractor</v>
          </cell>
          <cell r="G2900" t="str">
            <v/>
          </cell>
          <cell r="H2900" t="str">
            <v/>
          </cell>
          <cell r="I2900" t="str">
            <v/>
          </cell>
          <cell r="J2900">
            <v>115.52</v>
          </cell>
          <cell r="K2900">
            <v>23.1</v>
          </cell>
          <cell r="L2900">
            <v>115.52</v>
          </cell>
          <cell r="M2900" t="str">
            <v/>
          </cell>
          <cell r="N2900">
            <v>0</v>
          </cell>
        </row>
        <row r="2901">
          <cell r="A2901">
            <v>5724</v>
          </cell>
          <cell r="B2901" t="str">
            <v>18/09/2014</v>
          </cell>
          <cell r="C2901" t="str">
            <v>CALLOUT</v>
          </cell>
          <cell r="D2901" t="str">
            <v>Attend site to investigate AC Leak</v>
          </cell>
          <cell r="E2901" t="str">
            <v>HL Cooling Services</v>
          </cell>
          <cell r="F2901" t="str">
            <v>Subcontractor</v>
          </cell>
          <cell r="G2901" t="str">
            <v/>
          </cell>
          <cell r="H2901" t="str">
            <v/>
          </cell>
          <cell r="I2901" t="str">
            <v/>
          </cell>
          <cell r="J2901">
            <v>200</v>
          </cell>
          <cell r="K2901">
            <v>40</v>
          </cell>
          <cell r="L2901">
            <v>200</v>
          </cell>
          <cell r="M2901" t="str">
            <v/>
          </cell>
          <cell r="N2901">
            <v>0</v>
          </cell>
        </row>
        <row r="2902">
          <cell r="A2902">
            <v>5719</v>
          </cell>
          <cell r="B2902" t="str">
            <v>18/09/2014</v>
          </cell>
          <cell r="C2902" t="str">
            <v>C1216</v>
          </cell>
          <cell r="D2902" t="str">
            <v>Lagging works</v>
          </cell>
          <cell r="E2902" t="str">
            <v>Scottfab Insulation Ltd</v>
          </cell>
          <cell r="F2902" t="str">
            <v>Subcontractor</v>
          </cell>
          <cell r="G2902" t="str">
            <v/>
          </cell>
          <cell r="H2902" t="str">
            <v/>
          </cell>
          <cell r="I2902" t="str">
            <v/>
          </cell>
          <cell r="J2902">
            <v>5013</v>
          </cell>
          <cell r="K2902">
            <v>1002.6</v>
          </cell>
          <cell r="L2902">
            <v>5013</v>
          </cell>
          <cell r="M2902" t="str">
            <v/>
          </cell>
          <cell r="N2902">
            <v>0</v>
          </cell>
        </row>
        <row r="2903">
          <cell r="A2903">
            <v>5710</v>
          </cell>
          <cell r="B2903" t="str">
            <v>17/09/2014</v>
          </cell>
          <cell r="C2903" t="str">
            <v>CALLOUT</v>
          </cell>
          <cell r="D2903" t="str">
            <v>Installation of new control gear within faulty light fitting</v>
          </cell>
          <cell r="E2903" t="str">
            <v>Barrie Beard Ltd</v>
          </cell>
          <cell r="F2903" t="str">
            <v>Subcontractor</v>
          </cell>
          <cell r="G2903" t="str">
            <v/>
          </cell>
          <cell r="H2903" t="str">
            <v/>
          </cell>
          <cell r="I2903" t="str">
            <v/>
          </cell>
          <cell r="J2903">
            <v>185</v>
          </cell>
          <cell r="K2903">
            <v>37</v>
          </cell>
          <cell r="L2903">
            <v>185</v>
          </cell>
          <cell r="M2903" t="str">
            <v/>
          </cell>
          <cell r="N2903">
            <v>0</v>
          </cell>
        </row>
        <row r="2904">
          <cell r="A2904">
            <v>5707</v>
          </cell>
          <cell r="B2904" t="str">
            <v>16/09/2014</v>
          </cell>
          <cell r="C2904" t="str">
            <v>CALLOUT</v>
          </cell>
          <cell r="D2904" t="str">
            <v>Removed Blind Stripped Down &amp; Repaired</v>
          </cell>
          <cell r="E2904" t="str">
            <v>Barrie Beard Ltd</v>
          </cell>
          <cell r="F2904" t="str">
            <v>Subcontractor</v>
          </cell>
          <cell r="G2904" t="str">
            <v/>
          </cell>
          <cell r="H2904" t="str">
            <v/>
          </cell>
          <cell r="I2904" t="str">
            <v/>
          </cell>
          <cell r="J2904">
            <v>85</v>
          </cell>
          <cell r="K2904">
            <v>17</v>
          </cell>
          <cell r="L2904">
            <v>85</v>
          </cell>
          <cell r="M2904" t="str">
            <v/>
          </cell>
          <cell r="N2904">
            <v>0</v>
          </cell>
        </row>
        <row r="2905">
          <cell r="A2905">
            <v>5705</v>
          </cell>
          <cell r="B2905" t="str">
            <v>12/09/2014</v>
          </cell>
          <cell r="C2905" t="str">
            <v>C1248</v>
          </cell>
          <cell r="D2905" t="str">
            <v>AC Strip out</v>
          </cell>
          <cell r="E2905" t="str">
            <v>AFN Airconditioning</v>
          </cell>
          <cell r="F2905" t="str">
            <v>Subcontractor</v>
          </cell>
          <cell r="G2905" t="str">
            <v/>
          </cell>
          <cell r="H2905" t="str">
            <v/>
          </cell>
          <cell r="I2905" t="str">
            <v/>
          </cell>
          <cell r="J2905">
            <v>510</v>
          </cell>
          <cell r="K2905">
            <v>102</v>
          </cell>
          <cell r="L2905">
            <v>510</v>
          </cell>
          <cell r="M2905" t="str">
            <v/>
          </cell>
          <cell r="N2905">
            <v>0</v>
          </cell>
        </row>
        <row r="2906">
          <cell r="A2906">
            <v>5704</v>
          </cell>
          <cell r="B2906" t="str">
            <v>12/09/2014</v>
          </cell>
          <cell r="C2906" t="str">
            <v>C1248</v>
          </cell>
          <cell r="D2906" t="str">
            <v>Ductwork lagging</v>
          </cell>
          <cell r="E2906" t="str">
            <v>Scottfab Insulation Ltd</v>
          </cell>
          <cell r="F2906" t="str">
            <v>Subcontractor</v>
          </cell>
          <cell r="G2906" t="str">
            <v/>
          </cell>
          <cell r="H2906" t="str">
            <v/>
          </cell>
          <cell r="I2906" t="str">
            <v/>
          </cell>
          <cell r="J2906">
            <v>666</v>
          </cell>
          <cell r="K2906">
            <v>133.19999999999999</v>
          </cell>
          <cell r="L2906">
            <v>666</v>
          </cell>
          <cell r="M2906" t="str">
            <v/>
          </cell>
          <cell r="N2906">
            <v>0</v>
          </cell>
        </row>
        <row r="2907">
          <cell r="A2907">
            <v>5702</v>
          </cell>
          <cell r="B2907" t="str">
            <v>12/09/2014</v>
          </cell>
          <cell r="C2907" t="str">
            <v>C1216</v>
          </cell>
          <cell r="D2907" t="str">
            <v>Plumbing installation</v>
          </cell>
          <cell r="E2907" t="str">
            <v>Cooling Aspects Limited</v>
          </cell>
          <cell r="F2907" t="str">
            <v>Subcontractor</v>
          </cell>
          <cell r="G2907" t="str">
            <v/>
          </cell>
          <cell r="H2907" t="str">
            <v/>
          </cell>
          <cell r="I2907" t="str">
            <v/>
          </cell>
          <cell r="J2907">
            <v>5800</v>
          </cell>
          <cell r="K2907">
            <v>1160</v>
          </cell>
          <cell r="L2907">
            <v>5800</v>
          </cell>
          <cell r="M2907" t="str">
            <v/>
          </cell>
          <cell r="N2907">
            <v>0</v>
          </cell>
        </row>
        <row r="2908">
          <cell r="A2908">
            <v>5694</v>
          </cell>
          <cell r="B2908" t="str">
            <v>11/09/2014</v>
          </cell>
          <cell r="C2908" t="str">
            <v>CALLOUT</v>
          </cell>
          <cell r="D2908" t="str">
            <v>Works to be carried out at Dunnes Bradford</v>
          </cell>
          <cell r="E2908" t="str">
            <v>Building Technology Systems</v>
          </cell>
          <cell r="F2908" t="str">
            <v>Subcontractor</v>
          </cell>
          <cell r="G2908" t="str">
            <v/>
          </cell>
          <cell r="H2908" t="str">
            <v/>
          </cell>
          <cell r="I2908" t="str">
            <v/>
          </cell>
          <cell r="J2908">
            <v>490</v>
          </cell>
          <cell r="K2908">
            <v>98</v>
          </cell>
          <cell r="L2908">
            <v>490</v>
          </cell>
          <cell r="M2908" t="str">
            <v/>
          </cell>
          <cell r="N2908">
            <v>0</v>
          </cell>
        </row>
        <row r="2909">
          <cell r="A2909">
            <v>5681</v>
          </cell>
          <cell r="B2909" t="str">
            <v>09/09/2014</v>
          </cell>
          <cell r="C2909" t="str">
            <v>C1238</v>
          </cell>
          <cell r="D2909" t="str">
            <v>Installation of Ductwork</v>
          </cell>
          <cell r="E2909" t="str">
            <v>Ventil-Eight Systems Limited</v>
          </cell>
          <cell r="F2909" t="str">
            <v>Subcontractor</v>
          </cell>
          <cell r="G2909" t="str">
            <v/>
          </cell>
          <cell r="H2909" t="str">
            <v/>
          </cell>
          <cell r="I2909" t="str">
            <v/>
          </cell>
          <cell r="J2909">
            <v>7810</v>
          </cell>
          <cell r="K2909">
            <v>1562</v>
          </cell>
          <cell r="L2909">
            <v>7810</v>
          </cell>
          <cell r="M2909" t="str">
            <v/>
          </cell>
          <cell r="N2909">
            <v>0</v>
          </cell>
        </row>
        <row r="2910">
          <cell r="A2910">
            <v>5678</v>
          </cell>
          <cell r="B2910" t="str">
            <v>09/09/2014</v>
          </cell>
          <cell r="C2910" t="str">
            <v>C1245</v>
          </cell>
          <cell r="D2910" t="str">
            <v>Installation of ductwork inc plant hire &amp; lodgings</v>
          </cell>
          <cell r="E2910" t="str">
            <v>Ventil-Eight Systems Limited</v>
          </cell>
          <cell r="F2910" t="str">
            <v>Subcontractor</v>
          </cell>
          <cell r="G2910" t="str">
            <v/>
          </cell>
          <cell r="H2910" t="str">
            <v>Part</v>
          </cell>
          <cell r="I2910" t="str">
            <v/>
          </cell>
          <cell r="J2910">
            <v>95275</v>
          </cell>
          <cell r="K2910">
            <v>19055</v>
          </cell>
          <cell r="L2910">
            <v>95275</v>
          </cell>
          <cell r="M2910" t="str">
            <v/>
          </cell>
          <cell r="N2910">
            <v>0</v>
          </cell>
        </row>
        <row r="2911">
          <cell r="A2911">
            <v>5674</v>
          </cell>
          <cell r="B2911" t="str">
            <v>09/09/2014</v>
          </cell>
          <cell r="C2911" t="str">
            <v>C1248</v>
          </cell>
          <cell r="D2911" t="str">
            <v>Crane lift</v>
          </cell>
          <cell r="E2911" t="str">
            <v>Jack Waghorn International Ltd</v>
          </cell>
          <cell r="F2911" t="str">
            <v>Subcontractor</v>
          </cell>
          <cell r="G2911" t="str">
            <v/>
          </cell>
          <cell r="H2911" t="str">
            <v/>
          </cell>
          <cell r="I2911" t="str">
            <v/>
          </cell>
          <cell r="J2911">
            <v>3830</v>
          </cell>
          <cell r="K2911">
            <v>766</v>
          </cell>
          <cell r="L2911">
            <v>3830</v>
          </cell>
          <cell r="M2911" t="str">
            <v/>
          </cell>
          <cell r="N2911">
            <v>0</v>
          </cell>
        </row>
        <row r="2912">
          <cell r="A2912">
            <v>5673</v>
          </cell>
          <cell r="B2912" t="str">
            <v>08/09/2014</v>
          </cell>
          <cell r="C2912" t="str">
            <v>SERVICE</v>
          </cell>
          <cell r="D2912" t="str">
            <v>Call out to:</v>
          </cell>
          <cell r="E2912" t="str">
            <v>Zip Heaters (UK) Ltd</v>
          </cell>
          <cell r="F2912" t="str">
            <v>Subcontractor</v>
          </cell>
          <cell r="G2912" t="str">
            <v/>
          </cell>
          <cell r="H2912" t="str">
            <v>Part</v>
          </cell>
          <cell r="I2912" t="str">
            <v/>
          </cell>
          <cell r="J2912">
            <v>250</v>
          </cell>
          <cell r="K2912">
            <v>50</v>
          </cell>
          <cell r="L2912">
            <v>125</v>
          </cell>
          <cell r="M2912" t="str">
            <v/>
          </cell>
          <cell r="N2912">
            <v>125</v>
          </cell>
        </row>
        <row r="2913">
          <cell r="A2913">
            <v>5663</v>
          </cell>
          <cell r="B2913" t="str">
            <v>05/09/2014</v>
          </cell>
          <cell r="C2913" t="str">
            <v>CALLOUT</v>
          </cell>
          <cell r="D2913" t="str">
            <v>Installation of Valiant Eco Tec Combi Boiler</v>
          </cell>
          <cell r="E2913" t="str">
            <v>A Jones Heating &amp; Plumbing</v>
          </cell>
          <cell r="F2913" t="str">
            <v>Subcontractor</v>
          </cell>
          <cell r="G2913" t="str">
            <v/>
          </cell>
          <cell r="H2913" t="str">
            <v/>
          </cell>
          <cell r="I2913" t="str">
            <v/>
          </cell>
          <cell r="J2913">
            <v>1000</v>
          </cell>
          <cell r="K2913">
            <v>0</v>
          </cell>
          <cell r="L2913">
            <v>1100</v>
          </cell>
          <cell r="M2913" t="str">
            <v/>
          </cell>
          <cell r="N2913">
            <v>-100</v>
          </cell>
        </row>
        <row r="2914">
          <cell r="A2914">
            <v>5656</v>
          </cell>
          <cell r="B2914" t="str">
            <v>04/09/2014</v>
          </cell>
          <cell r="C2914" t="str">
            <v>C1216</v>
          </cell>
          <cell r="D2914" t="str">
            <v>Crane lift</v>
          </cell>
          <cell r="E2914" t="str">
            <v>Jack Waghorn International Ltd</v>
          </cell>
          <cell r="F2914" t="str">
            <v>Subcontractor</v>
          </cell>
          <cell r="G2914" t="str">
            <v>21/09/2014</v>
          </cell>
          <cell r="H2914" t="str">
            <v/>
          </cell>
          <cell r="I2914" t="str">
            <v/>
          </cell>
          <cell r="J2914">
            <v>2840</v>
          </cell>
          <cell r="K2914">
            <v>568</v>
          </cell>
          <cell r="L2914">
            <v>2840</v>
          </cell>
          <cell r="M2914" t="str">
            <v/>
          </cell>
          <cell r="N2914">
            <v>0</v>
          </cell>
        </row>
        <row r="2915">
          <cell r="A2915">
            <v>5650</v>
          </cell>
          <cell r="B2915" t="str">
            <v>04/09/2014</v>
          </cell>
          <cell r="C2915" t="str">
            <v>C1216</v>
          </cell>
          <cell r="D2915" t="str">
            <v>AC installation</v>
          </cell>
          <cell r="E2915" t="str">
            <v>Cooling Aspects Limited</v>
          </cell>
          <cell r="F2915" t="str">
            <v>Subcontractor</v>
          </cell>
          <cell r="G2915" t="str">
            <v/>
          </cell>
          <cell r="H2915" t="str">
            <v/>
          </cell>
          <cell r="I2915" t="str">
            <v/>
          </cell>
          <cell r="J2915">
            <v>14125</v>
          </cell>
          <cell r="K2915">
            <v>2825</v>
          </cell>
          <cell r="L2915">
            <v>14125</v>
          </cell>
          <cell r="M2915" t="str">
            <v/>
          </cell>
          <cell r="N2915">
            <v>0</v>
          </cell>
        </row>
        <row r="2916">
          <cell r="A2916">
            <v>5643</v>
          </cell>
          <cell r="B2916" t="str">
            <v>03/09/2014</v>
          </cell>
          <cell r="C2916" t="str">
            <v>CALLOUT</v>
          </cell>
          <cell r="D2916" t="str">
            <v>Replaced 18no Bulbs</v>
          </cell>
          <cell r="E2916" t="str">
            <v>Barrie Beard Ltd</v>
          </cell>
          <cell r="F2916" t="str">
            <v>Subcontractor</v>
          </cell>
          <cell r="G2916" t="str">
            <v/>
          </cell>
          <cell r="H2916" t="str">
            <v/>
          </cell>
          <cell r="I2916" t="str">
            <v/>
          </cell>
          <cell r="J2916">
            <v>110</v>
          </cell>
          <cell r="K2916">
            <v>22</v>
          </cell>
          <cell r="L2916">
            <v>110</v>
          </cell>
          <cell r="M2916" t="str">
            <v/>
          </cell>
          <cell r="N2916">
            <v>0</v>
          </cell>
        </row>
        <row r="2917">
          <cell r="A2917">
            <v>5642</v>
          </cell>
          <cell r="B2917" t="str">
            <v>03/09/2014</v>
          </cell>
          <cell r="C2917" t="str">
            <v>CALLOUT</v>
          </cell>
          <cell r="D2917" t="str">
            <v>Investigate Faulty Hand Dryer</v>
          </cell>
          <cell r="E2917" t="str">
            <v>Barrie Beard Ltd</v>
          </cell>
          <cell r="F2917" t="str">
            <v>Subcontractor</v>
          </cell>
          <cell r="G2917" t="str">
            <v/>
          </cell>
          <cell r="H2917" t="str">
            <v/>
          </cell>
          <cell r="I2917" t="str">
            <v/>
          </cell>
          <cell r="J2917">
            <v>85</v>
          </cell>
          <cell r="K2917">
            <v>17</v>
          </cell>
          <cell r="L2917">
            <v>85</v>
          </cell>
          <cell r="M2917" t="str">
            <v/>
          </cell>
          <cell r="N2917">
            <v>0</v>
          </cell>
        </row>
        <row r="2918">
          <cell r="A2918">
            <v>5640</v>
          </cell>
          <cell r="B2918" t="str">
            <v>02/09/2014</v>
          </cell>
          <cell r="C2918" t="str">
            <v>SERVICE</v>
          </cell>
          <cell r="D2918" t="str">
            <v>Carry out commercial catering gas safety inspection</v>
          </cell>
          <cell r="E2918" t="str">
            <v>Caterline Commercial Kitchens</v>
          </cell>
          <cell r="F2918" t="str">
            <v>Subcontractor</v>
          </cell>
          <cell r="G2918" t="str">
            <v/>
          </cell>
          <cell r="H2918" t="str">
            <v/>
          </cell>
          <cell r="I2918" t="str">
            <v/>
          </cell>
          <cell r="J2918">
            <v>490</v>
          </cell>
          <cell r="K2918">
            <v>98</v>
          </cell>
          <cell r="L2918">
            <v>490</v>
          </cell>
          <cell r="M2918" t="str">
            <v/>
          </cell>
          <cell r="N2918">
            <v>0</v>
          </cell>
        </row>
        <row r="2919">
          <cell r="A2919">
            <v>5638</v>
          </cell>
          <cell r="B2919" t="str">
            <v>02/09/2014</v>
          </cell>
          <cell r="C2919" t="str">
            <v>CALLOUT</v>
          </cell>
          <cell r="D2919" t="str">
            <v>Installation of new TV as per your quote dated 13th August 2</v>
          </cell>
          <cell r="E2919" t="str">
            <v>Barrie Beard Ltd</v>
          </cell>
          <cell r="F2919" t="str">
            <v>Subcontractor</v>
          </cell>
          <cell r="G2919" t="str">
            <v/>
          </cell>
          <cell r="H2919" t="str">
            <v/>
          </cell>
          <cell r="I2919" t="str">
            <v/>
          </cell>
          <cell r="J2919">
            <v>280</v>
          </cell>
          <cell r="K2919">
            <v>56</v>
          </cell>
          <cell r="L2919">
            <v>280</v>
          </cell>
          <cell r="M2919" t="str">
            <v/>
          </cell>
          <cell r="N2919">
            <v>0</v>
          </cell>
        </row>
        <row r="2920">
          <cell r="A2920">
            <v>5633</v>
          </cell>
          <cell r="B2920" t="str">
            <v>01/09/2014</v>
          </cell>
          <cell r="C2920" t="str">
            <v>C1246</v>
          </cell>
          <cell r="D2920" t="str">
            <v>Ductwork mods</v>
          </cell>
          <cell r="E2920" t="str">
            <v>Neil Jackson Installations Ltd</v>
          </cell>
          <cell r="F2920" t="str">
            <v>Subcontractor</v>
          </cell>
          <cell r="G2920" t="str">
            <v/>
          </cell>
          <cell r="H2920" t="str">
            <v/>
          </cell>
          <cell r="I2920" t="str">
            <v/>
          </cell>
          <cell r="J2920">
            <v>300</v>
          </cell>
          <cell r="K2920">
            <v>0</v>
          </cell>
          <cell r="L2920">
            <v>300</v>
          </cell>
          <cell r="M2920" t="str">
            <v/>
          </cell>
          <cell r="N2920">
            <v>0</v>
          </cell>
        </row>
        <row r="2921">
          <cell r="A2921">
            <v>5624</v>
          </cell>
          <cell r="B2921" t="str">
            <v>29/08/2014</v>
          </cell>
          <cell r="C2921" t="str">
            <v>CALLOUT</v>
          </cell>
          <cell r="D2921" t="str">
            <v>Ligths staying on above desk</v>
          </cell>
          <cell r="E2921" t="str">
            <v>Barrie Beard Ltd</v>
          </cell>
          <cell r="F2921" t="str">
            <v>Subcontractor</v>
          </cell>
          <cell r="G2921" t="str">
            <v/>
          </cell>
          <cell r="H2921" t="str">
            <v/>
          </cell>
          <cell r="I2921" t="str">
            <v/>
          </cell>
          <cell r="J2921">
            <v>90</v>
          </cell>
          <cell r="K2921">
            <v>18</v>
          </cell>
          <cell r="L2921">
            <v>90</v>
          </cell>
          <cell r="M2921" t="str">
            <v/>
          </cell>
          <cell r="N2921">
            <v>0</v>
          </cell>
        </row>
        <row r="2922">
          <cell r="A2922">
            <v>5623</v>
          </cell>
          <cell r="B2922" t="str">
            <v>29/08/2014</v>
          </cell>
          <cell r="C2922" t="str">
            <v>CALLOUT</v>
          </cell>
          <cell r="D2922" t="str">
            <v>Attended Site - To Repair 2no Lights</v>
          </cell>
          <cell r="E2922" t="str">
            <v>Barrie Beard Ltd</v>
          </cell>
          <cell r="F2922" t="str">
            <v>Subcontractor</v>
          </cell>
          <cell r="G2922" t="str">
            <v/>
          </cell>
          <cell r="H2922" t="str">
            <v/>
          </cell>
          <cell r="I2922" t="str">
            <v/>
          </cell>
          <cell r="J2922">
            <v>62</v>
          </cell>
          <cell r="K2922">
            <v>12.4</v>
          </cell>
          <cell r="L2922">
            <v>62</v>
          </cell>
          <cell r="M2922" t="str">
            <v/>
          </cell>
          <cell r="N2922">
            <v>0</v>
          </cell>
        </row>
        <row r="2923">
          <cell r="A2923">
            <v>5621</v>
          </cell>
          <cell r="B2923" t="str">
            <v>28/08/2014</v>
          </cell>
          <cell r="C2923" t="str">
            <v>C1216</v>
          </cell>
          <cell r="D2923" t="str">
            <v>Temp works</v>
          </cell>
          <cell r="E2923" t="str">
            <v>Cooling Aspects Limited</v>
          </cell>
          <cell r="F2923" t="str">
            <v>Subcontractor</v>
          </cell>
          <cell r="G2923" t="str">
            <v/>
          </cell>
          <cell r="H2923" t="str">
            <v/>
          </cell>
          <cell r="I2923" t="str">
            <v/>
          </cell>
          <cell r="J2923">
            <v>350</v>
          </cell>
          <cell r="K2923">
            <v>70</v>
          </cell>
          <cell r="L2923">
            <v>300</v>
          </cell>
          <cell r="M2923" t="str">
            <v/>
          </cell>
          <cell r="N2923">
            <v>50</v>
          </cell>
        </row>
        <row r="2924">
          <cell r="A2924">
            <v>5618</v>
          </cell>
          <cell r="B2924" t="str">
            <v>27/08/2014</v>
          </cell>
          <cell r="C2924" t="str">
            <v>CALLOUT</v>
          </cell>
          <cell r="D2924" t="str">
            <v>Call Out - AC not working on 20.08.2014</v>
          </cell>
          <cell r="E2924" t="str">
            <v>Premier Air Control</v>
          </cell>
          <cell r="F2924" t="str">
            <v>Subcontractor</v>
          </cell>
          <cell r="G2924" t="str">
            <v/>
          </cell>
          <cell r="H2924" t="str">
            <v/>
          </cell>
          <cell r="I2924" t="str">
            <v/>
          </cell>
          <cell r="J2924">
            <v>95</v>
          </cell>
          <cell r="K2924">
            <v>19</v>
          </cell>
          <cell r="L2924">
            <v>95</v>
          </cell>
          <cell r="M2924" t="str">
            <v/>
          </cell>
          <cell r="N2924">
            <v>0</v>
          </cell>
        </row>
        <row r="2925">
          <cell r="A2925">
            <v>5599</v>
          </cell>
          <cell r="B2925" t="str">
            <v>21/08/2014</v>
          </cell>
          <cell r="C2925" t="str">
            <v>C1188</v>
          </cell>
          <cell r="D2925" t="str">
            <v>External Water Chlorination</v>
          </cell>
          <cell r="E2925" t="str">
            <v>Commissioning &amp; Maintenance Services Ltd</v>
          </cell>
          <cell r="F2925" t="str">
            <v>Subcontractor</v>
          </cell>
          <cell r="G2925" t="str">
            <v/>
          </cell>
          <cell r="H2925" t="str">
            <v/>
          </cell>
          <cell r="I2925" t="str">
            <v/>
          </cell>
          <cell r="J2925">
            <v>420</v>
          </cell>
          <cell r="K2925">
            <v>84</v>
          </cell>
          <cell r="L2925">
            <v>420</v>
          </cell>
          <cell r="M2925" t="str">
            <v/>
          </cell>
          <cell r="N2925">
            <v>0</v>
          </cell>
        </row>
        <row r="2926">
          <cell r="A2926">
            <v>5593</v>
          </cell>
          <cell r="B2926" t="str">
            <v>20/08/2014</v>
          </cell>
          <cell r="C2926" t="str">
            <v>C1246</v>
          </cell>
          <cell r="D2926" t="str">
            <v>Gas installation</v>
          </cell>
          <cell r="E2926" t="str">
            <v>Enco Ltd</v>
          </cell>
          <cell r="F2926" t="str">
            <v>Subcontractor</v>
          </cell>
          <cell r="G2926" t="str">
            <v>26/08/2014</v>
          </cell>
          <cell r="H2926" t="str">
            <v/>
          </cell>
          <cell r="I2926" t="str">
            <v/>
          </cell>
          <cell r="J2926">
            <v>3100</v>
          </cell>
          <cell r="K2926">
            <v>620</v>
          </cell>
          <cell r="L2926">
            <v>3100</v>
          </cell>
          <cell r="M2926" t="str">
            <v/>
          </cell>
          <cell r="N2926">
            <v>0</v>
          </cell>
        </row>
        <row r="2927">
          <cell r="A2927">
            <v>5587</v>
          </cell>
          <cell r="B2927" t="str">
            <v>19/08/2014</v>
          </cell>
          <cell r="C2927" t="str">
            <v>C1244</v>
          </cell>
          <cell r="D2927" t="str">
            <v>Flow rate validation</v>
          </cell>
          <cell r="E2927" t="str">
            <v>Commissioning &amp; Maintenance Services Ltd</v>
          </cell>
          <cell r="F2927" t="str">
            <v>Subcontractor</v>
          </cell>
          <cell r="G2927" t="str">
            <v/>
          </cell>
          <cell r="H2927" t="str">
            <v/>
          </cell>
          <cell r="I2927" t="str">
            <v/>
          </cell>
          <cell r="J2927">
            <v>620</v>
          </cell>
          <cell r="K2927">
            <v>124</v>
          </cell>
          <cell r="L2927">
            <v>620</v>
          </cell>
          <cell r="M2927" t="str">
            <v/>
          </cell>
          <cell r="N2927">
            <v>0</v>
          </cell>
        </row>
        <row r="2928">
          <cell r="A2928">
            <v>5566</v>
          </cell>
          <cell r="B2928" t="str">
            <v>13/08/2014</v>
          </cell>
          <cell r="C2928" t="str">
            <v>SERVICE</v>
          </cell>
          <cell r="D2928" t="str">
            <v>Services as per your quote ref: 160028/MS/EC</v>
          </cell>
          <cell r="E2928" t="str">
            <v>Swiftclean (UK) Ltd</v>
          </cell>
          <cell r="F2928" t="str">
            <v>Subcontractor</v>
          </cell>
          <cell r="G2928" t="str">
            <v/>
          </cell>
          <cell r="H2928" t="str">
            <v/>
          </cell>
          <cell r="I2928" t="str">
            <v/>
          </cell>
          <cell r="J2928">
            <v>1740</v>
          </cell>
          <cell r="K2928">
            <v>348</v>
          </cell>
          <cell r="L2928">
            <v>1830</v>
          </cell>
          <cell r="M2928" t="str">
            <v/>
          </cell>
          <cell r="N2928">
            <v>-90</v>
          </cell>
        </row>
        <row r="2929">
          <cell r="A2929">
            <v>5565</v>
          </cell>
          <cell r="B2929" t="str">
            <v>13/08/2014</v>
          </cell>
          <cell r="C2929" t="str">
            <v>CALLOUT</v>
          </cell>
          <cell r="D2929" t="str">
            <v>Attended Site to Re-Attach Window Blind</v>
          </cell>
          <cell r="E2929" t="str">
            <v>Barrie Beard Ltd</v>
          </cell>
          <cell r="F2929" t="str">
            <v>Subcontractor</v>
          </cell>
          <cell r="G2929" t="str">
            <v/>
          </cell>
          <cell r="H2929" t="str">
            <v/>
          </cell>
          <cell r="I2929" t="str">
            <v/>
          </cell>
          <cell r="J2929">
            <v>85</v>
          </cell>
          <cell r="K2929">
            <v>17</v>
          </cell>
          <cell r="L2929">
            <v>85</v>
          </cell>
          <cell r="M2929" t="str">
            <v/>
          </cell>
          <cell r="N2929">
            <v>0</v>
          </cell>
        </row>
        <row r="2930">
          <cell r="A2930">
            <v>5564</v>
          </cell>
          <cell r="B2930" t="str">
            <v>13/08/2014</v>
          </cell>
          <cell r="C2930" t="str">
            <v>C1240</v>
          </cell>
          <cell r="D2930" t="str">
            <v>Installation of Ductwork inc Plant Hire</v>
          </cell>
          <cell r="E2930" t="str">
            <v>Ventil-Eight Systems Limited</v>
          </cell>
          <cell r="F2930" t="str">
            <v>Subcontractor</v>
          </cell>
          <cell r="G2930" t="str">
            <v/>
          </cell>
          <cell r="H2930" t="str">
            <v/>
          </cell>
          <cell r="I2930" t="str">
            <v/>
          </cell>
          <cell r="J2930">
            <v>31365</v>
          </cell>
          <cell r="K2930">
            <v>6273</v>
          </cell>
          <cell r="L2930">
            <v>31365</v>
          </cell>
          <cell r="M2930" t="str">
            <v/>
          </cell>
          <cell r="N2930">
            <v>0</v>
          </cell>
        </row>
        <row r="2931">
          <cell r="A2931">
            <v>5563</v>
          </cell>
          <cell r="B2931" t="str">
            <v>13/08/2014</v>
          </cell>
          <cell r="C2931" t="str">
            <v>C1229</v>
          </cell>
          <cell r="D2931" t="str">
            <v>Installation of Ductwork</v>
          </cell>
          <cell r="E2931" t="str">
            <v>Ventil-Eight Systems Limited</v>
          </cell>
          <cell r="F2931" t="str">
            <v>Subcontractor</v>
          </cell>
          <cell r="G2931" t="str">
            <v/>
          </cell>
          <cell r="H2931" t="str">
            <v/>
          </cell>
          <cell r="I2931" t="str">
            <v/>
          </cell>
          <cell r="J2931">
            <v>7400</v>
          </cell>
          <cell r="K2931">
            <v>1480</v>
          </cell>
          <cell r="L2931">
            <v>7400</v>
          </cell>
          <cell r="M2931" t="str">
            <v/>
          </cell>
          <cell r="N2931">
            <v>0</v>
          </cell>
        </row>
        <row r="2932">
          <cell r="A2932">
            <v>5525</v>
          </cell>
          <cell r="B2932" t="str">
            <v>05/08/2014</v>
          </cell>
          <cell r="C2932" t="str">
            <v>C1241</v>
          </cell>
          <cell r="D2932" t="str">
            <v>Microbiological Sample</v>
          </cell>
          <cell r="E2932" t="str">
            <v>Probalance Ltd</v>
          </cell>
          <cell r="F2932" t="str">
            <v>Subcontractor</v>
          </cell>
          <cell r="G2932" t="str">
            <v/>
          </cell>
          <cell r="H2932" t="str">
            <v/>
          </cell>
          <cell r="I2932" t="str">
            <v/>
          </cell>
          <cell r="J2932">
            <v>435</v>
          </cell>
          <cell r="K2932">
            <v>87</v>
          </cell>
          <cell r="L2932">
            <v>435</v>
          </cell>
          <cell r="M2932" t="str">
            <v/>
          </cell>
          <cell r="N2932">
            <v>0</v>
          </cell>
        </row>
        <row r="2933">
          <cell r="A2933">
            <v>5522</v>
          </cell>
          <cell r="B2933" t="str">
            <v>05/08/2014</v>
          </cell>
          <cell r="C2933" t="str">
            <v>C1242</v>
          </cell>
          <cell r="D2933" t="str">
            <v>To Carry out Ventilation Survey Readings on Selected Service</v>
          </cell>
          <cell r="E2933" t="str">
            <v>Probalance Ltd</v>
          </cell>
          <cell r="F2933" t="str">
            <v>Subcontractor</v>
          </cell>
          <cell r="G2933" t="str">
            <v/>
          </cell>
          <cell r="H2933" t="str">
            <v/>
          </cell>
          <cell r="I2933" t="str">
            <v/>
          </cell>
          <cell r="J2933">
            <v>275</v>
          </cell>
          <cell r="K2933">
            <v>55</v>
          </cell>
          <cell r="L2933">
            <v>275</v>
          </cell>
          <cell r="M2933" t="str">
            <v/>
          </cell>
          <cell r="N2933">
            <v>0</v>
          </cell>
        </row>
        <row r="2934">
          <cell r="A2934">
            <v>5515</v>
          </cell>
          <cell r="B2934" t="str">
            <v>04/08/2014</v>
          </cell>
          <cell r="C2934" t="str">
            <v>C1241</v>
          </cell>
          <cell r="D2934" t="str">
            <v>Carry out works as per quote 4437 Rev 1</v>
          </cell>
          <cell r="E2934" t="str">
            <v>Jack Waghorn International Ltd</v>
          </cell>
          <cell r="F2934" t="str">
            <v>Subcontractor</v>
          </cell>
          <cell r="G2934" t="str">
            <v/>
          </cell>
          <cell r="H2934" t="str">
            <v/>
          </cell>
          <cell r="I2934" t="str">
            <v/>
          </cell>
          <cell r="J2934">
            <v>900</v>
          </cell>
          <cell r="K2934">
            <v>180</v>
          </cell>
          <cell r="L2934">
            <v>900</v>
          </cell>
          <cell r="M2934" t="str">
            <v/>
          </cell>
          <cell r="N2934">
            <v>0</v>
          </cell>
        </row>
        <row r="2935">
          <cell r="A2935">
            <v>5505</v>
          </cell>
          <cell r="B2935" t="str">
            <v>31/07/2014</v>
          </cell>
          <cell r="C2935" t="str">
            <v>CALLOUT</v>
          </cell>
          <cell r="D2935" t="str">
            <v>Carried out works as discussed with Mark Poulton</v>
          </cell>
          <cell r="E2935" t="str">
            <v>Cooling Aspects Limited</v>
          </cell>
          <cell r="F2935" t="str">
            <v>Subcontractor</v>
          </cell>
          <cell r="G2935" t="str">
            <v/>
          </cell>
          <cell r="H2935" t="str">
            <v/>
          </cell>
          <cell r="I2935" t="str">
            <v/>
          </cell>
          <cell r="J2935">
            <v>750</v>
          </cell>
          <cell r="K2935">
            <v>150</v>
          </cell>
          <cell r="L2935">
            <v>750</v>
          </cell>
          <cell r="M2935" t="str">
            <v/>
          </cell>
          <cell r="N2935">
            <v>0</v>
          </cell>
        </row>
        <row r="2936">
          <cell r="A2936">
            <v>5504</v>
          </cell>
          <cell r="B2936" t="str">
            <v>31/07/2014</v>
          </cell>
          <cell r="C2936" t="str">
            <v>C1235</v>
          </cell>
          <cell r="D2936" t="str">
            <v>Clean filters on 8no units - relocate 4no diffusers</v>
          </cell>
          <cell r="E2936" t="str">
            <v>Cooling Aspects Limited</v>
          </cell>
          <cell r="F2936" t="str">
            <v>Subcontractor</v>
          </cell>
          <cell r="G2936" t="str">
            <v/>
          </cell>
          <cell r="H2936" t="str">
            <v/>
          </cell>
          <cell r="I2936" t="str">
            <v/>
          </cell>
          <cell r="J2936">
            <v>350</v>
          </cell>
          <cell r="K2936">
            <v>70</v>
          </cell>
          <cell r="L2936">
            <v>350</v>
          </cell>
          <cell r="M2936" t="str">
            <v/>
          </cell>
          <cell r="N2936">
            <v>0</v>
          </cell>
        </row>
        <row r="2937">
          <cell r="A2937">
            <v>5484</v>
          </cell>
          <cell r="B2937" t="str">
            <v>29/07/2014</v>
          </cell>
          <cell r="C2937" t="str">
            <v>CALLOUT</v>
          </cell>
          <cell r="D2937" t="str">
            <v>Attended Site 26/07/14 to Investigate LPG Gas Leak</v>
          </cell>
          <cell r="E2937" t="str">
            <v>A Jones Heating &amp; Plumbing</v>
          </cell>
          <cell r="F2937" t="str">
            <v>Subcontractor</v>
          </cell>
          <cell r="G2937" t="str">
            <v/>
          </cell>
          <cell r="H2937" t="str">
            <v/>
          </cell>
          <cell r="I2937" t="str">
            <v/>
          </cell>
          <cell r="J2937">
            <v>250</v>
          </cell>
          <cell r="K2937">
            <v>0</v>
          </cell>
          <cell r="L2937">
            <v>250</v>
          </cell>
          <cell r="M2937" t="str">
            <v/>
          </cell>
          <cell r="N2937">
            <v>0</v>
          </cell>
        </row>
        <row r="2938">
          <cell r="A2938">
            <v>5471</v>
          </cell>
          <cell r="B2938" t="str">
            <v>28/07/2014</v>
          </cell>
          <cell r="C2938" t="str">
            <v>SERVICE</v>
          </cell>
          <cell r="D2938" t="str">
            <v>Carried out AC Maintenance</v>
          </cell>
          <cell r="E2938" t="str">
            <v>Premier Air Control</v>
          </cell>
          <cell r="F2938" t="str">
            <v>Subcontractor</v>
          </cell>
          <cell r="G2938" t="str">
            <v/>
          </cell>
          <cell r="H2938" t="str">
            <v/>
          </cell>
          <cell r="I2938" t="str">
            <v/>
          </cell>
          <cell r="J2938">
            <v>300</v>
          </cell>
          <cell r="K2938">
            <v>60</v>
          </cell>
          <cell r="L2938">
            <v>300</v>
          </cell>
          <cell r="M2938" t="str">
            <v/>
          </cell>
          <cell r="N2938">
            <v>0</v>
          </cell>
        </row>
        <row r="2939">
          <cell r="A2939">
            <v>5455</v>
          </cell>
          <cell r="B2939" t="str">
            <v>23/07/2014</v>
          </cell>
          <cell r="C2939" t="str">
            <v>CALLOUT</v>
          </cell>
          <cell r="D2939" t="str">
            <v>Labour &amp; Materials</v>
          </cell>
          <cell r="E2939" t="str">
            <v>HL Cooling Services</v>
          </cell>
          <cell r="F2939" t="str">
            <v>Subcontractor</v>
          </cell>
          <cell r="G2939" t="str">
            <v/>
          </cell>
          <cell r="H2939" t="str">
            <v/>
          </cell>
          <cell r="I2939" t="str">
            <v/>
          </cell>
          <cell r="J2939">
            <v>4750</v>
          </cell>
          <cell r="K2939">
            <v>950</v>
          </cell>
          <cell r="L2939">
            <v>4750</v>
          </cell>
          <cell r="M2939" t="str">
            <v/>
          </cell>
          <cell r="N2939">
            <v>0</v>
          </cell>
        </row>
        <row r="2940">
          <cell r="A2940">
            <v>5439</v>
          </cell>
          <cell r="B2940" t="str">
            <v>21/07/2014</v>
          </cell>
          <cell r="C2940" t="str">
            <v>CALLOUT</v>
          </cell>
          <cell r="D2940" t="str">
            <v>Remove and Install new AC Unit</v>
          </cell>
          <cell r="E2940" t="str">
            <v>Premier Air Control</v>
          </cell>
          <cell r="F2940" t="str">
            <v>Subcontractor</v>
          </cell>
          <cell r="G2940" t="str">
            <v/>
          </cell>
          <cell r="H2940" t="str">
            <v/>
          </cell>
          <cell r="I2940" t="str">
            <v/>
          </cell>
          <cell r="J2940">
            <v>450</v>
          </cell>
          <cell r="K2940">
            <v>90</v>
          </cell>
          <cell r="L2940">
            <v>450</v>
          </cell>
          <cell r="M2940" t="str">
            <v/>
          </cell>
          <cell r="N2940">
            <v>0</v>
          </cell>
        </row>
        <row r="2941">
          <cell r="A2941">
            <v>5432</v>
          </cell>
          <cell r="B2941" t="str">
            <v>18/07/2014</v>
          </cell>
          <cell r="C2941" t="str">
            <v>CALLOUT</v>
          </cell>
          <cell r="D2941" t="str">
            <v>Carried Out Maintenance</v>
          </cell>
          <cell r="E2941" t="str">
            <v>A Jones Heating &amp; Plumbing</v>
          </cell>
          <cell r="F2941" t="str">
            <v>Subcontractor</v>
          </cell>
          <cell r="G2941" t="str">
            <v/>
          </cell>
          <cell r="H2941" t="str">
            <v/>
          </cell>
          <cell r="I2941" t="str">
            <v/>
          </cell>
          <cell r="J2941">
            <v>120</v>
          </cell>
          <cell r="K2941">
            <v>0</v>
          </cell>
          <cell r="L2941">
            <v>120</v>
          </cell>
          <cell r="M2941" t="str">
            <v/>
          </cell>
          <cell r="N2941">
            <v>0</v>
          </cell>
        </row>
        <row r="2942">
          <cell r="A2942">
            <v>5431</v>
          </cell>
          <cell r="B2942" t="str">
            <v>18/07/2014</v>
          </cell>
          <cell r="C2942" t="str">
            <v>C1233</v>
          </cell>
          <cell r="D2942" t="str">
            <v>AC install</v>
          </cell>
          <cell r="E2942" t="str">
            <v>AFN Airconditioning</v>
          </cell>
          <cell r="F2942" t="str">
            <v>Subcontractor</v>
          </cell>
          <cell r="G2942" t="str">
            <v/>
          </cell>
          <cell r="H2942" t="str">
            <v/>
          </cell>
          <cell r="I2942" t="str">
            <v/>
          </cell>
          <cell r="J2942">
            <v>1500</v>
          </cell>
          <cell r="K2942">
            <v>300</v>
          </cell>
          <cell r="L2942">
            <v>1500</v>
          </cell>
          <cell r="M2942" t="str">
            <v/>
          </cell>
          <cell r="N2942">
            <v>0</v>
          </cell>
        </row>
        <row r="2943">
          <cell r="A2943">
            <v>5422</v>
          </cell>
          <cell r="B2943" t="str">
            <v>15/07/2014</v>
          </cell>
          <cell r="C2943" t="str">
            <v>C1210</v>
          </cell>
          <cell r="D2943" t="str">
            <v>Call out to leak</v>
          </cell>
          <cell r="E2943" t="str">
            <v>Cooling Aspects Limited</v>
          </cell>
          <cell r="F2943" t="str">
            <v>Subcontractor</v>
          </cell>
          <cell r="G2943" t="str">
            <v/>
          </cell>
          <cell r="H2943" t="str">
            <v/>
          </cell>
          <cell r="I2943" t="str">
            <v/>
          </cell>
          <cell r="J2943">
            <v>150</v>
          </cell>
          <cell r="K2943">
            <v>30</v>
          </cell>
          <cell r="L2943">
            <v>150</v>
          </cell>
          <cell r="M2943" t="str">
            <v/>
          </cell>
          <cell r="N2943">
            <v>0</v>
          </cell>
        </row>
        <row r="2944">
          <cell r="A2944">
            <v>5421</v>
          </cell>
          <cell r="B2944" t="str">
            <v>15/07/2014</v>
          </cell>
          <cell r="C2944" t="str">
            <v>C1201</v>
          </cell>
          <cell r="D2944" t="str">
            <v>Fit controllers</v>
          </cell>
          <cell r="E2944" t="str">
            <v>Cooling Aspects Limited</v>
          </cell>
          <cell r="F2944" t="str">
            <v>Subcontractor</v>
          </cell>
          <cell r="G2944" t="str">
            <v/>
          </cell>
          <cell r="H2944" t="str">
            <v/>
          </cell>
          <cell r="I2944" t="str">
            <v/>
          </cell>
          <cell r="J2944">
            <v>400</v>
          </cell>
          <cell r="K2944">
            <v>80</v>
          </cell>
          <cell r="L2944">
            <v>400</v>
          </cell>
          <cell r="M2944" t="str">
            <v/>
          </cell>
          <cell r="N2944">
            <v>0</v>
          </cell>
        </row>
        <row r="2945">
          <cell r="A2945">
            <v>5420</v>
          </cell>
          <cell r="B2945" t="str">
            <v>15/07/2014</v>
          </cell>
          <cell r="C2945" t="str">
            <v>C1233</v>
          </cell>
          <cell r="D2945" t="str">
            <v>Fit ductwork Hartlepool</v>
          </cell>
          <cell r="E2945" t="str">
            <v>Cooling Aspects Limited</v>
          </cell>
          <cell r="F2945" t="str">
            <v>Subcontractor</v>
          </cell>
          <cell r="G2945" t="str">
            <v/>
          </cell>
          <cell r="H2945" t="str">
            <v/>
          </cell>
          <cell r="I2945" t="str">
            <v/>
          </cell>
          <cell r="J2945">
            <v>400</v>
          </cell>
          <cell r="K2945">
            <v>80</v>
          </cell>
          <cell r="L2945">
            <v>400</v>
          </cell>
          <cell r="M2945" t="str">
            <v/>
          </cell>
          <cell r="N2945">
            <v>0</v>
          </cell>
        </row>
        <row r="2946">
          <cell r="A2946">
            <v>5403</v>
          </cell>
          <cell r="B2946" t="str">
            <v>09/07/2014</v>
          </cell>
          <cell r="C2946" t="str">
            <v>SERVICE</v>
          </cell>
          <cell r="D2946" t="str">
            <v>CArry out AC Maintenance</v>
          </cell>
          <cell r="E2946" t="str">
            <v>Adcock Refrigeration &amp; Air Conditioning</v>
          </cell>
          <cell r="F2946" t="str">
            <v>Subcontractor</v>
          </cell>
          <cell r="G2946" t="str">
            <v/>
          </cell>
          <cell r="H2946" t="str">
            <v/>
          </cell>
          <cell r="I2946" t="str">
            <v/>
          </cell>
          <cell r="J2946">
            <v>345.25</v>
          </cell>
          <cell r="K2946">
            <v>69.05</v>
          </cell>
          <cell r="L2946">
            <v>345.25</v>
          </cell>
          <cell r="M2946" t="str">
            <v/>
          </cell>
          <cell r="N2946">
            <v>0</v>
          </cell>
        </row>
        <row r="2947">
          <cell r="A2947">
            <v>5376</v>
          </cell>
          <cell r="B2947" t="str">
            <v>02/07/2014</v>
          </cell>
          <cell r="C2947" t="str">
            <v>C1232</v>
          </cell>
          <cell r="D2947" t="str">
            <v>Supply Laobur and Materials as per drawing</v>
          </cell>
          <cell r="E2947" t="str">
            <v>AFN Airconditioning</v>
          </cell>
          <cell r="F2947" t="str">
            <v>Subcontractor</v>
          </cell>
          <cell r="G2947" t="str">
            <v/>
          </cell>
          <cell r="H2947" t="str">
            <v>Complete</v>
          </cell>
          <cell r="I2947" t="str">
            <v/>
          </cell>
          <cell r="J2947">
            <v>0</v>
          </cell>
          <cell r="K2947">
            <v>0</v>
          </cell>
          <cell r="L2947">
            <v>0</v>
          </cell>
          <cell r="M2947" t="str">
            <v/>
          </cell>
          <cell r="N2947">
            <v>0</v>
          </cell>
        </row>
        <row r="2948">
          <cell r="A2948">
            <v>5374</v>
          </cell>
          <cell r="B2948" t="str">
            <v>02/07/2014</v>
          </cell>
          <cell r="C2948" t="str">
            <v>C1230</v>
          </cell>
          <cell r="D2948" t="str">
            <v>Supply Labour and Materials as per drawing</v>
          </cell>
          <cell r="E2948" t="str">
            <v>AFN Airconditioning</v>
          </cell>
          <cell r="F2948" t="str">
            <v>Subcontractor</v>
          </cell>
          <cell r="G2948" t="str">
            <v/>
          </cell>
          <cell r="H2948" t="str">
            <v/>
          </cell>
          <cell r="I2948" t="str">
            <v/>
          </cell>
          <cell r="J2948">
            <v>1475</v>
          </cell>
          <cell r="K2948">
            <v>295</v>
          </cell>
          <cell r="L2948">
            <v>1100</v>
          </cell>
          <cell r="M2948" t="str">
            <v/>
          </cell>
          <cell r="N2948">
            <v>375</v>
          </cell>
        </row>
        <row r="2949">
          <cell r="A2949">
            <v>5373</v>
          </cell>
          <cell r="B2949" t="str">
            <v>02/07/2014</v>
          </cell>
          <cell r="C2949" t="str">
            <v>C1231</v>
          </cell>
          <cell r="D2949" t="str">
            <v>Supply Labour and Materialis as per drawings</v>
          </cell>
          <cell r="E2949" t="str">
            <v>AFN Airconditioning</v>
          </cell>
          <cell r="F2949" t="str">
            <v>Subcontractor</v>
          </cell>
          <cell r="G2949" t="str">
            <v/>
          </cell>
          <cell r="H2949" t="str">
            <v/>
          </cell>
          <cell r="I2949" t="str">
            <v/>
          </cell>
          <cell r="J2949">
            <v>1100</v>
          </cell>
          <cell r="K2949">
            <v>220</v>
          </cell>
          <cell r="L2949">
            <v>0</v>
          </cell>
          <cell r="M2949" t="str">
            <v/>
          </cell>
          <cell r="N2949">
            <v>1100</v>
          </cell>
        </row>
        <row r="2950">
          <cell r="A2950">
            <v>5363</v>
          </cell>
          <cell r="B2950" t="str">
            <v>02/07/2014</v>
          </cell>
          <cell r="C2950" t="str">
            <v>CALLOUT</v>
          </cell>
          <cell r="D2950" t="str">
            <v>Repaired Flashing Light on Office on First Floor</v>
          </cell>
          <cell r="E2950" t="str">
            <v>Barrie Beard Ltd</v>
          </cell>
          <cell r="F2950" t="str">
            <v>Subcontractor</v>
          </cell>
          <cell r="G2950" t="str">
            <v/>
          </cell>
          <cell r="H2950" t="str">
            <v/>
          </cell>
          <cell r="I2950" t="str">
            <v/>
          </cell>
          <cell r="J2950">
            <v>141</v>
          </cell>
          <cell r="K2950">
            <v>28.2</v>
          </cell>
          <cell r="L2950">
            <v>141</v>
          </cell>
          <cell r="M2950" t="str">
            <v/>
          </cell>
          <cell r="N2950">
            <v>0</v>
          </cell>
        </row>
        <row r="2951">
          <cell r="A2951">
            <v>5359</v>
          </cell>
          <cell r="B2951" t="str">
            <v>01/07/2014</v>
          </cell>
          <cell r="C2951" t="str">
            <v>C1210</v>
          </cell>
          <cell r="D2951" t="str">
            <v>Chlorination</v>
          </cell>
          <cell r="E2951" t="str">
            <v>Commissioning &amp; Maintenance Services Ltd</v>
          </cell>
          <cell r="F2951" t="str">
            <v>Subcontractor</v>
          </cell>
          <cell r="G2951" t="str">
            <v/>
          </cell>
          <cell r="H2951" t="str">
            <v/>
          </cell>
          <cell r="I2951" t="str">
            <v/>
          </cell>
          <cell r="J2951">
            <v>361.9</v>
          </cell>
          <cell r="K2951">
            <v>72.38</v>
          </cell>
          <cell r="L2951">
            <v>361.9</v>
          </cell>
          <cell r="M2951" t="str">
            <v/>
          </cell>
          <cell r="N2951">
            <v>0</v>
          </cell>
        </row>
        <row r="2952">
          <cell r="A2952">
            <v>5333</v>
          </cell>
          <cell r="B2952" t="str">
            <v>26/06/2014</v>
          </cell>
          <cell r="C2952" t="str">
            <v>SERVICE</v>
          </cell>
          <cell r="D2952" t="str">
            <v>Carried out AC Maintenance</v>
          </cell>
          <cell r="E2952" t="str">
            <v>Premier Air Control</v>
          </cell>
          <cell r="F2952" t="str">
            <v>Subcontractor</v>
          </cell>
          <cell r="G2952" t="str">
            <v/>
          </cell>
          <cell r="H2952" t="str">
            <v/>
          </cell>
          <cell r="I2952" t="str">
            <v/>
          </cell>
          <cell r="J2952">
            <v>100</v>
          </cell>
          <cell r="K2952">
            <v>20</v>
          </cell>
          <cell r="L2952">
            <v>100</v>
          </cell>
          <cell r="M2952" t="str">
            <v/>
          </cell>
          <cell r="N2952">
            <v>0</v>
          </cell>
        </row>
        <row r="2953">
          <cell r="A2953">
            <v>5332</v>
          </cell>
          <cell r="B2953" t="str">
            <v>26/06/2014</v>
          </cell>
          <cell r="C2953" t="str">
            <v>SERVICE</v>
          </cell>
          <cell r="D2953" t="str">
            <v>Carried out AC Maintenance</v>
          </cell>
          <cell r="E2953" t="str">
            <v>Premier Air Control</v>
          </cell>
          <cell r="F2953" t="str">
            <v>Subcontractor</v>
          </cell>
          <cell r="G2953" t="str">
            <v/>
          </cell>
          <cell r="H2953" t="str">
            <v/>
          </cell>
          <cell r="I2953" t="str">
            <v/>
          </cell>
          <cell r="J2953">
            <v>100</v>
          </cell>
          <cell r="K2953">
            <v>20</v>
          </cell>
          <cell r="L2953">
            <v>100</v>
          </cell>
          <cell r="M2953" t="str">
            <v/>
          </cell>
          <cell r="N2953">
            <v>0</v>
          </cell>
        </row>
        <row r="2954">
          <cell r="A2954">
            <v>5331</v>
          </cell>
          <cell r="B2954" t="str">
            <v>26/06/2014</v>
          </cell>
          <cell r="C2954" t="str">
            <v>CALLOUT</v>
          </cell>
          <cell r="D2954" t="str">
            <v>Attended Site to Investigate AC Not Working in Cafe</v>
          </cell>
          <cell r="E2954" t="str">
            <v>Premier Air Control</v>
          </cell>
          <cell r="F2954" t="str">
            <v>Subcontractor</v>
          </cell>
          <cell r="G2954" t="str">
            <v/>
          </cell>
          <cell r="H2954" t="str">
            <v/>
          </cell>
          <cell r="I2954" t="str">
            <v/>
          </cell>
          <cell r="J2954">
            <v>50</v>
          </cell>
          <cell r="K2954">
            <v>10</v>
          </cell>
          <cell r="L2954">
            <v>50</v>
          </cell>
          <cell r="M2954" t="str">
            <v/>
          </cell>
          <cell r="N2954">
            <v>0</v>
          </cell>
        </row>
        <row r="2955">
          <cell r="A2955">
            <v>5318</v>
          </cell>
          <cell r="B2955" t="str">
            <v>24/06/2014</v>
          </cell>
          <cell r="C2955" t="str">
            <v>SERVICE</v>
          </cell>
          <cell r="D2955" t="str">
            <v>Investigate AC Leak</v>
          </cell>
          <cell r="E2955" t="str">
            <v>Premier Air Control</v>
          </cell>
          <cell r="F2955" t="str">
            <v>Subcontractor</v>
          </cell>
          <cell r="G2955" t="str">
            <v/>
          </cell>
          <cell r="H2955" t="str">
            <v/>
          </cell>
          <cell r="I2955" t="str">
            <v/>
          </cell>
          <cell r="J2955">
            <v>30</v>
          </cell>
          <cell r="K2955">
            <v>6</v>
          </cell>
          <cell r="L2955">
            <v>0</v>
          </cell>
          <cell r="M2955" t="str">
            <v/>
          </cell>
          <cell r="N2955">
            <v>30</v>
          </cell>
        </row>
        <row r="2956">
          <cell r="A2956">
            <v>5314</v>
          </cell>
          <cell r="B2956" t="str">
            <v>23/06/2014</v>
          </cell>
          <cell r="C2956" t="str">
            <v>CALLOUT</v>
          </cell>
          <cell r="D2956" t="str">
            <v>Supply &amp; Install Fluorescent Lamp</v>
          </cell>
          <cell r="E2956" t="str">
            <v>Barrie Beard Ltd</v>
          </cell>
          <cell r="F2956" t="str">
            <v>Subcontractor</v>
          </cell>
          <cell r="G2956" t="str">
            <v/>
          </cell>
          <cell r="H2956" t="str">
            <v/>
          </cell>
          <cell r="I2956" t="str">
            <v/>
          </cell>
          <cell r="J2956">
            <v>63</v>
          </cell>
          <cell r="K2956">
            <v>12.6</v>
          </cell>
          <cell r="L2956">
            <v>63</v>
          </cell>
          <cell r="M2956" t="str">
            <v/>
          </cell>
          <cell r="N2956">
            <v>0</v>
          </cell>
        </row>
        <row r="2957">
          <cell r="A2957">
            <v>5296</v>
          </cell>
          <cell r="B2957" t="str">
            <v>18/06/2014</v>
          </cell>
          <cell r="C2957" t="str">
            <v>CALLOUT</v>
          </cell>
          <cell r="D2957" t="str">
            <v>Attend Site to Investigate AC Leak</v>
          </cell>
          <cell r="E2957" t="str">
            <v>Premier Air Control</v>
          </cell>
          <cell r="F2957" t="str">
            <v>Subcontractor</v>
          </cell>
          <cell r="G2957" t="str">
            <v/>
          </cell>
          <cell r="H2957" t="str">
            <v/>
          </cell>
          <cell r="I2957" t="str">
            <v/>
          </cell>
          <cell r="J2957">
            <v>95</v>
          </cell>
          <cell r="K2957">
            <v>19</v>
          </cell>
          <cell r="L2957">
            <v>95</v>
          </cell>
          <cell r="M2957" t="str">
            <v/>
          </cell>
          <cell r="N2957">
            <v>0</v>
          </cell>
        </row>
        <row r="2958">
          <cell r="A2958">
            <v>5290</v>
          </cell>
          <cell r="B2958" t="str">
            <v>16/06/2014</v>
          </cell>
          <cell r="C2958" t="str">
            <v>CALLOUT</v>
          </cell>
          <cell r="D2958" t="str">
            <v>Supply Labour and Materials as discussed</v>
          </cell>
          <cell r="E2958" t="str">
            <v>AFN Airconditioning</v>
          </cell>
          <cell r="F2958" t="str">
            <v>Subcontractor</v>
          </cell>
          <cell r="G2958" t="str">
            <v/>
          </cell>
          <cell r="H2958" t="str">
            <v/>
          </cell>
          <cell r="I2958" t="str">
            <v/>
          </cell>
          <cell r="J2958">
            <v>1300</v>
          </cell>
          <cell r="K2958">
            <v>260</v>
          </cell>
          <cell r="L2958">
            <v>1300</v>
          </cell>
          <cell r="M2958" t="str">
            <v/>
          </cell>
          <cell r="N2958">
            <v>0</v>
          </cell>
        </row>
        <row r="2959">
          <cell r="A2959">
            <v>5283</v>
          </cell>
          <cell r="B2959" t="str">
            <v>13/06/2014</v>
          </cell>
          <cell r="C2959" t="str">
            <v>SERVICE</v>
          </cell>
          <cell r="D2959" t="str">
            <v>Call Out to Chiller Unit at Huntingdon</v>
          </cell>
          <cell r="E2959" t="str">
            <v>R.S Air Conditioning Services Ltd</v>
          </cell>
          <cell r="F2959" t="str">
            <v>Subcontractor</v>
          </cell>
          <cell r="G2959" t="str">
            <v/>
          </cell>
          <cell r="H2959" t="str">
            <v>Part</v>
          </cell>
          <cell r="I2959" t="str">
            <v/>
          </cell>
          <cell r="J2959">
            <v>73.5</v>
          </cell>
          <cell r="K2959">
            <v>14.7</v>
          </cell>
          <cell r="L2959">
            <v>73.5</v>
          </cell>
          <cell r="M2959" t="str">
            <v/>
          </cell>
          <cell r="N2959">
            <v>0</v>
          </cell>
        </row>
        <row r="2960">
          <cell r="A2960">
            <v>5281</v>
          </cell>
          <cell r="B2960" t="str">
            <v>13/06/2014</v>
          </cell>
          <cell r="C2960" t="str">
            <v>C1210</v>
          </cell>
          <cell r="D2960" t="str">
            <v>Fit toilet vent ductwork</v>
          </cell>
          <cell r="E2960" t="str">
            <v>Ventil-Eight Systems Limited</v>
          </cell>
          <cell r="F2960" t="str">
            <v>Subcontractor</v>
          </cell>
          <cell r="G2960" t="str">
            <v/>
          </cell>
          <cell r="H2960" t="str">
            <v/>
          </cell>
          <cell r="I2960" t="str">
            <v/>
          </cell>
          <cell r="J2960">
            <v>350</v>
          </cell>
          <cell r="K2960">
            <v>0</v>
          </cell>
          <cell r="L2960">
            <v>350</v>
          </cell>
          <cell r="M2960" t="str">
            <v/>
          </cell>
          <cell r="N2960">
            <v>0</v>
          </cell>
        </row>
        <row r="2961">
          <cell r="A2961">
            <v>5279</v>
          </cell>
          <cell r="B2961" t="str">
            <v>13/06/2014</v>
          </cell>
          <cell r="C2961" t="str">
            <v>C1188</v>
          </cell>
          <cell r="D2961" t="str">
            <v>Mitsubishi equipment and AC install</v>
          </cell>
          <cell r="E2961" t="str">
            <v>Coolair Equipment Ltd</v>
          </cell>
          <cell r="F2961" t="str">
            <v>Subcontractor</v>
          </cell>
          <cell r="G2961" t="str">
            <v/>
          </cell>
          <cell r="H2961" t="str">
            <v/>
          </cell>
          <cell r="I2961" t="str">
            <v/>
          </cell>
          <cell r="J2961">
            <v>16674</v>
          </cell>
          <cell r="K2961">
            <v>3334.8</v>
          </cell>
          <cell r="L2961">
            <v>9374</v>
          </cell>
          <cell r="M2961" t="str">
            <v/>
          </cell>
          <cell r="N2961">
            <v>7300</v>
          </cell>
        </row>
        <row r="2962">
          <cell r="A2962">
            <v>5278</v>
          </cell>
          <cell r="B2962" t="str">
            <v>13/06/2014</v>
          </cell>
          <cell r="C2962" t="str">
            <v>C1212</v>
          </cell>
          <cell r="D2962" t="str">
            <v>Heating installation</v>
          </cell>
          <cell r="E2962" t="str">
            <v>Cooling Aspects Limited</v>
          </cell>
          <cell r="F2962" t="str">
            <v>Subcontractor</v>
          </cell>
          <cell r="G2962" t="str">
            <v/>
          </cell>
          <cell r="H2962" t="str">
            <v/>
          </cell>
          <cell r="I2962" t="str">
            <v/>
          </cell>
          <cell r="J2962">
            <v>2700</v>
          </cell>
          <cell r="K2962">
            <v>540</v>
          </cell>
          <cell r="L2962">
            <v>2700</v>
          </cell>
          <cell r="M2962" t="str">
            <v/>
          </cell>
          <cell r="N2962">
            <v>0</v>
          </cell>
        </row>
        <row r="2963">
          <cell r="A2963">
            <v>5271</v>
          </cell>
          <cell r="B2963" t="str">
            <v>11/06/2014</v>
          </cell>
          <cell r="C2963" t="str">
            <v>C1188</v>
          </cell>
          <cell r="D2963" t="str">
            <v>Ductwork and pipework lagging</v>
          </cell>
          <cell r="E2963" t="str">
            <v>Scottfab Insulation Ltd</v>
          </cell>
          <cell r="F2963" t="str">
            <v>Subcontractor</v>
          </cell>
          <cell r="G2963" t="str">
            <v/>
          </cell>
          <cell r="H2963" t="str">
            <v/>
          </cell>
          <cell r="I2963" t="str">
            <v/>
          </cell>
          <cell r="J2963">
            <v>5800</v>
          </cell>
          <cell r="K2963">
            <v>1160</v>
          </cell>
          <cell r="L2963">
            <v>5800</v>
          </cell>
          <cell r="M2963" t="str">
            <v/>
          </cell>
          <cell r="N2963">
            <v>0</v>
          </cell>
        </row>
        <row r="2964">
          <cell r="A2964">
            <v>5266</v>
          </cell>
          <cell r="B2964" t="str">
            <v>11/06/2014</v>
          </cell>
          <cell r="C2964" t="str">
            <v>CALLOUT</v>
          </cell>
          <cell r="D2964" t="str">
            <v>Supply and Install EM Light and Standard Light</v>
          </cell>
          <cell r="E2964" t="str">
            <v>Technical Building Services</v>
          </cell>
          <cell r="F2964" t="str">
            <v>Subcontractor</v>
          </cell>
          <cell r="G2964" t="str">
            <v/>
          </cell>
          <cell r="H2964" t="str">
            <v/>
          </cell>
          <cell r="I2964" t="str">
            <v/>
          </cell>
          <cell r="J2964">
            <v>295</v>
          </cell>
          <cell r="K2964">
            <v>59</v>
          </cell>
          <cell r="L2964">
            <v>295</v>
          </cell>
          <cell r="M2964" t="str">
            <v/>
          </cell>
          <cell r="N2964">
            <v>0</v>
          </cell>
        </row>
        <row r="2965">
          <cell r="A2965">
            <v>5265</v>
          </cell>
          <cell r="B2965" t="str">
            <v>11/06/2014</v>
          </cell>
          <cell r="C2965" t="str">
            <v>CALLOUT</v>
          </cell>
          <cell r="D2965" t="str">
            <v>Installation of 2no AC Units 4th Floor IT and 5th Floor Serv</v>
          </cell>
          <cell r="E2965" t="str">
            <v>Premier Air Control</v>
          </cell>
          <cell r="F2965" t="str">
            <v>Subcontractor</v>
          </cell>
          <cell r="G2965" t="str">
            <v/>
          </cell>
          <cell r="H2965" t="str">
            <v/>
          </cell>
          <cell r="I2965" t="str">
            <v/>
          </cell>
          <cell r="J2965">
            <v>4200</v>
          </cell>
          <cell r="K2965">
            <v>840</v>
          </cell>
          <cell r="L2965">
            <v>4200</v>
          </cell>
          <cell r="M2965" t="str">
            <v/>
          </cell>
          <cell r="N2965">
            <v>0</v>
          </cell>
        </row>
        <row r="2966">
          <cell r="A2966">
            <v>5261</v>
          </cell>
          <cell r="B2966" t="str">
            <v>11/06/2014</v>
          </cell>
          <cell r="C2966" t="str">
            <v>CALLOUT</v>
          </cell>
          <cell r="D2966" t="str">
            <v>Attended site replaced faulty 4ft Light Fitting</v>
          </cell>
          <cell r="E2966" t="str">
            <v>Barrie Beard Ltd</v>
          </cell>
          <cell r="F2966" t="str">
            <v>Subcontractor</v>
          </cell>
          <cell r="G2966" t="str">
            <v/>
          </cell>
          <cell r="H2966" t="str">
            <v/>
          </cell>
          <cell r="I2966" t="str">
            <v/>
          </cell>
          <cell r="J2966">
            <v>104.63</v>
          </cell>
          <cell r="K2966">
            <v>20.93</v>
          </cell>
          <cell r="L2966">
            <v>104.63</v>
          </cell>
          <cell r="M2966" t="str">
            <v/>
          </cell>
          <cell r="N2966">
            <v>0</v>
          </cell>
        </row>
        <row r="2967">
          <cell r="A2967">
            <v>5217</v>
          </cell>
          <cell r="B2967" t="str">
            <v>04/06/2014</v>
          </cell>
          <cell r="C2967" t="str">
            <v>CALLOUT</v>
          </cell>
          <cell r="D2967" t="str">
            <v>Heating Not Working - Replaced 2no Fan Belts</v>
          </cell>
          <cell r="E2967" t="str">
            <v>A Jones Heating &amp; Plumbing</v>
          </cell>
          <cell r="F2967" t="str">
            <v>Subcontractor</v>
          </cell>
          <cell r="G2967" t="str">
            <v/>
          </cell>
          <cell r="H2967" t="str">
            <v/>
          </cell>
          <cell r="I2967" t="str">
            <v/>
          </cell>
          <cell r="J2967">
            <v>240</v>
          </cell>
          <cell r="K2967">
            <v>0</v>
          </cell>
          <cell r="L2967">
            <v>240</v>
          </cell>
          <cell r="M2967" t="str">
            <v/>
          </cell>
          <cell r="N2967">
            <v>0</v>
          </cell>
        </row>
        <row r="2968">
          <cell r="A2968">
            <v>5210</v>
          </cell>
          <cell r="B2968" t="str">
            <v>03/06/2014</v>
          </cell>
          <cell r="C2968" t="str">
            <v>CALLOUT</v>
          </cell>
          <cell r="D2968" t="str">
            <v>Provide Power to Wallmounted Split in Meeting Room 1st Floor</v>
          </cell>
          <cell r="E2968" t="str">
            <v>Technical Building Services</v>
          </cell>
          <cell r="F2968" t="str">
            <v>Subcontractor</v>
          </cell>
          <cell r="G2968" t="str">
            <v/>
          </cell>
          <cell r="H2968" t="str">
            <v/>
          </cell>
          <cell r="I2968" t="str">
            <v/>
          </cell>
          <cell r="J2968">
            <v>220</v>
          </cell>
          <cell r="K2968">
            <v>44</v>
          </cell>
          <cell r="L2968">
            <v>220</v>
          </cell>
          <cell r="M2968" t="str">
            <v/>
          </cell>
          <cell r="N2968">
            <v>0</v>
          </cell>
        </row>
        <row r="2969">
          <cell r="A2969">
            <v>5206</v>
          </cell>
          <cell r="B2969" t="str">
            <v>03/06/2014</v>
          </cell>
          <cell r="C2969" t="str">
            <v>C1206</v>
          </cell>
          <cell r="D2969" t="str">
            <v>Installation of Ductwork &amp; Equipment</v>
          </cell>
          <cell r="E2969" t="str">
            <v>Ventil-Eight Systems Limited</v>
          </cell>
          <cell r="F2969" t="str">
            <v>Subcontractor</v>
          </cell>
          <cell r="G2969" t="str">
            <v/>
          </cell>
          <cell r="H2969" t="str">
            <v/>
          </cell>
          <cell r="I2969" t="str">
            <v/>
          </cell>
          <cell r="J2969">
            <v>5975</v>
          </cell>
          <cell r="K2969">
            <v>0</v>
          </cell>
          <cell r="L2969">
            <v>5975</v>
          </cell>
          <cell r="M2969" t="str">
            <v/>
          </cell>
          <cell r="N2969">
            <v>0</v>
          </cell>
        </row>
        <row r="2970">
          <cell r="A2970">
            <v>5188</v>
          </cell>
          <cell r="B2970" t="str">
            <v>30/05/2014</v>
          </cell>
          <cell r="C2970" t="str">
            <v>C1215</v>
          </cell>
          <cell r="D2970" t="str">
            <v>Installation of Ductwork, Fans, Silencers, Louvres &amp; Grilles</v>
          </cell>
          <cell r="E2970" t="str">
            <v>Ventil-Eight Systems Limited</v>
          </cell>
          <cell r="F2970" t="str">
            <v>Subcontractor</v>
          </cell>
          <cell r="G2970" t="str">
            <v/>
          </cell>
          <cell r="H2970" t="str">
            <v/>
          </cell>
          <cell r="I2970" t="str">
            <v/>
          </cell>
          <cell r="J2970">
            <v>1100</v>
          </cell>
          <cell r="K2970">
            <v>0</v>
          </cell>
          <cell r="L2970">
            <v>1100</v>
          </cell>
          <cell r="M2970" t="str">
            <v/>
          </cell>
          <cell r="N2970">
            <v>0</v>
          </cell>
        </row>
        <row r="2971">
          <cell r="A2971">
            <v>5185</v>
          </cell>
          <cell r="B2971" t="str">
            <v>29/05/2014</v>
          </cell>
          <cell r="C2971" t="str">
            <v>C1210</v>
          </cell>
          <cell r="D2971" t="str">
            <v>Carry out 1st Fix Plumbing &amp; Heating Pipework as per</v>
          </cell>
          <cell r="E2971" t="str">
            <v>ADS Electrical (Preston) Ltd</v>
          </cell>
          <cell r="F2971" t="str">
            <v>Subcontractor</v>
          </cell>
          <cell r="G2971" t="str">
            <v/>
          </cell>
          <cell r="H2971" t="str">
            <v>Part</v>
          </cell>
          <cell r="I2971" t="str">
            <v/>
          </cell>
          <cell r="J2971">
            <v>13898.32</v>
          </cell>
          <cell r="K2971">
            <v>2779.66</v>
          </cell>
          <cell r="L2971">
            <v>12928.38</v>
          </cell>
          <cell r="M2971" t="str">
            <v/>
          </cell>
          <cell r="N2971">
            <v>969.94</v>
          </cell>
        </row>
        <row r="2972">
          <cell r="A2972">
            <v>5181</v>
          </cell>
          <cell r="B2972" t="str">
            <v>29/05/2014</v>
          </cell>
          <cell r="C2972" t="str">
            <v>C1197</v>
          </cell>
          <cell r="D2972" t="str">
            <v>For Insulation Works</v>
          </cell>
          <cell r="E2972" t="str">
            <v>Ventil-Eight Systems Limited</v>
          </cell>
          <cell r="F2972" t="str">
            <v>Subcontractor</v>
          </cell>
          <cell r="G2972" t="str">
            <v/>
          </cell>
          <cell r="H2972" t="str">
            <v/>
          </cell>
          <cell r="I2972" t="str">
            <v/>
          </cell>
          <cell r="J2972">
            <v>5975</v>
          </cell>
          <cell r="K2972">
            <v>1195</v>
          </cell>
          <cell r="L2972">
            <v>5975</v>
          </cell>
          <cell r="M2972" t="str">
            <v/>
          </cell>
          <cell r="N2972">
            <v>0</v>
          </cell>
        </row>
        <row r="2973">
          <cell r="A2973">
            <v>5173</v>
          </cell>
          <cell r="B2973" t="str">
            <v>28/05/2014</v>
          </cell>
          <cell r="C2973" t="str">
            <v>CALLOUT</v>
          </cell>
          <cell r="D2973" t="str">
            <v>Attend Site to Replace a Plate/Cover Missing off Fuse Box</v>
          </cell>
          <cell r="E2973" t="str">
            <v>Barrie Beard Ltd</v>
          </cell>
          <cell r="F2973" t="str">
            <v>Subcontractor</v>
          </cell>
          <cell r="G2973" t="str">
            <v/>
          </cell>
          <cell r="H2973" t="str">
            <v/>
          </cell>
          <cell r="I2973" t="str">
            <v/>
          </cell>
          <cell r="J2973">
            <v>85</v>
          </cell>
          <cell r="K2973">
            <v>17</v>
          </cell>
          <cell r="L2973">
            <v>85</v>
          </cell>
          <cell r="M2973" t="str">
            <v/>
          </cell>
          <cell r="N2973">
            <v>0</v>
          </cell>
        </row>
        <row r="2974">
          <cell r="A2974">
            <v>5171</v>
          </cell>
          <cell r="B2974" t="str">
            <v>28/05/2014</v>
          </cell>
          <cell r="C2974" t="str">
            <v>CALLOUT</v>
          </cell>
          <cell r="D2974" t="str">
            <v>Replace 4ft Fluorescent Light Fitting in Gents Toilet</v>
          </cell>
          <cell r="E2974" t="str">
            <v>Barrie Beard Ltd</v>
          </cell>
          <cell r="F2974" t="str">
            <v>Subcontractor</v>
          </cell>
          <cell r="G2974" t="str">
            <v/>
          </cell>
          <cell r="H2974" t="str">
            <v/>
          </cell>
          <cell r="I2974" t="str">
            <v/>
          </cell>
          <cell r="J2974">
            <v>92.13</v>
          </cell>
          <cell r="K2974">
            <v>18.43</v>
          </cell>
          <cell r="L2974">
            <v>92.13</v>
          </cell>
          <cell r="M2974" t="str">
            <v/>
          </cell>
          <cell r="N2974">
            <v>0</v>
          </cell>
        </row>
        <row r="2975">
          <cell r="A2975">
            <v>5164</v>
          </cell>
          <cell r="B2975" t="str">
            <v>27/05/2014</v>
          </cell>
          <cell r="C2975" t="str">
            <v>CALLOUT</v>
          </cell>
          <cell r="D2975" t="str">
            <v>Investigate Leaking AC Unit Art Room</v>
          </cell>
          <cell r="E2975" t="str">
            <v>Premier Air Control</v>
          </cell>
          <cell r="F2975" t="str">
            <v>Subcontractor</v>
          </cell>
          <cell r="G2975" t="str">
            <v/>
          </cell>
          <cell r="H2975" t="str">
            <v/>
          </cell>
          <cell r="I2975" t="str">
            <v/>
          </cell>
          <cell r="J2975">
            <v>80</v>
          </cell>
          <cell r="K2975">
            <v>16</v>
          </cell>
          <cell r="L2975">
            <v>80</v>
          </cell>
          <cell r="M2975" t="str">
            <v/>
          </cell>
          <cell r="N2975">
            <v>0</v>
          </cell>
        </row>
        <row r="2976">
          <cell r="A2976">
            <v>5163</v>
          </cell>
          <cell r="B2976" t="str">
            <v>27/05/2014</v>
          </cell>
          <cell r="C2976" t="str">
            <v>CALLOUT</v>
          </cell>
          <cell r="D2976" t="str">
            <v>Investigate Leaking AC Unit</v>
          </cell>
          <cell r="E2976" t="str">
            <v>Premier Air Control</v>
          </cell>
          <cell r="F2976" t="str">
            <v>Subcontractor</v>
          </cell>
          <cell r="G2976" t="str">
            <v/>
          </cell>
          <cell r="H2976" t="str">
            <v/>
          </cell>
          <cell r="I2976" t="str">
            <v/>
          </cell>
          <cell r="J2976">
            <v>125</v>
          </cell>
          <cell r="K2976">
            <v>25</v>
          </cell>
          <cell r="L2976">
            <v>125</v>
          </cell>
          <cell r="M2976" t="str">
            <v/>
          </cell>
          <cell r="N2976">
            <v>0</v>
          </cell>
        </row>
        <row r="2977">
          <cell r="A2977">
            <v>5150</v>
          </cell>
          <cell r="B2977" t="str">
            <v>23/05/2014</v>
          </cell>
          <cell r="C2977" t="str">
            <v>C1200</v>
          </cell>
          <cell r="D2977" t="str">
            <v>1st &amp; 2nd Fix Installation of all Ductwork &amp; Equipment as Sh</v>
          </cell>
          <cell r="E2977" t="str">
            <v>The Wright Installations Ltd</v>
          </cell>
          <cell r="F2977" t="str">
            <v>Subcontractor</v>
          </cell>
          <cell r="G2977" t="str">
            <v/>
          </cell>
          <cell r="H2977" t="str">
            <v/>
          </cell>
          <cell r="I2977" t="str">
            <v/>
          </cell>
          <cell r="J2977">
            <v>13550</v>
          </cell>
          <cell r="K2977">
            <v>2710</v>
          </cell>
          <cell r="L2977">
            <v>13550</v>
          </cell>
          <cell r="M2977" t="str">
            <v/>
          </cell>
          <cell r="N2977">
            <v>0</v>
          </cell>
        </row>
        <row r="2978">
          <cell r="A2978">
            <v>5148</v>
          </cell>
          <cell r="B2978" t="str">
            <v>22/05/2014</v>
          </cell>
          <cell r="C2978" t="str">
            <v>SERVICE</v>
          </cell>
          <cell r="D2978" t="str">
            <v>Call Out AC Unit Leaking</v>
          </cell>
          <cell r="E2978" t="str">
            <v>Adcock Refrigeration &amp; Air Conditioning</v>
          </cell>
          <cell r="F2978" t="str">
            <v>Subcontractor</v>
          </cell>
          <cell r="G2978" t="str">
            <v/>
          </cell>
          <cell r="H2978" t="str">
            <v/>
          </cell>
          <cell r="I2978" t="str">
            <v/>
          </cell>
          <cell r="J2978">
            <v>252</v>
          </cell>
          <cell r="K2978">
            <v>50.4</v>
          </cell>
          <cell r="L2978">
            <v>252</v>
          </cell>
          <cell r="M2978" t="str">
            <v/>
          </cell>
          <cell r="N2978">
            <v>0</v>
          </cell>
        </row>
        <row r="2979">
          <cell r="A2979">
            <v>5145</v>
          </cell>
          <cell r="B2979" t="str">
            <v>22/05/2014</v>
          </cell>
          <cell r="C2979" t="str">
            <v>CALLOUT</v>
          </cell>
          <cell r="D2979" t="str">
            <v>Replace 1no window handle and 7no latches to replace missing</v>
          </cell>
          <cell r="E2979" t="str">
            <v>AEP (NE) LLP</v>
          </cell>
          <cell r="F2979" t="str">
            <v>Subcontractor</v>
          </cell>
          <cell r="G2979" t="str">
            <v/>
          </cell>
          <cell r="H2979" t="str">
            <v/>
          </cell>
          <cell r="I2979" t="str">
            <v/>
          </cell>
          <cell r="J2979">
            <v>157.36000000000001</v>
          </cell>
          <cell r="K2979">
            <v>31.47</v>
          </cell>
          <cell r="L2979">
            <v>157.36000000000001</v>
          </cell>
          <cell r="M2979" t="str">
            <v/>
          </cell>
          <cell r="N2979">
            <v>0</v>
          </cell>
        </row>
        <row r="2980">
          <cell r="A2980">
            <v>5131</v>
          </cell>
          <cell r="B2980" t="str">
            <v>21/05/2014</v>
          </cell>
          <cell r="C2980" t="str">
            <v>C1202</v>
          </cell>
          <cell r="D2980" t="str">
            <v>AC &amp; VENT WORKS</v>
          </cell>
          <cell r="E2980" t="str">
            <v>Cooling Aspects Limited</v>
          </cell>
          <cell r="F2980" t="str">
            <v>Subcontractor</v>
          </cell>
          <cell r="G2980" t="str">
            <v/>
          </cell>
          <cell r="H2980" t="str">
            <v/>
          </cell>
          <cell r="I2980" t="str">
            <v/>
          </cell>
          <cell r="J2980">
            <v>16450</v>
          </cell>
          <cell r="K2980">
            <v>3290</v>
          </cell>
          <cell r="L2980">
            <v>16450</v>
          </cell>
          <cell r="M2980" t="str">
            <v/>
          </cell>
          <cell r="N2980">
            <v>0</v>
          </cell>
        </row>
        <row r="2981">
          <cell r="A2981">
            <v>5130</v>
          </cell>
          <cell r="B2981" t="str">
            <v>21/05/2014</v>
          </cell>
          <cell r="C2981" t="str">
            <v>C1203</v>
          </cell>
          <cell r="D2981" t="str">
            <v>AC &amp; vent works</v>
          </cell>
          <cell r="E2981" t="str">
            <v>Cooling Aspects Limited</v>
          </cell>
          <cell r="F2981" t="str">
            <v>Subcontractor</v>
          </cell>
          <cell r="G2981" t="str">
            <v/>
          </cell>
          <cell r="H2981" t="str">
            <v>Part</v>
          </cell>
          <cell r="I2981" t="str">
            <v/>
          </cell>
          <cell r="J2981">
            <v>12500</v>
          </cell>
          <cell r="K2981">
            <v>2500</v>
          </cell>
          <cell r="L2981">
            <v>12500</v>
          </cell>
          <cell r="M2981" t="str">
            <v/>
          </cell>
          <cell r="N2981">
            <v>0</v>
          </cell>
        </row>
        <row r="2982">
          <cell r="A2982">
            <v>5125</v>
          </cell>
          <cell r="B2982" t="str">
            <v>20/05/2014</v>
          </cell>
          <cell r="C2982" t="str">
            <v>CALLOUT</v>
          </cell>
          <cell r="D2982" t="str">
            <v>Attended Site Error Code U4 faults on 16.05.2014</v>
          </cell>
          <cell r="E2982" t="str">
            <v>Premier Air Control</v>
          </cell>
          <cell r="F2982" t="str">
            <v>Subcontractor</v>
          </cell>
          <cell r="G2982" t="str">
            <v/>
          </cell>
          <cell r="H2982" t="str">
            <v/>
          </cell>
          <cell r="I2982" t="str">
            <v/>
          </cell>
          <cell r="J2982">
            <v>110</v>
          </cell>
          <cell r="K2982">
            <v>22</v>
          </cell>
          <cell r="L2982">
            <v>110</v>
          </cell>
          <cell r="M2982" t="str">
            <v/>
          </cell>
          <cell r="N2982">
            <v>0</v>
          </cell>
        </row>
        <row r="2983">
          <cell r="A2983">
            <v>5118</v>
          </cell>
          <cell r="B2983" t="str">
            <v>19/05/2014</v>
          </cell>
          <cell r="C2983" t="str">
            <v>CALLOUT</v>
          </cell>
          <cell r="D2983" t="str">
            <v>Carried out Heating Maintenance</v>
          </cell>
          <cell r="E2983" t="str">
            <v>A Jones Heating &amp; Plumbing</v>
          </cell>
          <cell r="F2983" t="str">
            <v>Subcontractor</v>
          </cell>
          <cell r="G2983" t="str">
            <v/>
          </cell>
          <cell r="H2983" t="str">
            <v/>
          </cell>
          <cell r="I2983" t="str">
            <v/>
          </cell>
          <cell r="J2983">
            <v>170</v>
          </cell>
          <cell r="K2983">
            <v>0</v>
          </cell>
          <cell r="L2983">
            <v>170</v>
          </cell>
          <cell r="M2983" t="str">
            <v/>
          </cell>
          <cell r="N2983">
            <v>0</v>
          </cell>
        </row>
        <row r="2984">
          <cell r="A2984">
            <v>5108</v>
          </cell>
          <cell r="B2984" t="str">
            <v>15/05/2014</v>
          </cell>
          <cell r="C2984" t="str">
            <v>C1205</v>
          </cell>
          <cell r="D2984" t="str">
            <v>1st &amp; 2nd Fix Installation of all Ductwork &amp; Equipment as sh</v>
          </cell>
          <cell r="E2984" t="str">
            <v>The Wright Installations Ltd</v>
          </cell>
          <cell r="F2984" t="str">
            <v>Subcontractor</v>
          </cell>
          <cell r="G2984" t="str">
            <v/>
          </cell>
          <cell r="H2984" t="str">
            <v>Part</v>
          </cell>
          <cell r="I2984" t="str">
            <v/>
          </cell>
          <cell r="J2984">
            <v>14300</v>
          </cell>
          <cell r="K2984">
            <v>2860</v>
          </cell>
          <cell r="L2984">
            <v>14300</v>
          </cell>
          <cell r="M2984" t="str">
            <v/>
          </cell>
          <cell r="N2984">
            <v>0</v>
          </cell>
        </row>
        <row r="2985">
          <cell r="A2985">
            <v>5100</v>
          </cell>
          <cell r="B2985" t="str">
            <v>13/05/2014</v>
          </cell>
          <cell r="C2985" t="str">
            <v>C1204</v>
          </cell>
          <cell r="D2985" t="str">
            <v>Carry out works as per quotation ref: TN-MW-NW-01</v>
          </cell>
          <cell r="E2985" t="str">
            <v>Scottfab Insulation Ltd</v>
          </cell>
          <cell r="F2985" t="str">
            <v>Subcontractor</v>
          </cell>
          <cell r="G2985" t="str">
            <v/>
          </cell>
          <cell r="H2985" t="str">
            <v/>
          </cell>
          <cell r="I2985" t="str">
            <v/>
          </cell>
          <cell r="J2985">
            <v>2400</v>
          </cell>
          <cell r="K2985">
            <v>480</v>
          </cell>
          <cell r="L2985">
            <v>2400</v>
          </cell>
          <cell r="M2985" t="str">
            <v/>
          </cell>
          <cell r="N2985">
            <v>0</v>
          </cell>
        </row>
        <row r="2986">
          <cell r="A2986">
            <v>5090</v>
          </cell>
          <cell r="B2986" t="str">
            <v>09/05/2014</v>
          </cell>
          <cell r="C2986" t="str">
            <v>CALLOUT</v>
          </cell>
          <cell r="D2986" t="str">
            <v>Attended Site for U4 Code on AC System in Comms Room</v>
          </cell>
          <cell r="E2986" t="str">
            <v>Premier Air Control</v>
          </cell>
          <cell r="F2986" t="str">
            <v>Subcontractor</v>
          </cell>
          <cell r="G2986" t="str">
            <v/>
          </cell>
          <cell r="H2986" t="str">
            <v/>
          </cell>
          <cell r="I2986" t="str">
            <v/>
          </cell>
          <cell r="J2986">
            <v>100</v>
          </cell>
          <cell r="K2986">
            <v>20</v>
          </cell>
          <cell r="L2986">
            <v>100</v>
          </cell>
          <cell r="M2986" t="str">
            <v/>
          </cell>
          <cell r="N2986">
            <v>0</v>
          </cell>
        </row>
        <row r="2987">
          <cell r="A2987">
            <v>5088</v>
          </cell>
          <cell r="B2987" t="str">
            <v>09/05/2014</v>
          </cell>
          <cell r="C2987" t="str">
            <v>SERVICE</v>
          </cell>
          <cell r="D2987" t="str">
            <v>Carried out AC Maintenance</v>
          </cell>
          <cell r="E2987" t="str">
            <v>Premier Air Control</v>
          </cell>
          <cell r="F2987" t="str">
            <v>Subcontractor</v>
          </cell>
          <cell r="G2987" t="str">
            <v/>
          </cell>
          <cell r="H2987" t="str">
            <v/>
          </cell>
          <cell r="I2987" t="str">
            <v/>
          </cell>
          <cell r="J2987">
            <v>70</v>
          </cell>
          <cell r="K2987">
            <v>14</v>
          </cell>
          <cell r="L2987">
            <v>70</v>
          </cell>
          <cell r="M2987" t="str">
            <v/>
          </cell>
          <cell r="N2987">
            <v>0</v>
          </cell>
        </row>
        <row r="2988">
          <cell r="A2988">
            <v>5087</v>
          </cell>
          <cell r="B2988" t="str">
            <v>09/05/2014</v>
          </cell>
          <cell r="C2988" t="str">
            <v>CALLOUT</v>
          </cell>
          <cell r="D2988" t="str">
            <v>Investigate Immersion Water Heater not Working</v>
          </cell>
          <cell r="E2988" t="str">
            <v>SpaGas Ltd</v>
          </cell>
          <cell r="F2988" t="str">
            <v>Subcontractor</v>
          </cell>
          <cell r="G2988" t="str">
            <v/>
          </cell>
          <cell r="H2988" t="str">
            <v/>
          </cell>
          <cell r="I2988" t="str">
            <v/>
          </cell>
          <cell r="J2988">
            <v>55</v>
          </cell>
          <cell r="K2988">
            <v>11</v>
          </cell>
          <cell r="L2988">
            <v>55</v>
          </cell>
          <cell r="M2988" t="str">
            <v/>
          </cell>
          <cell r="N2988">
            <v>0</v>
          </cell>
        </row>
        <row r="2989">
          <cell r="A2989">
            <v>5074</v>
          </cell>
          <cell r="B2989" t="str">
            <v>07/05/2014</v>
          </cell>
          <cell r="C2989" t="str">
            <v>SERVICE</v>
          </cell>
          <cell r="D2989" t="str">
            <v>Carry out Boiler Maintenance</v>
          </cell>
          <cell r="E2989" t="str">
            <v>SpaGas Ltd</v>
          </cell>
          <cell r="F2989" t="str">
            <v>Subcontractor</v>
          </cell>
          <cell r="G2989" t="str">
            <v/>
          </cell>
          <cell r="H2989" t="str">
            <v/>
          </cell>
          <cell r="I2989" t="str">
            <v/>
          </cell>
          <cell r="J2989">
            <v>200</v>
          </cell>
          <cell r="K2989">
            <v>40</v>
          </cell>
          <cell r="L2989">
            <v>200</v>
          </cell>
          <cell r="M2989" t="str">
            <v/>
          </cell>
          <cell r="N2989">
            <v>0</v>
          </cell>
        </row>
        <row r="2990">
          <cell r="A2990">
            <v>5047</v>
          </cell>
          <cell r="B2990" t="str">
            <v>30/04/2014</v>
          </cell>
          <cell r="C2990" t="str">
            <v>CALLOUT</v>
          </cell>
          <cell r="D2990" t="str">
            <v>Carry out works as per your quotation dated 30.04.0214</v>
          </cell>
          <cell r="E2990" t="str">
            <v>R &amp; H Insulations</v>
          </cell>
          <cell r="F2990" t="str">
            <v>Subcontractor</v>
          </cell>
          <cell r="G2990" t="str">
            <v/>
          </cell>
          <cell r="H2990" t="str">
            <v/>
          </cell>
          <cell r="I2990" t="str">
            <v/>
          </cell>
          <cell r="J2990">
            <v>475</v>
          </cell>
          <cell r="K2990">
            <v>95</v>
          </cell>
          <cell r="L2990">
            <v>475</v>
          </cell>
          <cell r="M2990" t="str">
            <v/>
          </cell>
          <cell r="N2990">
            <v>0</v>
          </cell>
        </row>
        <row r="2991">
          <cell r="A2991">
            <v>5044</v>
          </cell>
          <cell r="B2991" t="str">
            <v>30/04/2014</v>
          </cell>
          <cell r="C2991" t="str">
            <v>CALLOUT</v>
          </cell>
          <cell r="D2991" t="str">
            <v>Attended Site to replace replace 4no Lamp</v>
          </cell>
          <cell r="E2991" t="str">
            <v>Barrie Beard Ltd</v>
          </cell>
          <cell r="F2991" t="str">
            <v>Subcontractor</v>
          </cell>
          <cell r="G2991" t="str">
            <v/>
          </cell>
          <cell r="H2991" t="str">
            <v/>
          </cell>
          <cell r="I2991" t="str">
            <v/>
          </cell>
          <cell r="J2991">
            <v>99</v>
          </cell>
          <cell r="K2991">
            <v>19.8</v>
          </cell>
          <cell r="L2991">
            <v>99</v>
          </cell>
          <cell r="M2991" t="str">
            <v/>
          </cell>
          <cell r="N2991">
            <v>0</v>
          </cell>
        </row>
        <row r="2992">
          <cell r="A2992">
            <v>5041</v>
          </cell>
          <cell r="B2992" t="str">
            <v>30/04/2014</v>
          </cell>
          <cell r="C2992" t="str">
            <v>C1199</v>
          </cell>
          <cell r="D2992" t="str">
            <v>Fitting of all Ductwork &amp; Plant Equipment</v>
          </cell>
          <cell r="E2992" t="str">
            <v>The Wright Installations Ltd</v>
          </cell>
          <cell r="F2992" t="str">
            <v>Subcontractor</v>
          </cell>
          <cell r="G2992" t="str">
            <v/>
          </cell>
          <cell r="H2992" t="str">
            <v/>
          </cell>
          <cell r="I2992" t="str">
            <v/>
          </cell>
          <cell r="J2992">
            <v>18175</v>
          </cell>
          <cell r="K2992">
            <v>3635</v>
          </cell>
          <cell r="L2992">
            <v>18175</v>
          </cell>
          <cell r="M2992" t="str">
            <v/>
          </cell>
          <cell r="N2992">
            <v>0</v>
          </cell>
        </row>
        <row r="2993">
          <cell r="A2993">
            <v>5040</v>
          </cell>
          <cell r="B2993" t="str">
            <v>30/04/2014</v>
          </cell>
          <cell r="C2993" t="str">
            <v>C1200</v>
          </cell>
          <cell r="D2993" t="str">
            <v>Insulation - Key to deduct lodge &amp; materials from this order</v>
          </cell>
          <cell r="E2993" t="str">
            <v>Ventil-Eight Systems Limited</v>
          </cell>
          <cell r="F2993" t="str">
            <v>Subcontractor</v>
          </cell>
          <cell r="G2993" t="str">
            <v/>
          </cell>
          <cell r="H2993" t="str">
            <v>Part</v>
          </cell>
          <cell r="I2993" t="str">
            <v/>
          </cell>
          <cell r="J2993">
            <v>9600</v>
          </cell>
          <cell r="K2993">
            <v>0</v>
          </cell>
          <cell r="L2993">
            <v>9600</v>
          </cell>
          <cell r="M2993" t="str">
            <v/>
          </cell>
          <cell r="N2993">
            <v>0</v>
          </cell>
        </row>
        <row r="2994">
          <cell r="A2994">
            <v>5039</v>
          </cell>
          <cell r="B2994" t="str">
            <v>30/04/2014</v>
          </cell>
          <cell r="C2994" t="str">
            <v>C1200</v>
          </cell>
          <cell r="D2994" t="str">
            <v>Fitting of all Ductwork &amp; Plant Equipment</v>
          </cell>
          <cell r="E2994" t="str">
            <v>Ventil-Eight Systems Limited</v>
          </cell>
          <cell r="F2994" t="str">
            <v>Subcontractor</v>
          </cell>
          <cell r="G2994" t="str">
            <v/>
          </cell>
          <cell r="H2994" t="str">
            <v>Part</v>
          </cell>
          <cell r="I2994" t="str">
            <v/>
          </cell>
          <cell r="J2994">
            <v>7650</v>
          </cell>
          <cell r="K2994">
            <v>1530</v>
          </cell>
          <cell r="L2994">
            <v>7650</v>
          </cell>
          <cell r="M2994" t="str">
            <v/>
          </cell>
          <cell r="N2994">
            <v>0</v>
          </cell>
        </row>
        <row r="2995">
          <cell r="A2995">
            <v>5038</v>
          </cell>
          <cell r="B2995" t="str">
            <v>30/04/2014</v>
          </cell>
          <cell r="C2995" t="str">
            <v>C1198</v>
          </cell>
          <cell r="D2995" t="str">
            <v>Fitting of all Ductwork, Insulation &amp; Plant Equipment</v>
          </cell>
          <cell r="E2995" t="str">
            <v>Ventil-Eight Systems Limited</v>
          </cell>
          <cell r="F2995" t="str">
            <v>Subcontractor</v>
          </cell>
          <cell r="G2995" t="str">
            <v/>
          </cell>
          <cell r="H2995" t="str">
            <v>Part</v>
          </cell>
          <cell r="I2995" t="str">
            <v/>
          </cell>
          <cell r="J2995">
            <v>6275</v>
          </cell>
          <cell r="K2995">
            <v>1255</v>
          </cell>
          <cell r="L2995">
            <v>6275</v>
          </cell>
          <cell r="M2995" t="str">
            <v/>
          </cell>
          <cell r="N2995">
            <v>0</v>
          </cell>
        </row>
        <row r="2996">
          <cell r="A2996">
            <v>5026</v>
          </cell>
          <cell r="B2996" t="str">
            <v>28/04/2014</v>
          </cell>
          <cell r="C2996" t="str">
            <v>CALLOUT</v>
          </cell>
          <cell r="D2996" t="str">
            <v>Carried out maintenance LPG Burner</v>
          </cell>
          <cell r="E2996" t="str">
            <v>A Jones Heating &amp; Plumbing</v>
          </cell>
          <cell r="F2996" t="str">
            <v>Subcontractor</v>
          </cell>
          <cell r="G2996" t="str">
            <v/>
          </cell>
          <cell r="H2996" t="str">
            <v/>
          </cell>
          <cell r="I2996" t="str">
            <v/>
          </cell>
          <cell r="J2996">
            <v>160</v>
          </cell>
          <cell r="K2996">
            <v>0</v>
          </cell>
          <cell r="L2996">
            <v>160</v>
          </cell>
          <cell r="M2996" t="str">
            <v/>
          </cell>
          <cell r="N2996">
            <v>0</v>
          </cell>
        </row>
        <row r="2997">
          <cell r="A2997">
            <v>5025</v>
          </cell>
          <cell r="B2997" t="str">
            <v>28/04/2014</v>
          </cell>
          <cell r="C2997" t="str">
            <v>CALLOUT</v>
          </cell>
          <cell r="D2997" t="str">
            <v>Carried out boiler maintenance</v>
          </cell>
          <cell r="E2997" t="str">
            <v>A Jones Heating &amp; Plumbing</v>
          </cell>
          <cell r="F2997" t="str">
            <v>Subcontractor</v>
          </cell>
          <cell r="G2997" t="str">
            <v/>
          </cell>
          <cell r="H2997" t="str">
            <v/>
          </cell>
          <cell r="I2997" t="str">
            <v/>
          </cell>
          <cell r="J2997">
            <v>190</v>
          </cell>
          <cell r="K2997">
            <v>0</v>
          </cell>
          <cell r="L2997">
            <v>190</v>
          </cell>
          <cell r="M2997" t="str">
            <v/>
          </cell>
          <cell r="N2997">
            <v>0</v>
          </cell>
        </row>
        <row r="2998">
          <cell r="A2998">
            <v>5016</v>
          </cell>
          <cell r="B2998" t="str">
            <v>24/04/2014</v>
          </cell>
          <cell r="C2998" t="str">
            <v>CALLOUT</v>
          </cell>
          <cell r="D2998" t="str">
            <v>Replacer 2 non return valves next to the return pump</v>
          </cell>
          <cell r="E2998" t="str">
            <v>K Gammon Plumbing &amp; Heating Ltd</v>
          </cell>
          <cell r="F2998" t="str">
            <v>Subcontractor</v>
          </cell>
          <cell r="G2998" t="str">
            <v/>
          </cell>
          <cell r="H2998" t="str">
            <v/>
          </cell>
          <cell r="I2998" t="str">
            <v/>
          </cell>
          <cell r="J2998">
            <v>348</v>
          </cell>
          <cell r="K2998">
            <v>69.599999999999994</v>
          </cell>
          <cell r="L2998">
            <v>348</v>
          </cell>
          <cell r="M2998" t="str">
            <v/>
          </cell>
          <cell r="N2998">
            <v>0</v>
          </cell>
        </row>
        <row r="2999">
          <cell r="A2999">
            <v>5015</v>
          </cell>
          <cell r="B2999" t="str">
            <v>24/04/2014</v>
          </cell>
          <cell r="C2999" t="str">
            <v>CALLOUT</v>
          </cell>
          <cell r="D2999" t="str">
            <v>Relocate AC Unit</v>
          </cell>
          <cell r="E2999" t="str">
            <v>F Gas Certification Limited</v>
          </cell>
          <cell r="F2999" t="str">
            <v>Subcontractor</v>
          </cell>
          <cell r="G2999" t="str">
            <v/>
          </cell>
          <cell r="H2999" t="str">
            <v/>
          </cell>
          <cell r="I2999" t="str">
            <v/>
          </cell>
          <cell r="J2999">
            <v>380</v>
          </cell>
          <cell r="K2999">
            <v>76</v>
          </cell>
          <cell r="L2999">
            <v>380</v>
          </cell>
          <cell r="M2999" t="str">
            <v/>
          </cell>
          <cell r="N2999">
            <v>0</v>
          </cell>
        </row>
        <row r="3000">
          <cell r="A3000">
            <v>5014</v>
          </cell>
          <cell r="B3000" t="str">
            <v>24/04/2014</v>
          </cell>
          <cell r="C3000" t="str">
            <v>CALLOUT</v>
          </cell>
          <cell r="D3000" t="str">
            <v>Installed Window Fan</v>
          </cell>
          <cell r="E3000" t="str">
            <v>Cooling Aspects Limited</v>
          </cell>
          <cell r="F3000" t="str">
            <v>Subcontractor</v>
          </cell>
          <cell r="G3000" t="str">
            <v/>
          </cell>
          <cell r="H3000" t="str">
            <v/>
          </cell>
          <cell r="I3000" t="str">
            <v/>
          </cell>
          <cell r="J3000">
            <v>50</v>
          </cell>
          <cell r="K3000">
            <v>10</v>
          </cell>
          <cell r="L3000">
            <v>50</v>
          </cell>
          <cell r="M3000" t="str">
            <v/>
          </cell>
          <cell r="N3000">
            <v>0</v>
          </cell>
        </row>
        <row r="3001">
          <cell r="A3001">
            <v>5013</v>
          </cell>
          <cell r="B3001" t="str">
            <v>24/04/2014</v>
          </cell>
          <cell r="C3001" t="str">
            <v>CALLOUT</v>
          </cell>
          <cell r="D3001" t="str">
            <v>Carried out site survey</v>
          </cell>
          <cell r="E3001" t="str">
            <v>Cooling Aspects Limited</v>
          </cell>
          <cell r="F3001" t="str">
            <v>Subcontractor</v>
          </cell>
          <cell r="G3001" t="str">
            <v/>
          </cell>
          <cell r="H3001" t="str">
            <v/>
          </cell>
          <cell r="I3001" t="str">
            <v/>
          </cell>
          <cell r="J3001">
            <v>50</v>
          </cell>
          <cell r="K3001">
            <v>10</v>
          </cell>
          <cell r="L3001">
            <v>50</v>
          </cell>
          <cell r="M3001" t="str">
            <v/>
          </cell>
          <cell r="N3001">
            <v>0</v>
          </cell>
        </row>
        <row r="3002">
          <cell r="A3002">
            <v>5008</v>
          </cell>
          <cell r="B3002" t="str">
            <v>23/04/2014</v>
          </cell>
          <cell r="C3002" t="str">
            <v>CALLOUT</v>
          </cell>
          <cell r="D3002" t="str">
            <v>carry out works as per your email dated 22nd April 2014</v>
          </cell>
          <cell r="E3002" t="str">
            <v>K Gammon Plumbing &amp; Heating Ltd</v>
          </cell>
          <cell r="F3002" t="str">
            <v>Subcontractor</v>
          </cell>
          <cell r="G3002" t="str">
            <v/>
          </cell>
          <cell r="H3002" t="str">
            <v/>
          </cell>
          <cell r="I3002" t="str">
            <v/>
          </cell>
          <cell r="J3002">
            <v>2229.33</v>
          </cell>
          <cell r="K3002">
            <v>445.87</v>
          </cell>
          <cell r="L3002">
            <v>2229.33</v>
          </cell>
          <cell r="M3002" t="str">
            <v/>
          </cell>
          <cell r="N3002">
            <v>0</v>
          </cell>
        </row>
        <row r="3003">
          <cell r="A3003">
            <v>5003</v>
          </cell>
          <cell r="B3003" t="str">
            <v>22/04/2014</v>
          </cell>
          <cell r="C3003" t="str">
            <v>C1201</v>
          </cell>
          <cell r="D3003" t="str">
            <v>Strip out &amp; install works at Posat Office Grimsby</v>
          </cell>
          <cell r="E3003" t="str">
            <v>Cooling Aspects Limited</v>
          </cell>
          <cell r="F3003" t="str">
            <v>Subcontractor</v>
          </cell>
          <cell r="G3003" t="str">
            <v/>
          </cell>
          <cell r="H3003" t="str">
            <v/>
          </cell>
          <cell r="I3003" t="str">
            <v/>
          </cell>
          <cell r="J3003">
            <v>21500</v>
          </cell>
          <cell r="K3003">
            <v>4300</v>
          </cell>
          <cell r="L3003">
            <v>21500</v>
          </cell>
          <cell r="M3003" t="str">
            <v/>
          </cell>
          <cell r="N3003">
            <v>0</v>
          </cell>
        </row>
        <row r="3004">
          <cell r="A3004">
            <v>5000</v>
          </cell>
          <cell r="B3004" t="str">
            <v>17/04/2014</v>
          </cell>
          <cell r="C3004" t="str">
            <v>CALLOUT</v>
          </cell>
          <cell r="D3004" t="str">
            <v>Investigate Loud Vibrating Noise in Ladies Toilet - Ground F</v>
          </cell>
          <cell r="E3004" t="str">
            <v>AEP (NE) LLP</v>
          </cell>
          <cell r="F3004" t="str">
            <v>Subcontractor</v>
          </cell>
          <cell r="G3004" t="str">
            <v/>
          </cell>
          <cell r="H3004" t="str">
            <v>Part</v>
          </cell>
          <cell r="I3004" t="str">
            <v/>
          </cell>
          <cell r="J3004">
            <v>147.69999999999999</v>
          </cell>
          <cell r="K3004">
            <v>29.54</v>
          </cell>
          <cell r="L3004">
            <v>147.69999999999999</v>
          </cell>
          <cell r="M3004" t="str">
            <v/>
          </cell>
          <cell r="N3004">
            <v>0</v>
          </cell>
        </row>
        <row r="3005">
          <cell r="A3005">
            <v>4997</v>
          </cell>
          <cell r="B3005" t="str">
            <v>17/04/2014</v>
          </cell>
          <cell r="C3005" t="str">
            <v>C1178</v>
          </cell>
          <cell r="D3005" t="str">
            <v>Attended Site to carry out maintenance visit along with Joe</v>
          </cell>
          <cell r="E3005" t="str">
            <v>A Jones Heating &amp; Plumbing</v>
          </cell>
          <cell r="F3005" t="str">
            <v>Subcontractor</v>
          </cell>
          <cell r="G3005" t="str">
            <v/>
          </cell>
          <cell r="H3005" t="str">
            <v/>
          </cell>
          <cell r="I3005" t="str">
            <v/>
          </cell>
          <cell r="J3005">
            <v>200</v>
          </cell>
          <cell r="K3005">
            <v>0</v>
          </cell>
          <cell r="L3005">
            <v>200</v>
          </cell>
          <cell r="M3005" t="str">
            <v/>
          </cell>
          <cell r="N3005">
            <v>0</v>
          </cell>
        </row>
        <row r="3006">
          <cell r="A3006">
            <v>4995</v>
          </cell>
          <cell r="B3006" t="str">
            <v>17/04/2014</v>
          </cell>
          <cell r="C3006" t="str">
            <v>CALLOUT</v>
          </cell>
          <cell r="D3006" t="str">
            <v>Carried out Site Survey on Friday 11th April 2014</v>
          </cell>
          <cell r="E3006" t="str">
            <v>A Jones Heating &amp; Plumbing</v>
          </cell>
          <cell r="F3006" t="str">
            <v>Subcontractor</v>
          </cell>
          <cell r="G3006" t="str">
            <v/>
          </cell>
          <cell r="H3006" t="str">
            <v/>
          </cell>
          <cell r="I3006" t="str">
            <v/>
          </cell>
          <cell r="J3006">
            <v>85</v>
          </cell>
          <cell r="K3006">
            <v>0</v>
          </cell>
          <cell r="L3006">
            <v>85</v>
          </cell>
          <cell r="M3006" t="str">
            <v/>
          </cell>
          <cell r="N3006">
            <v>0</v>
          </cell>
        </row>
        <row r="3007">
          <cell r="A3007">
            <v>4994</v>
          </cell>
          <cell r="B3007" t="str">
            <v>17/04/2014</v>
          </cell>
          <cell r="C3007" t="str">
            <v>CALLOUT</v>
          </cell>
          <cell r="D3007" t="str">
            <v>Works Carried Out at Ash Grange Care Home</v>
          </cell>
          <cell r="E3007" t="str">
            <v>A Jones Heating &amp; Plumbing</v>
          </cell>
          <cell r="F3007" t="str">
            <v>Subcontractor</v>
          </cell>
          <cell r="G3007" t="str">
            <v/>
          </cell>
          <cell r="H3007" t="str">
            <v/>
          </cell>
          <cell r="I3007" t="str">
            <v/>
          </cell>
          <cell r="J3007">
            <v>200</v>
          </cell>
          <cell r="K3007">
            <v>0</v>
          </cell>
          <cell r="L3007">
            <v>200</v>
          </cell>
          <cell r="M3007" t="str">
            <v/>
          </cell>
          <cell r="N3007">
            <v>0</v>
          </cell>
        </row>
        <row r="3008">
          <cell r="A3008">
            <v>4993</v>
          </cell>
          <cell r="B3008" t="str">
            <v>17/04/2014</v>
          </cell>
          <cell r="C3008" t="str">
            <v>CALLOUT</v>
          </cell>
          <cell r="D3008" t="str">
            <v>Supply and Install as per your quote ref:</v>
          </cell>
          <cell r="E3008" t="str">
            <v>Johnson Controls Ltd</v>
          </cell>
          <cell r="F3008" t="str">
            <v>Subcontractor</v>
          </cell>
          <cell r="G3008" t="str">
            <v/>
          </cell>
          <cell r="H3008" t="str">
            <v/>
          </cell>
          <cell r="I3008" t="str">
            <v/>
          </cell>
          <cell r="J3008">
            <v>3147.73</v>
          </cell>
          <cell r="K3008">
            <v>629.54999999999995</v>
          </cell>
          <cell r="L3008">
            <v>3147.73</v>
          </cell>
          <cell r="M3008" t="str">
            <v/>
          </cell>
          <cell r="N3008">
            <v>0</v>
          </cell>
        </row>
        <row r="3009">
          <cell r="A3009">
            <v>4989</v>
          </cell>
          <cell r="B3009" t="str">
            <v>16/04/2014</v>
          </cell>
          <cell r="C3009" t="str">
            <v>CALLOUT</v>
          </cell>
          <cell r="D3009" t="str">
            <v>Cary out works as agreed with Mark Poulton</v>
          </cell>
          <cell r="E3009" t="str">
            <v>Technical Building Services</v>
          </cell>
          <cell r="F3009" t="str">
            <v>Subcontractor</v>
          </cell>
          <cell r="G3009" t="str">
            <v/>
          </cell>
          <cell r="H3009" t="str">
            <v/>
          </cell>
          <cell r="I3009" t="str">
            <v/>
          </cell>
          <cell r="J3009">
            <v>1922.5</v>
          </cell>
          <cell r="K3009">
            <v>384.5</v>
          </cell>
          <cell r="L3009">
            <v>1922.5</v>
          </cell>
          <cell r="M3009" t="str">
            <v/>
          </cell>
          <cell r="N3009">
            <v>0</v>
          </cell>
        </row>
        <row r="3010">
          <cell r="A3010">
            <v>4985</v>
          </cell>
          <cell r="B3010" t="str">
            <v>15/04/2014</v>
          </cell>
          <cell r="C3010" t="str">
            <v>CALLOUT</v>
          </cell>
          <cell r="D3010" t="str">
            <v>Attended Site Various Lighting Issues</v>
          </cell>
          <cell r="E3010" t="str">
            <v>Barrie Beard Ltd</v>
          </cell>
          <cell r="F3010" t="str">
            <v>Subcontractor</v>
          </cell>
          <cell r="G3010" t="str">
            <v/>
          </cell>
          <cell r="H3010" t="str">
            <v/>
          </cell>
          <cell r="I3010" t="str">
            <v/>
          </cell>
          <cell r="J3010">
            <v>152.5</v>
          </cell>
          <cell r="K3010">
            <v>30.5</v>
          </cell>
          <cell r="L3010">
            <v>152.5</v>
          </cell>
          <cell r="M3010" t="str">
            <v/>
          </cell>
          <cell r="N3010">
            <v>0</v>
          </cell>
        </row>
        <row r="3011">
          <cell r="A3011">
            <v>4967</v>
          </cell>
          <cell r="B3011" t="str">
            <v>10/04/2014</v>
          </cell>
          <cell r="C3011" t="str">
            <v>SERVICE</v>
          </cell>
          <cell r="D3011" t="str">
            <v>Boiler Maintenance - Glow Worm Ultra Com2 35cxi</v>
          </cell>
          <cell r="E3011" t="str">
            <v>AEP (NE) LLP</v>
          </cell>
          <cell r="F3011" t="str">
            <v>Subcontractor</v>
          </cell>
          <cell r="G3011" t="str">
            <v/>
          </cell>
          <cell r="H3011" t="str">
            <v/>
          </cell>
          <cell r="I3011" t="str">
            <v/>
          </cell>
          <cell r="J3011">
            <v>55</v>
          </cell>
          <cell r="K3011">
            <v>11</v>
          </cell>
          <cell r="L3011">
            <v>55</v>
          </cell>
          <cell r="M3011" t="str">
            <v/>
          </cell>
          <cell r="N3011">
            <v>0</v>
          </cell>
        </row>
        <row r="3012">
          <cell r="A3012">
            <v>4956</v>
          </cell>
          <cell r="B3012" t="str">
            <v>08/04/2014</v>
          </cell>
          <cell r="C3012" t="str">
            <v>SERVICE</v>
          </cell>
          <cell r="D3012" t="str">
            <v>AC Maintenance - 1no Wall Mounted AC Unit in Comms Room</v>
          </cell>
          <cell r="E3012" t="str">
            <v>Adcock Refrigeration &amp; Air Conditioning</v>
          </cell>
          <cell r="F3012" t="str">
            <v>Subcontractor</v>
          </cell>
          <cell r="G3012" t="str">
            <v/>
          </cell>
          <cell r="H3012" t="str">
            <v/>
          </cell>
          <cell r="I3012" t="str">
            <v/>
          </cell>
          <cell r="J3012">
            <v>75</v>
          </cell>
          <cell r="K3012">
            <v>15</v>
          </cell>
          <cell r="L3012">
            <v>75</v>
          </cell>
          <cell r="M3012" t="str">
            <v/>
          </cell>
          <cell r="N3012">
            <v>0</v>
          </cell>
        </row>
        <row r="3013">
          <cell r="A3013">
            <v>4946</v>
          </cell>
          <cell r="B3013" t="str">
            <v>03/04/2014</v>
          </cell>
          <cell r="C3013" t="str">
            <v>CALLOUT</v>
          </cell>
          <cell r="D3013" t="str">
            <v>Hot Water Heater on 1st Floor - Ladies Toilet not Working</v>
          </cell>
          <cell r="E3013" t="str">
            <v>Foztek Limited</v>
          </cell>
          <cell r="F3013" t="str">
            <v>Subcontractor</v>
          </cell>
          <cell r="G3013" t="str">
            <v/>
          </cell>
          <cell r="H3013" t="str">
            <v/>
          </cell>
          <cell r="I3013" t="str">
            <v/>
          </cell>
          <cell r="J3013">
            <v>70</v>
          </cell>
          <cell r="K3013">
            <v>14</v>
          </cell>
          <cell r="L3013">
            <v>70</v>
          </cell>
          <cell r="M3013" t="str">
            <v/>
          </cell>
          <cell r="N3013">
            <v>0</v>
          </cell>
        </row>
        <row r="3014">
          <cell r="A3014">
            <v>4945</v>
          </cell>
          <cell r="B3014" t="str">
            <v>03/04/2014</v>
          </cell>
          <cell r="C3014" t="str">
            <v>CALLOUT</v>
          </cell>
          <cell r="D3014" t="str">
            <v>Attended Site AC Blowing Cold Air Only</v>
          </cell>
          <cell r="E3014" t="str">
            <v>Premier Air Control</v>
          </cell>
          <cell r="F3014" t="str">
            <v>Subcontractor</v>
          </cell>
          <cell r="G3014" t="str">
            <v/>
          </cell>
          <cell r="H3014" t="str">
            <v/>
          </cell>
          <cell r="I3014" t="str">
            <v/>
          </cell>
          <cell r="J3014">
            <v>77.5</v>
          </cell>
          <cell r="K3014">
            <v>15.5</v>
          </cell>
          <cell r="L3014">
            <v>77.5</v>
          </cell>
          <cell r="M3014" t="str">
            <v/>
          </cell>
          <cell r="N3014">
            <v>0</v>
          </cell>
        </row>
        <row r="3015">
          <cell r="A3015">
            <v>4944</v>
          </cell>
          <cell r="B3015" t="str">
            <v>03/04/2014</v>
          </cell>
          <cell r="C3015" t="str">
            <v>CALLOUT</v>
          </cell>
          <cell r="D3015" t="str">
            <v>Attended Site Water Leaking from AC in Comms Room</v>
          </cell>
          <cell r="E3015" t="str">
            <v>Premier Air Control</v>
          </cell>
          <cell r="F3015" t="str">
            <v>Subcontractor</v>
          </cell>
          <cell r="G3015" t="str">
            <v/>
          </cell>
          <cell r="H3015" t="str">
            <v/>
          </cell>
          <cell r="I3015" t="str">
            <v/>
          </cell>
          <cell r="J3015">
            <v>125</v>
          </cell>
          <cell r="K3015">
            <v>25</v>
          </cell>
          <cell r="L3015">
            <v>125</v>
          </cell>
          <cell r="M3015" t="str">
            <v/>
          </cell>
          <cell r="N3015">
            <v>0</v>
          </cell>
        </row>
        <row r="3016">
          <cell r="A3016">
            <v>4942</v>
          </cell>
          <cell r="B3016" t="str">
            <v>02/04/2014</v>
          </cell>
          <cell r="C3016" t="str">
            <v>CALLOUT</v>
          </cell>
          <cell r="D3016" t="str">
            <v>Attended site to investigate water leak</v>
          </cell>
          <cell r="E3016" t="str">
            <v>A Jones Heating &amp; Plumbing</v>
          </cell>
          <cell r="F3016" t="str">
            <v>Subcontractor</v>
          </cell>
          <cell r="G3016" t="str">
            <v/>
          </cell>
          <cell r="H3016" t="str">
            <v/>
          </cell>
          <cell r="I3016" t="str">
            <v/>
          </cell>
          <cell r="J3016">
            <v>120</v>
          </cell>
          <cell r="K3016">
            <v>0</v>
          </cell>
          <cell r="L3016">
            <v>120</v>
          </cell>
          <cell r="M3016" t="str">
            <v/>
          </cell>
          <cell r="N3016">
            <v>0</v>
          </cell>
        </row>
        <row r="3017">
          <cell r="A3017">
            <v>4927</v>
          </cell>
          <cell r="B3017" t="str">
            <v>31/03/2014</v>
          </cell>
          <cell r="C3017" t="str">
            <v>CALLOUT</v>
          </cell>
          <cell r="D3017" t="str">
            <v>Carry out survey &amp; take pictures as per email dated 31/03/20</v>
          </cell>
          <cell r="E3017" t="str">
            <v>F Gas Certification Limited</v>
          </cell>
          <cell r="F3017" t="str">
            <v>Subcontractor</v>
          </cell>
          <cell r="G3017" t="str">
            <v/>
          </cell>
          <cell r="H3017" t="str">
            <v/>
          </cell>
          <cell r="I3017" t="str">
            <v/>
          </cell>
          <cell r="J3017">
            <v>100</v>
          </cell>
          <cell r="K3017">
            <v>20</v>
          </cell>
          <cell r="L3017">
            <v>100</v>
          </cell>
          <cell r="M3017" t="str">
            <v/>
          </cell>
          <cell r="N3017">
            <v>0</v>
          </cell>
        </row>
        <row r="3018">
          <cell r="A3018">
            <v>4924</v>
          </cell>
          <cell r="B3018" t="str">
            <v>31/03/2014</v>
          </cell>
          <cell r="C3018" t="str">
            <v>SERVICE</v>
          </cell>
          <cell r="D3018" t="str">
            <v>Carried out Minor Service</v>
          </cell>
          <cell r="E3018" t="str">
            <v>A Jones Heating &amp; Plumbing</v>
          </cell>
          <cell r="F3018" t="str">
            <v>Subcontractor</v>
          </cell>
          <cell r="G3018" t="str">
            <v/>
          </cell>
          <cell r="H3018" t="str">
            <v/>
          </cell>
          <cell r="I3018" t="str">
            <v/>
          </cell>
          <cell r="J3018">
            <v>750</v>
          </cell>
          <cell r="K3018">
            <v>0</v>
          </cell>
          <cell r="L3018">
            <v>750</v>
          </cell>
          <cell r="M3018" t="str">
            <v/>
          </cell>
          <cell r="N3018">
            <v>0</v>
          </cell>
        </row>
        <row r="3019">
          <cell r="A3019">
            <v>4922</v>
          </cell>
          <cell r="B3019" t="str">
            <v>31/03/2014</v>
          </cell>
          <cell r="C3019" t="str">
            <v>CALLOUT</v>
          </cell>
          <cell r="D3019" t="str">
            <v>Supply Labour and Materials as agreed with Mark Poulton</v>
          </cell>
          <cell r="E3019" t="str">
            <v>Cooling Aspects Limited</v>
          </cell>
          <cell r="F3019" t="str">
            <v>Subcontractor</v>
          </cell>
          <cell r="G3019" t="str">
            <v/>
          </cell>
          <cell r="H3019" t="str">
            <v/>
          </cell>
          <cell r="I3019" t="str">
            <v/>
          </cell>
          <cell r="J3019">
            <v>5895</v>
          </cell>
          <cell r="K3019">
            <v>1179</v>
          </cell>
          <cell r="L3019">
            <v>5895</v>
          </cell>
          <cell r="M3019" t="str">
            <v/>
          </cell>
          <cell r="N3019">
            <v>0</v>
          </cell>
        </row>
        <row r="3020">
          <cell r="A3020">
            <v>4920</v>
          </cell>
          <cell r="B3020" t="str">
            <v>28/03/2014</v>
          </cell>
          <cell r="C3020" t="str">
            <v>CALLOUT</v>
          </cell>
          <cell r="D3020" t="str">
            <v>Investigate lights out</v>
          </cell>
          <cell r="E3020" t="str">
            <v>Barrie Beard Ltd</v>
          </cell>
          <cell r="F3020" t="str">
            <v>Subcontractor</v>
          </cell>
          <cell r="G3020" t="str">
            <v/>
          </cell>
          <cell r="H3020" t="str">
            <v/>
          </cell>
          <cell r="I3020" t="str">
            <v/>
          </cell>
          <cell r="J3020">
            <v>96</v>
          </cell>
          <cell r="K3020">
            <v>19.2</v>
          </cell>
          <cell r="L3020">
            <v>96</v>
          </cell>
          <cell r="M3020" t="str">
            <v/>
          </cell>
          <cell r="N3020">
            <v>0</v>
          </cell>
        </row>
        <row r="3021">
          <cell r="A3021">
            <v>4919</v>
          </cell>
          <cell r="B3021" t="str">
            <v>28/03/2014</v>
          </cell>
          <cell r="C3021" t="str">
            <v>CALLOUT</v>
          </cell>
          <cell r="D3021" t="str">
            <v>Attend site no electric to port of floor</v>
          </cell>
          <cell r="E3021" t="str">
            <v>Barrie Beard Ltd</v>
          </cell>
          <cell r="F3021" t="str">
            <v>Subcontractor</v>
          </cell>
          <cell r="G3021" t="str">
            <v/>
          </cell>
          <cell r="H3021" t="str">
            <v/>
          </cell>
          <cell r="I3021" t="str">
            <v/>
          </cell>
          <cell r="J3021">
            <v>35</v>
          </cell>
          <cell r="K3021">
            <v>7</v>
          </cell>
          <cell r="L3021">
            <v>35</v>
          </cell>
          <cell r="M3021" t="str">
            <v/>
          </cell>
          <cell r="N3021">
            <v>0</v>
          </cell>
        </row>
        <row r="3022">
          <cell r="A3022">
            <v>4918</v>
          </cell>
          <cell r="B3022" t="str">
            <v>28/03/2014</v>
          </cell>
          <cell r="C3022" t="str">
            <v>CALLOUT</v>
          </cell>
          <cell r="D3022" t="str">
            <v>Investigated lights staying on</v>
          </cell>
          <cell r="E3022" t="str">
            <v>Barrie Beard Ltd</v>
          </cell>
          <cell r="F3022" t="str">
            <v>Subcontractor</v>
          </cell>
          <cell r="G3022" t="str">
            <v/>
          </cell>
          <cell r="H3022" t="str">
            <v/>
          </cell>
          <cell r="I3022" t="str">
            <v/>
          </cell>
          <cell r="J3022">
            <v>180</v>
          </cell>
          <cell r="K3022">
            <v>36</v>
          </cell>
          <cell r="L3022">
            <v>180</v>
          </cell>
          <cell r="M3022" t="str">
            <v/>
          </cell>
          <cell r="N3022">
            <v>0</v>
          </cell>
        </row>
        <row r="3023">
          <cell r="A3023">
            <v>4914</v>
          </cell>
          <cell r="B3023" t="str">
            <v>27/03/2014</v>
          </cell>
          <cell r="C3023" t="str">
            <v>CALLOUT</v>
          </cell>
          <cell r="D3023" t="str">
            <v>Supply and Install new Temperature Display</v>
          </cell>
          <cell r="E3023" t="str">
            <v>First 4 Supplies Ltd t/a Airco Cooling Services</v>
          </cell>
          <cell r="F3023" t="str">
            <v>Subcontractor</v>
          </cell>
          <cell r="G3023" t="str">
            <v/>
          </cell>
          <cell r="H3023" t="str">
            <v/>
          </cell>
          <cell r="I3023" t="str">
            <v/>
          </cell>
          <cell r="J3023">
            <v>285</v>
          </cell>
          <cell r="K3023">
            <v>57</v>
          </cell>
          <cell r="L3023">
            <v>285</v>
          </cell>
          <cell r="M3023" t="str">
            <v/>
          </cell>
          <cell r="N3023">
            <v>0</v>
          </cell>
        </row>
        <row r="3024">
          <cell r="A3024">
            <v>4902</v>
          </cell>
          <cell r="B3024" t="str">
            <v>26/03/2014</v>
          </cell>
          <cell r="C3024" t="str">
            <v>SERVICE</v>
          </cell>
          <cell r="D3024" t="str">
            <v>Carry out AC Maintenance</v>
          </cell>
          <cell r="E3024" t="str">
            <v>Premier Air Control</v>
          </cell>
          <cell r="F3024" t="str">
            <v>Subcontractor</v>
          </cell>
          <cell r="G3024" t="str">
            <v/>
          </cell>
          <cell r="H3024" t="str">
            <v/>
          </cell>
          <cell r="I3024" t="str">
            <v/>
          </cell>
          <cell r="J3024">
            <v>150</v>
          </cell>
          <cell r="K3024">
            <v>30</v>
          </cell>
          <cell r="L3024">
            <v>0</v>
          </cell>
          <cell r="M3024" t="str">
            <v/>
          </cell>
          <cell r="N3024">
            <v>150</v>
          </cell>
        </row>
        <row r="3025">
          <cell r="A3025">
            <v>4901</v>
          </cell>
          <cell r="B3025" t="str">
            <v>25/03/2014</v>
          </cell>
          <cell r="C3025" t="str">
            <v>CALLOUT</v>
          </cell>
          <cell r="D3025" t="str">
            <v>Supply and Gas Interlock System with Gas Valve /Wiring (Air</v>
          </cell>
          <cell r="E3025" t="str">
            <v>AEP (NE) LLP</v>
          </cell>
          <cell r="F3025" t="str">
            <v>Subcontractor</v>
          </cell>
          <cell r="G3025" t="str">
            <v/>
          </cell>
          <cell r="H3025" t="str">
            <v/>
          </cell>
          <cell r="I3025" t="str">
            <v/>
          </cell>
          <cell r="J3025">
            <v>589.76</v>
          </cell>
          <cell r="K3025">
            <v>117.95</v>
          </cell>
          <cell r="L3025">
            <v>589.76</v>
          </cell>
          <cell r="M3025" t="str">
            <v/>
          </cell>
          <cell r="N3025">
            <v>0</v>
          </cell>
        </row>
        <row r="3026">
          <cell r="A3026">
            <v>4897</v>
          </cell>
          <cell r="B3026" t="str">
            <v>24/03/2014</v>
          </cell>
          <cell r="C3026" t="str">
            <v>CALLOUT</v>
          </cell>
          <cell r="D3026" t="str">
            <v>Please attend site to rectify why the heater will not fire u</v>
          </cell>
          <cell r="E3026" t="str">
            <v>SpaGas Ltd</v>
          </cell>
          <cell r="F3026" t="str">
            <v>Subcontractor</v>
          </cell>
          <cell r="G3026" t="str">
            <v/>
          </cell>
          <cell r="H3026" t="str">
            <v/>
          </cell>
          <cell r="I3026" t="str">
            <v/>
          </cell>
          <cell r="J3026">
            <v>145</v>
          </cell>
          <cell r="K3026">
            <v>29</v>
          </cell>
          <cell r="L3026">
            <v>145</v>
          </cell>
          <cell r="M3026" t="str">
            <v/>
          </cell>
          <cell r="N3026">
            <v>0</v>
          </cell>
        </row>
        <row r="3027">
          <cell r="A3027">
            <v>4894</v>
          </cell>
          <cell r="B3027" t="str">
            <v>24/03/2014</v>
          </cell>
          <cell r="C3027" t="str">
            <v>CALLOUT</v>
          </cell>
          <cell r="D3027" t="str">
            <v>carry out works as agreed with Mark Poulton</v>
          </cell>
          <cell r="E3027" t="str">
            <v>Daniel Naylor</v>
          </cell>
          <cell r="F3027" t="str">
            <v>Subcontractor</v>
          </cell>
          <cell r="G3027" t="str">
            <v/>
          </cell>
          <cell r="H3027" t="str">
            <v/>
          </cell>
          <cell r="I3027" t="str">
            <v/>
          </cell>
          <cell r="J3027">
            <v>1300</v>
          </cell>
          <cell r="K3027">
            <v>260</v>
          </cell>
          <cell r="L3027">
            <v>1300</v>
          </cell>
          <cell r="M3027" t="str">
            <v/>
          </cell>
          <cell r="N3027">
            <v>0</v>
          </cell>
        </row>
        <row r="3028">
          <cell r="A3028">
            <v>4891</v>
          </cell>
          <cell r="B3028" t="str">
            <v>24/03/2014</v>
          </cell>
          <cell r="C3028" t="str">
            <v>C1197</v>
          </cell>
          <cell r="D3028" t="str">
            <v>Installation of all ductwork, dampers &amp; plant equipment</v>
          </cell>
          <cell r="E3028" t="str">
            <v>Ventil-Eight Systems Limited</v>
          </cell>
          <cell r="F3028" t="str">
            <v>Subcontractor</v>
          </cell>
          <cell r="G3028" t="str">
            <v/>
          </cell>
          <cell r="H3028" t="str">
            <v/>
          </cell>
          <cell r="I3028" t="str">
            <v/>
          </cell>
          <cell r="J3028">
            <v>12925</v>
          </cell>
          <cell r="K3028">
            <v>2585</v>
          </cell>
          <cell r="L3028">
            <v>12925</v>
          </cell>
          <cell r="M3028" t="str">
            <v/>
          </cell>
          <cell r="N3028">
            <v>0</v>
          </cell>
        </row>
        <row r="3029">
          <cell r="A3029">
            <v>4888</v>
          </cell>
          <cell r="B3029" t="str">
            <v>20/03/2014</v>
          </cell>
          <cell r="C3029" t="str">
            <v>CALLOUT</v>
          </cell>
          <cell r="D3029" t="str">
            <v>Carry out works as per your quotation</v>
          </cell>
          <cell r="E3029" t="str">
            <v>Technical Building Services</v>
          </cell>
          <cell r="F3029" t="str">
            <v>Subcontractor</v>
          </cell>
          <cell r="G3029" t="str">
            <v/>
          </cell>
          <cell r="H3029" t="str">
            <v/>
          </cell>
          <cell r="I3029" t="str">
            <v/>
          </cell>
          <cell r="J3029">
            <v>850</v>
          </cell>
          <cell r="K3029">
            <v>170</v>
          </cell>
          <cell r="L3029">
            <v>850</v>
          </cell>
          <cell r="M3029" t="str">
            <v/>
          </cell>
          <cell r="N3029">
            <v>0</v>
          </cell>
        </row>
        <row r="3030">
          <cell r="A3030">
            <v>4884</v>
          </cell>
          <cell r="B3030" t="str">
            <v>19/03/2014</v>
          </cell>
          <cell r="C3030" t="str">
            <v>CALLOUT</v>
          </cell>
          <cell r="D3030" t="str">
            <v>Rectofy Leaking Radiator</v>
          </cell>
          <cell r="E3030" t="str">
            <v>SpaGas Ltd</v>
          </cell>
          <cell r="F3030" t="str">
            <v>Subcontractor</v>
          </cell>
          <cell r="G3030" t="str">
            <v/>
          </cell>
          <cell r="H3030" t="str">
            <v/>
          </cell>
          <cell r="I3030" t="str">
            <v/>
          </cell>
          <cell r="J3030">
            <v>55</v>
          </cell>
          <cell r="K3030">
            <v>11</v>
          </cell>
          <cell r="L3030">
            <v>55</v>
          </cell>
          <cell r="M3030" t="str">
            <v/>
          </cell>
          <cell r="N3030">
            <v>0</v>
          </cell>
        </row>
        <row r="3031">
          <cell r="A3031">
            <v>4883</v>
          </cell>
          <cell r="B3031" t="str">
            <v>19/03/2014</v>
          </cell>
          <cell r="C3031" t="str">
            <v>CALLOUT</v>
          </cell>
          <cell r="D3031" t="str">
            <v>Rectify Leaking Radiator</v>
          </cell>
          <cell r="E3031" t="str">
            <v>SpaGas Ltd</v>
          </cell>
          <cell r="F3031" t="str">
            <v>Subcontractor</v>
          </cell>
          <cell r="G3031" t="str">
            <v/>
          </cell>
          <cell r="H3031" t="str">
            <v/>
          </cell>
          <cell r="I3031" t="str">
            <v/>
          </cell>
          <cell r="J3031">
            <v>70</v>
          </cell>
          <cell r="K3031">
            <v>14</v>
          </cell>
          <cell r="L3031">
            <v>70</v>
          </cell>
          <cell r="M3031" t="str">
            <v/>
          </cell>
          <cell r="N3031">
            <v>0</v>
          </cell>
        </row>
        <row r="3032">
          <cell r="A3032">
            <v>4870</v>
          </cell>
          <cell r="B3032" t="str">
            <v>13/03/2014</v>
          </cell>
          <cell r="C3032" t="str">
            <v>C1188</v>
          </cell>
          <cell r="D3032" t="str">
            <v>Electrical installation in accordance with subcontract order</v>
          </cell>
          <cell r="E3032" t="str">
            <v>M&amp;E Leeds Ltd</v>
          </cell>
          <cell r="F3032" t="str">
            <v>Subcontractor</v>
          </cell>
          <cell r="G3032" t="str">
            <v/>
          </cell>
          <cell r="H3032" t="str">
            <v/>
          </cell>
          <cell r="I3032" t="str">
            <v/>
          </cell>
          <cell r="J3032">
            <v>233617.21</v>
          </cell>
          <cell r="K3032">
            <v>46723.44</v>
          </cell>
          <cell r="L3032">
            <v>233617.21</v>
          </cell>
          <cell r="M3032" t="str">
            <v/>
          </cell>
          <cell r="N3032">
            <v>0</v>
          </cell>
        </row>
        <row r="3033">
          <cell r="A3033">
            <v>4869</v>
          </cell>
          <cell r="B3033" t="str">
            <v>13/03/2014</v>
          </cell>
          <cell r="C3033" t="str">
            <v>CALLOUT</v>
          </cell>
          <cell r="D3033" t="str">
            <v>Repair Leaking Valve as discussed with Mark Poulton</v>
          </cell>
          <cell r="E3033" t="str">
            <v>F Gas Certification Limited</v>
          </cell>
          <cell r="F3033" t="str">
            <v>Subcontractor</v>
          </cell>
          <cell r="G3033" t="str">
            <v/>
          </cell>
          <cell r="H3033" t="str">
            <v/>
          </cell>
          <cell r="I3033" t="str">
            <v/>
          </cell>
          <cell r="J3033">
            <v>200</v>
          </cell>
          <cell r="K3033">
            <v>40</v>
          </cell>
          <cell r="L3033">
            <v>200</v>
          </cell>
          <cell r="M3033" t="str">
            <v/>
          </cell>
          <cell r="N3033">
            <v>0</v>
          </cell>
        </row>
        <row r="3034">
          <cell r="A3034">
            <v>4867</v>
          </cell>
          <cell r="B3034" t="str">
            <v>12/03/2014</v>
          </cell>
          <cell r="C3034" t="str">
            <v>CALLOUT</v>
          </cell>
          <cell r="D3034" t="str">
            <v>Replaced Various Lights on 1st Floor</v>
          </cell>
          <cell r="E3034" t="str">
            <v>Barrie Beard Ltd</v>
          </cell>
          <cell r="F3034" t="str">
            <v>Subcontractor</v>
          </cell>
          <cell r="G3034" t="str">
            <v/>
          </cell>
          <cell r="H3034" t="str">
            <v/>
          </cell>
          <cell r="I3034" t="str">
            <v/>
          </cell>
          <cell r="J3034">
            <v>60</v>
          </cell>
          <cell r="K3034">
            <v>12</v>
          </cell>
          <cell r="L3034">
            <v>60</v>
          </cell>
          <cell r="M3034" t="str">
            <v/>
          </cell>
          <cell r="N3034">
            <v>0</v>
          </cell>
        </row>
        <row r="3035">
          <cell r="A3035">
            <v>4866</v>
          </cell>
          <cell r="B3035" t="str">
            <v>12/03/2014</v>
          </cell>
          <cell r="C3035" t="str">
            <v>CALLOUT</v>
          </cell>
          <cell r="D3035" t="str">
            <v>1st Visit</v>
          </cell>
          <cell r="E3035" t="str">
            <v>A Jones Heating &amp; Plumbing</v>
          </cell>
          <cell r="F3035" t="str">
            <v>Subcontractor</v>
          </cell>
          <cell r="G3035" t="str">
            <v/>
          </cell>
          <cell r="H3035" t="str">
            <v/>
          </cell>
          <cell r="I3035" t="str">
            <v/>
          </cell>
          <cell r="J3035">
            <v>370</v>
          </cell>
          <cell r="K3035">
            <v>0</v>
          </cell>
          <cell r="L3035">
            <v>370</v>
          </cell>
          <cell r="M3035" t="str">
            <v/>
          </cell>
          <cell r="N3035">
            <v>0</v>
          </cell>
        </row>
        <row r="3036">
          <cell r="A3036">
            <v>4857</v>
          </cell>
          <cell r="B3036" t="str">
            <v>11/03/2014</v>
          </cell>
          <cell r="C3036" t="str">
            <v>CALLOUT</v>
          </cell>
          <cell r="D3036" t="str">
            <v>To Cap off Gas Meter</v>
          </cell>
          <cell r="E3036" t="str">
            <v>Daniel Naylor</v>
          </cell>
          <cell r="F3036" t="str">
            <v>Subcontractor</v>
          </cell>
          <cell r="G3036" t="str">
            <v/>
          </cell>
          <cell r="H3036" t="str">
            <v/>
          </cell>
          <cell r="I3036" t="str">
            <v/>
          </cell>
          <cell r="J3036">
            <v>200</v>
          </cell>
          <cell r="K3036">
            <v>40</v>
          </cell>
          <cell r="L3036">
            <v>200</v>
          </cell>
          <cell r="M3036" t="str">
            <v/>
          </cell>
          <cell r="N3036">
            <v>0</v>
          </cell>
        </row>
        <row r="3037">
          <cell r="A3037">
            <v>4852</v>
          </cell>
          <cell r="B3037" t="str">
            <v>11/03/2014</v>
          </cell>
          <cell r="C3037" t="str">
            <v>CALLOUT</v>
          </cell>
          <cell r="D3037" t="str">
            <v>Relocate 3no diffusers &amp; provide 1 new as per email dated 10</v>
          </cell>
          <cell r="E3037" t="str">
            <v>Daniel Naylor</v>
          </cell>
          <cell r="F3037" t="str">
            <v>Subcontractor</v>
          </cell>
          <cell r="G3037" t="str">
            <v/>
          </cell>
          <cell r="H3037" t="str">
            <v/>
          </cell>
          <cell r="I3037" t="str">
            <v/>
          </cell>
          <cell r="J3037">
            <v>532</v>
          </cell>
          <cell r="K3037">
            <v>106.4</v>
          </cell>
          <cell r="L3037">
            <v>532</v>
          </cell>
          <cell r="M3037" t="str">
            <v/>
          </cell>
          <cell r="N3037">
            <v>0</v>
          </cell>
        </row>
        <row r="3038">
          <cell r="A3038">
            <v>4845</v>
          </cell>
          <cell r="B3038" t="str">
            <v>10/03/2014</v>
          </cell>
          <cell r="C3038" t="str">
            <v>CALLOUT</v>
          </cell>
          <cell r="D3038" t="str">
            <v>Strip out radiator &amp; pipework &amp; blank off</v>
          </cell>
          <cell r="E3038" t="str">
            <v>Daniel Naylor</v>
          </cell>
          <cell r="F3038" t="str">
            <v>Subcontractor</v>
          </cell>
          <cell r="G3038" t="str">
            <v/>
          </cell>
          <cell r="H3038" t="str">
            <v/>
          </cell>
          <cell r="I3038" t="str">
            <v/>
          </cell>
          <cell r="J3038">
            <v>815</v>
          </cell>
          <cell r="K3038">
            <v>163</v>
          </cell>
          <cell r="L3038">
            <v>815</v>
          </cell>
          <cell r="M3038" t="str">
            <v/>
          </cell>
          <cell r="N3038">
            <v>0</v>
          </cell>
        </row>
        <row r="3039">
          <cell r="A3039">
            <v>4842</v>
          </cell>
          <cell r="B3039" t="str">
            <v>10/03/2014</v>
          </cell>
          <cell r="C3039" t="str">
            <v>CALLOUT</v>
          </cell>
          <cell r="D3039" t="str">
            <v>Replace Mains Switch Isolator on AHU No 2</v>
          </cell>
          <cell r="E3039" t="str">
            <v>Johnson Controls Ltd</v>
          </cell>
          <cell r="F3039" t="str">
            <v>Subcontractor</v>
          </cell>
          <cell r="G3039" t="str">
            <v/>
          </cell>
          <cell r="H3039" t="str">
            <v/>
          </cell>
          <cell r="I3039" t="str">
            <v/>
          </cell>
          <cell r="J3039">
            <v>532.61</v>
          </cell>
          <cell r="K3039">
            <v>106.52</v>
          </cell>
          <cell r="L3039">
            <v>532.61</v>
          </cell>
          <cell r="M3039" t="str">
            <v/>
          </cell>
          <cell r="N3039">
            <v>0</v>
          </cell>
        </row>
        <row r="3040">
          <cell r="A3040">
            <v>4833</v>
          </cell>
          <cell r="B3040" t="str">
            <v>06/03/2014</v>
          </cell>
          <cell r="C3040" t="str">
            <v>CALLOUT</v>
          </cell>
          <cell r="D3040" t="str">
            <v>Cary out works as per your quotation CM 26 02 2104 14 26 01</v>
          </cell>
          <cell r="E3040" t="str">
            <v>Johnson Controls Ltd</v>
          </cell>
          <cell r="F3040" t="str">
            <v>Subcontractor</v>
          </cell>
          <cell r="G3040" t="str">
            <v/>
          </cell>
          <cell r="H3040" t="str">
            <v/>
          </cell>
          <cell r="I3040" t="str">
            <v/>
          </cell>
          <cell r="J3040">
            <v>800</v>
          </cell>
          <cell r="K3040">
            <v>160</v>
          </cell>
          <cell r="L3040">
            <v>800</v>
          </cell>
          <cell r="M3040" t="str">
            <v/>
          </cell>
          <cell r="N3040">
            <v>0</v>
          </cell>
        </row>
        <row r="3041">
          <cell r="A3041">
            <v>4832</v>
          </cell>
          <cell r="B3041" t="str">
            <v>05/03/2014</v>
          </cell>
          <cell r="C3041" t="str">
            <v>SERVICE</v>
          </cell>
          <cell r="D3041" t="str">
            <v>Attended site to rectify leak on ac system - found fractured</v>
          </cell>
          <cell r="E3041" t="str">
            <v>Premier Air Control</v>
          </cell>
          <cell r="F3041" t="str">
            <v>Subcontractor</v>
          </cell>
          <cell r="G3041" t="str">
            <v/>
          </cell>
          <cell r="H3041" t="str">
            <v/>
          </cell>
          <cell r="I3041" t="str">
            <v/>
          </cell>
          <cell r="J3041">
            <v>150</v>
          </cell>
          <cell r="K3041">
            <v>30</v>
          </cell>
          <cell r="L3041">
            <v>150</v>
          </cell>
          <cell r="M3041" t="str">
            <v/>
          </cell>
          <cell r="N3041">
            <v>0</v>
          </cell>
        </row>
        <row r="3042">
          <cell r="A3042">
            <v>4831</v>
          </cell>
          <cell r="B3042" t="str">
            <v>05/03/2014</v>
          </cell>
          <cell r="C3042" t="str">
            <v>CALLOUT</v>
          </cell>
          <cell r="D3042" t="str">
            <v>Investigated 4th Floor Ladies Toilet Leaking from Waste Pipe</v>
          </cell>
          <cell r="E3042" t="str">
            <v>SpaGas Ltd</v>
          </cell>
          <cell r="F3042" t="str">
            <v>Subcontractor</v>
          </cell>
          <cell r="G3042" t="str">
            <v/>
          </cell>
          <cell r="H3042" t="str">
            <v/>
          </cell>
          <cell r="I3042" t="str">
            <v/>
          </cell>
          <cell r="J3042">
            <v>85</v>
          </cell>
          <cell r="K3042">
            <v>17</v>
          </cell>
          <cell r="L3042">
            <v>85</v>
          </cell>
          <cell r="M3042" t="str">
            <v/>
          </cell>
          <cell r="N3042">
            <v>0</v>
          </cell>
        </row>
        <row r="3043">
          <cell r="A3043">
            <v>4830</v>
          </cell>
          <cell r="B3043" t="str">
            <v>04/03/2014</v>
          </cell>
          <cell r="C3043" t="str">
            <v>C1196</v>
          </cell>
          <cell r="D3043" t="str">
            <v>For works at Heyhouses C of E Primary School</v>
          </cell>
          <cell r="E3043" t="str">
            <v>Ventil-Eight Systems Limited</v>
          </cell>
          <cell r="F3043" t="str">
            <v>Subcontractor</v>
          </cell>
          <cell r="G3043" t="str">
            <v/>
          </cell>
          <cell r="H3043" t="str">
            <v/>
          </cell>
          <cell r="I3043" t="str">
            <v/>
          </cell>
          <cell r="J3043">
            <v>5500</v>
          </cell>
          <cell r="K3043">
            <v>1100</v>
          </cell>
          <cell r="L3043">
            <v>5500</v>
          </cell>
          <cell r="M3043" t="str">
            <v/>
          </cell>
          <cell r="N3043">
            <v>0</v>
          </cell>
        </row>
        <row r="3044">
          <cell r="A3044">
            <v>4819</v>
          </cell>
          <cell r="B3044" t="str">
            <v>03/03/2014</v>
          </cell>
          <cell r="C3044" t="str">
            <v>CALLOUT</v>
          </cell>
          <cell r="D3044" t="str">
            <v>Remedial works to be carried out as</v>
          </cell>
          <cell r="E3044" t="str">
            <v>AEP (NE) LLP</v>
          </cell>
          <cell r="F3044" t="str">
            <v>Subcontractor</v>
          </cell>
          <cell r="G3044" t="str">
            <v/>
          </cell>
          <cell r="H3044" t="str">
            <v/>
          </cell>
          <cell r="I3044" t="str">
            <v/>
          </cell>
          <cell r="J3044">
            <v>1700</v>
          </cell>
          <cell r="K3044">
            <v>340</v>
          </cell>
          <cell r="L3044">
            <v>1458</v>
          </cell>
          <cell r="M3044" t="str">
            <v/>
          </cell>
          <cell r="N3044">
            <v>242</v>
          </cell>
        </row>
        <row r="3045">
          <cell r="A3045">
            <v>4818</v>
          </cell>
          <cell r="B3045" t="str">
            <v>03/03/2014</v>
          </cell>
          <cell r="C3045" t="str">
            <v>C1164</v>
          </cell>
          <cell r="D3045" t="str">
            <v>Insulating on Torquay</v>
          </cell>
          <cell r="E3045" t="str">
            <v>Ventil-Eight Systems Limited</v>
          </cell>
          <cell r="F3045" t="str">
            <v>Subcontractor</v>
          </cell>
          <cell r="G3045" t="str">
            <v/>
          </cell>
          <cell r="H3045" t="str">
            <v/>
          </cell>
          <cell r="I3045" t="str">
            <v/>
          </cell>
          <cell r="J3045">
            <v>9925</v>
          </cell>
          <cell r="K3045">
            <v>0</v>
          </cell>
          <cell r="L3045">
            <v>9925</v>
          </cell>
          <cell r="M3045" t="str">
            <v/>
          </cell>
          <cell r="N3045">
            <v>0</v>
          </cell>
        </row>
        <row r="3046">
          <cell r="A3046">
            <v>4817</v>
          </cell>
          <cell r="B3046" t="str">
            <v>28/02/2014</v>
          </cell>
          <cell r="C3046" t="str">
            <v>C1187</v>
          </cell>
          <cell r="D3046" t="str">
            <v>For Works on Lidl Blackburn</v>
          </cell>
          <cell r="E3046" t="str">
            <v>Ventil-Eight Systems Limited</v>
          </cell>
          <cell r="F3046" t="str">
            <v>Subcontractor</v>
          </cell>
          <cell r="G3046" t="str">
            <v/>
          </cell>
          <cell r="H3046" t="str">
            <v/>
          </cell>
          <cell r="I3046" t="str">
            <v/>
          </cell>
          <cell r="J3046">
            <v>4499.5</v>
          </cell>
          <cell r="K3046">
            <v>0</v>
          </cell>
          <cell r="L3046">
            <v>4499.5</v>
          </cell>
          <cell r="M3046" t="str">
            <v/>
          </cell>
          <cell r="N3046">
            <v>0</v>
          </cell>
        </row>
        <row r="3047">
          <cell r="A3047">
            <v>4816</v>
          </cell>
          <cell r="B3047" t="str">
            <v>27/02/2014</v>
          </cell>
          <cell r="C3047" t="str">
            <v>CALLOUT</v>
          </cell>
          <cell r="D3047" t="str">
            <v>Supply and Install LED as per quotation</v>
          </cell>
          <cell r="E3047" t="str">
            <v>Technical Building Services</v>
          </cell>
          <cell r="F3047" t="str">
            <v>Subcontractor</v>
          </cell>
          <cell r="G3047" t="str">
            <v/>
          </cell>
          <cell r="H3047" t="str">
            <v/>
          </cell>
          <cell r="I3047" t="str">
            <v/>
          </cell>
          <cell r="J3047">
            <v>2920</v>
          </cell>
          <cell r="K3047">
            <v>584</v>
          </cell>
          <cell r="L3047">
            <v>2920</v>
          </cell>
          <cell r="M3047" t="str">
            <v/>
          </cell>
          <cell r="N3047">
            <v>0</v>
          </cell>
        </row>
        <row r="3048">
          <cell r="A3048">
            <v>4815</v>
          </cell>
          <cell r="B3048" t="str">
            <v>27/02/2014</v>
          </cell>
          <cell r="C3048" t="str">
            <v>CALLOUT</v>
          </cell>
          <cell r="D3048" t="str">
            <v>Reset Boiler at Dunnes Heywood</v>
          </cell>
          <cell r="E3048" t="str">
            <v>A Jones Heating &amp; Plumbing</v>
          </cell>
          <cell r="F3048" t="str">
            <v>Subcontractor</v>
          </cell>
          <cell r="G3048" t="str">
            <v/>
          </cell>
          <cell r="H3048" t="str">
            <v/>
          </cell>
          <cell r="I3048" t="str">
            <v/>
          </cell>
          <cell r="J3048">
            <v>100</v>
          </cell>
          <cell r="K3048">
            <v>0</v>
          </cell>
          <cell r="L3048">
            <v>100</v>
          </cell>
          <cell r="M3048" t="str">
            <v/>
          </cell>
          <cell r="N3048">
            <v>0</v>
          </cell>
        </row>
        <row r="3049">
          <cell r="A3049">
            <v>4812</v>
          </cell>
          <cell r="B3049" t="str">
            <v>27/02/2014</v>
          </cell>
          <cell r="C3049" t="str">
            <v>CALLOUT</v>
          </cell>
          <cell r="D3049" t="str">
            <v>Attended Site Lights out 1st Floor by Gents Toilets</v>
          </cell>
          <cell r="E3049" t="str">
            <v>Barrie Beard Ltd</v>
          </cell>
          <cell r="F3049" t="str">
            <v>Subcontractor</v>
          </cell>
          <cell r="G3049" t="str">
            <v/>
          </cell>
          <cell r="H3049" t="str">
            <v/>
          </cell>
          <cell r="I3049" t="str">
            <v/>
          </cell>
          <cell r="J3049">
            <v>110</v>
          </cell>
          <cell r="K3049">
            <v>22</v>
          </cell>
          <cell r="L3049">
            <v>110</v>
          </cell>
          <cell r="M3049" t="str">
            <v/>
          </cell>
          <cell r="N3049">
            <v>0</v>
          </cell>
        </row>
        <row r="3050">
          <cell r="A3050">
            <v>4811</v>
          </cell>
          <cell r="B3050" t="str">
            <v>27/02/2014</v>
          </cell>
          <cell r="C3050" t="str">
            <v>CALLOUT</v>
          </cell>
          <cell r="D3050" t="str">
            <v>Attended site to find lights not working in west &amp; east meet</v>
          </cell>
          <cell r="E3050" t="str">
            <v>Barrie Beard Ltd</v>
          </cell>
          <cell r="F3050" t="str">
            <v>Subcontractor</v>
          </cell>
          <cell r="G3050" t="str">
            <v/>
          </cell>
          <cell r="H3050" t="str">
            <v/>
          </cell>
          <cell r="I3050" t="str">
            <v/>
          </cell>
          <cell r="J3050">
            <v>160</v>
          </cell>
          <cell r="K3050">
            <v>32</v>
          </cell>
          <cell r="L3050">
            <v>160</v>
          </cell>
          <cell r="M3050" t="str">
            <v/>
          </cell>
          <cell r="N3050">
            <v>0</v>
          </cell>
        </row>
        <row r="3051">
          <cell r="A3051">
            <v>4809</v>
          </cell>
          <cell r="B3051" t="str">
            <v>27/02/2014</v>
          </cell>
          <cell r="C3051" t="str">
            <v>SERVICE</v>
          </cell>
          <cell r="D3051" t="str">
            <v>Carried Out AC Maintenance</v>
          </cell>
          <cell r="E3051" t="str">
            <v>Premier Air Control</v>
          </cell>
          <cell r="F3051" t="str">
            <v>Subcontractor</v>
          </cell>
          <cell r="G3051" t="str">
            <v/>
          </cell>
          <cell r="H3051" t="str">
            <v/>
          </cell>
          <cell r="I3051" t="str">
            <v/>
          </cell>
          <cell r="J3051">
            <v>100</v>
          </cell>
          <cell r="K3051">
            <v>20</v>
          </cell>
          <cell r="L3051">
            <v>0</v>
          </cell>
          <cell r="M3051" t="str">
            <v/>
          </cell>
          <cell r="N3051">
            <v>100</v>
          </cell>
        </row>
        <row r="3052">
          <cell r="A3052">
            <v>4806</v>
          </cell>
          <cell r="B3052" t="str">
            <v>26/02/2014</v>
          </cell>
          <cell r="C3052" t="str">
            <v>CALLOUT</v>
          </cell>
          <cell r="D3052" t="str">
            <v>Investigated why pump has failed again</v>
          </cell>
          <cell r="E3052" t="str">
            <v>A Jones Heating &amp; Plumbing</v>
          </cell>
          <cell r="F3052" t="str">
            <v>Subcontractor</v>
          </cell>
          <cell r="G3052" t="str">
            <v/>
          </cell>
          <cell r="H3052" t="str">
            <v/>
          </cell>
          <cell r="I3052" t="str">
            <v/>
          </cell>
          <cell r="J3052">
            <v>150</v>
          </cell>
          <cell r="K3052">
            <v>0</v>
          </cell>
          <cell r="L3052">
            <v>150</v>
          </cell>
          <cell r="M3052" t="str">
            <v/>
          </cell>
          <cell r="N3052">
            <v>0</v>
          </cell>
        </row>
        <row r="3053">
          <cell r="A3053">
            <v>4800</v>
          </cell>
          <cell r="B3053" t="str">
            <v>21/02/2014</v>
          </cell>
          <cell r="C3053" t="str">
            <v>C1190</v>
          </cell>
          <cell r="D3053" t="str">
            <v>Carry out works at Vita Street</v>
          </cell>
          <cell r="E3053" t="str">
            <v>The Wright Installations Ltd</v>
          </cell>
          <cell r="F3053" t="str">
            <v>Subcontractor</v>
          </cell>
          <cell r="G3053" t="str">
            <v/>
          </cell>
          <cell r="H3053" t="str">
            <v/>
          </cell>
          <cell r="I3053" t="str">
            <v/>
          </cell>
          <cell r="J3053">
            <v>4230</v>
          </cell>
          <cell r="K3053">
            <v>846</v>
          </cell>
          <cell r="L3053">
            <v>4230</v>
          </cell>
          <cell r="M3053" t="str">
            <v/>
          </cell>
          <cell r="N3053">
            <v>0</v>
          </cell>
        </row>
        <row r="3054">
          <cell r="A3054">
            <v>4795</v>
          </cell>
          <cell r="B3054" t="str">
            <v>20/02/2014</v>
          </cell>
          <cell r="C3054" t="str">
            <v>CALLOUT</v>
          </cell>
          <cell r="D3054" t="str">
            <v>Replace 6no Actuators</v>
          </cell>
          <cell r="E3054" t="str">
            <v>Building Technology Systems</v>
          </cell>
          <cell r="F3054" t="str">
            <v>Subcontractor</v>
          </cell>
          <cell r="G3054" t="str">
            <v/>
          </cell>
          <cell r="H3054" t="str">
            <v/>
          </cell>
          <cell r="I3054" t="str">
            <v/>
          </cell>
          <cell r="J3054">
            <v>432</v>
          </cell>
          <cell r="K3054">
            <v>86.4</v>
          </cell>
          <cell r="L3054">
            <v>432</v>
          </cell>
          <cell r="M3054" t="str">
            <v/>
          </cell>
          <cell r="N3054">
            <v>0</v>
          </cell>
        </row>
        <row r="3055">
          <cell r="A3055">
            <v>4794</v>
          </cell>
          <cell r="B3055" t="str">
            <v>20/02/2014</v>
          </cell>
          <cell r="C3055" t="str">
            <v>SERVICE</v>
          </cell>
          <cell r="D3055" t="str">
            <v>Boiler Maintenance - 2no Combi Boilers - 105E - MBK0405</v>
          </cell>
          <cell r="E3055" t="str">
            <v>A Jones Heating &amp; Plumbing</v>
          </cell>
          <cell r="F3055" t="str">
            <v>Subcontractor</v>
          </cell>
          <cell r="G3055" t="str">
            <v/>
          </cell>
          <cell r="H3055" t="str">
            <v/>
          </cell>
          <cell r="I3055" t="str">
            <v/>
          </cell>
          <cell r="J3055">
            <v>100</v>
          </cell>
          <cell r="K3055">
            <v>0</v>
          </cell>
          <cell r="L3055">
            <v>100</v>
          </cell>
          <cell r="M3055" t="str">
            <v/>
          </cell>
          <cell r="N3055">
            <v>0</v>
          </cell>
        </row>
        <row r="3056">
          <cell r="A3056">
            <v>4792</v>
          </cell>
          <cell r="B3056" t="str">
            <v>19/02/2014</v>
          </cell>
          <cell r="C3056" t="str">
            <v>CALLOUT</v>
          </cell>
          <cell r="D3056" t="str">
            <v>Investigated Water Ingress on 1st floor</v>
          </cell>
          <cell r="E3056" t="str">
            <v>AEP (NE) LLP</v>
          </cell>
          <cell r="F3056" t="str">
            <v>Subcontractor</v>
          </cell>
          <cell r="G3056" t="str">
            <v/>
          </cell>
          <cell r="H3056" t="str">
            <v/>
          </cell>
          <cell r="I3056" t="str">
            <v/>
          </cell>
          <cell r="J3056">
            <v>85</v>
          </cell>
          <cell r="K3056">
            <v>17</v>
          </cell>
          <cell r="L3056">
            <v>85</v>
          </cell>
          <cell r="M3056" t="str">
            <v/>
          </cell>
          <cell r="N3056">
            <v>0</v>
          </cell>
        </row>
        <row r="3057">
          <cell r="A3057">
            <v>4787</v>
          </cell>
          <cell r="B3057" t="str">
            <v>17/02/2014</v>
          </cell>
          <cell r="C3057" t="str">
            <v>CALLOUT</v>
          </cell>
          <cell r="D3057" t="str">
            <v>Investigated issue with water pump</v>
          </cell>
          <cell r="E3057" t="str">
            <v>Adcock Refrigeration &amp; Air Conditioning</v>
          </cell>
          <cell r="F3057" t="str">
            <v>Subcontractor</v>
          </cell>
          <cell r="G3057" t="str">
            <v/>
          </cell>
          <cell r="H3057" t="str">
            <v/>
          </cell>
          <cell r="I3057" t="str">
            <v/>
          </cell>
          <cell r="J3057">
            <v>130</v>
          </cell>
          <cell r="K3057">
            <v>26</v>
          </cell>
          <cell r="L3057">
            <v>130</v>
          </cell>
          <cell r="M3057" t="str">
            <v/>
          </cell>
          <cell r="N3057">
            <v>0</v>
          </cell>
        </row>
        <row r="3058">
          <cell r="A3058">
            <v>4753</v>
          </cell>
          <cell r="B3058" t="str">
            <v>06/02/2014</v>
          </cell>
          <cell r="C3058" t="str">
            <v>CALLOUT</v>
          </cell>
          <cell r="D3058" t="str">
            <v>Carry out Works as per your emailed quotation</v>
          </cell>
          <cell r="E3058" t="str">
            <v>Johnson Controls Ltd</v>
          </cell>
          <cell r="F3058" t="str">
            <v>Subcontractor</v>
          </cell>
          <cell r="G3058" t="str">
            <v/>
          </cell>
          <cell r="H3058" t="str">
            <v/>
          </cell>
          <cell r="I3058" t="str">
            <v/>
          </cell>
          <cell r="J3058">
            <v>3100</v>
          </cell>
          <cell r="K3058">
            <v>620</v>
          </cell>
          <cell r="L3058">
            <v>3100</v>
          </cell>
          <cell r="M3058" t="str">
            <v/>
          </cell>
          <cell r="N3058">
            <v>0</v>
          </cell>
        </row>
        <row r="3059">
          <cell r="A3059">
            <v>4752</v>
          </cell>
          <cell r="B3059" t="str">
            <v>06/02/2014</v>
          </cell>
          <cell r="C3059" t="str">
            <v>CALLOUT</v>
          </cell>
          <cell r="D3059" t="str">
            <v>Replace LS1 Safety Switches</v>
          </cell>
          <cell r="E3059" t="str">
            <v>Johnson Controls Ltd</v>
          </cell>
          <cell r="F3059" t="str">
            <v>Subcontractor</v>
          </cell>
          <cell r="G3059" t="str">
            <v/>
          </cell>
          <cell r="H3059" t="str">
            <v/>
          </cell>
          <cell r="I3059" t="str">
            <v/>
          </cell>
          <cell r="J3059">
            <v>338.6</v>
          </cell>
          <cell r="K3059">
            <v>67.72</v>
          </cell>
          <cell r="L3059">
            <v>338.6</v>
          </cell>
          <cell r="M3059" t="str">
            <v/>
          </cell>
          <cell r="N3059">
            <v>0</v>
          </cell>
        </row>
        <row r="3060">
          <cell r="A3060">
            <v>4748</v>
          </cell>
          <cell r="B3060" t="str">
            <v>06/02/2014</v>
          </cell>
          <cell r="C3060" t="str">
            <v>CALLOUT</v>
          </cell>
          <cell r="D3060" t="str">
            <v>Attend Site to supply and fit new light fittings</v>
          </cell>
          <cell r="E3060" t="str">
            <v>David Hunter Electrical</v>
          </cell>
          <cell r="F3060" t="str">
            <v>Subcontractor</v>
          </cell>
          <cell r="G3060" t="str">
            <v/>
          </cell>
          <cell r="H3060" t="str">
            <v/>
          </cell>
          <cell r="I3060" t="str">
            <v/>
          </cell>
          <cell r="J3060">
            <v>80</v>
          </cell>
          <cell r="K3060">
            <v>0</v>
          </cell>
          <cell r="L3060">
            <v>80</v>
          </cell>
          <cell r="M3060" t="str">
            <v/>
          </cell>
          <cell r="N3060">
            <v>0</v>
          </cell>
        </row>
        <row r="3061">
          <cell r="A3061">
            <v>4746</v>
          </cell>
          <cell r="B3061" t="str">
            <v>05/02/2014</v>
          </cell>
          <cell r="C3061" t="str">
            <v>CALLOUT</v>
          </cell>
          <cell r="D3061" t="str">
            <v>Invesigated no Heating on Site</v>
          </cell>
          <cell r="E3061" t="str">
            <v>A Jones Heating &amp; Plumbing</v>
          </cell>
          <cell r="F3061" t="str">
            <v>Subcontractor</v>
          </cell>
          <cell r="G3061" t="str">
            <v/>
          </cell>
          <cell r="H3061" t="str">
            <v>Part</v>
          </cell>
          <cell r="I3061" t="str">
            <v/>
          </cell>
          <cell r="J3061">
            <v>100</v>
          </cell>
          <cell r="K3061">
            <v>20</v>
          </cell>
          <cell r="L3061">
            <v>100</v>
          </cell>
          <cell r="M3061" t="str">
            <v/>
          </cell>
          <cell r="N3061">
            <v>0</v>
          </cell>
        </row>
        <row r="3062">
          <cell r="A3062">
            <v>4742</v>
          </cell>
          <cell r="B3062" t="str">
            <v>04/02/2014</v>
          </cell>
          <cell r="C3062" t="str">
            <v>CALLOUT</v>
          </cell>
          <cell r="D3062" t="str">
            <v>Investigated Kitchen Sink Leaking &amp; Toilet Leaking</v>
          </cell>
          <cell r="E3062" t="str">
            <v>Horridge Building Services</v>
          </cell>
          <cell r="F3062" t="str">
            <v>Subcontractor</v>
          </cell>
          <cell r="G3062" t="str">
            <v/>
          </cell>
          <cell r="H3062" t="str">
            <v/>
          </cell>
          <cell r="I3062" t="str">
            <v/>
          </cell>
          <cell r="J3062">
            <v>105</v>
          </cell>
          <cell r="K3062">
            <v>0</v>
          </cell>
          <cell r="L3062">
            <v>105</v>
          </cell>
          <cell r="M3062" t="str">
            <v/>
          </cell>
          <cell r="N3062">
            <v>0</v>
          </cell>
        </row>
        <row r="3063">
          <cell r="A3063">
            <v>4740</v>
          </cell>
          <cell r="B3063" t="str">
            <v>04/02/2014</v>
          </cell>
          <cell r="C3063" t="str">
            <v>CALLOUT</v>
          </cell>
          <cell r="D3063" t="str">
            <v>Attended site as requested by Mark Poulton</v>
          </cell>
          <cell r="E3063" t="str">
            <v>Building Technology Systems</v>
          </cell>
          <cell r="F3063" t="str">
            <v>Subcontractor</v>
          </cell>
          <cell r="G3063" t="str">
            <v/>
          </cell>
          <cell r="H3063" t="str">
            <v/>
          </cell>
          <cell r="I3063" t="str">
            <v/>
          </cell>
          <cell r="J3063">
            <v>490</v>
          </cell>
          <cell r="K3063">
            <v>98</v>
          </cell>
          <cell r="L3063">
            <v>490</v>
          </cell>
          <cell r="M3063" t="str">
            <v/>
          </cell>
          <cell r="N3063">
            <v>0</v>
          </cell>
        </row>
        <row r="3064">
          <cell r="A3064">
            <v>4724</v>
          </cell>
          <cell r="B3064" t="str">
            <v>30/01/2014</v>
          </cell>
          <cell r="C3064" t="str">
            <v>CALLOUT</v>
          </cell>
          <cell r="D3064" t="str">
            <v>Carry out quoted works as per your quotation number: 140122</v>
          </cell>
          <cell r="E3064" t="str">
            <v>Barrie Beard Ltd</v>
          </cell>
          <cell r="F3064" t="str">
            <v>Subcontractor</v>
          </cell>
          <cell r="G3064" t="str">
            <v/>
          </cell>
          <cell r="H3064" t="str">
            <v>Part</v>
          </cell>
          <cell r="I3064" t="str">
            <v/>
          </cell>
          <cell r="J3064">
            <v>178.44</v>
          </cell>
          <cell r="K3064">
            <v>35.69</v>
          </cell>
          <cell r="L3064">
            <v>178.44</v>
          </cell>
          <cell r="M3064" t="str">
            <v/>
          </cell>
          <cell r="N3064">
            <v>0</v>
          </cell>
        </row>
        <row r="3065">
          <cell r="A3065">
            <v>4720</v>
          </cell>
          <cell r="B3065" t="str">
            <v>28/01/2014</v>
          </cell>
          <cell r="C3065" t="str">
            <v>CALLOUT</v>
          </cell>
          <cell r="D3065" t="str">
            <v>Investigate issue with a flashing lamp unit 9 ground floor</v>
          </cell>
          <cell r="E3065" t="str">
            <v>Barrie Beard Ltd</v>
          </cell>
          <cell r="F3065" t="str">
            <v>Subcontractor</v>
          </cell>
          <cell r="G3065" t="str">
            <v/>
          </cell>
          <cell r="H3065" t="str">
            <v/>
          </cell>
          <cell r="I3065" t="str">
            <v/>
          </cell>
          <cell r="J3065">
            <v>60</v>
          </cell>
          <cell r="K3065">
            <v>12</v>
          </cell>
          <cell r="L3065">
            <v>60</v>
          </cell>
          <cell r="M3065" t="str">
            <v/>
          </cell>
          <cell r="N3065">
            <v>0</v>
          </cell>
        </row>
        <row r="3066">
          <cell r="A3066">
            <v>4719</v>
          </cell>
          <cell r="B3066" t="str">
            <v>28/01/2014</v>
          </cell>
          <cell r="C3066" t="str">
            <v>CALLOUT</v>
          </cell>
          <cell r="D3066" t="str">
            <v>Attended Site to Change 9 lights on 2nd Floor</v>
          </cell>
          <cell r="E3066" t="str">
            <v>David Hunter Electrical</v>
          </cell>
          <cell r="F3066" t="str">
            <v>Subcontractor</v>
          </cell>
          <cell r="G3066" t="str">
            <v/>
          </cell>
          <cell r="H3066" t="str">
            <v/>
          </cell>
          <cell r="I3066" t="str">
            <v/>
          </cell>
          <cell r="J3066">
            <v>55</v>
          </cell>
          <cell r="K3066">
            <v>0</v>
          </cell>
          <cell r="L3066">
            <v>55</v>
          </cell>
          <cell r="M3066" t="str">
            <v/>
          </cell>
          <cell r="N3066">
            <v>0</v>
          </cell>
        </row>
        <row r="3067">
          <cell r="A3067">
            <v>4716</v>
          </cell>
          <cell r="B3067" t="str">
            <v>27/01/2014</v>
          </cell>
          <cell r="C3067" t="str">
            <v>CALLOUT</v>
          </cell>
          <cell r="D3067" t="str">
            <v>Attended site to pressure test and rectify faukt</v>
          </cell>
          <cell r="E3067" t="str">
            <v>Premier Air Control</v>
          </cell>
          <cell r="F3067" t="str">
            <v>Subcontractor</v>
          </cell>
          <cell r="G3067" t="str">
            <v/>
          </cell>
          <cell r="H3067" t="str">
            <v/>
          </cell>
          <cell r="I3067" t="str">
            <v/>
          </cell>
          <cell r="J3067">
            <v>600</v>
          </cell>
          <cell r="K3067">
            <v>120</v>
          </cell>
          <cell r="L3067">
            <v>600</v>
          </cell>
          <cell r="M3067" t="str">
            <v/>
          </cell>
          <cell r="N3067">
            <v>0</v>
          </cell>
        </row>
        <row r="3068">
          <cell r="A3068">
            <v>4715</v>
          </cell>
          <cell r="B3068" t="str">
            <v>27/01/2014</v>
          </cell>
          <cell r="C3068" t="str">
            <v>CALLOUT</v>
          </cell>
          <cell r="D3068" t="str">
            <v>Attend site and cleaned out drip tray</v>
          </cell>
          <cell r="E3068" t="str">
            <v>Premier Air Control</v>
          </cell>
          <cell r="F3068" t="str">
            <v>Subcontractor</v>
          </cell>
          <cell r="G3068" t="str">
            <v/>
          </cell>
          <cell r="H3068" t="str">
            <v/>
          </cell>
          <cell r="I3068" t="str">
            <v/>
          </cell>
          <cell r="J3068">
            <v>90</v>
          </cell>
          <cell r="K3068">
            <v>18</v>
          </cell>
          <cell r="L3068">
            <v>90</v>
          </cell>
          <cell r="M3068" t="str">
            <v/>
          </cell>
          <cell r="N3068">
            <v>0</v>
          </cell>
        </row>
        <row r="3069">
          <cell r="A3069">
            <v>4714</v>
          </cell>
          <cell r="B3069" t="str">
            <v>27/01/2014</v>
          </cell>
          <cell r="C3069" t="str">
            <v>CALLOUT</v>
          </cell>
          <cell r="D3069" t="str">
            <v>Attended site to rectify unit not switching off</v>
          </cell>
          <cell r="E3069" t="str">
            <v>Premier Air Control</v>
          </cell>
          <cell r="F3069" t="str">
            <v>Subcontractor</v>
          </cell>
          <cell r="G3069" t="str">
            <v/>
          </cell>
          <cell r="H3069" t="str">
            <v/>
          </cell>
          <cell r="I3069" t="str">
            <v/>
          </cell>
          <cell r="J3069">
            <v>60</v>
          </cell>
          <cell r="K3069">
            <v>12</v>
          </cell>
          <cell r="L3069">
            <v>60</v>
          </cell>
          <cell r="M3069" t="str">
            <v/>
          </cell>
          <cell r="N3069">
            <v>0</v>
          </cell>
        </row>
        <row r="3070">
          <cell r="A3070">
            <v>4713</v>
          </cell>
          <cell r="B3070" t="str">
            <v>27/01/2014</v>
          </cell>
          <cell r="C3070" t="str">
            <v>CALLOUT</v>
          </cell>
          <cell r="D3070" t="str">
            <v>Attended site carried out works as insturcted by MP</v>
          </cell>
          <cell r="E3070" t="str">
            <v>A Jones Heating &amp; Plumbing</v>
          </cell>
          <cell r="F3070" t="str">
            <v>Subcontractor</v>
          </cell>
          <cell r="G3070" t="str">
            <v/>
          </cell>
          <cell r="H3070" t="str">
            <v/>
          </cell>
          <cell r="I3070" t="str">
            <v/>
          </cell>
          <cell r="J3070">
            <v>220</v>
          </cell>
          <cell r="K3070">
            <v>0</v>
          </cell>
          <cell r="L3070">
            <v>220</v>
          </cell>
          <cell r="M3070" t="str">
            <v/>
          </cell>
          <cell r="N3070">
            <v>0</v>
          </cell>
        </row>
        <row r="3071">
          <cell r="A3071">
            <v>4712</v>
          </cell>
          <cell r="B3071" t="str">
            <v>27/01/2014</v>
          </cell>
          <cell r="C3071" t="str">
            <v>C1174</v>
          </cell>
          <cell r="D3071" t="str">
            <v>O</v>
          </cell>
          <cell r="E3071" t="str">
            <v>EEI (UK) Ltd</v>
          </cell>
          <cell r="F3071" t="str">
            <v>Subcontractor</v>
          </cell>
          <cell r="G3071" t="str">
            <v/>
          </cell>
          <cell r="H3071" t="str">
            <v/>
          </cell>
          <cell r="I3071" t="str">
            <v/>
          </cell>
          <cell r="J3071">
            <v>150</v>
          </cell>
          <cell r="K3071">
            <v>30</v>
          </cell>
          <cell r="L3071">
            <v>150</v>
          </cell>
          <cell r="M3071" t="str">
            <v/>
          </cell>
          <cell r="N3071">
            <v>0</v>
          </cell>
        </row>
        <row r="3072">
          <cell r="A3072">
            <v>4701</v>
          </cell>
          <cell r="B3072" t="str">
            <v>23/01/2014</v>
          </cell>
          <cell r="C3072" t="str">
            <v>CALLOUT</v>
          </cell>
          <cell r="D3072" t="str">
            <v>2no Lights not working in corridor</v>
          </cell>
          <cell r="E3072" t="str">
            <v>Technical Building Services</v>
          </cell>
          <cell r="F3072" t="str">
            <v>Subcontractor</v>
          </cell>
          <cell r="G3072" t="str">
            <v/>
          </cell>
          <cell r="H3072" t="str">
            <v>Part</v>
          </cell>
          <cell r="I3072" t="str">
            <v/>
          </cell>
          <cell r="J3072">
            <v>55</v>
          </cell>
          <cell r="K3072">
            <v>11</v>
          </cell>
          <cell r="L3072">
            <v>55</v>
          </cell>
          <cell r="M3072" t="str">
            <v/>
          </cell>
          <cell r="N3072">
            <v>0</v>
          </cell>
        </row>
        <row r="3073">
          <cell r="A3073">
            <v>4693</v>
          </cell>
          <cell r="B3073" t="str">
            <v>22/01/2014</v>
          </cell>
          <cell r="C3073" t="str">
            <v>CALLOUT</v>
          </cell>
          <cell r="D3073" t="str">
            <v>Investigate Lights in Gents Toilets 2nd Floor not Working</v>
          </cell>
          <cell r="E3073" t="str">
            <v>Barrie Beard Ltd</v>
          </cell>
          <cell r="F3073" t="str">
            <v>Subcontractor</v>
          </cell>
          <cell r="G3073" t="str">
            <v/>
          </cell>
          <cell r="H3073" t="str">
            <v/>
          </cell>
          <cell r="I3073" t="str">
            <v/>
          </cell>
          <cell r="J3073">
            <v>60</v>
          </cell>
          <cell r="K3073">
            <v>12</v>
          </cell>
          <cell r="L3073">
            <v>60</v>
          </cell>
          <cell r="M3073" t="str">
            <v/>
          </cell>
          <cell r="N3073">
            <v>0</v>
          </cell>
        </row>
        <row r="3074">
          <cell r="A3074">
            <v>4690</v>
          </cell>
          <cell r="B3074" t="str">
            <v>21/01/2014</v>
          </cell>
          <cell r="C3074" t="str">
            <v>CALLOUT</v>
          </cell>
          <cell r="D3074" t="str">
            <v>Investigate 2 Boilers/ Emergency Lights Showing on Both Boil</v>
          </cell>
          <cell r="E3074" t="str">
            <v>Barton Gas Fitters</v>
          </cell>
          <cell r="F3074" t="str">
            <v>Subcontractor</v>
          </cell>
          <cell r="G3074" t="str">
            <v/>
          </cell>
          <cell r="H3074" t="str">
            <v/>
          </cell>
          <cell r="I3074" t="str">
            <v/>
          </cell>
          <cell r="J3074">
            <v>115</v>
          </cell>
          <cell r="K3074">
            <v>23</v>
          </cell>
          <cell r="L3074">
            <v>115</v>
          </cell>
          <cell r="M3074" t="str">
            <v/>
          </cell>
          <cell r="N3074">
            <v>0</v>
          </cell>
        </row>
        <row r="3075">
          <cell r="A3075">
            <v>4689</v>
          </cell>
          <cell r="B3075" t="str">
            <v>21/01/2014</v>
          </cell>
          <cell r="C3075" t="str">
            <v>CALLOUT</v>
          </cell>
          <cell r="D3075" t="str">
            <v>Repair Water Heater in Toilet Block - Heater stopped heating</v>
          </cell>
          <cell r="E3075" t="str">
            <v>Barrie Beard Ltd</v>
          </cell>
          <cell r="F3075" t="str">
            <v>Subcontractor</v>
          </cell>
          <cell r="G3075" t="str">
            <v/>
          </cell>
          <cell r="H3075" t="str">
            <v/>
          </cell>
          <cell r="I3075" t="str">
            <v/>
          </cell>
          <cell r="J3075">
            <v>85</v>
          </cell>
          <cell r="K3075">
            <v>17</v>
          </cell>
          <cell r="L3075">
            <v>85</v>
          </cell>
          <cell r="M3075" t="str">
            <v/>
          </cell>
          <cell r="N3075">
            <v>0</v>
          </cell>
        </row>
        <row r="3076">
          <cell r="A3076">
            <v>4647</v>
          </cell>
          <cell r="B3076" t="str">
            <v>09/01/2014</v>
          </cell>
          <cell r="C3076" t="str">
            <v>CALLOUT</v>
          </cell>
          <cell r="D3076" t="str">
            <v>Site Survey to pressurisation of drainage and Chlorination</v>
          </cell>
          <cell r="E3076" t="str">
            <v>Foztek Limited</v>
          </cell>
          <cell r="F3076" t="str">
            <v>Subcontractor</v>
          </cell>
          <cell r="G3076" t="str">
            <v/>
          </cell>
          <cell r="H3076" t="str">
            <v/>
          </cell>
          <cell r="I3076" t="str">
            <v/>
          </cell>
          <cell r="J3076">
            <v>200</v>
          </cell>
          <cell r="K3076">
            <v>40</v>
          </cell>
          <cell r="L3076">
            <v>200</v>
          </cell>
          <cell r="M3076" t="str">
            <v/>
          </cell>
          <cell r="N3076">
            <v>0</v>
          </cell>
        </row>
        <row r="3077">
          <cell r="A3077">
            <v>4612</v>
          </cell>
          <cell r="B3077" t="str">
            <v>12/12/2013</v>
          </cell>
          <cell r="C3077" t="str">
            <v>CALLOUT</v>
          </cell>
          <cell r="D3077" t="str">
            <v>Assisted Controls Specialist on Site</v>
          </cell>
          <cell r="E3077" t="str">
            <v>A Jones Heating &amp; Plumbing</v>
          </cell>
          <cell r="F3077" t="str">
            <v>Subcontractor</v>
          </cell>
          <cell r="G3077" t="str">
            <v/>
          </cell>
          <cell r="H3077" t="str">
            <v/>
          </cell>
          <cell r="I3077" t="str">
            <v/>
          </cell>
          <cell r="J3077">
            <v>175</v>
          </cell>
          <cell r="K3077">
            <v>0</v>
          </cell>
          <cell r="L3077">
            <v>175</v>
          </cell>
          <cell r="M3077" t="str">
            <v/>
          </cell>
          <cell r="N3077">
            <v>0</v>
          </cell>
        </row>
        <row r="3078">
          <cell r="A3078">
            <v>4611</v>
          </cell>
          <cell r="B3078" t="str">
            <v>12/12/2013</v>
          </cell>
          <cell r="C3078" t="str">
            <v>CALLOUT</v>
          </cell>
          <cell r="D3078" t="str">
            <v>No Heating/No Hot Water</v>
          </cell>
          <cell r="E3078" t="str">
            <v>A Jones Heating &amp; Plumbing</v>
          </cell>
          <cell r="F3078" t="str">
            <v>Subcontractor</v>
          </cell>
          <cell r="G3078" t="str">
            <v/>
          </cell>
          <cell r="H3078" t="str">
            <v/>
          </cell>
          <cell r="I3078" t="str">
            <v/>
          </cell>
          <cell r="J3078">
            <v>190</v>
          </cell>
          <cell r="K3078">
            <v>0</v>
          </cell>
          <cell r="L3078">
            <v>190</v>
          </cell>
          <cell r="M3078" t="str">
            <v/>
          </cell>
          <cell r="N3078">
            <v>0</v>
          </cell>
        </row>
        <row r="3079">
          <cell r="A3079">
            <v>4609</v>
          </cell>
          <cell r="B3079" t="str">
            <v>11/12/2013</v>
          </cell>
          <cell r="C3079" t="str">
            <v>CALLOUT</v>
          </cell>
          <cell r="D3079" t="str">
            <v>Attended site over 2 days</v>
          </cell>
          <cell r="E3079" t="str">
            <v>A Jones Heating &amp; Plumbing</v>
          </cell>
          <cell r="F3079" t="str">
            <v>Subcontractor</v>
          </cell>
          <cell r="G3079" t="str">
            <v/>
          </cell>
          <cell r="H3079" t="str">
            <v/>
          </cell>
          <cell r="I3079" t="str">
            <v/>
          </cell>
          <cell r="J3079">
            <v>320</v>
          </cell>
          <cell r="K3079">
            <v>0</v>
          </cell>
          <cell r="L3079">
            <v>320</v>
          </cell>
          <cell r="M3079" t="str">
            <v/>
          </cell>
          <cell r="N3079">
            <v>0</v>
          </cell>
        </row>
        <row r="3080">
          <cell r="A3080">
            <v>4604</v>
          </cell>
          <cell r="B3080" t="str">
            <v>11/12/2013</v>
          </cell>
          <cell r="C3080" t="str">
            <v>CALLOUT</v>
          </cell>
          <cell r="D3080" t="str">
            <v>Replace Time Clock</v>
          </cell>
          <cell r="E3080" t="str">
            <v>A Jones Heating &amp; Plumbing</v>
          </cell>
          <cell r="F3080" t="str">
            <v>Subcontractor</v>
          </cell>
          <cell r="G3080" t="str">
            <v/>
          </cell>
          <cell r="H3080" t="str">
            <v/>
          </cell>
          <cell r="I3080" t="str">
            <v/>
          </cell>
          <cell r="J3080">
            <v>90</v>
          </cell>
          <cell r="K3080">
            <v>0</v>
          </cell>
          <cell r="L3080">
            <v>90</v>
          </cell>
          <cell r="M3080" t="str">
            <v/>
          </cell>
          <cell r="N3080">
            <v>0</v>
          </cell>
        </row>
        <row r="3081">
          <cell r="A3081">
            <v>4594</v>
          </cell>
          <cell r="B3081" t="str">
            <v>05/12/2013</v>
          </cell>
          <cell r="C3081" t="str">
            <v>C1168</v>
          </cell>
          <cell r="D3081" t="str">
            <v>To carry out works as per your quote 308303</v>
          </cell>
          <cell r="E3081" t="str">
            <v>Cook Fire &amp; Security Limited</v>
          </cell>
          <cell r="F3081" t="str">
            <v>Subcontractor</v>
          </cell>
          <cell r="G3081" t="str">
            <v/>
          </cell>
          <cell r="H3081" t="str">
            <v/>
          </cell>
          <cell r="I3081" t="str">
            <v/>
          </cell>
          <cell r="J3081">
            <v>796.03</v>
          </cell>
          <cell r="K3081">
            <v>159.21</v>
          </cell>
          <cell r="L3081">
            <v>796.03</v>
          </cell>
          <cell r="M3081" t="str">
            <v/>
          </cell>
          <cell r="N3081">
            <v>0</v>
          </cell>
        </row>
        <row r="3082">
          <cell r="A3082">
            <v>4593</v>
          </cell>
          <cell r="B3082" t="str">
            <v>05/12/2013</v>
          </cell>
          <cell r="C3082" t="str">
            <v>C1168</v>
          </cell>
          <cell r="D3082" t="str">
            <v>To carry out works as per your quote 307272</v>
          </cell>
          <cell r="E3082" t="str">
            <v>Cook Fire &amp; Security Limited</v>
          </cell>
          <cell r="F3082" t="str">
            <v>Subcontractor</v>
          </cell>
          <cell r="G3082" t="str">
            <v/>
          </cell>
          <cell r="H3082" t="str">
            <v>Part</v>
          </cell>
          <cell r="I3082" t="str">
            <v/>
          </cell>
          <cell r="J3082">
            <v>435</v>
          </cell>
          <cell r="K3082">
            <v>87</v>
          </cell>
          <cell r="L3082">
            <v>435</v>
          </cell>
          <cell r="M3082" t="str">
            <v/>
          </cell>
          <cell r="N3082">
            <v>0</v>
          </cell>
        </row>
        <row r="3083">
          <cell r="A3083">
            <v>4582</v>
          </cell>
          <cell r="B3083" t="str">
            <v>02/12/2013</v>
          </cell>
          <cell r="C3083" t="str">
            <v>CALLOUT</v>
          </cell>
          <cell r="D3083" t="str">
            <v>Strip Out as agreed with Mark Poulton</v>
          </cell>
          <cell r="E3083" t="str">
            <v>F Gas Certification Limited</v>
          </cell>
          <cell r="F3083" t="str">
            <v>Subcontractor</v>
          </cell>
          <cell r="G3083" t="str">
            <v/>
          </cell>
          <cell r="H3083" t="str">
            <v/>
          </cell>
          <cell r="I3083" t="str">
            <v/>
          </cell>
          <cell r="J3083">
            <v>410</v>
          </cell>
          <cell r="K3083">
            <v>82</v>
          </cell>
          <cell r="L3083">
            <v>410</v>
          </cell>
          <cell r="M3083" t="str">
            <v/>
          </cell>
          <cell r="N3083">
            <v>0</v>
          </cell>
        </row>
        <row r="3084">
          <cell r="A3084">
            <v>4579</v>
          </cell>
          <cell r="B3084" t="str">
            <v>28/11/2013</v>
          </cell>
          <cell r="C3084" t="str">
            <v>CALLOUT</v>
          </cell>
          <cell r="D3084" t="str">
            <v>Attend site to investigate why boiler is locking out</v>
          </cell>
          <cell r="E3084" t="str">
            <v>S &amp; M Rogerson Limited</v>
          </cell>
          <cell r="F3084" t="str">
            <v>Subcontractor</v>
          </cell>
          <cell r="G3084" t="str">
            <v/>
          </cell>
          <cell r="H3084" t="str">
            <v/>
          </cell>
          <cell r="I3084" t="str">
            <v/>
          </cell>
          <cell r="J3084">
            <v>124.25</v>
          </cell>
          <cell r="K3084">
            <v>24.85</v>
          </cell>
          <cell r="L3084">
            <v>124.25</v>
          </cell>
          <cell r="M3084" t="str">
            <v/>
          </cell>
          <cell r="N3084">
            <v>0</v>
          </cell>
        </row>
        <row r="3085">
          <cell r="A3085">
            <v>4555</v>
          </cell>
          <cell r="B3085" t="str">
            <v>25/11/2013</v>
          </cell>
          <cell r="C3085" t="str">
            <v>CALLOUT</v>
          </cell>
          <cell r="D3085" t="str">
            <v>AC Works as agreed with MP</v>
          </cell>
          <cell r="E3085" t="str">
            <v>F Gas Certification Limited</v>
          </cell>
          <cell r="F3085" t="str">
            <v>Subcontractor</v>
          </cell>
          <cell r="G3085" t="str">
            <v/>
          </cell>
          <cell r="H3085" t="str">
            <v/>
          </cell>
          <cell r="I3085" t="str">
            <v/>
          </cell>
          <cell r="J3085">
            <v>2750</v>
          </cell>
          <cell r="K3085">
            <v>550</v>
          </cell>
          <cell r="L3085">
            <v>2750</v>
          </cell>
          <cell r="M3085" t="str">
            <v/>
          </cell>
          <cell r="N3085">
            <v>0</v>
          </cell>
        </row>
        <row r="3086">
          <cell r="A3086">
            <v>4550</v>
          </cell>
          <cell r="B3086" t="str">
            <v>25/11/2013</v>
          </cell>
          <cell r="C3086" t="str">
            <v>CALLOUT</v>
          </cell>
          <cell r="D3086" t="str">
            <v>Supply Power as agreed with Mark Poulton</v>
          </cell>
          <cell r="E3086" t="str">
            <v>West Lancashire Electrical Contractors Ltd</v>
          </cell>
          <cell r="F3086" t="str">
            <v>Subcontractor</v>
          </cell>
          <cell r="G3086" t="str">
            <v/>
          </cell>
          <cell r="H3086" t="str">
            <v/>
          </cell>
          <cell r="I3086" t="str">
            <v/>
          </cell>
          <cell r="J3086">
            <v>2857.04</v>
          </cell>
          <cell r="K3086">
            <v>571.41</v>
          </cell>
          <cell r="L3086">
            <v>2857.04</v>
          </cell>
          <cell r="M3086" t="str">
            <v/>
          </cell>
          <cell r="N3086">
            <v>0</v>
          </cell>
        </row>
        <row r="3087">
          <cell r="A3087">
            <v>4544</v>
          </cell>
          <cell r="B3087" t="str">
            <v>21/11/2013</v>
          </cell>
          <cell r="C3087" t="str">
            <v>CALLOUT</v>
          </cell>
          <cell r="D3087" t="str">
            <v>Controls Specialist to attend Site on Monday 25.11.2013 alon</v>
          </cell>
          <cell r="E3087" t="str">
            <v>Building Technology Systems</v>
          </cell>
          <cell r="F3087" t="str">
            <v>Subcontractor</v>
          </cell>
          <cell r="G3087" t="str">
            <v/>
          </cell>
          <cell r="H3087" t="str">
            <v/>
          </cell>
          <cell r="I3087" t="str">
            <v/>
          </cell>
          <cell r="J3087">
            <v>392</v>
          </cell>
          <cell r="K3087">
            <v>78.400000000000006</v>
          </cell>
          <cell r="L3087">
            <v>392</v>
          </cell>
          <cell r="M3087" t="str">
            <v/>
          </cell>
          <cell r="N3087">
            <v>0</v>
          </cell>
        </row>
        <row r="3088">
          <cell r="A3088">
            <v>4524</v>
          </cell>
          <cell r="B3088" t="str">
            <v>15/11/2013</v>
          </cell>
          <cell r="C3088" t="str">
            <v>C1179</v>
          </cell>
          <cell r="D3088" t="str">
            <v>For Works at Moston Field School</v>
          </cell>
          <cell r="E3088" t="str">
            <v>Omegair Limited</v>
          </cell>
          <cell r="F3088" t="str">
            <v>Subcontractor</v>
          </cell>
          <cell r="G3088" t="str">
            <v/>
          </cell>
          <cell r="H3088" t="str">
            <v/>
          </cell>
          <cell r="I3088" t="str">
            <v/>
          </cell>
          <cell r="J3088">
            <v>6600</v>
          </cell>
          <cell r="K3088">
            <v>1320</v>
          </cell>
          <cell r="L3088">
            <v>6600</v>
          </cell>
          <cell r="M3088" t="str">
            <v/>
          </cell>
          <cell r="N3088">
            <v>0</v>
          </cell>
        </row>
        <row r="3089">
          <cell r="A3089">
            <v>4513</v>
          </cell>
          <cell r="B3089" t="str">
            <v>15/11/2013</v>
          </cell>
          <cell r="C3089" t="str">
            <v>CALLOUT</v>
          </cell>
          <cell r="D3089" t="str">
            <v>Carry out works as per emails dated 13th November 2013</v>
          </cell>
          <cell r="E3089" t="str">
            <v>Building Technology Systems</v>
          </cell>
          <cell r="F3089" t="str">
            <v>Subcontractor</v>
          </cell>
          <cell r="G3089" t="str">
            <v/>
          </cell>
          <cell r="H3089" t="str">
            <v/>
          </cell>
          <cell r="I3089" t="str">
            <v/>
          </cell>
          <cell r="J3089">
            <v>1140</v>
          </cell>
          <cell r="K3089">
            <v>228</v>
          </cell>
          <cell r="L3089">
            <v>1140</v>
          </cell>
          <cell r="M3089" t="str">
            <v/>
          </cell>
          <cell r="N3089">
            <v>0</v>
          </cell>
        </row>
        <row r="3090">
          <cell r="A3090">
            <v>4510</v>
          </cell>
          <cell r="B3090" t="str">
            <v>13/11/2013</v>
          </cell>
          <cell r="C3090" t="str">
            <v>CALLOUT</v>
          </cell>
          <cell r="D3090" t="str">
            <v>Replaced Pressure Reducing Valve/Expansion Vessell</v>
          </cell>
          <cell r="E3090" t="str">
            <v>A Jones Heating &amp; Plumbing</v>
          </cell>
          <cell r="F3090" t="str">
            <v>Subcontractor</v>
          </cell>
          <cell r="G3090" t="str">
            <v/>
          </cell>
          <cell r="H3090" t="str">
            <v/>
          </cell>
          <cell r="I3090" t="str">
            <v/>
          </cell>
          <cell r="J3090">
            <v>220</v>
          </cell>
          <cell r="K3090">
            <v>0</v>
          </cell>
          <cell r="L3090">
            <v>220</v>
          </cell>
          <cell r="M3090" t="str">
            <v/>
          </cell>
          <cell r="N3090">
            <v>0</v>
          </cell>
        </row>
        <row r="3091">
          <cell r="A3091">
            <v>4509</v>
          </cell>
          <cell r="B3091" t="str">
            <v>13/11/2013</v>
          </cell>
          <cell r="C3091" t="str">
            <v>CALLOUT</v>
          </cell>
          <cell r="D3091" t="str">
            <v>Controls Engineer to attend site on Thursday 21st November 2</v>
          </cell>
          <cell r="E3091" t="str">
            <v>Building Technology Systems</v>
          </cell>
          <cell r="F3091" t="str">
            <v>Subcontractor</v>
          </cell>
          <cell r="G3091" t="str">
            <v/>
          </cell>
          <cell r="H3091" t="str">
            <v/>
          </cell>
          <cell r="I3091" t="str">
            <v/>
          </cell>
          <cell r="J3091">
            <v>432</v>
          </cell>
          <cell r="K3091">
            <v>86.4</v>
          </cell>
          <cell r="L3091">
            <v>432</v>
          </cell>
          <cell r="M3091" t="str">
            <v/>
          </cell>
          <cell r="N3091">
            <v>0</v>
          </cell>
        </row>
        <row r="3092">
          <cell r="A3092">
            <v>4502</v>
          </cell>
          <cell r="B3092" t="str">
            <v>12/11/2013</v>
          </cell>
          <cell r="C3092" t="str">
            <v>CALLOUT</v>
          </cell>
          <cell r="D3092" t="str">
            <v>To attend site Thursday 14th November 2013 as discussed with</v>
          </cell>
          <cell r="E3092" t="str">
            <v>Urmson LLP</v>
          </cell>
          <cell r="F3092" t="str">
            <v>Subcontractor</v>
          </cell>
          <cell r="G3092" t="str">
            <v/>
          </cell>
          <cell r="H3092" t="str">
            <v>Part</v>
          </cell>
          <cell r="I3092" t="str">
            <v/>
          </cell>
          <cell r="J3092">
            <v>1050</v>
          </cell>
          <cell r="K3092">
            <v>210</v>
          </cell>
          <cell r="L3092">
            <v>1050</v>
          </cell>
          <cell r="M3092" t="str">
            <v/>
          </cell>
          <cell r="N3092">
            <v>0</v>
          </cell>
        </row>
        <row r="3093">
          <cell r="A3093">
            <v>4500</v>
          </cell>
          <cell r="B3093" t="str">
            <v>12/11/2013</v>
          </cell>
          <cell r="C3093" t="str">
            <v>CALLOUT</v>
          </cell>
          <cell r="D3093" t="str">
            <v>Attend Site on Thursday Evening as discussed with Mark Poult</v>
          </cell>
          <cell r="E3093" t="str">
            <v>Building Technology Systems</v>
          </cell>
          <cell r="F3093" t="str">
            <v>Subcontractor</v>
          </cell>
          <cell r="G3093" t="str">
            <v/>
          </cell>
          <cell r="H3093" t="str">
            <v/>
          </cell>
          <cell r="I3093" t="str">
            <v/>
          </cell>
          <cell r="J3093">
            <v>414</v>
          </cell>
          <cell r="K3093">
            <v>82.8</v>
          </cell>
          <cell r="L3093">
            <v>414</v>
          </cell>
          <cell r="M3093" t="str">
            <v/>
          </cell>
          <cell r="N3093">
            <v>0</v>
          </cell>
        </row>
        <row r="3094">
          <cell r="A3094">
            <v>4495</v>
          </cell>
          <cell r="B3094" t="str">
            <v>11/11/2013</v>
          </cell>
          <cell r="C3094" t="str">
            <v>SERVICE</v>
          </cell>
          <cell r="D3094" t="str">
            <v>Carry out AC Maintenance</v>
          </cell>
          <cell r="E3094" t="str">
            <v>Premier Air Control</v>
          </cell>
          <cell r="F3094" t="str">
            <v>Subcontractor</v>
          </cell>
          <cell r="G3094" t="str">
            <v/>
          </cell>
          <cell r="H3094" t="str">
            <v/>
          </cell>
          <cell r="I3094" t="str">
            <v/>
          </cell>
          <cell r="J3094">
            <v>220</v>
          </cell>
          <cell r="K3094">
            <v>44</v>
          </cell>
          <cell r="L3094">
            <v>220</v>
          </cell>
          <cell r="M3094" t="str">
            <v/>
          </cell>
          <cell r="N3094">
            <v>0</v>
          </cell>
        </row>
        <row r="3095">
          <cell r="A3095">
            <v>4493</v>
          </cell>
          <cell r="B3095" t="str">
            <v>11/11/2013</v>
          </cell>
          <cell r="C3095" t="str">
            <v>C1183</v>
          </cell>
          <cell r="D3095" t="str">
            <v>Lagging of 15mm BCW line</v>
          </cell>
          <cell r="E3095" t="str">
            <v>R &amp; H Insulations</v>
          </cell>
          <cell r="F3095" t="str">
            <v>Subcontractor</v>
          </cell>
          <cell r="G3095" t="str">
            <v/>
          </cell>
          <cell r="H3095" t="str">
            <v/>
          </cell>
          <cell r="I3095" t="str">
            <v/>
          </cell>
          <cell r="J3095">
            <v>900</v>
          </cell>
          <cell r="K3095">
            <v>180</v>
          </cell>
          <cell r="L3095">
            <v>900</v>
          </cell>
          <cell r="M3095" t="str">
            <v/>
          </cell>
          <cell r="N3095">
            <v>0</v>
          </cell>
        </row>
        <row r="3096">
          <cell r="A3096">
            <v>4482</v>
          </cell>
          <cell r="B3096" t="str">
            <v>06/11/2013</v>
          </cell>
          <cell r="C3096" t="str">
            <v>C1168</v>
          </cell>
          <cell r="D3096" t="str">
            <v>Order for chlorination and the commissioning of the RPZ</v>
          </cell>
          <cell r="E3096" t="str">
            <v>Probalance Ltd</v>
          </cell>
          <cell r="F3096" t="str">
            <v>Subcontractor</v>
          </cell>
          <cell r="G3096" t="str">
            <v/>
          </cell>
          <cell r="H3096" t="str">
            <v>Complete</v>
          </cell>
          <cell r="I3096" t="str">
            <v/>
          </cell>
          <cell r="J3096">
            <v>0</v>
          </cell>
          <cell r="K3096">
            <v>0</v>
          </cell>
          <cell r="L3096">
            <v>0</v>
          </cell>
          <cell r="M3096" t="str">
            <v/>
          </cell>
          <cell r="N3096">
            <v>0</v>
          </cell>
        </row>
        <row r="3097">
          <cell r="A3097">
            <v>4467</v>
          </cell>
          <cell r="B3097" t="str">
            <v>05/11/2013</v>
          </cell>
          <cell r="C3097" t="str">
            <v>C1178</v>
          </cell>
          <cell r="D3097" t="str">
            <v>Carried out Commissioning Works</v>
          </cell>
          <cell r="E3097" t="str">
            <v>A Jones Heating &amp; Plumbing</v>
          </cell>
          <cell r="F3097" t="str">
            <v>Subcontractor</v>
          </cell>
          <cell r="G3097" t="str">
            <v/>
          </cell>
          <cell r="H3097" t="str">
            <v/>
          </cell>
          <cell r="I3097" t="str">
            <v/>
          </cell>
          <cell r="J3097">
            <v>350</v>
          </cell>
          <cell r="K3097">
            <v>0</v>
          </cell>
          <cell r="L3097">
            <v>350</v>
          </cell>
          <cell r="M3097" t="str">
            <v/>
          </cell>
          <cell r="N3097">
            <v>0</v>
          </cell>
        </row>
        <row r="3098">
          <cell r="A3098">
            <v>4466</v>
          </cell>
          <cell r="B3098" t="str">
            <v>05/11/2013</v>
          </cell>
          <cell r="C3098" t="str">
            <v>SERVICE</v>
          </cell>
          <cell r="D3098" t="str">
            <v>Carried out Maintenance Boilers</v>
          </cell>
          <cell r="E3098" t="str">
            <v>A Jones Heating &amp; Plumbing</v>
          </cell>
          <cell r="F3098" t="str">
            <v>Subcontractor</v>
          </cell>
          <cell r="G3098" t="str">
            <v/>
          </cell>
          <cell r="H3098" t="str">
            <v/>
          </cell>
          <cell r="I3098" t="str">
            <v/>
          </cell>
          <cell r="J3098">
            <v>190</v>
          </cell>
          <cell r="K3098">
            <v>0</v>
          </cell>
          <cell r="L3098">
            <v>190</v>
          </cell>
          <cell r="M3098" t="str">
            <v/>
          </cell>
          <cell r="N3098">
            <v>0</v>
          </cell>
        </row>
        <row r="3099">
          <cell r="A3099">
            <v>4465</v>
          </cell>
          <cell r="B3099" t="str">
            <v>05/11/2013</v>
          </cell>
          <cell r="C3099" t="str">
            <v>CALLOUT</v>
          </cell>
          <cell r="D3099" t="str">
            <v>Replace Consense Drain to Potterton Boiler</v>
          </cell>
          <cell r="E3099" t="str">
            <v>A Jones Heating &amp; Plumbing</v>
          </cell>
          <cell r="F3099" t="str">
            <v>Subcontractor</v>
          </cell>
          <cell r="G3099" t="str">
            <v/>
          </cell>
          <cell r="H3099" t="str">
            <v/>
          </cell>
          <cell r="I3099" t="str">
            <v/>
          </cell>
          <cell r="J3099">
            <v>140</v>
          </cell>
          <cell r="K3099">
            <v>0</v>
          </cell>
          <cell r="L3099">
            <v>140</v>
          </cell>
          <cell r="M3099" t="str">
            <v/>
          </cell>
          <cell r="N3099">
            <v>0</v>
          </cell>
        </row>
        <row r="3100">
          <cell r="A3100">
            <v>4460</v>
          </cell>
          <cell r="B3100" t="str">
            <v>05/11/2013</v>
          </cell>
          <cell r="C3100" t="str">
            <v>CALLOUT</v>
          </cell>
          <cell r="D3100" t="str">
            <v>No Hot Water/No Heating</v>
          </cell>
          <cell r="E3100" t="str">
            <v>A Jones Heating &amp; Plumbing</v>
          </cell>
          <cell r="F3100" t="str">
            <v>Subcontractor</v>
          </cell>
          <cell r="G3100" t="str">
            <v/>
          </cell>
          <cell r="H3100" t="str">
            <v/>
          </cell>
          <cell r="I3100" t="str">
            <v/>
          </cell>
          <cell r="J3100">
            <v>300</v>
          </cell>
          <cell r="K3100">
            <v>0</v>
          </cell>
          <cell r="L3100">
            <v>300</v>
          </cell>
          <cell r="M3100" t="str">
            <v/>
          </cell>
          <cell r="N3100">
            <v>0</v>
          </cell>
        </row>
        <row r="3101">
          <cell r="A3101">
            <v>4454</v>
          </cell>
          <cell r="B3101" t="str">
            <v>01/11/2013</v>
          </cell>
          <cell r="C3101" t="str">
            <v>C1168</v>
          </cell>
          <cell r="D3101" t="str">
            <v>For the supply &amp; install as per quote ref:</v>
          </cell>
          <cell r="E3101" t="str">
            <v>R &amp; H Insulations</v>
          </cell>
          <cell r="F3101" t="str">
            <v>Subcontractor</v>
          </cell>
          <cell r="G3101" t="str">
            <v/>
          </cell>
          <cell r="H3101" t="str">
            <v/>
          </cell>
          <cell r="I3101" t="str">
            <v/>
          </cell>
          <cell r="J3101">
            <v>7549</v>
          </cell>
          <cell r="K3101">
            <v>1509.8</v>
          </cell>
          <cell r="L3101">
            <v>7549</v>
          </cell>
          <cell r="M3101" t="str">
            <v/>
          </cell>
          <cell r="N3101">
            <v>0</v>
          </cell>
        </row>
        <row r="3102">
          <cell r="A3102">
            <v>4445</v>
          </cell>
          <cell r="B3102" t="str">
            <v>31/10/2013</v>
          </cell>
          <cell r="C3102" t="str">
            <v>C1114</v>
          </cell>
          <cell r="D3102" t="str">
            <v>Attend site to check over the BMS on Friday 8th November 201</v>
          </cell>
          <cell r="E3102" t="str">
            <v>Building Technology Systems</v>
          </cell>
          <cell r="F3102" t="str">
            <v>Subcontractor</v>
          </cell>
          <cell r="G3102" t="str">
            <v/>
          </cell>
          <cell r="H3102" t="str">
            <v/>
          </cell>
          <cell r="I3102" t="str">
            <v/>
          </cell>
          <cell r="J3102">
            <v>490</v>
          </cell>
          <cell r="K3102">
            <v>98</v>
          </cell>
          <cell r="L3102">
            <v>490</v>
          </cell>
          <cell r="M3102" t="str">
            <v/>
          </cell>
          <cell r="N3102">
            <v>0</v>
          </cell>
        </row>
        <row r="3103">
          <cell r="A3103">
            <v>4430</v>
          </cell>
          <cell r="B3103" t="str">
            <v>29/10/2013</v>
          </cell>
          <cell r="C3103" t="str">
            <v>C1168</v>
          </cell>
          <cell r="D3103" t="str">
            <v>For Labour &amp; Material at Lancaster University</v>
          </cell>
          <cell r="E3103" t="str">
            <v>Pennine Pneumatic Services</v>
          </cell>
          <cell r="F3103" t="str">
            <v>Subcontractor</v>
          </cell>
          <cell r="G3103" t="str">
            <v/>
          </cell>
          <cell r="H3103" t="str">
            <v>Part</v>
          </cell>
          <cell r="I3103" t="str">
            <v/>
          </cell>
          <cell r="J3103">
            <v>2525</v>
          </cell>
          <cell r="K3103">
            <v>505</v>
          </cell>
          <cell r="L3103">
            <v>2900</v>
          </cell>
          <cell r="M3103" t="str">
            <v/>
          </cell>
          <cell r="N3103">
            <v>-375</v>
          </cell>
        </row>
        <row r="3104">
          <cell r="A3104">
            <v>4410</v>
          </cell>
          <cell r="B3104" t="str">
            <v>24/10/2013</v>
          </cell>
          <cell r="C3104" t="str">
            <v>C1142</v>
          </cell>
          <cell r="D3104" t="str">
            <v>Installation works</v>
          </cell>
          <cell r="E3104" t="str">
            <v>Daniel Naylor</v>
          </cell>
          <cell r="F3104" t="str">
            <v>Subcontractor</v>
          </cell>
          <cell r="G3104" t="str">
            <v/>
          </cell>
          <cell r="H3104" t="str">
            <v/>
          </cell>
          <cell r="I3104" t="str">
            <v/>
          </cell>
          <cell r="J3104">
            <v>3000</v>
          </cell>
          <cell r="K3104">
            <v>600</v>
          </cell>
          <cell r="L3104">
            <v>3000</v>
          </cell>
          <cell r="M3104" t="str">
            <v/>
          </cell>
          <cell r="N3104">
            <v>0</v>
          </cell>
        </row>
        <row r="3105">
          <cell r="A3105">
            <v>4409</v>
          </cell>
          <cell r="B3105" t="str">
            <v>24/10/2013</v>
          </cell>
          <cell r="C3105" t="str">
            <v>C1177</v>
          </cell>
          <cell r="D3105" t="str">
            <v>Installation works</v>
          </cell>
          <cell r="E3105" t="str">
            <v>Daniel Naylor</v>
          </cell>
          <cell r="F3105" t="str">
            <v>Subcontractor</v>
          </cell>
          <cell r="G3105" t="str">
            <v/>
          </cell>
          <cell r="H3105" t="str">
            <v/>
          </cell>
          <cell r="I3105" t="str">
            <v/>
          </cell>
          <cell r="J3105">
            <v>2500</v>
          </cell>
          <cell r="K3105">
            <v>500</v>
          </cell>
          <cell r="L3105">
            <v>2500</v>
          </cell>
          <cell r="M3105" t="str">
            <v/>
          </cell>
          <cell r="N3105">
            <v>0</v>
          </cell>
        </row>
        <row r="3106">
          <cell r="A3106">
            <v>4408</v>
          </cell>
          <cell r="B3106" t="str">
            <v>24/10/2013</v>
          </cell>
          <cell r="C3106" t="str">
            <v>C1168</v>
          </cell>
          <cell r="D3106" t="str">
            <v>Crane lift</v>
          </cell>
          <cell r="E3106" t="str">
            <v>Jack Waghorn International Ltd</v>
          </cell>
          <cell r="F3106" t="str">
            <v>Subcontractor</v>
          </cell>
          <cell r="G3106" t="str">
            <v/>
          </cell>
          <cell r="H3106" t="str">
            <v/>
          </cell>
          <cell r="I3106" t="str">
            <v/>
          </cell>
          <cell r="J3106">
            <v>2190</v>
          </cell>
          <cell r="K3106">
            <v>438</v>
          </cell>
          <cell r="L3106">
            <v>2190</v>
          </cell>
          <cell r="M3106" t="str">
            <v/>
          </cell>
          <cell r="N3106">
            <v>0</v>
          </cell>
        </row>
        <row r="3107">
          <cell r="A3107">
            <v>4405</v>
          </cell>
          <cell r="B3107" t="str">
            <v>23/10/2013</v>
          </cell>
          <cell r="C3107" t="str">
            <v>C1168</v>
          </cell>
          <cell r="D3107" t="str">
            <v>Check heating flow rates</v>
          </cell>
          <cell r="E3107" t="str">
            <v>Commissioning &amp; Maintenance Services Ltd</v>
          </cell>
          <cell r="F3107" t="str">
            <v>Subcontractor</v>
          </cell>
          <cell r="G3107" t="str">
            <v/>
          </cell>
          <cell r="H3107" t="str">
            <v/>
          </cell>
          <cell r="I3107" t="str">
            <v/>
          </cell>
          <cell r="J3107">
            <v>3333.5</v>
          </cell>
          <cell r="K3107">
            <v>666.7</v>
          </cell>
          <cell r="L3107">
            <v>3333.5</v>
          </cell>
          <cell r="M3107" t="str">
            <v/>
          </cell>
          <cell r="N3107">
            <v>0</v>
          </cell>
        </row>
        <row r="3108">
          <cell r="A3108">
            <v>4401</v>
          </cell>
          <cell r="B3108" t="str">
            <v>22/10/2013</v>
          </cell>
          <cell r="C3108" t="str">
            <v>SERVICE</v>
          </cell>
          <cell r="D3108" t="str">
            <v>Full Service (Travel Time, Labour, Materials)</v>
          </cell>
          <cell r="E3108" t="str">
            <v>A Jones Heating &amp; Plumbing</v>
          </cell>
          <cell r="F3108" t="str">
            <v>Subcontractor</v>
          </cell>
          <cell r="G3108" t="str">
            <v/>
          </cell>
          <cell r="H3108" t="str">
            <v/>
          </cell>
          <cell r="I3108" t="str">
            <v/>
          </cell>
          <cell r="J3108">
            <v>1326</v>
          </cell>
          <cell r="K3108">
            <v>0</v>
          </cell>
          <cell r="L3108">
            <v>1326</v>
          </cell>
          <cell r="M3108" t="str">
            <v/>
          </cell>
          <cell r="N3108">
            <v>0</v>
          </cell>
        </row>
        <row r="3109">
          <cell r="A3109">
            <v>4398</v>
          </cell>
          <cell r="B3109" t="str">
            <v>21/10/2013</v>
          </cell>
          <cell r="C3109" t="str">
            <v>C1168</v>
          </cell>
          <cell r="D3109" t="str">
            <v>Fire alarm, access control &amp; intruder alarm</v>
          </cell>
          <cell r="E3109" t="str">
            <v>ABCA Systems Ltd</v>
          </cell>
          <cell r="F3109" t="str">
            <v>Subcontractor</v>
          </cell>
          <cell r="G3109" t="str">
            <v/>
          </cell>
          <cell r="H3109" t="str">
            <v/>
          </cell>
          <cell r="I3109" t="str">
            <v/>
          </cell>
          <cell r="J3109">
            <v>3348.57</v>
          </cell>
          <cell r="K3109">
            <v>669.71</v>
          </cell>
          <cell r="L3109">
            <v>3348.57</v>
          </cell>
          <cell r="M3109" t="str">
            <v/>
          </cell>
          <cell r="N3109">
            <v>0</v>
          </cell>
        </row>
        <row r="3110">
          <cell r="A3110">
            <v>4384</v>
          </cell>
          <cell r="B3110" t="str">
            <v>17/10/2013</v>
          </cell>
          <cell r="C3110" t="str">
            <v>CALLOUT</v>
          </cell>
          <cell r="D3110" t="str">
            <v>Investigated fault on Pressurisation unit and provided quota</v>
          </cell>
          <cell r="E3110" t="str">
            <v>A Jones Heating &amp; Plumbing</v>
          </cell>
          <cell r="F3110" t="str">
            <v>Subcontractor</v>
          </cell>
          <cell r="G3110" t="str">
            <v/>
          </cell>
          <cell r="H3110" t="str">
            <v/>
          </cell>
          <cell r="I3110" t="str">
            <v/>
          </cell>
          <cell r="J3110">
            <v>96</v>
          </cell>
          <cell r="K3110">
            <v>0</v>
          </cell>
          <cell r="L3110">
            <v>96</v>
          </cell>
          <cell r="M3110" t="str">
            <v/>
          </cell>
          <cell r="N3110">
            <v>0</v>
          </cell>
        </row>
        <row r="3111">
          <cell r="A3111">
            <v>4370</v>
          </cell>
          <cell r="B3111" t="str">
            <v>16/10/2013</v>
          </cell>
          <cell r="C3111" t="str">
            <v>C1178</v>
          </cell>
          <cell r="D3111" t="str">
            <v>Gas heater installation</v>
          </cell>
          <cell r="E3111" t="str">
            <v>Enco Ltd</v>
          </cell>
          <cell r="F3111" t="str">
            <v>Subcontractor</v>
          </cell>
          <cell r="G3111" t="str">
            <v/>
          </cell>
          <cell r="H3111" t="str">
            <v/>
          </cell>
          <cell r="I3111" t="str">
            <v/>
          </cell>
          <cell r="J3111">
            <v>6000</v>
          </cell>
          <cell r="K3111">
            <v>1200</v>
          </cell>
          <cell r="L3111">
            <v>6000</v>
          </cell>
          <cell r="M3111" t="str">
            <v/>
          </cell>
          <cell r="N3111">
            <v>0</v>
          </cell>
        </row>
        <row r="3112">
          <cell r="A3112">
            <v>4359</v>
          </cell>
          <cell r="B3112" t="str">
            <v>14/10/2013</v>
          </cell>
          <cell r="C3112" t="str">
            <v>C1168</v>
          </cell>
          <cell r="D3112" t="str">
            <v>Electrical installation and testing all as per quote dated 1</v>
          </cell>
          <cell r="E3112" t="str">
            <v>West Lancashire Electrical Contractors Ltd</v>
          </cell>
          <cell r="F3112" t="str">
            <v>Subcontractor</v>
          </cell>
          <cell r="G3112" t="str">
            <v/>
          </cell>
          <cell r="H3112" t="str">
            <v/>
          </cell>
          <cell r="I3112" t="str">
            <v/>
          </cell>
          <cell r="J3112">
            <v>52696.05</v>
          </cell>
          <cell r="K3112">
            <v>10539.21</v>
          </cell>
          <cell r="L3112">
            <v>51996.05</v>
          </cell>
          <cell r="M3112" t="str">
            <v/>
          </cell>
          <cell r="N3112">
            <v>700</v>
          </cell>
        </row>
        <row r="3113">
          <cell r="A3113">
            <v>4356</v>
          </cell>
          <cell r="B3113" t="str">
            <v>14/10/2013</v>
          </cell>
          <cell r="C3113" t="str">
            <v>C1178</v>
          </cell>
          <cell r="D3113" t="str">
            <v>Electrical installation &amp; testing</v>
          </cell>
          <cell r="E3113" t="str">
            <v>West Lancashire Electrical Contractors Ltd</v>
          </cell>
          <cell r="F3113" t="str">
            <v>Subcontractor</v>
          </cell>
          <cell r="G3113" t="str">
            <v/>
          </cell>
          <cell r="H3113" t="str">
            <v/>
          </cell>
          <cell r="I3113" t="str">
            <v/>
          </cell>
          <cell r="J3113">
            <v>1901.42</v>
          </cell>
          <cell r="K3113">
            <v>380.28</v>
          </cell>
          <cell r="L3113">
            <v>1901.42</v>
          </cell>
          <cell r="M3113" t="str">
            <v/>
          </cell>
          <cell r="N3113">
            <v>0</v>
          </cell>
        </row>
        <row r="3114">
          <cell r="A3114">
            <v>4337</v>
          </cell>
          <cell r="B3114" t="str">
            <v>10/10/2013</v>
          </cell>
          <cell r="C3114" t="str">
            <v>SERVICE</v>
          </cell>
          <cell r="D3114" t="str">
            <v>Carry out AC Maintenance in Main Office and Server Room</v>
          </cell>
          <cell r="E3114" t="str">
            <v>Premier Air Control</v>
          </cell>
          <cell r="F3114" t="str">
            <v>Subcontractor</v>
          </cell>
          <cell r="G3114" t="str">
            <v/>
          </cell>
          <cell r="H3114" t="str">
            <v/>
          </cell>
          <cell r="I3114" t="str">
            <v/>
          </cell>
          <cell r="J3114">
            <v>230</v>
          </cell>
          <cell r="K3114">
            <v>46</v>
          </cell>
          <cell r="L3114">
            <v>230</v>
          </cell>
          <cell r="M3114" t="str">
            <v/>
          </cell>
          <cell r="N3114">
            <v>0</v>
          </cell>
        </row>
        <row r="3115">
          <cell r="A3115">
            <v>4335</v>
          </cell>
          <cell r="B3115" t="str">
            <v>09/10/2013</v>
          </cell>
          <cell r="C3115" t="str">
            <v>C1168</v>
          </cell>
          <cell r="D3115" t="str">
            <v>PVC &amp; galv ductwork installation</v>
          </cell>
          <cell r="E3115" t="str">
            <v>The Wright Installations Ltd</v>
          </cell>
          <cell r="F3115" t="str">
            <v>Subcontractor</v>
          </cell>
          <cell r="G3115" t="str">
            <v/>
          </cell>
          <cell r="H3115" t="str">
            <v/>
          </cell>
          <cell r="I3115" t="str">
            <v/>
          </cell>
          <cell r="J3115">
            <v>3919</v>
          </cell>
          <cell r="K3115">
            <v>783.8</v>
          </cell>
          <cell r="L3115">
            <v>3919</v>
          </cell>
          <cell r="M3115" t="str">
            <v/>
          </cell>
          <cell r="N3115">
            <v>0</v>
          </cell>
        </row>
        <row r="3116">
          <cell r="A3116">
            <v>4329</v>
          </cell>
          <cell r="B3116" t="str">
            <v>09/10/2013</v>
          </cell>
          <cell r="C3116" t="str">
            <v>SERVICE</v>
          </cell>
          <cell r="D3116" t="str">
            <v>Carried out Heating Maintennace</v>
          </cell>
          <cell r="E3116" t="str">
            <v>A Jones Heating &amp; Plumbing</v>
          </cell>
          <cell r="F3116" t="str">
            <v>Subcontractor</v>
          </cell>
          <cell r="G3116" t="str">
            <v/>
          </cell>
          <cell r="H3116" t="str">
            <v/>
          </cell>
          <cell r="I3116" t="str">
            <v/>
          </cell>
          <cell r="J3116">
            <v>170</v>
          </cell>
          <cell r="K3116">
            <v>0</v>
          </cell>
          <cell r="L3116">
            <v>170</v>
          </cell>
          <cell r="M3116" t="str">
            <v/>
          </cell>
          <cell r="N3116">
            <v>0</v>
          </cell>
        </row>
        <row r="3117">
          <cell r="A3117">
            <v>4323</v>
          </cell>
          <cell r="B3117" t="str">
            <v>08/10/2013</v>
          </cell>
          <cell r="C3117" t="str">
            <v>C1164</v>
          </cell>
          <cell r="D3117" t="str">
            <v>For works at Torquay Street</v>
          </cell>
          <cell r="E3117" t="str">
            <v>Omegair Limited</v>
          </cell>
          <cell r="F3117" t="str">
            <v>Subcontractor</v>
          </cell>
          <cell r="G3117" t="str">
            <v/>
          </cell>
          <cell r="H3117" t="str">
            <v/>
          </cell>
          <cell r="I3117" t="str">
            <v/>
          </cell>
          <cell r="J3117">
            <v>26880</v>
          </cell>
          <cell r="K3117">
            <v>5376</v>
          </cell>
          <cell r="L3117">
            <v>26880</v>
          </cell>
          <cell r="M3117" t="str">
            <v/>
          </cell>
          <cell r="N3117">
            <v>0</v>
          </cell>
        </row>
        <row r="3118">
          <cell r="A3118">
            <v>4322</v>
          </cell>
          <cell r="B3118" t="str">
            <v>08/10/2013</v>
          </cell>
          <cell r="C3118" t="str">
            <v>C1176</v>
          </cell>
          <cell r="D3118" t="str">
            <v>For works at Royal Lancaster Infirmary</v>
          </cell>
          <cell r="E3118" t="str">
            <v>The Wright Installations Ltd</v>
          </cell>
          <cell r="F3118" t="str">
            <v>Subcontractor</v>
          </cell>
          <cell r="G3118" t="str">
            <v/>
          </cell>
          <cell r="H3118" t="str">
            <v/>
          </cell>
          <cell r="I3118" t="str">
            <v/>
          </cell>
          <cell r="J3118">
            <v>1980</v>
          </cell>
          <cell r="K3118">
            <v>396</v>
          </cell>
          <cell r="L3118">
            <v>1980</v>
          </cell>
          <cell r="M3118" t="str">
            <v/>
          </cell>
          <cell r="N3118">
            <v>0</v>
          </cell>
        </row>
        <row r="3119">
          <cell r="A3119">
            <v>4321</v>
          </cell>
          <cell r="B3119" t="str">
            <v>08/10/2013</v>
          </cell>
          <cell r="C3119" t="str">
            <v>C1175</v>
          </cell>
          <cell r="D3119" t="str">
            <v>For works at Arnold KEQM School</v>
          </cell>
          <cell r="E3119" t="str">
            <v>The Wright Installations Ltd</v>
          </cell>
          <cell r="F3119" t="str">
            <v>Subcontractor</v>
          </cell>
          <cell r="G3119" t="str">
            <v/>
          </cell>
          <cell r="H3119" t="str">
            <v/>
          </cell>
          <cell r="I3119" t="str">
            <v/>
          </cell>
          <cell r="J3119">
            <v>4800</v>
          </cell>
          <cell r="K3119">
            <v>960</v>
          </cell>
          <cell r="L3119">
            <v>4800</v>
          </cell>
          <cell r="M3119" t="str">
            <v/>
          </cell>
          <cell r="N3119">
            <v>0</v>
          </cell>
        </row>
        <row r="3120">
          <cell r="A3120">
            <v>4302</v>
          </cell>
          <cell r="B3120" t="str">
            <v>01/10/2013</v>
          </cell>
          <cell r="C3120" t="str">
            <v>C1173</v>
          </cell>
          <cell r="D3120" t="str">
            <v>Supply Labour for 1 Day</v>
          </cell>
          <cell r="E3120" t="str">
            <v>Troughton Air Con Ltd</v>
          </cell>
          <cell r="F3120" t="str">
            <v>Subcontractor</v>
          </cell>
          <cell r="G3120" t="str">
            <v/>
          </cell>
          <cell r="H3120" t="str">
            <v/>
          </cell>
          <cell r="I3120" t="str">
            <v/>
          </cell>
          <cell r="J3120">
            <v>150</v>
          </cell>
          <cell r="K3120">
            <v>30</v>
          </cell>
          <cell r="L3120">
            <v>0</v>
          </cell>
          <cell r="M3120" t="str">
            <v/>
          </cell>
          <cell r="N3120">
            <v>150</v>
          </cell>
        </row>
        <row r="3121">
          <cell r="A3121">
            <v>4295</v>
          </cell>
          <cell r="B3121" t="str">
            <v>30/09/2013</v>
          </cell>
          <cell r="C3121" t="str">
            <v>C1169</v>
          </cell>
          <cell r="D3121" t="str">
            <v>Plumbing works and supply and fitting of pipework materials</v>
          </cell>
          <cell r="E3121" t="str">
            <v>Daniel Naylor</v>
          </cell>
          <cell r="F3121" t="str">
            <v>Subcontractor</v>
          </cell>
          <cell r="G3121" t="str">
            <v/>
          </cell>
          <cell r="H3121" t="str">
            <v/>
          </cell>
          <cell r="I3121" t="str">
            <v/>
          </cell>
          <cell r="J3121">
            <v>2100</v>
          </cell>
          <cell r="K3121">
            <v>420</v>
          </cell>
          <cell r="L3121">
            <v>2100</v>
          </cell>
          <cell r="M3121" t="str">
            <v/>
          </cell>
          <cell r="N3121">
            <v>0</v>
          </cell>
        </row>
        <row r="3122">
          <cell r="A3122">
            <v>4292</v>
          </cell>
          <cell r="B3122" t="str">
            <v>30/09/2013</v>
          </cell>
          <cell r="C3122" t="str">
            <v>CALLOUT</v>
          </cell>
          <cell r="D3122" t="str">
            <v>Installation of Fan Motors</v>
          </cell>
          <cell r="E3122" t="str">
            <v>Premier Air Control</v>
          </cell>
          <cell r="F3122" t="str">
            <v>Subcontractor</v>
          </cell>
          <cell r="G3122" t="str">
            <v/>
          </cell>
          <cell r="H3122" t="str">
            <v/>
          </cell>
          <cell r="I3122" t="str">
            <v/>
          </cell>
          <cell r="J3122">
            <v>410</v>
          </cell>
          <cell r="K3122">
            <v>82</v>
          </cell>
          <cell r="L3122">
            <v>410</v>
          </cell>
          <cell r="M3122" t="str">
            <v/>
          </cell>
          <cell r="N3122">
            <v>0</v>
          </cell>
        </row>
        <row r="3123">
          <cell r="A3123">
            <v>4284</v>
          </cell>
          <cell r="B3123" t="str">
            <v>25/09/2013</v>
          </cell>
          <cell r="C3123" t="str">
            <v>CALLOUT</v>
          </cell>
          <cell r="D3123" t="str">
            <v>Install and supply materials 1no Split System</v>
          </cell>
          <cell r="E3123" t="str">
            <v>AFN Airconditioning</v>
          </cell>
          <cell r="F3123" t="str">
            <v>Subcontractor</v>
          </cell>
          <cell r="G3123" t="str">
            <v/>
          </cell>
          <cell r="H3123" t="str">
            <v/>
          </cell>
          <cell r="I3123" t="str">
            <v/>
          </cell>
          <cell r="J3123">
            <v>1350</v>
          </cell>
          <cell r="K3123">
            <v>270</v>
          </cell>
          <cell r="L3123">
            <v>1350</v>
          </cell>
          <cell r="M3123" t="str">
            <v/>
          </cell>
          <cell r="N3123">
            <v>0</v>
          </cell>
        </row>
        <row r="3124">
          <cell r="A3124">
            <v>4281</v>
          </cell>
          <cell r="B3124" t="str">
            <v>25/09/2013</v>
          </cell>
          <cell r="C3124" t="str">
            <v>C1159</v>
          </cell>
          <cell r="D3124" t="str">
            <v>For works as per RJM Quote: K/81/MC</v>
          </cell>
          <cell r="E3124" t="str">
            <v>R J Mechanical Engineering Ltd</v>
          </cell>
          <cell r="F3124" t="str">
            <v>Subcontractor</v>
          </cell>
          <cell r="G3124" t="str">
            <v/>
          </cell>
          <cell r="H3124" t="str">
            <v/>
          </cell>
          <cell r="I3124" t="str">
            <v/>
          </cell>
          <cell r="J3124">
            <v>12600</v>
          </cell>
          <cell r="K3124">
            <v>2520</v>
          </cell>
          <cell r="L3124">
            <v>4069.5</v>
          </cell>
          <cell r="M3124" t="str">
            <v/>
          </cell>
          <cell r="N3124">
            <v>8530.5</v>
          </cell>
        </row>
        <row r="3125">
          <cell r="A3125">
            <v>4277</v>
          </cell>
          <cell r="B3125" t="str">
            <v>24/09/2013</v>
          </cell>
          <cell r="C3125" t="str">
            <v>CALLOUT</v>
          </cell>
          <cell r="D3125" t="str">
            <v>Carry out Site Survey on Thursday 26th Sept 2013 aat 16.30hr</v>
          </cell>
          <cell r="E3125" t="str">
            <v>F Gas Certification Limited</v>
          </cell>
          <cell r="F3125" t="str">
            <v>Subcontractor</v>
          </cell>
          <cell r="G3125" t="str">
            <v/>
          </cell>
          <cell r="H3125" t="str">
            <v/>
          </cell>
          <cell r="I3125" t="str">
            <v/>
          </cell>
          <cell r="J3125">
            <v>350</v>
          </cell>
          <cell r="K3125">
            <v>70</v>
          </cell>
          <cell r="L3125">
            <v>350</v>
          </cell>
          <cell r="M3125" t="str">
            <v/>
          </cell>
          <cell r="N3125">
            <v>0</v>
          </cell>
        </row>
        <row r="3126">
          <cell r="A3126">
            <v>4276</v>
          </cell>
          <cell r="B3126" t="str">
            <v>24/09/2013</v>
          </cell>
          <cell r="C3126" t="str">
            <v>CALLOUT</v>
          </cell>
          <cell r="D3126" t="str">
            <v>Carried out Site Survey</v>
          </cell>
          <cell r="E3126" t="str">
            <v>F Gas Certification Limited</v>
          </cell>
          <cell r="F3126" t="str">
            <v>Subcontractor</v>
          </cell>
          <cell r="G3126" t="str">
            <v/>
          </cell>
          <cell r="H3126" t="str">
            <v/>
          </cell>
          <cell r="I3126" t="str">
            <v/>
          </cell>
          <cell r="J3126">
            <v>350</v>
          </cell>
          <cell r="K3126">
            <v>70</v>
          </cell>
          <cell r="L3126">
            <v>350</v>
          </cell>
          <cell r="M3126" t="str">
            <v/>
          </cell>
          <cell r="N3126">
            <v>0</v>
          </cell>
        </row>
        <row r="3127">
          <cell r="A3127">
            <v>4275</v>
          </cell>
          <cell r="B3127" t="str">
            <v>24/09/2013</v>
          </cell>
          <cell r="C3127" t="str">
            <v>CALLOUT</v>
          </cell>
          <cell r="D3127" t="str">
            <v>Attended site to rectify leak in disabled shower on 4th floo</v>
          </cell>
          <cell r="E3127" t="str">
            <v>Daniel Naylor</v>
          </cell>
          <cell r="F3127" t="str">
            <v>Subcontractor</v>
          </cell>
          <cell r="G3127" t="str">
            <v/>
          </cell>
          <cell r="H3127" t="str">
            <v/>
          </cell>
          <cell r="I3127" t="str">
            <v/>
          </cell>
          <cell r="J3127">
            <v>70</v>
          </cell>
          <cell r="K3127">
            <v>14</v>
          </cell>
          <cell r="L3127">
            <v>70</v>
          </cell>
          <cell r="M3127" t="str">
            <v/>
          </cell>
          <cell r="N3127">
            <v>0</v>
          </cell>
        </row>
        <row r="3128">
          <cell r="A3128">
            <v>4262</v>
          </cell>
          <cell r="B3128" t="str">
            <v>20/09/2013</v>
          </cell>
          <cell r="C3128" t="str">
            <v>C1166</v>
          </cell>
          <cell r="D3128" t="str">
            <v>Chlorination and samples</v>
          </cell>
          <cell r="E3128" t="str">
            <v>Commissioning &amp; Maintenance Services Ltd</v>
          </cell>
          <cell r="F3128" t="str">
            <v>Subcontractor</v>
          </cell>
          <cell r="G3128" t="str">
            <v/>
          </cell>
          <cell r="H3128" t="str">
            <v/>
          </cell>
          <cell r="I3128" t="str">
            <v/>
          </cell>
          <cell r="J3128">
            <v>754.2</v>
          </cell>
          <cell r="K3128">
            <v>150.84</v>
          </cell>
          <cell r="L3128">
            <v>754.2</v>
          </cell>
          <cell r="M3128" t="str">
            <v/>
          </cell>
          <cell r="N3128">
            <v>0</v>
          </cell>
        </row>
        <row r="3129">
          <cell r="A3129">
            <v>4251</v>
          </cell>
          <cell r="B3129" t="str">
            <v>17/09/2013</v>
          </cell>
          <cell r="C3129" t="str">
            <v>SERVICE</v>
          </cell>
          <cell r="D3129" t="str">
            <v>Carried out Heating Maintenance</v>
          </cell>
          <cell r="E3129" t="str">
            <v>A Jones Heating &amp; Plumbing</v>
          </cell>
          <cell r="F3129" t="str">
            <v>Subcontractor</v>
          </cell>
          <cell r="G3129" t="str">
            <v/>
          </cell>
          <cell r="H3129" t="str">
            <v/>
          </cell>
          <cell r="I3129" t="str">
            <v/>
          </cell>
          <cell r="J3129">
            <v>750</v>
          </cell>
          <cell r="K3129">
            <v>0</v>
          </cell>
          <cell r="L3129">
            <v>750</v>
          </cell>
          <cell r="M3129" t="str">
            <v/>
          </cell>
          <cell r="N3129">
            <v>0</v>
          </cell>
        </row>
        <row r="3130">
          <cell r="A3130">
            <v>4250</v>
          </cell>
          <cell r="B3130" t="str">
            <v>17/09/2013</v>
          </cell>
          <cell r="C3130" t="str">
            <v>SERVICE</v>
          </cell>
          <cell r="D3130" t="str">
            <v>Carried out Maintenance LPG Burner</v>
          </cell>
          <cell r="E3130" t="str">
            <v>A Jones Heating &amp; Plumbing</v>
          </cell>
          <cell r="F3130" t="str">
            <v>Subcontractor</v>
          </cell>
          <cell r="G3130" t="str">
            <v/>
          </cell>
          <cell r="H3130" t="str">
            <v/>
          </cell>
          <cell r="I3130" t="str">
            <v/>
          </cell>
          <cell r="J3130">
            <v>210</v>
          </cell>
          <cell r="K3130">
            <v>0</v>
          </cell>
          <cell r="L3130">
            <v>210</v>
          </cell>
          <cell r="M3130" t="str">
            <v/>
          </cell>
          <cell r="N3130">
            <v>0</v>
          </cell>
        </row>
        <row r="3131">
          <cell r="A3131">
            <v>4248</v>
          </cell>
          <cell r="B3131" t="str">
            <v>17/09/2013</v>
          </cell>
          <cell r="C3131" t="str">
            <v>C1100</v>
          </cell>
          <cell r="D3131" t="str">
            <v>Labour on Huntingdon Tuesday 23rd July</v>
          </cell>
          <cell r="E3131" t="str">
            <v>R.S Air Conditioning Services Ltd</v>
          </cell>
          <cell r="F3131" t="str">
            <v>Subcontractor</v>
          </cell>
          <cell r="G3131" t="str">
            <v/>
          </cell>
          <cell r="H3131" t="str">
            <v/>
          </cell>
          <cell r="I3131" t="str">
            <v/>
          </cell>
          <cell r="J3131">
            <v>825</v>
          </cell>
          <cell r="K3131">
            <v>165</v>
          </cell>
          <cell r="L3131">
            <v>825</v>
          </cell>
          <cell r="M3131" t="str">
            <v/>
          </cell>
          <cell r="N3131">
            <v>0</v>
          </cell>
        </row>
        <row r="3132">
          <cell r="A3132">
            <v>4234</v>
          </cell>
          <cell r="B3132" t="str">
            <v>12/09/2013</v>
          </cell>
          <cell r="C3132" t="str">
            <v>CALLOUT</v>
          </cell>
          <cell r="D3132" t="str">
            <v>Removed Wall Mounted Water Feed &amp; Capped off at High LEvel</v>
          </cell>
          <cell r="E3132" t="str">
            <v>Daniel Naylor</v>
          </cell>
          <cell r="F3132" t="str">
            <v>Subcontractor</v>
          </cell>
          <cell r="G3132" t="str">
            <v/>
          </cell>
          <cell r="H3132" t="str">
            <v/>
          </cell>
          <cell r="I3132" t="str">
            <v/>
          </cell>
          <cell r="J3132">
            <v>200</v>
          </cell>
          <cell r="K3132">
            <v>40</v>
          </cell>
          <cell r="L3132">
            <v>200</v>
          </cell>
          <cell r="M3132" t="str">
            <v/>
          </cell>
          <cell r="N3132">
            <v>0</v>
          </cell>
        </row>
        <row r="3133">
          <cell r="A3133">
            <v>4217</v>
          </cell>
          <cell r="B3133" t="str">
            <v>05/09/2013</v>
          </cell>
          <cell r="C3133" t="str">
            <v>C1155</v>
          </cell>
          <cell r="D3133" t="str">
            <v>Ductwork installation</v>
          </cell>
          <cell r="E3133" t="str">
            <v>The Wright Installations Ltd</v>
          </cell>
          <cell r="F3133" t="str">
            <v>Subcontractor</v>
          </cell>
          <cell r="G3133" t="str">
            <v/>
          </cell>
          <cell r="H3133" t="str">
            <v/>
          </cell>
          <cell r="I3133" t="str">
            <v/>
          </cell>
          <cell r="J3133">
            <v>1400</v>
          </cell>
          <cell r="K3133">
            <v>280</v>
          </cell>
          <cell r="L3133">
            <v>1400</v>
          </cell>
          <cell r="M3133" t="str">
            <v/>
          </cell>
          <cell r="N3133">
            <v>0</v>
          </cell>
        </row>
        <row r="3134">
          <cell r="A3134">
            <v>4211</v>
          </cell>
          <cell r="B3134" t="str">
            <v>05/09/2013</v>
          </cell>
          <cell r="C3134" t="str">
            <v>CALLOUT</v>
          </cell>
          <cell r="D3134" t="str">
            <v>Attended site to rectify drainage fault and leak</v>
          </cell>
          <cell r="E3134" t="str">
            <v>Daniel Naylor</v>
          </cell>
          <cell r="F3134" t="str">
            <v>Subcontractor</v>
          </cell>
          <cell r="G3134" t="str">
            <v/>
          </cell>
          <cell r="H3134" t="str">
            <v/>
          </cell>
          <cell r="I3134" t="str">
            <v/>
          </cell>
          <cell r="J3134">
            <v>170</v>
          </cell>
          <cell r="K3134">
            <v>34</v>
          </cell>
          <cell r="L3134">
            <v>170</v>
          </cell>
          <cell r="M3134" t="str">
            <v/>
          </cell>
          <cell r="N3134">
            <v>0</v>
          </cell>
        </row>
        <row r="3135">
          <cell r="A3135">
            <v>4208</v>
          </cell>
          <cell r="B3135" t="str">
            <v>04/09/2013</v>
          </cell>
          <cell r="C3135" t="str">
            <v/>
          </cell>
          <cell r="D3135" t="str">
            <v>Chlorination services and samples</v>
          </cell>
          <cell r="E3135" t="str">
            <v/>
          </cell>
          <cell r="F3135" t="str">
            <v>Subcontractor</v>
          </cell>
          <cell r="G3135" t="str">
            <v/>
          </cell>
          <cell r="H3135" t="str">
            <v>Complete</v>
          </cell>
          <cell r="I3135" t="str">
            <v/>
          </cell>
          <cell r="J3135">
            <v>0</v>
          </cell>
          <cell r="K3135">
            <v>0</v>
          </cell>
          <cell r="L3135">
            <v>0</v>
          </cell>
          <cell r="M3135" t="str">
            <v/>
          </cell>
          <cell r="N3135">
            <v>0</v>
          </cell>
        </row>
        <row r="3136">
          <cell r="A3136">
            <v>4192</v>
          </cell>
          <cell r="B3136" t="str">
            <v>29/08/2013</v>
          </cell>
          <cell r="C3136" t="str">
            <v>CALLOUT</v>
          </cell>
          <cell r="D3136" t="str">
            <v>Carry out works as per your email dated 19th July 2013</v>
          </cell>
          <cell r="E3136" t="str">
            <v>Building Technology Systems</v>
          </cell>
          <cell r="F3136" t="str">
            <v>Subcontractor</v>
          </cell>
          <cell r="G3136" t="str">
            <v/>
          </cell>
          <cell r="H3136" t="str">
            <v/>
          </cell>
          <cell r="I3136" t="str">
            <v/>
          </cell>
          <cell r="J3136">
            <v>642</v>
          </cell>
          <cell r="K3136">
            <v>128.4</v>
          </cell>
          <cell r="L3136">
            <v>642</v>
          </cell>
          <cell r="M3136" t="str">
            <v/>
          </cell>
          <cell r="N3136">
            <v>0</v>
          </cell>
        </row>
        <row r="3137">
          <cell r="A3137">
            <v>4190</v>
          </cell>
          <cell r="B3137" t="str">
            <v>29/08/2013</v>
          </cell>
          <cell r="C3137" t="str">
            <v>C1159</v>
          </cell>
          <cell r="D3137" t="str">
            <v>Installation &amp; testing of above ground drainage system</v>
          </cell>
          <cell r="E3137" t="str">
            <v>Promech (NW) Ltd</v>
          </cell>
          <cell r="F3137" t="str">
            <v>Subcontractor</v>
          </cell>
          <cell r="G3137" t="str">
            <v/>
          </cell>
          <cell r="H3137" t="str">
            <v>Part</v>
          </cell>
          <cell r="I3137" t="str">
            <v/>
          </cell>
          <cell r="J3137">
            <v>41538.949999999997</v>
          </cell>
          <cell r="K3137">
            <v>8307.7900000000009</v>
          </cell>
          <cell r="L3137">
            <v>23587.71</v>
          </cell>
          <cell r="M3137" t="str">
            <v/>
          </cell>
          <cell r="N3137">
            <v>17951.240000000002</v>
          </cell>
        </row>
        <row r="3138">
          <cell r="A3138">
            <v>4182</v>
          </cell>
          <cell r="B3138" t="str">
            <v>21/08/2013</v>
          </cell>
          <cell r="C3138" t="str">
            <v>C1158</v>
          </cell>
          <cell r="D3138" t="str">
            <v>For Commission of Cellar Cooler</v>
          </cell>
          <cell r="E3138" t="str">
            <v>Troughton Air Con Ltd</v>
          </cell>
          <cell r="F3138" t="str">
            <v>Subcontractor</v>
          </cell>
          <cell r="G3138" t="str">
            <v/>
          </cell>
          <cell r="H3138" t="str">
            <v>Complete</v>
          </cell>
          <cell r="I3138" t="str">
            <v/>
          </cell>
          <cell r="J3138">
            <v>0</v>
          </cell>
          <cell r="K3138">
            <v>0</v>
          </cell>
          <cell r="L3138">
            <v>0</v>
          </cell>
          <cell r="M3138" t="str">
            <v/>
          </cell>
          <cell r="N3138">
            <v>0</v>
          </cell>
        </row>
        <row r="3139">
          <cell r="A3139">
            <v>4176</v>
          </cell>
          <cell r="B3139" t="str">
            <v>21/08/2013</v>
          </cell>
          <cell r="C3139" t="str">
            <v>C1161</v>
          </cell>
          <cell r="D3139" t="str">
            <v>For works at Blackpool Victoria Hospital</v>
          </cell>
          <cell r="E3139" t="str">
            <v>Omegair Limited</v>
          </cell>
          <cell r="F3139" t="str">
            <v>Subcontractor</v>
          </cell>
          <cell r="G3139" t="str">
            <v/>
          </cell>
          <cell r="H3139" t="str">
            <v/>
          </cell>
          <cell r="I3139" t="str">
            <v/>
          </cell>
          <cell r="J3139">
            <v>14865</v>
          </cell>
          <cell r="K3139">
            <v>2973</v>
          </cell>
          <cell r="L3139">
            <v>14865</v>
          </cell>
          <cell r="M3139" t="str">
            <v/>
          </cell>
          <cell r="N3139">
            <v>0</v>
          </cell>
        </row>
        <row r="3140">
          <cell r="A3140">
            <v>4173</v>
          </cell>
          <cell r="B3140" t="str">
            <v>21/08/2013</v>
          </cell>
          <cell r="C3140" t="str">
            <v>CALLOUT</v>
          </cell>
          <cell r="D3140" t="str">
            <v>Installation of AHU Filters</v>
          </cell>
          <cell r="E3140" t="str">
            <v>Adcock Refrigeration &amp; Air Conditioning</v>
          </cell>
          <cell r="F3140" t="str">
            <v>Subcontractor</v>
          </cell>
          <cell r="G3140" t="str">
            <v/>
          </cell>
          <cell r="H3140" t="str">
            <v/>
          </cell>
          <cell r="I3140" t="str">
            <v/>
          </cell>
          <cell r="J3140">
            <v>173.5</v>
          </cell>
          <cell r="K3140">
            <v>34.700000000000003</v>
          </cell>
          <cell r="L3140">
            <v>173.5</v>
          </cell>
          <cell r="M3140" t="str">
            <v/>
          </cell>
          <cell r="N3140">
            <v>0</v>
          </cell>
        </row>
        <row r="3141">
          <cell r="A3141">
            <v>4170</v>
          </cell>
          <cell r="B3141" t="str">
            <v>16/08/2013</v>
          </cell>
          <cell r="C3141" t="str">
            <v>C1158</v>
          </cell>
          <cell r="D3141" t="str">
            <v>DUCTWORK INSTALL</v>
          </cell>
          <cell r="E3141" t="str">
            <v>The Wright Installations Ltd</v>
          </cell>
          <cell r="F3141" t="str">
            <v>Subcontractor</v>
          </cell>
          <cell r="G3141" t="str">
            <v/>
          </cell>
          <cell r="H3141" t="str">
            <v/>
          </cell>
          <cell r="I3141" t="str">
            <v/>
          </cell>
          <cell r="J3141">
            <v>5336</v>
          </cell>
          <cell r="K3141">
            <v>1067.2</v>
          </cell>
          <cell r="L3141">
            <v>5336</v>
          </cell>
          <cell r="M3141" t="str">
            <v/>
          </cell>
          <cell r="N3141">
            <v>0</v>
          </cell>
        </row>
        <row r="3142">
          <cell r="A3142">
            <v>4169</v>
          </cell>
          <cell r="B3142" t="str">
            <v>16/08/2013</v>
          </cell>
          <cell r="C3142" t="str">
            <v>C1159</v>
          </cell>
          <cell r="D3142" t="str">
            <v>For Labour Works at Fitzroy Place</v>
          </cell>
          <cell r="E3142" t="str">
            <v>R J Mechanical Engineering Ltd</v>
          </cell>
          <cell r="F3142" t="str">
            <v>Subcontractor</v>
          </cell>
          <cell r="G3142" t="str">
            <v/>
          </cell>
          <cell r="H3142" t="str">
            <v/>
          </cell>
          <cell r="I3142" t="str">
            <v/>
          </cell>
          <cell r="J3142">
            <v>11385</v>
          </cell>
          <cell r="K3142">
            <v>2277</v>
          </cell>
          <cell r="L3142">
            <v>11352</v>
          </cell>
          <cell r="M3142" t="str">
            <v/>
          </cell>
          <cell r="N3142">
            <v>33</v>
          </cell>
        </row>
        <row r="3143">
          <cell r="A3143">
            <v>4168</v>
          </cell>
          <cell r="B3143" t="str">
            <v>16/08/2013</v>
          </cell>
          <cell r="C3143" t="str">
            <v>C1158</v>
          </cell>
          <cell r="D3143" t="str">
            <v>Insulation of services</v>
          </cell>
          <cell r="E3143" t="str">
            <v>Scottfab Insulation Ltd</v>
          </cell>
          <cell r="F3143" t="str">
            <v>Subcontractor</v>
          </cell>
          <cell r="G3143" t="str">
            <v/>
          </cell>
          <cell r="H3143" t="str">
            <v/>
          </cell>
          <cell r="I3143" t="str">
            <v/>
          </cell>
          <cell r="J3143">
            <v>2729</v>
          </cell>
          <cell r="K3143">
            <v>545.79999999999995</v>
          </cell>
          <cell r="L3143">
            <v>2729</v>
          </cell>
          <cell r="M3143" t="str">
            <v/>
          </cell>
          <cell r="N3143">
            <v>0</v>
          </cell>
        </row>
        <row r="3144">
          <cell r="A3144">
            <v>4167</v>
          </cell>
          <cell r="B3144" t="str">
            <v>16/08/2013</v>
          </cell>
          <cell r="C3144" t="str">
            <v>C1137</v>
          </cell>
          <cell r="D3144" t="str">
            <v>Air balancing works</v>
          </cell>
          <cell r="E3144" t="str">
            <v>Commissioning &amp; Maintenance Services Ltd</v>
          </cell>
          <cell r="F3144" t="str">
            <v>Subcontractor</v>
          </cell>
          <cell r="G3144" t="str">
            <v/>
          </cell>
          <cell r="H3144" t="str">
            <v/>
          </cell>
          <cell r="I3144" t="str">
            <v/>
          </cell>
          <cell r="J3144">
            <v>1068.7</v>
          </cell>
          <cell r="K3144">
            <v>213.74</v>
          </cell>
          <cell r="L3144">
            <v>1068.7</v>
          </cell>
          <cell r="M3144" t="str">
            <v/>
          </cell>
          <cell r="N3144">
            <v>0</v>
          </cell>
        </row>
        <row r="3145">
          <cell r="A3145">
            <v>4166</v>
          </cell>
          <cell r="B3145" t="str">
            <v>16/08/2013</v>
          </cell>
          <cell r="C3145" t="str">
            <v>C1158</v>
          </cell>
          <cell r="D3145" t="str">
            <v>Air balancing works</v>
          </cell>
          <cell r="E3145" t="str">
            <v>Commissioning &amp; Maintenance Services Ltd</v>
          </cell>
          <cell r="F3145" t="str">
            <v>Subcontractor</v>
          </cell>
          <cell r="G3145" t="str">
            <v/>
          </cell>
          <cell r="H3145" t="str">
            <v/>
          </cell>
          <cell r="I3145" t="str">
            <v/>
          </cell>
          <cell r="J3145">
            <v>2410</v>
          </cell>
          <cell r="K3145">
            <v>482</v>
          </cell>
          <cell r="L3145">
            <v>2410</v>
          </cell>
          <cell r="M3145" t="str">
            <v/>
          </cell>
          <cell r="N3145">
            <v>0</v>
          </cell>
        </row>
        <row r="3146">
          <cell r="A3146">
            <v>4157</v>
          </cell>
          <cell r="B3146" t="str">
            <v>14/08/2013</v>
          </cell>
          <cell r="C3146" t="str">
            <v>CALLOUT</v>
          </cell>
          <cell r="D3146" t="str">
            <v>Attended Site replaced Aspen Universal Pump</v>
          </cell>
          <cell r="E3146" t="str">
            <v>Premier Air Control</v>
          </cell>
          <cell r="F3146" t="str">
            <v>Subcontractor</v>
          </cell>
          <cell r="G3146" t="str">
            <v/>
          </cell>
          <cell r="H3146" t="str">
            <v/>
          </cell>
          <cell r="I3146" t="str">
            <v/>
          </cell>
          <cell r="J3146">
            <v>170.5</v>
          </cell>
          <cell r="K3146">
            <v>34.1</v>
          </cell>
          <cell r="L3146">
            <v>170.5</v>
          </cell>
          <cell r="M3146" t="str">
            <v/>
          </cell>
          <cell r="N3146">
            <v>0</v>
          </cell>
        </row>
        <row r="3147">
          <cell r="A3147">
            <v>4156</v>
          </cell>
          <cell r="B3147" t="str">
            <v>14/08/2013</v>
          </cell>
          <cell r="C3147" t="str">
            <v>CALLOUT</v>
          </cell>
          <cell r="D3147" t="str">
            <v>Attended Site to rectify fault on AC System</v>
          </cell>
          <cell r="E3147" t="str">
            <v>Premier Air Control</v>
          </cell>
          <cell r="F3147" t="str">
            <v>Subcontractor</v>
          </cell>
          <cell r="G3147" t="str">
            <v/>
          </cell>
          <cell r="H3147" t="str">
            <v/>
          </cell>
          <cell r="I3147" t="str">
            <v/>
          </cell>
          <cell r="J3147">
            <v>193</v>
          </cell>
          <cell r="K3147">
            <v>38.6</v>
          </cell>
          <cell r="L3147">
            <v>193</v>
          </cell>
          <cell r="M3147" t="str">
            <v/>
          </cell>
          <cell r="N3147">
            <v>0</v>
          </cell>
        </row>
        <row r="3148">
          <cell r="A3148">
            <v>4155</v>
          </cell>
          <cell r="B3148" t="str">
            <v>14/08/2013</v>
          </cell>
          <cell r="C3148" t="str">
            <v>SERVICE</v>
          </cell>
          <cell r="D3148" t="str">
            <v>Attended site replaced 2no mini lime pumps</v>
          </cell>
          <cell r="E3148" t="str">
            <v>Premier Air Control</v>
          </cell>
          <cell r="F3148" t="str">
            <v>Subcontractor</v>
          </cell>
          <cell r="G3148" t="str">
            <v/>
          </cell>
          <cell r="H3148" t="str">
            <v/>
          </cell>
          <cell r="I3148" t="str">
            <v/>
          </cell>
          <cell r="J3148">
            <v>304.5</v>
          </cell>
          <cell r="K3148">
            <v>60.9</v>
          </cell>
          <cell r="L3148">
            <v>304.5</v>
          </cell>
          <cell r="M3148" t="str">
            <v/>
          </cell>
          <cell r="N3148">
            <v>0</v>
          </cell>
        </row>
        <row r="3149">
          <cell r="A3149">
            <v>4152</v>
          </cell>
          <cell r="B3149" t="str">
            <v>13/08/2013</v>
          </cell>
          <cell r="C3149" t="str">
            <v>C1159</v>
          </cell>
          <cell r="D3149" t="str">
            <v>For works at Fitzroy Place</v>
          </cell>
          <cell r="E3149" t="str">
            <v>Omegair Limited</v>
          </cell>
          <cell r="F3149" t="str">
            <v>Subcontractor</v>
          </cell>
          <cell r="G3149" t="str">
            <v/>
          </cell>
          <cell r="H3149" t="str">
            <v>Part</v>
          </cell>
          <cell r="I3149" t="str">
            <v/>
          </cell>
          <cell r="J3149">
            <v>56328.22</v>
          </cell>
          <cell r="K3149">
            <v>11265.64</v>
          </cell>
          <cell r="L3149">
            <v>56159</v>
          </cell>
          <cell r="M3149" t="str">
            <v/>
          </cell>
          <cell r="N3149">
            <v>169.22</v>
          </cell>
        </row>
        <row r="3150">
          <cell r="A3150">
            <v>4148</v>
          </cell>
          <cell r="B3150" t="str">
            <v>12/08/2013</v>
          </cell>
          <cell r="C3150" t="str">
            <v>C1158</v>
          </cell>
          <cell r="D3150" t="str">
            <v>Chlorination</v>
          </cell>
          <cell r="E3150" t="str">
            <v>Probalance Ltd</v>
          </cell>
          <cell r="F3150" t="str">
            <v>Subcontractor</v>
          </cell>
          <cell r="G3150" t="str">
            <v/>
          </cell>
          <cell r="H3150" t="str">
            <v/>
          </cell>
          <cell r="I3150" t="str">
            <v/>
          </cell>
          <cell r="J3150">
            <v>655</v>
          </cell>
          <cell r="K3150">
            <v>131</v>
          </cell>
          <cell r="L3150">
            <v>655</v>
          </cell>
          <cell r="M3150" t="str">
            <v/>
          </cell>
          <cell r="N3150">
            <v>0</v>
          </cell>
        </row>
        <row r="3151">
          <cell r="A3151">
            <v>4104</v>
          </cell>
          <cell r="B3151" t="str">
            <v>31/07/2013</v>
          </cell>
          <cell r="C3151" t="str">
            <v>CALLOUT</v>
          </cell>
          <cell r="D3151" t="str">
            <v>Attended site to rectify air con leak</v>
          </cell>
          <cell r="E3151" t="str">
            <v>Daniel Naylor</v>
          </cell>
          <cell r="F3151" t="str">
            <v>Subcontractor</v>
          </cell>
          <cell r="G3151" t="str">
            <v/>
          </cell>
          <cell r="H3151" t="str">
            <v/>
          </cell>
          <cell r="I3151" t="str">
            <v/>
          </cell>
          <cell r="J3151">
            <v>85</v>
          </cell>
          <cell r="K3151">
            <v>17</v>
          </cell>
          <cell r="L3151">
            <v>85</v>
          </cell>
          <cell r="M3151" t="str">
            <v/>
          </cell>
          <cell r="N3151">
            <v>0</v>
          </cell>
        </row>
        <row r="3152">
          <cell r="A3152">
            <v>4086</v>
          </cell>
          <cell r="B3152" t="str">
            <v>29/07/2013</v>
          </cell>
          <cell r="C3152" t="str">
            <v>C1162</v>
          </cell>
          <cell r="D3152" t="str">
            <v>Plumbing Works</v>
          </cell>
          <cell r="E3152" t="str">
            <v>Daniel Naylor</v>
          </cell>
          <cell r="F3152" t="str">
            <v>Subcontractor</v>
          </cell>
          <cell r="G3152" t="str">
            <v/>
          </cell>
          <cell r="H3152" t="str">
            <v/>
          </cell>
          <cell r="I3152" t="str">
            <v/>
          </cell>
          <cell r="J3152">
            <v>800</v>
          </cell>
          <cell r="K3152">
            <v>160</v>
          </cell>
          <cell r="L3152">
            <v>0</v>
          </cell>
          <cell r="M3152" t="str">
            <v/>
          </cell>
          <cell r="N3152">
            <v>800</v>
          </cell>
        </row>
        <row r="3153">
          <cell r="A3153">
            <v>4066</v>
          </cell>
          <cell r="B3153" t="str">
            <v>23/07/2013</v>
          </cell>
          <cell r="C3153" t="str">
            <v>C1155</v>
          </cell>
          <cell r="D3153" t="str">
            <v>Plumbing works</v>
          </cell>
          <cell r="E3153" t="str">
            <v>Technical Building Services</v>
          </cell>
          <cell r="F3153" t="str">
            <v>Subcontractor</v>
          </cell>
          <cell r="G3153" t="str">
            <v/>
          </cell>
          <cell r="H3153" t="str">
            <v/>
          </cell>
          <cell r="I3153" t="str">
            <v/>
          </cell>
          <cell r="J3153">
            <v>3000</v>
          </cell>
          <cell r="K3153">
            <v>600</v>
          </cell>
          <cell r="L3153">
            <v>1531.2</v>
          </cell>
          <cell r="M3153" t="str">
            <v/>
          </cell>
          <cell r="N3153">
            <v>1468.8</v>
          </cell>
        </row>
        <row r="3154">
          <cell r="A3154">
            <v>4065</v>
          </cell>
          <cell r="B3154" t="str">
            <v>23/07/2013</v>
          </cell>
          <cell r="C3154" t="str">
            <v>C1151</v>
          </cell>
          <cell r="D3154" t="str">
            <v>Plumbing &amp; elec works</v>
          </cell>
          <cell r="E3154" t="str">
            <v>Technical Building Services</v>
          </cell>
          <cell r="F3154" t="str">
            <v>Subcontractor</v>
          </cell>
          <cell r="G3154" t="str">
            <v/>
          </cell>
          <cell r="H3154" t="str">
            <v/>
          </cell>
          <cell r="I3154" t="str">
            <v/>
          </cell>
          <cell r="J3154">
            <v>2922.03</v>
          </cell>
          <cell r="K3154">
            <v>584.41</v>
          </cell>
          <cell r="L3154">
            <v>2922.03</v>
          </cell>
          <cell r="M3154" t="str">
            <v/>
          </cell>
          <cell r="N3154">
            <v>0</v>
          </cell>
        </row>
        <row r="3155">
          <cell r="A3155">
            <v>4057</v>
          </cell>
          <cell r="B3155" t="str">
            <v>22/07/2013</v>
          </cell>
          <cell r="C3155" t="str">
            <v>CALLOUT</v>
          </cell>
          <cell r="D3155" t="str">
            <v>AC Leaking Water - Found AC Filters Blocked</v>
          </cell>
          <cell r="E3155" t="str">
            <v>Premier Air Control</v>
          </cell>
          <cell r="F3155" t="str">
            <v>Subcontractor</v>
          </cell>
          <cell r="G3155" t="str">
            <v/>
          </cell>
          <cell r="H3155" t="str">
            <v/>
          </cell>
          <cell r="I3155" t="str">
            <v/>
          </cell>
          <cell r="J3155">
            <v>87.5</v>
          </cell>
          <cell r="K3155">
            <v>17.5</v>
          </cell>
          <cell r="L3155">
            <v>87.5</v>
          </cell>
          <cell r="M3155" t="str">
            <v/>
          </cell>
          <cell r="N3155">
            <v>0</v>
          </cell>
        </row>
        <row r="3156">
          <cell r="A3156">
            <v>4051</v>
          </cell>
          <cell r="B3156" t="str">
            <v>19/07/2013</v>
          </cell>
          <cell r="C3156" t="str">
            <v>C1160</v>
          </cell>
          <cell r="D3156" t="str">
            <v>Install 5 days at The Green Room</v>
          </cell>
          <cell r="E3156" t="str">
            <v>The Wright Installations Ltd</v>
          </cell>
          <cell r="F3156" t="str">
            <v>Subcontractor</v>
          </cell>
          <cell r="G3156" t="str">
            <v/>
          </cell>
          <cell r="H3156" t="str">
            <v>Part</v>
          </cell>
          <cell r="I3156" t="str">
            <v/>
          </cell>
          <cell r="J3156">
            <v>1125</v>
          </cell>
          <cell r="K3156">
            <v>225</v>
          </cell>
          <cell r="L3156">
            <v>1125</v>
          </cell>
          <cell r="M3156" t="str">
            <v/>
          </cell>
          <cell r="N3156">
            <v>0</v>
          </cell>
        </row>
        <row r="3157">
          <cell r="A3157">
            <v>4046</v>
          </cell>
          <cell r="B3157" t="str">
            <v>18/07/2013</v>
          </cell>
          <cell r="C3157" t="str">
            <v>CALLOUT</v>
          </cell>
          <cell r="D3157" t="str">
            <v>Attended Site replaced 2no AC Pumps</v>
          </cell>
          <cell r="E3157" t="str">
            <v>Daniel Naylor</v>
          </cell>
          <cell r="F3157" t="str">
            <v>Subcontractor</v>
          </cell>
          <cell r="G3157" t="str">
            <v/>
          </cell>
          <cell r="H3157" t="str">
            <v/>
          </cell>
          <cell r="I3157" t="str">
            <v/>
          </cell>
          <cell r="J3157">
            <v>135</v>
          </cell>
          <cell r="K3157">
            <v>27</v>
          </cell>
          <cell r="L3157">
            <v>135</v>
          </cell>
          <cell r="M3157" t="str">
            <v/>
          </cell>
          <cell r="N3157">
            <v>0</v>
          </cell>
        </row>
        <row r="3158">
          <cell r="A3158">
            <v>4040</v>
          </cell>
          <cell r="B3158" t="str">
            <v>18/07/2013</v>
          </cell>
          <cell r="C3158" t="str">
            <v>CALLOUT</v>
          </cell>
          <cell r="D3158" t="str">
            <v>Attended Site 10.07.2013 AC Leaking</v>
          </cell>
          <cell r="E3158" t="str">
            <v>Premier Air Control</v>
          </cell>
          <cell r="F3158" t="str">
            <v>Subcontractor</v>
          </cell>
          <cell r="G3158" t="str">
            <v/>
          </cell>
          <cell r="H3158" t="str">
            <v/>
          </cell>
          <cell r="I3158" t="str">
            <v/>
          </cell>
          <cell r="J3158">
            <v>130</v>
          </cell>
          <cell r="K3158">
            <v>26</v>
          </cell>
          <cell r="L3158">
            <v>130</v>
          </cell>
          <cell r="M3158" t="str">
            <v/>
          </cell>
          <cell r="N3158">
            <v>0</v>
          </cell>
        </row>
        <row r="3159">
          <cell r="A3159">
            <v>4038</v>
          </cell>
          <cell r="B3159" t="str">
            <v>18/07/2013</v>
          </cell>
          <cell r="C3159" t="str">
            <v>C1136</v>
          </cell>
          <cell r="D3159" t="str">
            <v>£600 taken off John Wright's order to cover Brad's work</v>
          </cell>
          <cell r="E3159" t="str">
            <v>Omegair Limited</v>
          </cell>
          <cell r="F3159" t="str">
            <v>Subcontractor</v>
          </cell>
          <cell r="G3159" t="str">
            <v/>
          </cell>
          <cell r="H3159" t="str">
            <v/>
          </cell>
          <cell r="I3159" t="str">
            <v/>
          </cell>
          <cell r="J3159">
            <v>650</v>
          </cell>
          <cell r="K3159">
            <v>130</v>
          </cell>
          <cell r="L3159">
            <v>650</v>
          </cell>
          <cell r="M3159" t="str">
            <v/>
          </cell>
          <cell r="N3159">
            <v>0</v>
          </cell>
        </row>
        <row r="3160">
          <cell r="A3160">
            <v>4033</v>
          </cell>
          <cell r="B3160" t="str">
            <v>17/07/2013</v>
          </cell>
          <cell r="C3160" t="str">
            <v>CALLOUT</v>
          </cell>
          <cell r="D3160" t="str">
            <v>Attended Site AC leaking - Supply and Fit new Pump</v>
          </cell>
          <cell r="E3160" t="str">
            <v>Cooling Aspects Limited</v>
          </cell>
          <cell r="F3160" t="str">
            <v>Subcontractor</v>
          </cell>
          <cell r="G3160" t="str">
            <v/>
          </cell>
          <cell r="H3160" t="str">
            <v/>
          </cell>
          <cell r="I3160" t="str">
            <v/>
          </cell>
          <cell r="J3160">
            <v>180</v>
          </cell>
          <cell r="K3160">
            <v>36</v>
          </cell>
          <cell r="L3160">
            <v>180</v>
          </cell>
          <cell r="M3160" t="str">
            <v/>
          </cell>
          <cell r="N3160">
            <v>0</v>
          </cell>
        </row>
        <row r="3161">
          <cell r="A3161">
            <v>4025</v>
          </cell>
          <cell r="B3161" t="str">
            <v>16/07/2013</v>
          </cell>
          <cell r="C3161" t="str">
            <v>CALLOUT</v>
          </cell>
          <cell r="D3161" t="str">
            <v>Supply and Fit new AC Pump</v>
          </cell>
          <cell r="E3161" t="str">
            <v>Daniel Naylor</v>
          </cell>
          <cell r="F3161" t="str">
            <v>Subcontractor</v>
          </cell>
          <cell r="G3161" t="str">
            <v/>
          </cell>
          <cell r="H3161" t="str">
            <v/>
          </cell>
          <cell r="I3161" t="str">
            <v/>
          </cell>
          <cell r="J3161">
            <v>140</v>
          </cell>
          <cell r="K3161">
            <v>28</v>
          </cell>
          <cell r="L3161">
            <v>140</v>
          </cell>
          <cell r="M3161" t="str">
            <v/>
          </cell>
          <cell r="N3161">
            <v>0</v>
          </cell>
        </row>
        <row r="3162">
          <cell r="A3162">
            <v>4021</v>
          </cell>
          <cell r="B3162" t="str">
            <v>15/07/2013</v>
          </cell>
          <cell r="C3162" t="str">
            <v>CALLOUT</v>
          </cell>
          <cell r="D3162" t="str">
            <v>Rectified fault Andrews Heater</v>
          </cell>
          <cell r="E3162" t="str">
            <v>A Jones Heating &amp; Plumbing</v>
          </cell>
          <cell r="F3162" t="str">
            <v>Subcontractor</v>
          </cell>
          <cell r="G3162" t="str">
            <v/>
          </cell>
          <cell r="H3162" t="str">
            <v/>
          </cell>
          <cell r="I3162" t="str">
            <v/>
          </cell>
          <cell r="J3162">
            <v>400</v>
          </cell>
          <cell r="K3162">
            <v>0</v>
          </cell>
          <cell r="L3162">
            <v>400</v>
          </cell>
          <cell r="M3162" t="str">
            <v/>
          </cell>
          <cell r="N3162">
            <v>0</v>
          </cell>
        </row>
        <row r="3163">
          <cell r="A3163">
            <v>4017</v>
          </cell>
          <cell r="B3163" t="str">
            <v>11/07/2013</v>
          </cell>
          <cell r="C3163" t="str">
            <v>CALLOUT</v>
          </cell>
          <cell r="D3163" t="str">
            <v>To attend site and recommission - take all air volumes and p</v>
          </cell>
          <cell r="E3163" t="str">
            <v>Swift Commissioning Limited</v>
          </cell>
          <cell r="F3163" t="str">
            <v>Subcontractor</v>
          </cell>
          <cell r="G3163" t="str">
            <v/>
          </cell>
          <cell r="H3163" t="str">
            <v/>
          </cell>
          <cell r="I3163" t="str">
            <v/>
          </cell>
          <cell r="J3163">
            <v>400</v>
          </cell>
          <cell r="K3163">
            <v>80</v>
          </cell>
          <cell r="L3163">
            <v>400</v>
          </cell>
          <cell r="M3163" t="str">
            <v/>
          </cell>
          <cell r="N3163">
            <v>0</v>
          </cell>
        </row>
        <row r="3164">
          <cell r="A3164">
            <v>4014</v>
          </cell>
          <cell r="B3164" t="str">
            <v>10/07/2013</v>
          </cell>
          <cell r="C3164" t="str">
            <v>CALLOUT</v>
          </cell>
          <cell r="D3164" t="str">
            <v>Fridge Fan Leak - Drain Blcoked</v>
          </cell>
          <cell r="E3164" t="str">
            <v>Premier Air Control</v>
          </cell>
          <cell r="F3164" t="str">
            <v>Subcontractor</v>
          </cell>
          <cell r="G3164" t="str">
            <v/>
          </cell>
          <cell r="H3164" t="str">
            <v/>
          </cell>
          <cell r="I3164" t="str">
            <v/>
          </cell>
          <cell r="J3164">
            <v>85</v>
          </cell>
          <cell r="K3164">
            <v>17</v>
          </cell>
          <cell r="L3164">
            <v>85</v>
          </cell>
          <cell r="M3164" t="str">
            <v/>
          </cell>
          <cell r="N3164">
            <v>0</v>
          </cell>
        </row>
        <row r="3165">
          <cell r="A3165">
            <v>4004</v>
          </cell>
          <cell r="B3165" t="str">
            <v>09/07/2013</v>
          </cell>
          <cell r="C3165" t="str">
            <v>C1158</v>
          </cell>
          <cell r="D3165" t="str">
            <v>Heating &amp; chilled water mods, drain mods &amp; domestics to bar</v>
          </cell>
          <cell r="E3165" t="str">
            <v>Promech (NW) Ltd</v>
          </cell>
          <cell r="F3165" t="str">
            <v>Subcontractor</v>
          </cell>
          <cell r="G3165" t="str">
            <v/>
          </cell>
          <cell r="H3165" t="str">
            <v>Part</v>
          </cell>
          <cell r="I3165" t="str">
            <v/>
          </cell>
          <cell r="J3165">
            <v>7510</v>
          </cell>
          <cell r="K3165">
            <v>1502</v>
          </cell>
          <cell r="L3165">
            <v>7510</v>
          </cell>
          <cell r="M3165" t="str">
            <v/>
          </cell>
          <cell r="N3165">
            <v>0</v>
          </cell>
        </row>
        <row r="3166">
          <cell r="A3166">
            <v>3999</v>
          </cell>
          <cell r="B3166" t="str">
            <v>08/07/2013</v>
          </cell>
          <cell r="C3166" t="str">
            <v>CALLOUT</v>
          </cell>
          <cell r="D3166" t="str">
            <v>Supply and Fit new Bib Tap as instructed by Paul Hankey</v>
          </cell>
          <cell r="E3166" t="str">
            <v>Daniel Naylor</v>
          </cell>
          <cell r="F3166" t="str">
            <v>Subcontractor</v>
          </cell>
          <cell r="G3166" t="str">
            <v/>
          </cell>
          <cell r="H3166" t="str">
            <v/>
          </cell>
          <cell r="I3166" t="str">
            <v/>
          </cell>
          <cell r="J3166">
            <v>250</v>
          </cell>
          <cell r="K3166">
            <v>50</v>
          </cell>
          <cell r="L3166">
            <v>250</v>
          </cell>
          <cell r="M3166" t="str">
            <v/>
          </cell>
          <cell r="N3166">
            <v>0</v>
          </cell>
        </row>
        <row r="3167">
          <cell r="A3167">
            <v>3998</v>
          </cell>
          <cell r="B3167" t="str">
            <v>08/07/2013</v>
          </cell>
          <cell r="C3167" t="str">
            <v>CALLOUT</v>
          </cell>
          <cell r="D3167" t="str">
            <v>Recommission &amp; Provide Report on Defects and How it Operates</v>
          </cell>
          <cell r="E3167" t="str">
            <v>Building Technology Systems</v>
          </cell>
          <cell r="F3167" t="str">
            <v>Subcontractor</v>
          </cell>
          <cell r="G3167" t="str">
            <v/>
          </cell>
          <cell r="H3167" t="str">
            <v/>
          </cell>
          <cell r="I3167" t="str">
            <v/>
          </cell>
          <cell r="J3167">
            <v>540</v>
          </cell>
          <cell r="K3167">
            <v>108</v>
          </cell>
          <cell r="L3167">
            <v>540</v>
          </cell>
          <cell r="M3167" t="str">
            <v/>
          </cell>
          <cell r="N3167">
            <v>0</v>
          </cell>
        </row>
        <row r="3168">
          <cell r="A3168">
            <v>3993</v>
          </cell>
          <cell r="B3168" t="str">
            <v>04/07/2013</v>
          </cell>
          <cell r="C3168" t="str">
            <v>SERVICE</v>
          </cell>
          <cell r="D3168" t="str">
            <v>Carry out AC Maintenance on 2no Split Systems and AHU on Roo</v>
          </cell>
          <cell r="E3168" t="str">
            <v>Adcock Refrigeration &amp; Air Conditioning</v>
          </cell>
          <cell r="F3168" t="str">
            <v>Subcontractor</v>
          </cell>
          <cell r="G3168" t="str">
            <v/>
          </cell>
          <cell r="H3168" t="str">
            <v/>
          </cell>
          <cell r="I3168" t="str">
            <v/>
          </cell>
          <cell r="J3168">
            <v>157.9</v>
          </cell>
          <cell r="K3168">
            <v>31.58</v>
          </cell>
          <cell r="L3168">
            <v>157.9</v>
          </cell>
          <cell r="M3168" t="str">
            <v/>
          </cell>
          <cell r="N3168">
            <v>0</v>
          </cell>
        </row>
        <row r="3169">
          <cell r="A3169">
            <v>3992</v>
          </cell>
          <cell r="B3169" t="str">
            <v>04/07/2013</v>
          </cell>
          <cell r="C3169" t="str">
            <v>SERVICE</v>
          </cell>
          <cell r="D3169" t="str">
            <v>Carry out AC Maintenance</v>
          </cell>
          <cell r="E3169" t="str">
            <v>Adcock Refrigeration &amp; Air Conditioning</v>
          </cell>
          <cell r="F3169" t="str">
            <v>Subcontractor</v>
          </cell>
          <cell r="G3169" t="str">
            <v/>
          </cell>
          <cell r="H3169" t="str">
            <v/>
          </cell>
          <cell r="I3169" t="str">
            <v/>
          </cell>
          <cell r="J3169">
            <v>166</v>
          </cell>
          <cell r="K3169">
            <v>33.200000000000003</v>
          </cell>
          <cell r="L3169">
            <v>166</v>
          </cell>
          <cell r="M3169" t="str">
            <v/>
          </cell>
          <cell r="N3169">
            <v>0</v>
          </cell>
        </row>
        <row r="3170">
          <cell r="A3170">
            <v>3988</v>
          </cell>
          <cell r="B3170" t="str">
            <v>02/07/2013</v>
          </cell>
          <cell r="C3170" t="str">
            <v>C1147</v>
          </cell>
          <cell r="D3170" t="str">
            <v>Install works</v>
          </cell>
          <cell r="E3170" t="str">
            <v>Daniel Naylor</v>
          </cell>
          <cell r="F3170" t="str">
            <v>Subcontractor</v>
          </cell>
          <cell r="G3170" t="str">
            <v/>
          </cell>
          <cell r="H3170" t="str">
            <v/>
          </cell>
          <cell r="I3170" t="str">
            <v/>
          </cell>
          <cell r="J3170">
            <v>1800</v>
          </cell>
          <cell r="K3170">
            <v>360</v>
          </cell>
          <cell r="L3170">
            <v>1800</v>
          </cell>
          <cell r="M3170" t="str">
            <v/>
          </cell>
          <cell r="N3170">
            <v>0</v>
          </cell>
        </row>
        <row r="3171">
          <cell r="A3171">
            <v>3987</v>
          </cell>
          <cell r="B3171" t="str">
            <v>02/07/2013</v>
          </cell>
          <cell r="C3171" t="str">
            <v>CALLOUT</v>
          </cell>
          <cell r="D3171" t="str">
            <v>Rectify Water Leaking into Hall</v>
          </cell>
          <cell r="E3171" t="str">
            <v>Foztek Limited</v>
          </cell>
          <cell r="F3171" t="str">
            <v>Subcontractor</v>
          </cell>
          <cell r="G3171" t="str">
            <v/>
          </cell>
          <cell r="H3171" t="str">
            <v/>
          </cell>
          <cell r="I3171" t="str">
            <v/>
          </cell>
          <cell r="J3171">
            <v>110</v>
          </cell>
          <cell r="K3171">
            <v>22</v>
          </cell>
          <cell r="L3171">
            <v>110</v>
          </cell>
          <cell r="M3171" t="str">
            <v/>
          </cell>
          <cell r="N3171">
            <v>0</v>
          </cell>
        </row>
        <row r="3172">
          <cell r="A3172">
            <v>3962</v>
          </cell>
          <cell r="B3172" t="str">
            <v>25/06/2013</v>
          </cell>
          <cell r="C3172" t="str">
            <v>CALLOUT</v>
          </cell>
          <cell r="D3172" t="str">
            <v>Replaced Heatra Sadia 30 litre 3kw</v>
          </cell>
          <cell r="E3172" t="str">
            <v>Technical Building Services</v>
          </cell>
          <cell r="F3172" t="str">
            <v>Subcontractor</v>
          </cell>
          <cell r="G3172" t="str">
            <v/>
          </cell>
          <cell r="H3172" t="str">
            <v/>
          </cell>
          <cell r="I3172" t="str">
            <v/>
          </cell>
          <cell r="J3172">
            <v>200</v>
          </cell>
          <cell r="K3172">
            <v>40</v>
          </cell>
          <cell r="L3172">
            <v>200</v>
          </cell>
          <cell r="M3172" t="str">
            <v/>
          </cell>
          <cell r="N3172">
            <v>0</v>
          </cell>
        </row>
        <row r="3173">
          <cell r="A3173">
            <v>3961</v>
          </cell>
          <cell r="B3173" t="str">
            <v>25/06/2013</v>
          </cell>
          <cell r="C3173" t="str">
            <v>CALLOUT</v>
          </cell>
          <cell r="D3173" t="str">
            <v>Rectified fault on AC Unit</v>
          </cell>
          <cell r="E3173" t="str">
            <v>Premier Air Control</v>
          </cell>
          <cell r="F3173" t="str">
            <v>Subcontractor</v>
          </cell>
          <cell r="G3173" t="str">
            <v/>
          </cell>
          <cell r="H3173" t="str">
            <v/>
          </cell>
          <cell r="I3173" t="str">
            <v/>
          </cell>
          <cell r="J3173">
            <v>75</v>
          </cell>
          <cell r="K3173">
            <v>15</v>
          </cell>
          <cell r="L3173">
            <v>75</v>
          </cell>
          <cell r="M3173" t="str">
            <v/>
          </cell>
          <cell r="N3173">
            <v>0</v>
          </cell>
        </row>
        <row r="3174">
          <cell r="A3174">
            <v>3960</v>
          </cell>
          <cell r="B3174" t="str">
            <v>25/06/2013</v>
          </cell>
          <cell r="C3174" t="str">
            <v>CALLOUT</v>
          </cell>
          <cell r="D3174" t="str">
            <v>Attended site to fix cables back to cable tray</v>
          </cell>
          <cell r="E3174" t="str">
            <v>Premier Air Control</v>
          </cell>
          <cell r="F3174" t="str">
            <v>Subcontractor</v>
          </cell>
          <cell r="G3174" t="str">
            <v/>
          </cell>
          <cell r="H3174" t="str">
            <v/>
          </cell>
          <cell r="I3174" t="str">
            <v/>
          </cell>
          <cell r="J3174">
            <v>100</v>
          </cell>
          <cell r="K3174">
            <v>20</v>
          </cell>
          <cell r="L3174">
            <v>100</v>
          </cell>
          <cell r="M3174" t="str">
            <v/>
          </cell>
          <cell r="N3174">
            <v>0</v>
          </cell>
        </row>
        <row r="3175">
          <cell r="A3175">
            <v>3944</v>
          </cell>
          <cell r="B3175" t="str">
            <v>19/06/2013</v>
          </cell>
          <cell r="C3175" t="str">
            <v>C1137</v>
          </cell>
          <cell r="D3175" t="str">
            <v>AC installation</v>
          </cell>
          <cell r="E3175" t="str">
            <v>Troughton Air Con Ltd</v>
          </cell>
          <cell r="F3175" t="str">
            <v>Subcontractor</v>
          </cell>
          <cell r="G3175" t="str">
            <v/>
          </cell>
          <cell r="H3175" t="str">
            <v/>
          </cell>
          <cell r="I3175" t="str">
            <v/>
          </cell>
          <cell r="J3175">
            <v>3150</v>
          </cell>
          <cell r="K3175">
            <v>630</v>
          </cell>
          <cell r="L3175">
            <v>3150</v>
          </cell>
          <cell r="M3175" t="str">
            <v/>
          </cell>
          <cell r="N3175">
            <v>0</v>
          </cell>
        </row>
        <row r="3176">
          <cell r="A3176">
            <v>3941</v>
          </cell>
          <cell r="B3176" t="str">
            <v>18/06/2013</v>
          </cell>
          <cell r="C3176" t="str">
            <v>C1132</v>
          </cell>
          <cell r="D3176" t="str">
            <v>Remaining Value Left From Omegair Order</v>
          </cell>
          <cell r="E3176" t="str">
            <v>The Wright Installations Ltd</v>
          </cell>
          <cell r="F3176" t="str">
            <v>Subcontractor</v>
          </cell>
          <cell r="G3176" t="str">
            <v/>
          </cell>
          <cell r="H3176" t="str">
            <v/>
          </cell>
          <cell r="I3176" t="str">
            <v/>
          </cell>
          <cell r="J3176">
            <v>496.5</v>
          </cell>
          <cell r="K3176">
            <v>99.3</v>
          </cell>
          <cell r="L3176">
            <v>496.5</v>
          </cell>
          <cell r="M3176" t="str">
            <v/>
          </cell>
          <cell r="N3176">
            <v>0</v>
          </cell>
        </row>
        <row r="3177">
          <cell r="A3177">
            <v>3940</v>
          </cell>
          <cell r="B3177" t="str">
            <v>18/06/2013</v>
          </cell>
          <cell r="C3177" t="str">
            <v>CALLOUT</v>
          </cell>
          <cell r="D3177" t="str">
            <v>3no holes - 150 dia as discussed</v>
          </cell>
          <cell r="E3177" t="str">
            <v>Diamond Drilling Services</v>
          </cell>
          <cell r="F3177" t="str">
            <v>Subcontractor</v>
          </cell>
          <cell r="G3177" t="str">
            <v/>
          </cell>
          <cell r="H3177" t="str">
            <v/>
          </cell>
          <cell r="I3177" t="str">
            <v/>
          </cell>
          <cell r="J3177">
            <v>250</v>
          </cell>
          <cell r="K3177">
            <v>50</v>
          </cell>
          <cell r="L3177">
            <v>250</v>
          </cell>
          <cell r="M3177" t="str">
            <v/>
          </cell>
          <cell r="N3177">
            <v>0</v>
          </cell>
        </row>
        <row r="3178">
          <cell r="A3178">
            <v>3937</v>
          </cell>
          <cell r="B3178" t="str">
            <v>14/06/2013</v>
          </cell>
          <cell r="C3178" t="str">
            <v>C1151</v>
          </cell>
          <cell r="D3178" t="str">
            <v>Enabling works</v>
          </cell>
          <cell r="E3178" t="str">
            <v>Modern Plumbing Solutions Ltd</v>
          </cell>
          <cell r="F3178" t="str">
            <v>Subcontractor</v>
          </cell>
          <cell r="G3178" t="str">
            <v/>
          </cell>
          <cell r="H3178" t="str">
            <v/>
          </cell>
          <cell r="I3178" t="str">
            <v/>
          </cell>
          <cell r="J3178">
            <v>450</v>
          </cell>
          <cell r="K3178">
            <v>90</v>
          </cell>
          <cell r="L3178">
            <v>450</v>
          </cell>
          <cell r="M3178" t="str">
            <v/>
          </cell>
          <cell r="N3178">
            <v>0</v>
          </cell>
        </row>
        <row r="3179">
          <cell r="A3179">
            <v>3936</v>
          </cell>
          <cell r="B3179" t="str">
            <v>14/06/2013</v>
          </cell>
          <cell r="C3179" t="str">
            <v>C1151</v>
          </cell>
          <cell r="D3179" t="str">
            <v>Ductwork installation and modifications</v>
          </cell>
          <cell r="E3179" t="str">
            <v>The Wright Installations Ltd</v>
          </cell>
          <cell r="F3179" t="str">
            <v>Subcontractor</v>
          </cell>
          <cell r="G3179" t="str">
            <v/>
          </cell>
          <cell r="H3179" t="str">
            <v/>
          </cell>
          <cell r="I3179" t="str">
            <v/>
          </cell>
          <cell r="J3179">
            <v>2775</v>
          </cell>
          <cell r="K3179">
            <v>555</v>
          </cell>
          <cell r="L3179">
            <v>2775</v>
          </cell>
          <cell r="M3179" t="str">
            <v/>
          </cell>
          <cell r="N3179">
            <v>0</v>
          </cell>
        </row>
        <row r="3180">
          <cell r="A3180">
            <v>3927</v>
          </cell>
          <cell r="B3180" t="str">
            <v>12/06/2013</v>
          </cell>
          <cell r="C3180" t="str">
            <v>C1154</v>
          </cell>
          <cell r="D3180" t="str">
            <v>27 days inc Sports Hall Grilles/Dampers inc 1 hour travel</v>
          </cell>
          <cell r="E3180" t="str">
            <v>The Wright Installations Ltd</v>
          </cell>
          <cell r="F3180" t="str">
            <v>Subcontractor</v>
          </cell>
          <cell r="G3180" t="str">
            <v/>
          </cell>
          <cell r="H3180" t="str">
            <v/>
          </cell>
          <cell r="I3180" t="str">
            <v/>
          </cell>
          <cell r="J3180">
            <v>7200</v>
          </cell>
          <cell r="K3180">
            <v>1440</v>
          </cell>
          <cell r="L3180">
            <v>7200</v>
          </cell>
          <cell r="M3180" t="str">
            <v/>
          </cell>
          <cell r="N3180">
            <v>0</v>
          </cell>
        </row>
        <row r="3181">
          <cell r="A3181">
            <v>3925</v>
          </cell>
          <cell r="B3181" t="str">
            <v>11/06/2013</v>
          </cell>
          <cell r="C3181" t="str">
            <v>CALLOUT</v>
          </cell>
          <cell r="D3181" t="str">
            <v>Reposition Condensors</v>
          </cell>
          <cell r="E3181" t="str">
            <v>Premier Air Control</v>
          </cell>
          <cell r="F3181" t="str">
            <v>Subcontractor</v>
          </cell>
          <cell r="G3181" t="str">
            <v/>
          </cell>
          <cell r="H3181" t="str">
            <v/>
          </cell>
          <cell r="I3181" t="str">
            <v/>
          </cell>
          <cell r="J3181">
            <v>235</v>
          </cell>
          <cell r="K3181">
            <v>47</v>
          </cell>
          <cell r="L3181">
            <v>235</v>
          </cell>
          <cell r="M3181" t="str">
            <v/>
          </cell>
          <cell r="N3181">
            <v>0</v>
          </cell>
        </row>
        <row r="3182">
          <cell r="A3182">
            <v>3913</v>
          </cell>
          <cell r="B3182" t="str">
            <v>31/05/2013</v>
          </cell>
          <cell r="C3182" t="str">
            <v>C1156</v>
          </cell>
          <cell r="D3182" t="str">
            <v>Labour</v>
          </cell>
          <cell r="E3182" t="str">
            <v>Omegair Limited</v>
          </cell>
          <cell r="F3182" t="str">
            <v>Subcontractor</v>
          </cell>
          <cell r="G3182" t="str">
            <v/>
          </cell>
          <cell r="H3182" t="str">
            <v/>
          </cell>
          <cell r="I3182" t="str">
            <v/>
          </cell>
          <cell r="J3182">
            <v>500</v>
          </cell>
          <cell r="K3182">
            <v>100</v>
          </cell>
          <cell r="L3182">
            <v>500</v>
          </cell>
          <cell r="M3182" t="str">
            <v/>
          </cell>
          <cell r="N3182">
            <v>0</v>
          </cell>
        </row>
        <row r="3183">
          <cell r="A3183">
            <v>3900</v>
          </cell>
          <cell r="B3183" t="str">
            <v>31/05/2013</v>
          </cell>
          <cell r="C3183" t="str">
            <v>C1151</v>
          </cell>
          <cell r="D3183" t="str">
            <v>BMS Mods as quote 31.5.13</v>
          </cell>
          <cell r="E3183" t="str">
            <v>Building Technology Systems</v>
          </cell>
          <cell r="F3183" t="str">
            <v>Subcontractor</v>
          </cell>
          <cell r="G3183" t="str">
            <v/>
          </cell>
          <cell r="H3183" t="str">
            <v/>
          </cell>
          <cell r="I3183" t="str">
            <v/>
          </cell>
          <cell r="J3183">
            <v>540</v>
          </cell>
          <cell r="K3183">
            <v>108</v>
          </cell>
          <cell r="L3183">
            <v>540</v>
          </cell>
          <cell r="M3183" t="str">
            <v/>
          </cell>
          <cell r="N3183">
            <v>0</v>
          </cell>
        </row>
        <row r="3184">
          <cell r="A3184">
            <v>3886</v>
          </cell>
          <cell r="B3184" t="str">
            <v>29/05/2013</v>
          </cell>
          <cell r="C3184" t="str">
            <v>CALLOUT</v>
          </cell>
          <cell r="D3184" t="str">
            <v>Gas Fired AHU not Working - (Order covers 2 no Visits)</v>
          </cell>
          <cell r="E3184" t="str">
            <v>A Jones Heating &amp; Plumbing</v>
          </cell>
          <cell r="F3184" t="str">
            <v>Subcontractor</v>
          </cell>
          <cell r="G3184" t="str">
            <v/>
          </cell>
          <cell r="H3184" t="str">
            <v/>
          </cell>
          <cell r="I3184" t="str">
            <v/>
          </cell>
          <cell r="J3184">
            <v>220</v>
          </cell>
          <cell r="K3184">
            <v>0</v>
          </cell>
          <cell r="L3184">
            <v>220</v>
          </cell>
          <cell r="M3184" t="str">
            <v/>
          </cell>
          <cell r="N3184">
            <v>0</v>
          </cell>
        </row>
        <row r="3185">
          <cell r="A3185">
            <v>3876</v>
          </cell>
          <cell r="B3185" t="str">
            <v>28/05/2013</v>
          </cell>
          <cell r="C3185" t="str">
            <v>C1134</v>
          </cell>
          <cell r="D3185" t="str">
            <v>Install at Market Harborough</v>
          </cell>
          <cell r="E3185" t="str">
            <v>Omegair Limited</v>
          </cell>
          <cell r="F3185" t="str">
            <v>Subcontractor</v>
          </cell>
          <cell r="G3185" t="str">
            <v/>
          </cell>
          <cell r="H3185" t="str">
            <v/>
          </cell>
          <cell r="I3185" t="str">
            <v/>
          </cell>
          <cell r="J3185">
            <v>936.5</v>
          </cell>
          <cell r="K3185">
            <v>187.3</v>
          </cell>
          <cell r="L3185">
            <v>0</v>
          </cell>
          <cell r="M3185" t="str">
            <v/>
          </cell>
          <cell r="N3185">
            <v>936.5</v>
          </cell>
        </row>
        <row r="3186">
          <cell r="A3186">
            <v>3861</v>
          </cell>
          <cell r="B3186" t="str">
            <v>23/05/2013</v>
          </cell>
          <cell r="C3186" t="str">
            <v>SERVICE</v>
          </cell>
          <cell r="D3186" t="str">
            <v>Carried out AC Maintenance</v>
          </cell>
          <cell r="E3186" t="str">
            <v>Premier Air Control</v>
          </cell>
          <cell r="F3186" t="str">
            <v>Subcontractor</v>
          </cell>
          <cell r="G3186" t="str">
            <v/>
          </cell>
          <cell r="H3186" t="str">
            <v/>
          </cell>
          <cell r="I3186" t="str">
            <v/>
          </cell>
          <cell r="J3186">
            <v>200</v>
          </cell>
          <cell r="K3186">
            <v>40</v>
          </cell>
          <cell r="L3186">
            <v>200</v>
          </cell>
          <cell r="M3186" t="str">
            <v/>
          </cell>
          <cell r="N3186">
            <v>0</v>
          </cell>
        </row>
        <row r="3187">
          <cell r="A3187">
            <v>3854</v>
          </cell>
          <cell r="B3187" t="str">
            <v>22/05/2013</v>
          </cell>
          <cell r="C3187" t="str">
            <v>CALLOUT</v>
          </cell>
          <cell r="D3187" t="str">
            <v>Investigated leaking Zip Hydroboil</v>
          </cell>
          <cell r="E3187" t="str">
            <v>Technical Building Services</v>
          </cell>
          <cell r="F3187" t="str">
            <v>Subcontractor</v>
          </cell>
          <cell r="G3187" t="str">
            <v/>
          </cell>
          <cell r="H3187" t="str">
            <v/>
          </cell>
          <cell r="I3187" t="str">
            <v/>
          </cell>
          <cell r="J3187">
            <v>180</v>
          </cell>
          <cell r="K3187">
            <v>36</v>
          </cell>
          <cell r="L3187">
            <v>180</v>
          </cell>
          <cell r="M3187" t="str">
            <v/>
          </cell>
          <cell r="N3187">
            <v>0</v>
          </cell>
        </row>
        <row r="3188">
          <cell r="A3188">
            <v>3852</v>
          </cell>
          <cell r="B3188" t="str">
            <v>21/05/2013</v>
          </cell>
          <cell r="C3188" t="str">
            <v>C1146</v>
          </cell>
          <cell r="D3188" t="str">
            <v>Supply Materials and Labour as agreed with Mark Poulton</v>
          </cell>
          <cell r="E3188" t="str">
            <v>Daniel Naylor</v>
          </cell>
          <cell r="F3188" t="str">
            <v>Subcontractor</v>
          </cell>
          <cell r="G3188" t="str">
            <v/>
          </cell>
          <cell r="H3188" t="str">
            <v/>
          </cell>
          <cell r="I3188" t="str">
            <v/>
          </cell>
          <cell r="J3188">
            <v>6300</v>
          </cell>
          <cell r="K3188">
            <v>1260</v>
          </cell>
          <cell r="L3188">
            <v>6300</v>
          </cell>
          <cell r="M3188" t="str">
            <v/>
          </cell>
          <cell r="N3188">
            <v>0</v>
          </cell>
        </row>
        <row r="3189">
          <cell r="A3189">
            <v>3849</v>
          </cell>
          <cell r="B3189" t="str">
            <v>21/05/2013</v>
          </cell>
          <cell r="C3189" t="str">
            <v>C1124</v>
          </cell>
          <cell r="D3189" t="str">
            <v>Commisioning Costs for Derby</v>
          </cell>
          <cell r="E3189" t="str">
            <v>Commissioning &amp; Maintenance Services Ltd</v>
          </cell>
          <cell r="F3189" t="str">
            <v>Subcontractor</v>
          </cell>
          <cell r="G3189" t="str">
            <v/>
          </cell>
          <cell r="H3189" t="str">
            <v/>
          </cell>
          <cell r="I3189" t="str">
            <v/>
          </cell>
          <cell r="J3189">
            <v>1962.8</v>
          </cell>
          <cell r="K3189">
            <v>392.56</v>
          </cell>
          <cell r="L3189">
            <v>1962.8</v>
          </cell>
          <cell r="M3189" t="str">
            <v/>
          </cell>
          <cell r="N3189">
            <v>0</v>
          </cell>
        </row>
        <row r="3190">
          <cell r="A3190">
            <v>3844</v>
          </cell>
          <cell r="B3190" t="str">
            <v>20/05/2013</v>
          </cell>
          <cell r="C3190" t="str">
            <v>C1137</v>
          </cell>
          <cell r="D3190" t="str">
            <v>Plumbing works</v>
          </cell>
          <cell r="E3190" t="str">
            <v>Modern Plumbing Solutions Ltd</v>
          </cell>
          <cell r="F3190" t="str">
            <v>Subcontractor</v>
          </cell>
          <cell r="G3190" t="str">
            <v>20/05/2013</v>
          </cell>
          <cell r="H3190" t="str">
            <v/>
          </cell>
          <cell r="I3190" t="str">
            <v/>
          </cell>
          <cell r="J3190">
            <v>8064</v>
          </cell>
          <cell r="K3190">
            <v>1612.8</v>
          </cell>
          <cell r="L3190">
            <v>8064</v>
          </cell>
          <cell r="M3190" t="str">
            <v/>
          </cell>
          <cell r="N3190">
            <v>0</v>
          </cell>
        </row>
        <row r="3191">
          <cell r="A3191">
            <v>3821</v>
          </cell>
          <cell r="B3191" t="str">
            <v>10/05/2013</v>
          </cell>
          <cell r="C3191" t="str">
            <v>C1137</v>
          </cell>
          <cell r="D3191" t="str">
            <v>Ductwork installation</v>
          </cell>
          <cell r="E3191" t="str">
            <v>The Wright Installations Ltd</v>
          </cell>
          <cell r="F3191" t="str">
            <v>Subcontractor</v>
          </cell>
          <cell r="G3191" t="str">
            <v>13/05/2013</v>
          </cell>
          <cell r="H3191" t="str">
            <v/>
          </cell>
          <cell r="I3191" t="str">
            <v/>
          </cell>
          <cell r="J3191">
            <v>3200</v>
          </cell>
          <cell r="K3191">
            <v>640</v>
          </cell>
          <cell r="L3191">
            <v>3200</v>
          </cell>
          <cell r="M3191" t="str">
            <v/>
          </cell>
          <cell r="N3191">
            <v>0</v>
          </cell>
        </row>
        <row r="3192">
          <cell r="A3192">
            <v>3805</v>
          </cell>
          <cell r="B3192" t="str">
            <v>08/05/2013</v>
          </cell>
          <cell r="C3192" t="str">
            <v>C1153</v>
          </cell>
          <cell r="D3192" t="str">
            <v>Air balance works</v>
          </cell>
          <cell r="E3192" t="str">
            <v>Probalance Ltd</v>
          </cell>
          <cell r="F3192" t="str">
            <v>Subcontractor</v>
          </cell>
          <cell r="G3192" t="str">
            <v/>
          </cell>
          <cell r="H3192" t="str">
            <v/>
          </cell>
          <cell r="I3192" t="str">
            <v/>
          </cell>
          <cell r="J3192">
            <v>125</v>
          </cell>
          <cell r="K3192">
            <v>25</v>
          </cell>
          <cell r="L3192">
            <v>125</v>
          </cell>
          <cell r="M3192" t="str">
            <v/>
          </cell>
          <cell r="N3192">
            <v>0</v>
          </cell>
        </row>
        <row r="3193">
          <cell r="A3193">
            <v>3802</v>
          </cell>
          <cell r="B3193" t="str">
            <v>07/05/2013</v>
          </cell>
          <cell r="C3193" t="str">
            <v>SERVICE</v>
          </cell>
          <cell r="D3193" t="str">
            <v>Carry out AC Maintenance on Thursday 9th May 2013</v>
          </cell>
          <cell r="E3193" t="str">
            <v>F Gas Certification Limited</v>
          </cell>
          <cell r="F3193" t="str">
            <v>Subcontractor</v>
          </cell>
          <cell r="G3193" t="str">
            <v/>
          </cell>
          <cell r="H3193" t="str">
            <v/>
          </cell>
          <cell r="I3193" t="str">
            <v/>
          </cell>
          <cell r="J3193">
            <v>250</v>
          </cell>
          <cell r="K3193">
            <v>50</v>
          </cell>
          <cell r="L3193">
            <v>250</v>
          </cell>
          <cell r="M3193" t="str">
            <v/>
          </cell>
          <cell r="N3193">
            <v>0</v>
          </cell>
        </row>
        <row r="3194">
          <cell r="A3194">
            <v>3797</v>
          </cell>
          <cell r="B3194" t="str">
            <v>07/05/2013</v>
          </cell>
          <cell r="C3194" t="str">
            <v>CALLOUT</v>
          </cell>
          <cell r="D3194" t="str">
            <v>Attended Site to rectify fault on AC System</v>
          </cell>
          <cell r="E3194" t="str">
            <v>Premier Air Control</v>
          </cell>
          <cell r="F3194" t="str">
            <v>Subcontractor</v>
          </cell>
          <cell r="G3194" t="str">
            <v/>
          </cell>
          <cell r="H3194" t="str">
            <v/>
          </cell>
          <cell r="I3194" t="str">
            <v/>
          </cell>
          <cell r="J3194">
            <v>100</v>
          </cell>
          <cell r="K3194">
            <v>20</v>
          </cell>
          <cell r="L3194">
            <v>100</v>
          </cell>
          <cell r="M3194" t="str">
            <v/>
          </cell>
          <cell r="N3194">
            <v>0</v>
          </cell>
        </row>
        <row r="3195">
          <cell r="A3195">
            <v>3795</v>
          </cell>
          <cell r="B3195" t="str">
            <v>07/05/2013</v>
          </cell>
          <cell r="C3195" t="str">
            <v>CALLOUT</v>
          </cell>
          <cell r="D3195" t="str">
            <v>Called Out to Site on Friday 3rd May to rectify fault on AC</v>
          </cell>
          <cell r="E3195" t="str">
            <v>Premier Air Control</v>
          </cell>
          <cell r="F3195" t="str">
            <v>Subcontractor</v>
          </cell>
          <cell r="G3195" t="str">
            <v/>
          </cell>
          <cell r="H3195" t="str">
            <v/>
          </cell>
          <cell r="I3195" t="str">
            <v/>
          </cell>
          <cell r="J3195">
            <v>100</v>
          </cell>
          <cell r="K3195">
            <v>20</v>
          </cell>
          <cell r="L3195">
            <v>100</v>
          </cell>
          <cell r="M3195" t="str">
            <v/>
          </cell>
          <cell r="N3195">
            <v>0</v>
          </cell>
        </row>
        <row r="3196">
          <cell r="A3196">
            <v>3785</v>
          </cell>
          <cell r="B3196" t="str">
            <v>01/05/2013</v>
          </cell>
          <cell r="C3196" t="str">
            <v>CALLOUT</v>
          </cell>
          <cell r="D3196" t="str">
            <v>Rectified fault on 2no Water Heaters</v>
          </cell>
          <cell r="E3196" t="str">
            <v>Technical Building Services</v>
          </cell>
          <cell r="F3196" t="str">
            <v>Subcontractor</v>
          </cell>
          <cell r="G3196" t="str">
            <v/>
          </cell>
          <cell r="H3196" t="str">
            <v/>
          </cell>
          <cell r="I3196" t="str">
            <v/>
          </cell>
          <cell r="J3196">
            <v>185</v>
          </cell>
          <cell r="K3196">
            <v>37</v>
          </cell>
          <cell r="L3196">
            <v>185</v>
          </cell>
          <cell r="M3196" t="str">
            <v/>
          </cell>
          <cell r="N3196">
            <v>0</v>
          </cell>
        </row>
        <row r="3197">
          <cell r="A3197">
            <v>3780</v>
          </cell>
          <cell r="B3197" t="str">
            <v>30/04/2013</v>
          </cell>
          <cell r="C3197" t="str">
            <v>CALLOUT</v>
          </cell>
          <cell r="D3197" t="str">
            <v>Carried out Gas Safety Check</v>
          </cell>
          <cell r="E3197" t="str">
            <v>Daniel Naylor</v>
          </cell>
          <cell r="F3197" t="str">
            <v>Subcontractor</v>
          </cell>
          <cell r="G3197" t="str">
            <v/>
          </cell>
          <cell r="H3197" t="str">
            <v/>
          </cell>
          <cell r="I3197" t="str">
            <v/>
          </cell>
          <cell r="J3197">
            <v>100</v>
          </cell>
          <cell r="K3197">
            <v>20</v>
          </cell>
          <cell r="L3197">
            <v>100</v>
          </cell>
          <cell r="M3197" t="str">
            <v/>
          </cell>
          <cell r="N3197">
            <v>0</v>
          </cell>
        </row>
        <row r="3198">
          <cell r="A3198">
            <v>3772</v>
          </cell>
          <cell r="B3198" t="str">
            <v>30/04/2013</v>
          </cell>
          <cell r="C3198" t="str">
            <v>C1143</v>
          </cell>
          <cell r="D3198" t="str">
            <v>Supply Labour &amp; Materials as agreed with Mark Poulton</v>
          </cell>
          <cell r="E3198" t="str">
            <v>Daniel Naylor</v>
          </cell>
          <cell r="F3198" t="str">
            <v>Subcontractor</v>
          </cell>
          <cell r="G3198" t="str">
            <v/>
          </cell>
          <cell r="H3198" t="str">
            <v/>
          </cell>
          <cell r="I3198" t="str">
            <v/>
          </cell>
          <cell r="J3198">
            <v>3725</v>
          </cell>
          <cell r="K3198">
            <v>745</v>
          </cell>
          <cell r="L3198">
            <v>3725</v>
          </cell>
          <cell r="M3198" t="str">
            <v/>
          </cell>
          <cell r="N3198">
            <v>0</v>
          </cell>
        </row>
        <row r="3199">
          <cell r="A3199">
            <v>3771</v>
          </cell>
          <cell r="B3199" t="str">
            <v>30/04/2013</v>
          </cell>
          <cell r="C3199" t="str">
            <v>C1148</v>
          </cell>
          <cell r="D3199" t="str">
            <v>Supply Labour &amp; Materials as agreed with Mark Poulton</v>
          </cell>
          <cell r="E3199" t="str">
            <v>Daniel Naylor</v>
          </cell>
          <cell r="F3199" t="str">
            <v>Subcontractor</v>
          </cell>
          <cell r="G3199" t="str">
            <v/>
          </cell>
          <cell r="H3199" t="str">
            <v/>
          </cell>
          <cell r="I3199" t="str">
            <v/>
          </cell>
          <cell r="J3199">
            <v>3800</v>
          </cell>
          <cell r="K3199">
            <v>760</v>
          </cell>
          <cell r="L3199">
            <v>3800</v>
          </cell>
          <cell r="M3199" t="str">
            <v/>
          </cell>
          <cell r="N3199">
            <v>0</v>
          </cell>
        </row>
        <row r="3200">
          <cell r="A3200">
            <v>3755</v>
          </cell>
          <cell r="B3200" t="str">
            <v>25/04/2013</v>
          </cell>
          <cell r="C3200" t="str">
            <v>C1130</v>
          </cell>
          <cell r="D3200" t="str">
            <v>pipework mods</v>
          </cell>
          <cell r="E3200" t="str">
            <v>Medical Pipeline Services Ltd</v>
          </cell>
          <cell r="F3200" t="str">
            <v>Subcontractor</v>
          </cell>
          <cell r="G3200" t="str">
            <v/>
          </cell>
          <cell r="H3200" t="str">
            <v/>
          </cell>
          <cell r="I3200" t="str">
            <v/>
          </cell>
          <cell r="J3200">
            <v>1183</v>
          </cell>
          <cell r="K3200">
            <v>236.6</v>
          </cell>
          <cell r="L3200">
            <v>1183</v>
          </cell>
          <cell r="M3200" t="str">
            <v/>
          </cell>
          <cell r="N3200">
            <v>0</v>
          </cell>
        </row>
        <row r="3201">
          <cell r="A3201">
            <v>3742</v>
          </cell>
          <cell r="B3201" t="str">
            <v>24/04/2013</v>
          </cell>
          <cell r="C3201" t="str">
            <v>SERVICE</v>
          </cell>
          <cell r="D3201" t="str">
            <v>Carried out Heating Maintenance</v>
          </cell>
          <cell r="E3201" t="str">
            <v>A Jones Heating &amp; Plumbing</v>
          </cell>
          <cell r="F3201" t="str">
            <v>Subcontractor</v>
          </cell>
          <cell r="G3201" t="str">
            <v/>
          </cell>
          <cell r="H3201" t="str">
            <v/>
          </cell>
          <cell r="I3201" t="str">
            <v/>
          </cell>
          <cell r="J3201">
            <v>190</v>
          </cell>
          <cell r="K3201">
            <v>0</v>
          </cell>
          <cell r="L3201">
            <v>190</v>
          </cell>
          <cell r="M3201" t="str">
            <v/>
          </cell>
          <cell r="N3201">
            <v>0</v>
          </cell>
        </row>
        <row r="3202">
          <cell r="A3202">
            <v>3735</v>
          </cell>
          <cell r="B3202" t="str">
            <v>19/04/2013</v>
          </cell>
          <cell r="C3202" t="str">
            <v>C1130</v>
          </cell>
          <cell r="D3202" t="str">
            <v>Mods to lab cold water &amp; install drains</v>
          </cell>
          <cell r="E3202" t="str">
            <v>Promech (NW) Ltd</v>
          </cell>
          <cell r="F3202" t="str">
            <v>Subcontractor</v>
          </cell>
          <cell r="G3202" t="str">
            <v/>
          </cell>
          <cell r="H3202" t="str">
            <v/>
          </cell>
          <cell r="I3202" t="str">
            <v/>
          </cell>
          <cell r="J3202">
            <v>950</v>
          </cell>
          <cell r="K3202">
            <v>190</v>
          </cell>
          <cell r="L3202">
            <v>950</v>
          </cell>
          <cell r="M3202" t="str">
            <v/>
          </cell>
          <cell r="N3202">
            <v>0</v>
          </cell>
        </row>
        <row r="3203">
          <cell r="A3203">
            <v>3714</v>
          </cell>
          <cell r="B3203" t="str">
            <v>16/04/2013</v>
          </cell>
          <cell r="C3203" t="str">
            <v>C1136</v>
          </cell>
          <cell r="D3203" t="str">
            <v>For Works at Atherton Community School</v>
          </cell>
          <cell r="E3203" t="str">
            <v>The Wright Installations Ltd</v>
          </cell>
          <cell r="F3203" t="str">
            <v>Subcontractor</v>
          </cell>
          <cell r="G3203" t="str">
            <v/>
          </cell>
          <cell r="H3203" t="str">
            <v/>
          </cell>
          <cell r="I3203" t="str">
            <v/>
          </cell>
          <cell r="J3203">
            <v>4600</v>
          </cell>
          <cell r="K3203">
            <v>920</v>
          </cell>
          <cell r="L3203">
            <v>4600</v>
          </cell>
          <cell r="M3203" t="str">
            <v/>
          </cell>
          <cell r="N3203">
            <v>0</v>
          </cell>
        </row>
        <row r="3204">
          <cell r="A3204">
            <v>3713</v>
          </cell>
          <cell r="B3204" t="str">
            <v>16/04/2013</v>
          </cell>
          <cell r="C3204" t="str">
            <v>C1135</v>
          </cell>
          <cell r="D3204" t="str">
            <v>5 days Install</v>
          </cell>
          <cell r="E3204" t="str">
            <v>Omegair Limited</v>
          </cell>
          <cell r="F3204" t="str">
            <v>Subcontractor</v>
          </cell>
          <cell r="G3204" t="str">
            <v/>
          </cell>
          <cell r="H3204" t="str">
            <v/>
          </cell>
          <cell r="I3204" t="str">
            <v/>
          </cell>
          <cell r="J3204">
            <v>1200</v>
          </cell>
          <cell r="K3204">
            <v>240</v>
          </cell>
          <cell r="L3204">
            <v>1200</v>
          </cell>
          <cell r="M3204" t="str">
            <v/>
          </cell>
          <cell r="N3204">
            <v>0</v>
          </cell>
        </row>
        <row r="3205">
          <cell r="A3205">
            <v>3712</v>
          </cell>
          <cell r="B3205" t="str">
            <v>16/04/2013</v>
          </cell>
          <cell r="C3205" t="str">
            <v>C1130</v>
          </cell>
          <cell r="D3205" t="str">
            <v>Air balance balancing works</v>
          </cell>
          <cell r="E3205" t="str">
            <v>Probalance Ltd</v>
          </cell>
          <cell r="F3205" t="str">
            <v>Subcontractor</v>
          </cell>
          <cell r="G3205" t="str">
            <v>18/04/2013</v>
          </cell>
          <cell r="H3205" t="str">
            <v/>
          </cell>
          <cell r="I3205" t="str">
            <v/>
          </cell>
          <cell r="J3205">
            <v>834.5</v>
          </cell>
          <cell r="K3205">
            <v>166.9</v>
          </cell>
          <cell r="L3205">
            <v>834.5</v>
          </cell>
          <cell r="M3205" t="str">
            <v/>
          </cell>
          <cell r="N3205">
            <v>0</v>
          </cell>
        </row>
        <row r="3206">
          <cell r="A3206">
            <v>3698</v>
          </cell>
          <cell r="B3206" t="str">
            <v>12/04/2013</v>
          </cell>
          <cell r="C3206" t="str">
            <v>C1130</v>
          </cell>
          <cell r="D3206" t="str">
            <v>Elec services modifications</v>
          </cell>
          <cell r="E3206" t="str">
            <v>Technical Building Services</v>
          </cell>
          <cell r="F3206" t="str">
            <v>Subcontractor</v>
          </cell>
          <cell r="G3206" t="str">
            <v/>
          </cell>
          <cell r="H3206" t="str">
            <v/>
          </cell>
          <cell r="I3206" t="str">
            <v/>
          </cell>
          <cell r="J3206">
            <v>2243.6</v>
          </cell>
          <cell r="K3206">
            <v>448.72</v>
          </cell>
          <cell r="L3206">
            <v>2243.6</v>
          </cell>
          <cell r="M3206" t="str">
            <v/>
          </cell>
          <cell r="N3206">
            <v>0</v>
          </cell>
        </row>
        <row r="3207">
          <cell r="A3207">
            <v>3692</v>
          </cell>
          <cell r="B3207" t="str">
            <v>11/04/2013</v>
          </cell>
          <cell r="C3207" t="str">
            <v>CALLOUT</v>
          </cell>
          <cell r="D3207" t="str">
            <v>Carry out maintenance works as per Mark Poulton email dated</v>
          </cell>
          <cell r="E3207" t="str">
            <v>Building Technology Systems</v>
          </cell>
          <cell r="F3207" t="str">
            <v>Subcontractor</v>
          </cell>
          <cell r="G3207" t="str">
            <v/>
          </cell>
          <cell r="H3207" t="str">
            <v/>
          </cell>
          <cell r="I3207" t="str">
            <v/>
          </cell>
          <cell r="J3207">
            <v>540</v>
          </cell>
          <cell r="K3207">
            <v>108</v>
          </cell>
          <cell r="L3207">
            <v>540</v>
          </cell>
          <cell r="M3207" t="str">
            <v/>
          </cell>
          <cell r="N3207">
            <v>0</v>
          </cell>
        </row>
        <row r="3208">
          <cell r="A3208">
            <v>3673</v>
          </cell>
          <cell r="B3208" t="str">
            <v>09/04/2013</v>
          </cell>
          <cell r="C3208" t="str">
            <v>C1132</v>
          </cell>
          <cell r="D3208" t="str">
            <v>For Works at Abraham Moss Primary School</v>
          </cell>
          <cell r="E3208" t="str">
            <v>Omegair Limited</v>
          </cell>
          <cell r="F3208" t="str">
            <v>Subcontractor</v>
          </cell>
          <cell r="G3208" t="str">
            <v/>
          </cell>
          <cell r="H3208" t="str">
            <v/>
          </cell>
          <cell r="I3208" t="str">
            <v/>
          </cell>
          <cell r="J3208">
            <v>12312.5</v>
          </cell>
          <cell r="K3208">
            <v>2462.5</v>
          </cell>
          <cell r="L3208">
            <v>12312.5</v>
          </cell>
          <cell r="M3208" t="str">
            <v/>
          </cell>
          <cell r="N3208">
            <v>0</v>
          </cell>
        </row>
        <row r="3209">
          <cell r="A3209">
            <v>3645</v>
          </cell>
          <cell r="B3209" t="str">
            <v>02/04/2013</v>
          </cell>
          <cell r="C3209" t="str">
            <v>SERVICE</v>
          </cell>
          <cell r="D3209" t="str">
            <v>Carried out Heating Maintenance</v>
          </cell>
          <cell r="E3209" t="str">
            <v>A Jones Heating &amp; Plumbing</v>
          </cell>
          <cell r="F3209" t="str">
            <v>Subcontractor</v>
          </cell>
          <cell r="G3209" t="str">
            <v/>
          </cell>
          <cell r="H3209" t="str">
            <v>Part</v>
          </cell>
          <cell r="I3209" t="str">
            <v/>
          </cell>
          <cell r="J3209">
            <v>750</v>
          </cell>
          <cell r="K3209">
            <v>0</v>
          </cell>
          <cell r="L3209">
            <v>750</v>
          </cell>
          <cell r="M3209" t="str">
            <v/>
          </cell>
          <cell r="N3209">
            <v>0</v>
          </cell>
        </row>
        <row r="3210">
          <cell r="A3210">
            <v>3644</v>
          </cell>
          <cell r="B3210" t="str">
            <v>02/04/2013</v>
          </cell>
          <cell r="C3210" t="str">
            <v>C1124</v>
          </cell>
          <cell r="D3210" t="str">
            <v>Quotation Ref: Q/00455/b</v>
          </cell>
          <cell r="E3210" t="str">
            <v>Insul-eight (Contracts) Limited</v>
          </cell>
          <cell r="F3210" t="str">
            <v>Subcontractor</v>
          </cell>
          <cell r="G3210" t="str">
            <v/>
          </cell>
          <cell r="H3210" t="str">
            <v/>
          </cell>
          <cell r="I3210" t="str">
            <v/>
          </cell>
          <cell r="J3210">
            <v>8368</v>
          </cell>
          <cell r="K3210">
            <v>1673.6</v>
          </cell>
          <cell r="L3210">
            <v>8368</v>
          </cell>
          <cell r="M3210" t="str">
            <v/>
          </cell>
          <cell r="N3210">
            <v>0</v>
          </cell>
        </row>
        <row r="3211">
          <cell r="A3211">
            <v>3636</v>
          </cell>
          <cell r="B3211" t="str">
            <v>28/03/2013</v>
          </cell>
          <cell r="C3211" t="str">
            <v>CALLOUT</v>
          </cell>
          <cell r="D3211" t="str">
            <v>Remove &amp; Replace Cold Water Main Valve</v>
          </cell>
          <cell r="E3211" t="str">
            <v>A Jones Heating &amp; Plumbing</v>
          </cell>
          <cell r="F3211" t="str">
            <v>Subcontractor</v>
          </cell>
          <cell r="G3211" t="str">
            <v/>
          </cell>
          <cell r="H3211" t="str">
            <v/>
          </cell>
          <cell r="I3211" t="str">
            <v/>
          </cell>
          <cell r="J3211">
            <v>240</v>
          </cell>
          <cell r="K3211">
            <v>0</v>
          </cell>
          <cell r="L3211">
            <v>240</v>
          </cell>
          <cell r="M3211" t="str">
            <v/>
          </cell>
          <cell r="N3211">
            <v>0</v>
          </cell>
        </row>
        <row r="3212">
          <cell r="A3212">
            <v>3611</v>
          </cell>
          <cell r="B3212" t="str">
            <v>22/03/2013</v>
          </cell>
          <cell r="C3212" t="str">
            <v>C1127</v>
          </cell>
          <cell r="D3212" t="str">
            <v>Installation of all ductwork, dampers &amp; equipment</v>
          </cell>
          <cell r="E3212" t="str">
            <v>Omegair Limited</v>
          </cell>
          <cell r="F3212" t="str">
            <v>Subcontractor</v>
          </cell>
          <cell r="G3212" t="str">
            <v/>
          </cell>
          <cell r="H3212" t="str">
            <v/>
          </cell>
          <cell r="I3212" t="str">
            <v/>
          </cell>
          <cell r="J3212">
            <v>2750</v>
          </cell>
          <cell r="K3212">
            <v>550</v>
          </cell>
          <cell r="L3212">
            <v>2750</v>
          </cell>
          <cell r="M3212" t="str">
            <v/>
          </cell>
          <cell r="N3212">
            <v>0</v>
          </cell>
        </row>
        <row r="3213">
          <cell r="A3213">
            <v>3599</v>
          </cell>
          <cell r="B3213" t="str">
            <v>18/03/2013</v>
          </cell>
          <cell r="C3213" t="str">
            <v>C1124</v>
          </cell>
          <cell r="D3213" t="str">
            <v>A/C Installation &amp; commissioning</v>
          </cell>
          <cell r="E3213" t="str">
            <v>Troughton Air Con Ltd</v>
          </cell>
          <cell r="F3213" t="str">
            <v>Subcontractor</v>
          </cell>
          <cell r="G3213" t="str">
            <v>11/03/2013</v>
          </cell>
          <cell r="H3213" t="str">
            <v/>
          </cell>
          <cell r="I3213" t="str">
            <v/>
          </cell>
          <cell r="J3213">
            <v>36375</v>
          </cell>
          <cell r="K3213">
            <v>7275</v>
          </cell>
          <cell r="L3213">
            <v>36375</v>
          </cell>
          <cell r="M3213" t="str">
            <v/>
          </cell>
          <cell r="N3213">
            <v>0</v>
          </cell>
        </row>
        <row r="3214">
          <cell r="A3214">
            <v>3598</v>
          </cell>
          <cell r="B3214" t="str">
            <v>18/03/2013</v>
          </cell>
          <cell r="C3214" t="str">
            <v>C1124</v>
          </cell>
          <cell r="D3214" t="str">
            <v>NOT USED</v>
          </cell>
          <cell r="E3214" t="str">
            <v>Troughton Air Con Ltd</v>
          </cell>
          <cell r="F3214" t="str">
            <v>Subcontractor</v>
          </cell>
          <cell r="G3214" t="str">
            <v>11/03/2013</v>
          </cell>
          <cell r="H3214" t="str">
            <v>Complete</v>
          </cell>
          <cell r="I3214" t="str">
            <v/>
          </cell>
          <cell r="J3214">
            <v>0</v>
          </cell>
          <cell r="K3214">
            <v>0</v>
          </cell>
          <cell r="L3214">
            <v>0</v>
          </cell>
          <cell r="M3214" t="str">
            <v/>
          </cell>
          <cell r="N3214">
            <v>0</v>
          </cell>
        </row>
        <row r="3215">
          <cell r="A3215">
            <v>3585</v>
          </cell>
          <cell r="B3215" t="str">
            <v>14/03/2013</v>
          </cell>
          <cell r="C3215" t="str">
            <v>C1129</v>
          </cell>
          <cell r="D3215" t="str">
            <v>For works at BAE (AHU13)</v>
          </cell>
          <cell r="E3215" t="str">
            <v>Omegair Limited</v>
          </cell>
          <cell r="F3215" t="str">
            <v>Subcontractor</v>
          </cell>
          <cell r="G3215" t="str">
            <v/>
          </cell>
          <cell r="H3215" t="str">
            <v/>
          </cell>
          <cell r="I3215" t="str">
            <v/>
          </cell>
          <cell r="J3215">
            <v>300</v>
          </cell>
          <cell r="K3215">
            <v>60</v>
          </cell>
          <cell r="L3215">
            <v>300</v>
          </cell>
          <cell r="M3215" t="str">
            <v/>
          </cell>
          <cell r="N3215">
            <v>0</v>
          </cell>
        </row>
        <row r="3216">
          <cell r="A3216">
            <v>3583</v>
          </cell>
          <cell r="B3216" t="str">
            <v>14/03/2013</v>
          </cell>
          <cell r="C3216" t="str">
            <v>C1119</v>
          </cell>
          <cell r="D3216" t="str">
            <v>For works at Kings College</v>
          </cell>
          <cell r="E3216" t="str">
            <v>Omegair Limited</v>
          </cell>
          <cell r="F3216" t="str">
            <v>Subcontractor</v>
          </cell>
          <cell r="G3216" t="str">
            <v/>
          </cell>
          <cell r="H3216" t="str">
            <v/>
          </cell>
          <cell r="I3216" t="str">
            <v/>
          </cell>
          <cell r="J3216">
            <v>43175.25</v>
          </cell>
          <cell r="K3216">
            <v>8635.0499999999993</v>
          </cell>
          <cell r="L3216">
            <v>43175.25</v>
          </cell>
          <cell r="M3216" t="str">
            <v/>
          </cell>
          <cell r="N3216">
            <v>0</v>
          </cell>
        </row>
        <row r="3217">
          <cell r="A3217">
            <v>3547</v>
          </cell>
          <cell r="B3217" t="str">
            <v>06/03/2013</v>
          </cell>
          <cell r="C3217" t="str">
            <v>C1124</v>
          </cell>
          <cell r="D3217" t="str">
            <v>Installation of all ductwork, dampers, fans, FCU's</v>
          </cell>
          <cell r="E3217" t="str">
            <v>The Wright Installations Ltd</v>
          </cell>
          <cell r="F3217" t="str">
            <v>Subcontractor</v>
          </cell>
          <cell r="G3217" t="str">
            <v/>
          </cell>
          <cell r="H3217" t="str">
            <v/>
          </cell>
          <cell r="I3217" t="str">
            <v/>
          </cell>
          <cell r="J3217">
            <v>22500</v>
          </cell>
          <cell r="K3217">
            <v>4500</v>
          </cell>
          <cell r="L3217">
            <v>22500</v>
          </cell>
          <cell r="M3217" t="str">
            <v/>
          </cell>
          <cell r="N3217">
            <v>0</v>
          </cell>
        </row>
        <row r="3218">
          <cell r="A3218">
            <v>3534</v>
          </cell>
          <cell r="B3218" t="str">
            <v>04/03/2013</v>
          </cell>
          <cell r="C3218" t="str">
            <v>C1126</v>
          </cell>
          <cell r="D3218" t="str">
            <v>Quote Ref LB/</v>
          </cell>
          <cell r="E3218" t="str">
            <v>R &amp; H Insulations</v>
          </cell>
          <cell r="F3218" t="str">
            <v>Subcontractor</v>
          </cell>
          <cell r="G3218" t="str">
            <v/>
          </cell>
          <cell r="H3218" t="str">
            <v/>
          </cell>
          <cell r="I3218" t="str">
            <v/>
          </cell>
          <cell r="J3218">
            <v>825</v>
          </cell>
          <cell r="K3218">
            <v>165</v>
          </cell>
          <cell r="L3218">
            <v>825</v>
          </cell>
          <cell r="M3218" t="str">
            <v/>
          </cell>
          <cell r="N3218">
            <v>0</v>
          </cell>
        </row>
        <row r="3219">
          <cell r="A3219">
            <v>3533</v>
          </cell>
          <cell r="B3219" t="str">
            <v>04/03/2013</v>
          </cell>
          <cell r="C3219" t="str">
            <v>C1126</v>
          </cell>
          <cell r="D3219" t="str">
            <v>For the complete installation of ductwork, fans &amp; dampers</v>
          </cell>
          <cell r="E3219" t="str">
            <v>Omegair Limited</v>
          </cell>
          <cell r="F3219" t="str">
            <v>Subcontractor</v>
          </cell>
          <cell r="G3219" t="str">
            <v/>
          </cell>
          <cell r="H3219" t="str">
            <v/>
          </cell>
          <cell r="I3219" t="str">
            <v/>
          </cell>
          <cell r="J3219">
            <v>1900</v>
          </cell>
          <cell r="K3219">
            <v>380</v>
          </cell>
          <cell r="L3219">
            <v>1900</v>
          </cell>
          <cell r="M3219" t="str">
            <v/>
          </cell>
          <cell r="N3219">
            <v>0</v>
          </cell>
        </row>
        <row r="3220">
          <cell r="A3220">
            <v>3531</v>
          </cell>
          <cell r="B3220" t="str">
            <v>01/03/2013</v>
          </cell>
          <cell r="C3220" t="str">
            <v>C1128</v>
          </cell>
          <cell r="D3220" t="str">
            <v>For plumbing works as per your quotation at Natwest Corby</v>
          </cell>
          <cell r="E3220" t="str">
            <v>Modern Plumbing Solutions Ltd</v>
          </cell>
          <cell r="F3220" t="str">
            <v>Subcontractor</v>
          </cell>
          <cell r="G3220" t="str">
            <v/>
          </cell>
          <cell r="H3220" t="str">
            <v>Complete</v>
          </cell>
          <cell r="I3220" t="str">
            <v/>
          </cell>
          <cell r="J3220">
            <v>0</v>
          </cell>
          <cell r="K3220">
            <v>0</v>
          </cell>
          <cell r="L3220">
            <v>0</v>
          </cell>
          <cell r="M3220" t="str">
            <v/>
          </cell>
          <cell r="N3220">
            <v>0</v>
          </cell>
        </row>
        <row r="3221">
          <cell r="A3221">
            <v>3515</v>
          </cell>
          <cell r="B3221" t="str">
            <v>21/02/2013</v>
          </cell>
          <cell r="C3221" t="str">
            <v>CALLOUT</v>
          </cell>
          <cell r="D3221" t="str">
            <v>Installation of new PCB and Controller</v>
          </cell>
          <cell r="E3221" t="str">
            <v>Amroc Heating Supplies</v>
          </cell>
          <cell r="F3221" t="str">
            <v>Subcontractor</v>
          </cell>
          <cell r="G3221" t="str">
            <v/>
          </cell>
          <cell r="H3221" t="str">
            <v/>
          </cell>
          <cell r="I3221" t="str">
            <v/>
          </cell>
          <cell r="J3221">
            <v>500</v>
          </cell>
          <cell r="K3221">
            <v>100</v>
          </cell>
          <cell r="L3221">
            <v>500</v>
          </cell>
          <cell r="M3221" t="str">
            <v/>
          </cell>
          <cell r="N3221">
            <v>0</v>
          </cell>
        </row>
        <row r="3222">
          <cell r="A3222">
            <v>3508</v>
          </cell>
          <cell r="B3222" t="str">
            <v>18/02/2013</v>
          </cell>
          <cell r="C3222" t="str">
            <v>CALLOUT</v>
          </cell>
          <cell r="D3222" t="str">
            <v>Remove &amp; Investigate fault on the ODH</v>
          </cell>
          <cell r="E3222" t="str">
            <v>Amroc Heating Supplies</v>
          </cell>
          <cell r="F3222" t="str">
            <v>Subcontractor</v>
          </cell>
          <cell r="G3222" t="str">
            <v/>
          </cell>
          <cell r="H3222" t="str">
            <v/>
          </cell>
          <cell r="I3222" t="str">
            <v/>
          </cell>
          <cell r="J3222">
            <v>320</v>
          </cell>
          <cell r="K3222">
            <v>64</v>
          </cell>
          <cell r="L3222">
            <v>320</v>
          </cell>
          <cell r="M3222" t="str">
            <v/>
          </cell>
          <cell r="N3222">
            <v>0</v>
          </cell>
        </row>
        <row r="3223">
          <cell r="A3223">
            <v>3504</v>
          </cell>
          <cell r="B3223" t="str">
            <v>14/02/2013</v>
          </cell>
          <cell r="C3223" t="str">
            <v>CALLOUT</v>
          </cell>
          <cell r="D3223" t="str">
            <v>Attended site to remove Sink in Lab (Labour £100 Materials £</v>
          </cell>
          <cell r="E3223" t="str">
            <v>Technical Building Services</v>
          </cell>
          <cell r="F3223" t="str">
            <v>Subcontractor</v>
          </cell>
          <cell r="G3223" t="str">
            <v/>
          </cell>
          <cell r="H3223" t="str">
            <v/>
          </cell>
          <cell r="I3223" t="str">
            <v/>
          </cell>
          <cell r="J3223">
            <v>125</v>
          </cell>
          <cell r="K3223">
            <v>25</v>
          </cell>
          <cell r="L3223">
            <v>125</v>
          </cell>
          <cell r="M3223" t="str">
            <v/>
          </cell>
          <cell r="N3223">
            <v>0</v>
          </cell>
        </row>
        <row r="3224">
          <cell r="A3224">
            <v>3500</v>
          </cell>
          <cell r="B3224" t="str">
            <v>13/02/2013</v>
          </cell>
          <cell r="C3224" t="str">
            <v>CALLOUT</v>
          </cell>
          <cell r="D3224" t="str">
            <v>Overdoor Heater Wont Switch Off</v>
          </cell>
          <cell r="E3224" t="str">
            <v>Amroc Heating Supplies</v>
          </cell>
          <cell r="F3224" t="str">
            <v>Subcontractor</v>
          </cell>
          <cell r="G3224" t="str">
            <v/>
          </cell>
          <cell r="H3224" t="str">
            <v/>
          </cell>
          <cell r="I3224" t="str">
            <v/>
          </cell>
          <cell r="J3224">
            <v>220</v>
          </cell>
          <cell r="K3224">
            <v>44</v>
          </cell>
          <cell r="L3224">
            <v>220</v>
          </cell>
          <cell r="M3224" t="str">
            <v/>
          </cell>
          <cell r="N3224">
            <v>0</v>
          </cell>
        </row>
        <row r="3225">
          <cell r="A3225">
            <v>3494</v>
          </cell>
          <cell r="B3225" t="str">
            <v>07/02/2013</v>
          </cell>
          <cell r="C3225" t="str">
            <v>CALLOUT</v>
          </cell>
          <cell r="D3225" t="str">
            <v>Supply and Install new seal to Zip Boiler</v>
          </cell>
          <cell r="E3225" t="str">
            <v>Technical Building Services</v>
          </cell>
          <cell r="F3225" t="str">
            <v>Subcontractor</v>
          </cell>
          <cell r="G3225" t="str">
            <v/>
          </cell>
          <cell r="H3225" t="str">
            <v/>
          </cell>
          <cell r="I3225" t="str">
            <v/>
          </cell>
          <cell r="J3225">
            <v>172.36</v>
          </cell>
          <cell r="K3225">
            <v>34.47</v>
          </cell>
          <cell r="L3225">
            <v>172.36</v>
          </cell>
          <cell r="M3225" t="str">
            <v/>
          </cell>
          <cell r="N3225">
            <v>0</v>
          </cell>
        </row>
        <row r="3226">
          <cell r="A3226">
            <v>3486</v>
          </cell>
          <cell r="B3226" t="str">
            <v>05/02/2013</v>
          </cell>
          <cell r="C3226" t="str">
            <v>C1116</v>
          </cell>
          <cell r="D3226" t="str">
            <v>Supply and Install the Shower Doc M Pack plus extras</v>
          </cell>
          <cell r="E3226" t="str">
            <v>Daniel Naylor</v>
          </cell>
          <cell r="F3226" t="str">
            <v>Subcontractor</v>
          </cell>
          <cell r="G3226" t="str">
            <v/>
          </cell>
          <cell r="H3226" t="str">
            <v/>
          </cell>
          <cell r="I3226" t="str">
            <v/>
          </cell>
          <cell r="J3226">
            <v>2100</v>
          </cell>
          <cell r="K3226">
            <v>420</v>
          </cell>
          <cell r="L3226">
            <v>2100</v>
          </cell>
          <cell r="M3226" t="str">
            <v/>
          </cell>
          <cell r="N3226">
            <v>0</v>
          </cell>
        </row>
        <row r="3227">
          <cell r="A3227">
            <v>3485</v>
          </cell>
          <cell r="B3227" t="str">
            <v>05/02/2013</v>
          </cell>
          <cell r="C3227" t="str">
            <v>CALLOUT</v>
          </cell>
          <cell r="D3227" t="str">
            <v>Attended Site to carry out Training</v>
          </cell>
          <cell r="E3227" t="str">
            <v>Daniel Naylor</v>
          </cell>
          <cell r="F3227" t="str">
            <v>Subcontractor</v>
          </cell>
          <cell r="G3227" t="str">
            <v/>
          </cell>
          <cell r="H3227" t="str">
            <v/>
          </cell>
          <cell r="I3227" t="str">
            <v/>
          </cell>
          <cell r="J3227">
            <v>80</v>
          </cell>
          <cell r="K3227">
            <v>16</v>
          </cell>
          <cell r="L3227">
            <v>80</v>
          </cell>
          <cell r="M3227" t="str">
            <v/>
          </cell>
          <cell r="N3227">
            <v>0</v>
          </cell>
        </row>
        <row r="3228">
          <cell r="A3228">
            <v>3481</v>
          </cell>
          <cell r="B3228" t="str">
            <v>04/02/2013</v>
          </cell>
          <cell r="C3228" t="str">
            <v>CALLOUT</v>
          </cell>
          <cell r="D3228" t="str">
            <v>Repaired Toilet Seat</v>
          </cell>
          <cell r="E3228" t="str">
            <v>A Jones Heating &amp; Plumbing</v>
          </cell>
          <cell r="F3228" t="str">
            <v>Subcontractor</v>
          </cell>
          <cell r="G3228" t="str">
            <v/>
          </cell>
          <cell r="H3228" t="str">
            <v/>
          </cell>
          <cell r="I3228" t="str">
            <v/>
          </cell>
          <cell r="J3228">
            <v>120</v>
          </cell>
          <cell r="K3228">
            <v>0</v>
          </cell>
          <cell r="L3228">
            <v>120</v>
          </cell>
          <cell r="M3228" t="str">
            <v/>
          </cell>
          <cell r="N3228">
            <v>0</v>
          </cell>
        </row>
        <row r="3229">
          <cell r="A3229">
            <v>3480</v>
          </cell>
          <cell r="B3229" t="str">
            <v>04/02/2013</v>
          </cell>
          <cell r="C3229" t="str">
            <v>CALLOUT</v>
          </cell>
          <cell r="D3229" t="str">
            <v>Investigated fault Over Door Heater</v>
          </cell>
          <cell r="E3229" t="str">
            <v>Premier Air Control</v>
          </cell>
          <cell r="F3229" t="str">
            <v>Subcontractor</v>
          </cell>
          <cell r="G3229" t="str">
            <v/>
          </cell>
          <cell r="H3229" t="str">
            <v/>
          </cell>
          <cell r="I3229" t="str">
            <v/>
          </cell>
          <cell r="J3229">
            <v>96</v>
          </cell>
          <cell r="K3229">
            <v>19.2</v>
          </cell>
          <cell r="L3229">
            <v>96</v>
          </cell>
          <cell r="M3229" t="str">
            <v/>
          </cell>
          <cell r="N3229">
            <v>0</v>
          </cell>
        </row>
        <row r="3230">
          <cell r="A3230">
            <v>3473</v>
          </cell>
          <cell r="B3230" t="str">
            <v>31/01/2013</v>
          </cell>
          <cell r="C3230" t="str">
            <v>SERVICE</v>
          </cell>
          <cell r="D3230" t="str">
            <v>Carried out Heating Maintenance</v>
          </cell>
          <cell r="E3230" t="str">
            <v>A Jones Heating &amp; Plumbing</v>
          </cell>
          <cell r="F3230" t="str">
            <v>Subcontractor</v>
          </cell>
          <cell r="G3230" t="str">
            <v/>
          </cell>
          <cell r="H3230" t="str">
            <v/>
          </cell>
          <cell r="I3230" t="str">
            <v/>
          </cell>
          <cell r="J3230">
            <v>170</v>
          </cell>
          <cell r="K3230">
            <v>0</v>
          </cell>
          <cell r="L3230">
            <v>170</v>
          </cell>
          <cell r="M3230" t="str">
            <v/>
          </cell>
          <cell r="N3230">
            <v>0</v>
          </cell>
        </row>
        <row r="3231">
          <cell r="A3231">
            <v>3472</v>
          </cell>
          <cell r="B3231" t="str">
            <v>30/01/2013</v>
          </cell>
          <cell r="C3231" t="str">
            <v>CALLOUT</v>
          </cell>
          <cell r="D3231" t="str">
            <v>Carry out works as discussed - Agreed £50.00 per hour with J</v>
          </cell>
          <cell r="E3231" t="str">
            <v>Amroc Heating Supplies</v>
          </cell>
          <cell r="F3231" t="str">
            <v>Subcontractor</v>
          </cell>
          <cell r="G3231" t="str">
            <v/>
          </cell>
          <cell r="H3231" t="str">
            <v>Part</v>
          </cell>
          <cell r="I3231" t="str">
            <v/>
          </cell>
          <cell r="J3231">
            <v>1200</v>
          </cell>
          <cell r="K3231">
            <v>240</v>
          </cell>
          <cell r="L3231">
            <v>1200</v>
          </cell>
          <cell r="M3231" t="str">
            <v/>
          </cell>
          <cell r="N3231">
            <v>0</v>
          </cell>
        </row>
        <row r="3232">
          <cell r="A3232">
            <v>3469</v>
          </cell>
          <cell r="B3232" t="str">
            <v>30/01/2013</v>
          </cell>
          <cell r="C3232" t="str">
            <v>CALLOUT</v>
          </cell>
          <cell r="D3232" t="str">
            <v>Supply and Install Water Cooler Feed</v>
          </cell>
          <cell r="E3232" t="str">
            <v>Daniel Naylor</v>
          </cell>
          <cell r="F3232" t="str">
            <v>Subcontractor</v>
          </cell>
          <cell r="G3232" t="str">
            <v/>
          </cell>
          <cell r="H3232" t="str">
            <v/>
          </cell>
          <cell r="I3232" t="str">
            <v/>
          </cell>
          <cell r="J3232">
            <v>340</v>
          </cell>
          <cell r="K3232">
            <v>68</v>
          </cell>
          <cell r="L3232">
            <v>340</v>
          </cell>
          <cell r="M3232" t="str">
            <v/>
          </cell>
          <cell r="N3232">
            <v>0</v>
          </cell>
        </row>
        <row r="3233">
          <cell r="A3233">
            <v>3457</v>
          </cell>
          <cell r="B3233" t="str">
            <v>24/01/2013</v>
          </cell>
          <cell r="C3233" t="str">
            <v>C1118</v>
          </cell>
          <cell r="D3233" t="str">
            <v>Balance Vemt System at Holyhead</v>
          </cell>
          <cell r="E3233" t="str">
            <v>Probalance Ltd</v>
          </cell>
          <cell r="F3233" t="str">
            <v>Subcontractor</v>
          </cell>
          <cell r="G3233" t="str">
            <v/>
          </cell>
          <cell r="H3233" t="str">
            <v/>
          </cell>
          <cell r="I3233" t="str">
            <v/>
          </cell>
          <cell r="J3233">
            <v>400</v>
          </cell>
          <cell r="K3233">
            <v>80</v>
          </cell>
          <cell r="L3233">
            <v>400</v>
          </cell>
          <cell r="M3233" t="str">
            <v/>
          </cell>
          <cell r="N3233">
            <v>0</v>
          </cell>
        </row>
        <row r="3234">
          <cell r="A3234">
            <v>3447</v>
          </cell>
          <cell r="B3234" t="str">
            <v>22/01/2013</v>
          </cell>
          <cell r="C3234" t="str">
            <v>CALLOUT</v>
          </cell>
          <cell r="D3234" t="str">
            <v>Carried out works as per drawing</v>
          </cell>
          <cell r="E3234" t="str">
            <v>Daniel Naylor</v>
          </cell>
          <cell r="F3234" t="str">
            <v>Subcontractor</v>
          </cell>
          <cell r="G3234" t="str">
            <v/>
          </cell>
          <cell r="H3234" t="str">
            <v/>
          </cell>
          <cell r="I3234" t="str">
            <v/>
          </cell>
          <cell r="J3234">
            <v>850</v>
          </cell>
          <cell r="K3234">
            <v>170</v>
          </cell>
          <cell r="L3234">
            <v>850</v>
          </cell>
          <cell r="M3234" t="str">
            <v/>
          </cell>
          <cell r="N3234">
            <v>0</v>
          </cell>
        </row>
        <row r="3235">
          <cell r="A3235">
            <v>3446</v>
          </cell>
          <cell r="B3235" t="str">
            <v>21/01/2013</v>
          </cell>
          <cell r="C3235" t="str">
            <v>C1094</v>
          </cell>
          <cell r="D3235" t="str">
            <v>Engineers attended site on Saturday 19th January 2013</v>
          </cell>
          <cell r="E3235" t="str">
            <v>Daniel Naylor</v>
          </cell>
          <cell r="F3235" t="str">
            <v>Subcontractor</v>
          </cell>
          <cell r="G3235" t="str">
            <v/>
          </cell>
          <cell r="H3235" t="str">
            <v/>
          </cell>
          <cell r="I3235" t="str">
            <v/>
          </cell>
          <cell r="J3235">
            <v>500</v>
          </cell>
          <cell r="K3235">
            <v>100</v>
          </cell>
          <cell r="L3235">
            <v>500</v>
          </cell>
          <cell r="M3235" t="str">
            <v/>
          </cell>
          <cell r="N3235">
            <v>0</v>
          </cell>
        </row>
        <row r="3236">
          <cell r="A3236">
            <v>3445</v>
          </cell>
          <cell r="B3236" t="str">
            <v>21/01/2013</v>
          </cell>
          <cell r="C3236" t="str">
            <v>CALLOUT</v>
          </cell>
          <cell r="D3236" t="str">
            <v>Rectified fault on AC System on Friday 18.01.2013</v>
          </cell>
          <cell r="E3236" t="str">
            <v>Premier Air Control</v>
          </cell>
          <cell r="F3236" t="str">
            <v>Subcontractor</v>
          </cell>
          <cell r="G3236" t="str">
            <v/>
          </cell>
          <cell r="H3236" t="str">
            <v/>
          </cell>
          <cell r="I3236" t="str">
            <v/>
          </cell>
          <cell r="J3236">
            <v>90</v>
          </cell>
          <cell r="K3236">
            <v>18</v>
          </cell>
          <cell r="L3236">
            <v>90</v>
          </cell>
          <cell r="M3236" t="str">
            <v/>
          </cell>
          <cell r="N3236">
            <v>0</v>
          </cell>
        </row>
        <row r="3237">
          <cell r="A3237">
            <v>3422</v>
          </cell>
          <cell r="B3237" t="str">
            <v>09/01/2013</v>
          </cell>
          <cell r="C3237" t="str">
            <v>C1114</v>
          </cell>
          <cell r="D3237" t="str">
            <v>For works as per quotation SPW 5622</v>
          </cell>
          <cell r="E3237" t="str">
            <v>Building Technology Systems</v>
          </cell>
          <cell r="F3237" t="str">
            <v>Subcontractor</v>
          </cell>
          <cell r="G3237" t="str">
            <v/>
          </cell>
          <cell r="H3237" t="str">
            <v/>
          </cell>
          <cell r="I3237" t="str">
            <v/>
          </cell>
          <cell r="J3237">
            <v>11999.33</v>
          </cell>
          <cell r="K3237">
            <v>2399.87</v>
          </cell>
          <cell r="L3237">
            <v>11999.33</v>
          </cell>
          <cell r="M3237" t="str">
            <v/>
          </cell>
          <cell r="N3237">
            <v>0</v>
          </cell>
        </row>
        <row r="3238">
          <cell r="A3238">
            <v>3402</v>
          </cell>
          <cell r="B3238" t="str">
            <v>19/12/2012</v>
          </cell>
          <cell r="C3238" t="str">
            <v>C1117</v>
          </cell>
          <cell r="D3238" t="str">
            <v>Install of new ductwork &amp; insulation, including stripout of</v>
          </cell>
          <cell r="E3238" t="str">
            <v>Gary Barnes</v>
          </cell>
          <cell r="F3238" t="str">
            <v>Subcontractor</v>
          </cell>
          <cell r="G3238" t="str">
            <v/>
          </cell>
          <cell r="H3238" t="str">
            <v/>
          </cell>
          <cell r="I3238" t="str">
            <v/>
          </cell>
          <cell r="J3238">
            <v>2250</v>
          </cell>
          <cell r="K3238">
            <v>450</v>
          </cell>
          <cell r="L3238">
            <v>2250</v>
          </cell>
          <cell r="M3238" t="str">
            <v/>
          </cell>
          <cell r="N3238">
            <v>0</v>
          </cell>
        </row>
        <row r="3239">
          <cell r="A3239">
            <v>3397</v>
          </cell>
          <cell r="B3239" t="str">
            <v>18/12/2012</v>
          </cell>
          <cell r="C3239" t="str">
            <v>CALLOUT</v>
          </cell>
          <cell r="D3239" t="str">
            <v>Investigated Leak from Urinals - Supply and Fit new Syphon</v>
          </cell>
          <cell r="E3239" t="str">
            <v>Technical Building Services</v>
          </cell>
          <cell r="F3239" t="str">
            <v>Subcontractor</v>
          </cell>
          <cell r="G3239" t="str">
            <v/>
          </cell>
          <cell r="H3239" t="str">
            <v/>
          </cell>
          <cell r="I3239" t="str">
            <v/>
          </cell>
          <cell r="J3239">
            <v>252</v>
          </cell>
          <cell r="K3239">
            <v>50.4</v>
          </cell>
          <cell r="L3239">
            <v>252</v>
          </cell>
          <cell r="M3239" t="str">
            <v/>
          </cell>
          <cell r="N3239">
            <v>0</v>
          </cell>
        </row>
        <row r="3240">
          <cell r="A3240">
            <v>3396</v>
          </cell>
          <cell r="B3240" t="str">
            <v>18/12/2012</v>
          </cell>
          <cell r="C3240" t="str">
            <v>CALLOUT</v>
          </cell>
          <cell r="D3240" t="str">
            <v>Chlorination Works</v>
          </cell>
          <cell r="E3240" t="str">
            <v>Foztek Limited</v>
          </cell>
          <cell r="F3240" t="str">
            <v>Subcontractor</v>
          </cell>
          <cell r="G3240" t="str">
            <v/>
          </cell>
          <cell r="H3240" t="str">
            <v/>
          </cell>
          <cell r="I3240" t="str">
            <v/>
          </cell>
          <cell r="J3240">
            <v>300</v>
          </cell>
          <cell r="K3240">
            <v>60</v>
          </cell>
          <cell r="L3240">
            <v>300</v>
          </cell>
          <cell r="M3240" t="str">
            <v/>
          </cell>
          <cell r="N3240">
            <v>0</v>
          </cell>
        </row>
        <row r="3241">
          <cell r="A3241">
            <v>3381</v>
          </cell>
          <cell r="B3241" t="str">
            <v>10/12/2012</v>
          </cell>
          <cell r="C3241" t="str">
            <v>CALLOUT</v>
          </cell>
          <cell r="D3241" t="str">
            <v>Plumb in Zip Water Boiler</v>
          </cell>
          <cell r="E3241" t="str">
            <v>Daniel Naylor</v>
          </cell>
          <cell r="F3241" t="str">
            <v>Subcontractor</v>
          </cell>
          <cell r="G3241" t="str">
            <v/>
          </cell>
          <cell r="H3241" t="str">
            <v/>
          </cell>
          <cell r="I3241" t="str">
            <v/>
          </cell>
          <cell r="J3241">
            <v>135</v>
          </cell>
          <cell r="K3241">
            <v>27</v>
          </cell>
          <cell r="L3241">
            <v>135</v>
          </cell>
          <cell r="M3241" t="str">
            <v/>
          </cell>
          <cell r="N3241">
            <v>0</v>
          </cell>
        </row>
        <row r="3242">
          <cell r="A3242">
            <v>3380</v>
          </cell>
          <cell r="B3242" t="str">
            <v>10/12/2012</v>
          </cell>
          <cell r="C3242" t="str">
            <v>CALLOUT</v>
          </cell>
          <cell r="D3242" t="str">
            <v>Carry out Works as per drawing</v>
          </cell>
          <cell r="E3242" t="str">
            <v>Daniel Naylor</v>
          </cell>
          <cell r="F3242" t="str">
            <v>Subcontractor</v>
          </cell>
          <cell r="G3242" t="str">
            <v/>
          </cell>
          <cell r="H3242" t="str">
            <v/>
          </cell>
          <cell r="I3242" t="str">
            <v/>
          </cell>
          <cell r="J3242">
            <v>1280</v>
          </cell>
          <cell r="K3242">
            <v>256</v>
          </cell>
          <cell r="L3242">
            <v>1280</v>
          </cell>
          <cell r="M3242" t="str">
            <v/>
          </cell>
          <cell r="N3242">
            <v>0</v>
          </cell>
        </row>
        <row r="3243">
          <cell r="A3243">
            <v>3362</v>
          </cell>
          <cell r="B3243" t="str">
            <v>04/12/2012</v>
          </cell>
          <cell r="C3243" t="str">
            <v>C1102</v>
          </cell>
          <cell r="D3243" t="str">
            <v>For Chlorination at Barclays Wembley</v>
          </cell>
          <cell r="E3243" t="str">
            <v>Foztek Limited</v>
          </cell>
          <cell r="F3243" t="str">
            <v>Subcontractor</v>
          </cell>
          <cell r="G3243" t="str">
            <v/>
          </cell>
          <cell r="H3243" t="str">
            <v/>
          </cell>
          <cell r="I3243" t="str">
            <v/>
          </cell>
          <cell r="J3243">
            <v>400</v>
          </cell>
          <cell r="K3243">
            <v>80</v>
          </cell>
          <cell r="L3243">
            <v>400</v>
          </cell>
          <cell r="M3243" t="str">
            <v/>
          </cell>
          <cell r="N3243">
            <v>0</v>
          </cell>
        </row>
        <row r="3244">
          <cell r="A3244">
            <v>3358</v>
          </cell>
          <cell r="B3244" t="str">
            <v>03/12/2012</v>
          </cell>
          <cell r="C3244" t="str">
            <v>C1094</v>
          </cell>
          <cell r="D3244" t="str">
            <v>For works carried out at Network Rail York</v>
          </cell>
          <cell r="E3244" t="str">
            <v>Modern Plumbing Solutions Ltd</v>
          </cell>
          <cell r="F3244" t="str">
            <v>Subcontractor</v>
          </cell>
          <cell r="G3244" t="str">
            <v/>
          </cell>
          <cell r="H3244" t="str">
            <v/>
          </cell>
          <cell r="I3244" t="str">
            <v/>
          </cell>
          <cell r="J3244">
            <v>650</v>
          </cell>
          <cell r="K3244">
            <v>130</v>
          </cell>
          <cell r="L3244">
            <v>650</v>
          </cell>
          <cell r="M3244" t="str">
            <v/>
          </cell>
          <cell r="N3244">
            <v>0</v>
          </cell>
        </row>
        <row r="3245">
          <cell r="A3245">
            <v>3341</v>
          </cell>
          <cell r="B3245" t="str">
            <v>27/11/2012</v>
          </cell>
          <cell r="C3245" t="str">
            <v>C1094</v>
          </cell>
          <cell r="D3245" t="str">
            <v>Carry out works as per drawing sent - Works can Start Friday</v>
          </cell>
          <cell r="E3245" t="str">
            <v>Daniel Naylor</v>
          </cell>
          <cell r="F3245" t="str">
            <v>Subcontractor</v>
          </cell>
          <cell r="G3245" t="str">
            <v/>
          </cell>
          <cell r="H3245" t="str">
            <v>Complete</v>
          </cell>
          <cell r="I3245" t="str">
            <v/>
          </cell>
          <cell r="J3245">
            <v>0</v>
          </cell>
          <cell r="K3245">
            <v>0</v>
          </cell>
          <cell r="L3245">
            <v>0</v>
          </cell>
          <cell r="M3245" t="str">
            <v/>
          </cell>
          <cell r="N3245">
            <v>0</v>
          </cell>
        </row>
        <row r="3246">
          <cell r="A3246">
            <v>3337</v>
          </cell>
          <cell r="B3246" t="str">
            <v>27/11/2012</v>
          </cell>
          <cell r="C3246" t="str">
            <v>CALLOUT</v>
          </cell>
          <cell r="D3246" t="str">
            <v>Supply and Install Water Feed</v>
          </cell>
          <cell r="E3246" t="str">
            <v>Daniel Naylor</v>
          </cell>
          <cell r="F3246" t="str">
            <v>Subcontractor</v>
          </cell>
          <cell r="G3246" t="str">
            <v/>
          </cell>
          <cell r="H3246" t="str">
            <v/>
          </cell>
          <cell r="I3246" t="str">
            <v/>
          </cell>
          <cell r="J3246">
            <v>110</v>
          </cell>
          <cell r="K3246">
            <v>22</v>
          </cell>
          <cell r="L3246">
            <v>110</v>
          </cell>
          <cell r="M3246" t="str">
            <v/>
          </cell>
          <cell r="N3246">
            <v>0</v>
          </cell>
        </row>
        <row r="3247">
          <cell r="A3247">
            <v>3335</v>
          </cell>
          <cell r="B3247" t="str">
            <v>23/11/2012</v>
          </cell>
          <cell r="C3247" t="str">
            <v>C1113</v>
          </cell>
          <cell r="D3247" t="str">
            <v>The installation of Fire Dampers in existing</v>
          </cell>
          <cell r="E3247" t="str">
            <v>Gary Barnes</v>
          </cell>
          <cell r="F3247" t="str">
            <v>Subcontractor</v>
          </cell>
          <cell r="G3247" t="str">
            <v/>
          </cell>
          <cell r="H3247" t="str">
            <v/>
          </cell>
          <cell r="I3247" t="str">
            <v/>
          </cell>
          <cell r="J3247">
            <v>750</v>
          </cell>
          <cell r="K3247">
            <v>0</v>
          </cell>
          <cell r="L3247">
            <v>750</v>
          </cell>
          <cell r="M3247" t="str">
            <v/>
          </cell>
          <cell r="N3247">
            <v>0</v>
          </cell>
        </row>
        <row r="3248">
          <cell r="A3248">
            <v>3319</v>
          </cell>
          <cell r="B3248" t="str">
            <v>20/11/2012</v>
          </cell>
          <cell r="C3248" t="str">
            <v>C1100</v>
          </cell>
          <cell r="D3248" t="str">
            <v>For the installation of all Ductwork</v>
          </cell>
          <cell r="E3248" t="str">
            <v>Omegair Limited</v>
          </cell>
          <cell r="F3248" t="str">
            <v>Subcontractor</v>
          </cell>
          <cell r="G3248" t="str">
            <v/>
          </cell>
          <cell r="H3248" t="str">
            <v/>
          </cell>
          <cell r="I3248" t="str">
            <v/>
          </cell>
          <cell r="J3248">
            <v>4300</v>
          </cell>
          <cell r="K3248">
            <v>860</v>
          </cell>
          <cell r="L3248">
            <v>4300</v>
          </cell>
          <cell r="M3248" t="str">
            <v/>
          </cell>
          <cell r="N3248">
            <v>0</v>
          </cell>
        </row>
        <row r="3249">
          <cell r="A3249">
            <v>3313</v>
          </cell>
          <cell r="B3249" t="str">
            <v>15/11/2012</v>
          </cell>
          <cell r="C3249" t="str">
            <v>C1112</v>
          </cell>
          <cell r="D3249" t="str">
            <v>Supply Labour &amp; Materials as per drawing</v>
          </cell>
          <cell r="E3249" t="str">
            <v>Daniel Naylor</v>
          </cell>
          <cell r="F3249" t="str">
            <v>Subcontractor</v>
          </cell>
          <cell r="G3249" t="str">
            <v/>
          </cell>
          <cell r="H3249" t="str">
            <v/>
          </cell>
          <cell r="I3249" t="str">
            <v/>
          </cell>
          <cell r="J3249">
            <v>7200</v>
          </cell>
          <cell r="K3249">
            <v>1440</v>
          </cell>
          <cell r="L3249">
            <v>7200</v>
          </cell>
          <cell r="M3249" t="str">
            <v/>
          </cell>
          <cell r="N3249">
            <v>0</v>
          </cell>
        </row>
        <row r="3250">
          <cell r="A3250">
            <v>3311</v>
          </cell>
          <cell r="B3250" t="str">
            <v>15/11/2012</v>
          </cell>
          <cell r="C3250" t="str">
            <v>CALLOUT</v>
          </cell>
          <cell r="D3250" t="str">
            <v>Supply Labour &amp; Materials as per drawing</v>
          </cell>
          <cell r="E3250" t="str">
            <v>Daniel Naylor</v>
          </cell>
          <cell r="F3250" t="str">
            <v>Subcontractor</v>
          </cell>
          <cell r="G3250" t="str">
            <v/>
          </cell>
          <cell r="H3250" t="str">
            <v/>
          </cell>
          <cell r="I3250" t="str">
            <v/>
          </cell>
          <cell r="J3250">
            <v>800</v>
          </cell>
          <cell r="K3250">
            <v>160</v>
          </cell>
          <cell r="L3250">
            <v>800</v>
          </cell>
          <cell r="M3250" t="str">
            <v/>
          </cell>
          <cell r="N3250">
            <v>0</v>
          </cell>
        </row>
        <row r="3251">
          <cell r="A3251">
            <v>3309</v>
          </cell>
          <cell r="B3251" t="str">
            <v>15/11/2012</v>
          </cell>
          <cell r="C3251" t="str">
            <v>CALLOUT</v>
          </cell>
          <cell r="D3251" t="str">
            <v>Attended site over 2no Visits</v>
          </cell>
          <cell r="E3251" t="str">
            <v>A Jones Heating &amp; Plumbing</v>
          </cell>
          <cell r="F3251" t="str">
            <v>Subcontractor</v>
          </cell>
          <cell r="G3251" t="str">
            <v/>
          </cell>
          <cell r="H3251" t="str">
            <v/>
          </cell>
          <cell r="I3251" t="str">
            <v/>
          </cell>
          <cell r="J3251">
            <v>225</v>
          </cell>
          <cell r="K3251">
            <v>0</v>
          </cell>
          <cell r="L3251">
            <v>225</v>
          </cell>
          <cell r="M3251" t="str">
            <v/>
          </cell>
          <cell r="N3251">
            <v>0</v>
          </cell>
        </row>
        <row r="3252">
          <cell r="A3252">
            <v>3295</v>
          </cell>
          <cell r="B3252" t="str">
            <v>08/11/2012</v>
          </cell>
          <cell r="C3252" t="str">
            <v>C1101</v>
          </cell>
          <cell r="D3252" t="str">
            <v>Supply and Fit 4no Toilet Seats</v>
          </cell>
          <cell r="E3252" t="str">
            <v>Daniel Naylor</v>
          </cell>
          <cell r="F3252" t="str">
            <v>Subcontractor</v>
          </cell>
          <cell r="G3252" t="str">
            <v/>
          </cell>
          <cell r="H3252" t="str">
            <v/>
          </cell>
          <cell r="I3252" t="str">
            <v/>
          </cell>
          <cell r="J3252">
            <v>100</v>
          </cell>
          <cell r="K3252">
            <v>20</v>
          </cell>
          <cell r="L3252">
            <v>100</v>
          </cell>
          <cell r="M3252" t="str">
            <v/>
          </cell>
          <cell r="N3252">
            <v>0</v>
          </cell>
        </row>
        <row r="3253">
          <cell r="A3253">
            <v>3294</v>
          </cell>
          <cell r="B3253" t="str">
            <v>08/11/2012</v>
          </cell>
          <cell r="C3253" t="str">
            <v>C1106</v>
          </cell>
          <cell r="D3253" t="str">
            <v>Carry out contract works as agreed with Mark Poulton</v>
          </cell>
          <cell r="E3253" t="str">
            <v>Daniel Naylor</v>
          </cell>
          <cell r="F3253" t="str">
            <v>Subcontractor</v>
          </cell>
          <cell r="G3253" t="str">
            <v/>
          </cell>
          <cell r="H3253" t="str">
            <v/>
          </cell>
          <cell r="I3253" t="str">
            <v/>
          </cell>
          <cell r="J3253">
            <v>7975</v>
          </cell>
          <cell r="K3253">
            <v>1595</v>
          </cell>
          <cell r="L3253">
            <v>7975</v>
          </cell>
          <cell r="M3253" t="str">
            <v/>
          </cell>
          <cell r="N3253">
            <v>0</v>
          </cell>
        </row>
        <row r="3254">
          <cell r="A3254">
            <v>3292</v>
          </cell>
          <cell r="B3254" t="str">
            <v>07/11/2012</v>
          </cell>
          <cell r="C3254" t="str">
            <v>CALLOUT</v>
          </cell>
          <cell r="D3254" t="str">
            <v>Investigated Fault on Heating system</v>
          </cell>
          <cell r="E3254" t="str">
            <v>A Jones Heating &amp; Plumbing</v>
          </cell>
          <cell r="F3254" t="str">
            <v>Subcontractor</v>
          </cell>
          <cell r="G3254" t="str">
            <v/>
          </cell>
          <cell r="H3254" t="str">
            <v/>
          </cell>
          <cell r="I3254" t="str">
            <v/>
          </cell>
          <cell r="J3254">
            <v>100</v>
          </cell>
          <cell r="K3254">
            <v>0</v>
          </cell>
          <cell r="L3254">
            <v>100</v>
          </cell>
          <cell r="M3254" t="str">
            <v/>
          </cell>
          <cell r="N3254">
            <v>0</v>
          </cell>
        </row>
        <row r="3255">
          <cell r="A3255">
            <v>3289</v>
          </cell>
          <cell r="B3255" t="str">
            <v>05/11/2012</v>
          </cell>
          <cell r="C3255" t="str">
            <v>C1108</v>
          </cell>
          <cell r="D3255" t="str">
            <v>Installation of ductwork, dampers, grilles</v>
          </cell>
          <cell r="E3255" t="str">
            <v>Omegair Limited</v>
          </cell>
          <cell r="F3255" t="str">
            <v>Subcontractor</v>
          </cell>
          <cell r="G3255" t="str">
            <v/>
          </cell>
          <cell r="H3255" t="str">
            <v/>
          </cell>
          <cell r="I3255" t="str">
            <v/>
          </cell>
          <cell r="J3255">
            <v>15550</v>
          </cell>
          <cell r="K3255">
            <v>3110</v>
          </cell>
          <cell r="L3255">
            <v>15550</v>
          </cell>
          <cell r="M3255" t="str">
            <v/>
          </cell>
          <cell r="N3255">
            <v>0</v>
          </cell>
        </row>
        <row r="3256">
          <cell r="A3256">
            <v>3287</v>
          </cell>
          <cell r="B3256" t="str">
            <v>05/11/2012</v>
          </cell>
          <cell r="C3256" t="str">
            <v>C1103</v>
          </cell>
          <cell r="D3256" t="str">
            <v>Works at Clarence House</v>
          </cell>
          <cell r="E3256" t="str">
            <v>The Wright Installations Ltd</v>
          </cell>
          <cell r="F3256" t="str">
            <v>Subcontractor</v>
          </cell>
          <cell r="G3256" t="str">
            <v/>
          </cell>
          <cell r="H3256" t="str">
            <v/>
          </cell>
          <cell r="I3256" t="str">
            <v/>
          </cell>
          <cell r="J3256">
            <v>4055</v>
          </cell>
          <cell r="K3256">
            <v>811</v>
          </cell>
          <cell r="L3256">
            <v>4055</v>
          </cell>
          <cell r="M3256" t="str">
            <v/>
          </cell>
          <cell r="N3256">
            <v>0</v>
          </cell>
        </row>
        <row r="3257">
          <cell r="A3257">
            <v>3275</v>
          </cell>
          <cell r="B3257" t="str">
            <v>30/10/2012</v>
          </cell>
          <cell r="C3257" t="str">
            <v>C1107</v>
          </cell>
          <cell r="D3257" t="str">
            <v>Works to be carried out at Blackpool Victoria</v>
          </cell>
          <cell r="E3257" t="str">
            <v>Gary Barnes</v>
          </cell>
          <cell r="F3257" t="str">
            <v>Subcontractor</v>
          </cell>
          <cell r="G3257" t="str">
            <v/>
          </cell>
          <cell r="H3257" t="str">
            <v/>
          </cell>
          <cell r="I3257" t="str">
            <v/>
          </cell>
          <cell r="J3257">
            <v>1150</v>
          </cell>
          <cell r="K3257">
            <v>0</v>
          </cell>
          <cell r="L3257">
            <v>1150</v>
          </cell>
          <cell r="M3257" t="str">
            <v/>
          </cell>
          <cell r="N3257">
            <v>0</v>
          </cell>
        </row>
        <row r="3258">
          <cell r="A3258">
            <v>3274</v>
          </cell>
          <cell r="B3258" t="str">
            <v>30/10/2012</v>
          </cell>
          <cell r="C3258" t="str">
            <v>C1110</v>
          </cell>
          <cell r="D3258" t="str">
            <v>Crumpsall Boiler Room works</v>
          </cell>
          <cell r="E3258" t="str">
            <v>Gary Barnes</v>
          </cell>
          <cell r="F3258" t="str">
            <v>Subcontractor</v>
          </cell>
          <cell r="G3258" t="str">
            <v/>
          </cell>
          <cell r="H3258" t="str">
            <v/>
          </cell>
          <cell r="I3258" t="str">
            <v/>
          </cell>
          <cell r="J3258">
            <v>250</v>
          </cell>
          <cell r="K3258">
            <v>0</v>
          </cell>
          <cell r="L3258">
            <v>250</v>
          </cell>
          <cell r="M3258" t="str">
            <v/>
          </cell>
          <cell r="N3258">
            <v>0</v>
          </cell>
        </row>
        <row r="3259">
          <cell r="A3259">
            <v>3273</v>
          </cell>
          <cell r="B3259" t="str">
            <v>30/10/2012</v>
          </cell>
          <cell r="C3259" t="str">
            <v>C1109</v>
          </cell>
          <cell r="D3259" t="str">
            <v>Oldham Damper</v>
          </cell>
          <cell r="E3259" t="str">
            <v>Gary Barnes</v>
          </cell>
          <cell r="F3259" t="str">
            <v>Subcontractor</v>
          </cell>
          <cell r="G3259" t="str">
            <v/>
          </cell>
          <cell r="H3259" t="str">
            <v/>
          </cell>
          <cell r="I3259" t="str">
            <v/>
          </cell>
          <cell r="J3259">
            <v>200</v>
          </cell>
          <cell r="K3259">
            <v>0</v>
          </cell>
          <cell r="L3259">
            <v>200</v>
          </cell>
          <cell r="M3259" t="str">
            <v/>
          </cell>
          <cell r="N3259">
            <v>0</v>
          </cell>
        </row>
        <row r="3260">
          <cell r="A3260">
            <v>3262</v>
          </cell>
          <cell r="B3260" t="str">
            <v>26/10/2012</v>
          </cell>
          <cell r="C3260" t="str">
            <v>C1102</v>
          </cell>
          <cell r="D3260" t="str">
            <v>Supply labour &amp; materials as per drawings</v>
          </cell>
          <cell r="E3260" t="str">
            <v>AFN Airconditioning</v>
          </cell>
          <cell r="F3260" t="str">
            <v>Subcontractor</v>
          </cell>
          <cell r="G3260" t="str">
            <v/>
          </cell>
          <cell r="H3260" t="str">
            <v/>
          </cell>
          <cell r="I3260" t="str">
            <v/>
          </cell>
          <cell r="J3260">
            <v>5197.5</v>
          </cell>
          <cell r="K3260">
            <v>1039.5</v>
          </cell>
          <cell r="L3260">
            <v>5197.5</v>
          </cell>
          <cell r="M3260" t="str">
            <v/>
          </cell>
          <cell r="N3260">
            <v>0</v>
          </cell>
        </row>
        <row r="3261">
          <cell r="A3261">
            <v>3260</v>
          </cell>
          <cell r="B3261" t="str">
            <v>26/10/2012</v>
          </cell>
          <cell r="C3261" t="str">
            <v>C1101</v>
          </cell>
          <cell r="D3261" t="str">
            <v>For the supply of:</v>
          </cell>
          <cell r="E3261" t="str">
            <v>Daniel Naylor</v>
          </cell>
          <cell r="F3261" t="str">
            <v>Subcontractor</v>
          </cell>
          <cell r="G3261" t="str">
            <v/>
          </cell>
          <cell r="H3261" t="str">
            <v/>
          </cell>
          <cell r="I3261" t="str">
            <v/>
          </cell>
          <cell r="J3261">
            <v>3875</v>
          </cell>
          <cell r="K3261">
            <v>775</v>
          </cell>
          <cell r="L3261">
            <v>3875</v>
          </cell>
          <cell r="M3261" t="str">
            <v/>
          </cell>
          <cell r="N3261">
            <v>0</v>
          </cell>
        </row>
        <row r="3262">
          <cell r="A3262">
            <v>3256</v>
          </cell>
          <cell r="B3262" t="str">
            <v>25/10/2012</v>
          </cell>
          <cell r="C3262" t="str">
            <v>SERVICE</v>
          </cell>
          <cell r="D3262" t="str">
            <v>Heating Maintenance</v>
          </cell>
          <cell r="E3262" t="str">
            <v>A Jones Heating &amp; Plumbing</v>
          </cell>
          <cell r="F3262" t="str">
            <v>Subcontractor</v>
          </cell>
          <cell r="G3262" t="str">
            <v/>
          </cell>
          <cell r="H3262" t="str">
            <v>Part</v>
          </cell>
          <cell r="I3262" t="str">
            <v/>
          </cell>
          <cell r="J3262">
            <v>750</v>
          </cell>
          <cell r="K3262">
            <v>0</v>
          </cell>
          <cell r="L3262">
            <v>750</v>
          </cell>
          <cell r="M3262" t="str">
            <v/>
          </cell>
          <cell r="N3262">
            <v>0</v>
          </cell>
        </row>
        <row r="3263">
          <cell r="A3263">
            <v>3255</v>
          </cell>
          <cell r="B3263" t="str">
            <v>25/10/2012</v>
          </cell>
          <cell r="C3263" t="str">
            <v>CALLOUT</v>
          </cell>
          <cell r="D3263" t="str">
            <v>Attend site &amp; investigate fault on kitchen extract system</v>
          </cell>
          <cell r="E3263" t="str">
            <v>A Jones Heating &amp; Plumbing</v>
          </cell>
          <cell r="F3263" t="str">
            <v>Subcontractor</v>
          </cell>
          <cell r="G3263" t="str">
            <v/>
          </cell>
          <cell r="H3263" t="str">
            <v/>
          </cell>
          <cell r="I3263" t="str">
            <v/>
          </cell>
          <cell r="J3263">
            <v>100</v>
          </cell>
          <cell r="K3263">
            <v>0</v>
          </cell>
          <cell r="L3263">
            <v>100</v>
          </cell>
          <cell r="M3263" t="str">
            <v/>
          </cell>
          <cell r="N3263">
            <v>0</v>
          </cell>
        </row>
        <row r="3264">
          <cell r="A3264">
            <v>3182</v>
          </cell>
          <cell r="B3264" t="str">
            <v>27/09/2012</v>
          </cell>
          <cell r="C3264" t="str">
            <v>C1102</v>
          </cell>
          <cell r="D3264" t="str">
            <v>Installation of Vent, associated equipment (inc fans,grilles</v>
          </cell>
          <cell r="E3264" t="str">
            <v>Omegair Limited</v>
          </cell>
          <cell r="F3264" t="str">
            <v>Subcontractor</v>
          </cell>
          <cell r="G3264" t="str">
            <v/>
          </cell>
          <cell r="H3264" t="str">
            <v/>
          </cell>
          <cell r="I3264" t="str">
            <v/>
          </cell>
          <cell r="J3264">
            <v>4800</v>
          </cell>
          <cell r="K3264">
            <v>960</v>
          </cell>
          <cell r="L3264">
            <v>4168.8500000000004</v>
          </cell>
          <cell r="M3264" t="str">
            <v/>
          </cell>
          <cell r="N3264">
            <v>631.15</v>
          </cell>
        </row>
        <row r="3265">
          <cell r="A3265">
            <v>3177</v>
          </cell>
          <cell r="B3265" t="str">
            <v>26/09/2012</v>
          </cell>
          <cell r="C3265" t="str">
            <v>C1105</v>
          </cell>
          <cell r="D3265" t="str">
            <v>Install dampers in existing ductwork</v>
          </cell>
          <cell r="E3265" t="str">
            <v>Gary Barnes</v>
          </cell>
          <cell r="F3265" t="str">
            <v>Subcontractor</v>
          </cell>
          <cell r="G3265" t="str">
            <v/>
          </cell>
          <cell r="H3265" t="str">
            <v/>
          </cell>
          <cell r="I3265" t="str">
            <v/>
          </cell>
          <cell r="J3265">
            <v>125</v>
          </cell>
          <cell r="K3265">
            <v>0</v>
          </cell>
          <cell r="L3265">
            <v>125</v>
          </cell>
          <cell r="M3265" t="str">
            <v/>
          </cell>
          <cell r="N3265">
            <v>0</v>
          </cell>
        </row>
        <row r="3266">
          <cell r="A3266">
            <v>3176</v>
          </cell>
          <cell r="B3266" t="str">
            <v>26/09/2012</v>
          </cell>
          <cell r="C3266" t="str">
            <v>C1102</v>
          </cell>
          <cell r="D3266" t="str">
            <v>Supply Labour &amp; Materials as per drawings</v>
          </cell>
          <cell r="E3266" t="str">
            <v>AFN Airconditioning</v>
          </cell>
          <cell r="F3266" t="str">
            <v>Subcontractor</v>
          </cell>
          <cell r="G3266" t="str">
            <v/>
          </cell>
          <cell r="H3266" t="str">
            <v/>
          </cell>
          <cell r="I3266" t="str">
            <v/>
          </cell>
          <cell r="J3266">
            <v>9652.5</v>
          </cell>
          <cell r="K3266">
            <v>1930.5</v>
          </cell>
          <cell r="L3266">
            <v>9652.5</v>
          </cell>
          <cell r="M3266" t="str">
            <v/>
          </cell>
          <cell r="N3266">
            <v>0</v>
          </cell>
        </row>
        <row r="3267">
          <cell r="A3267">
            <v>3168</v>
          </cell>
          <cell r="B3267" t="str">
            <v>26/09/2012</v>
          </cell>
          <cell r="C3267" t="str">
            <v>C1100</v>
          </cell>
          <cell r="D3267" t="str">
            <v>Complete Installation &amp; Commission of Bedroom VRF Systems 96</v>
          </cell>
          <cell r="E3267" t="str">
            <v>Troughton Air Con Ltd</v>
          </cell>
          <cell r="F3267" t="str">
            <v>Subcontractor</v>
          </cell>
          <cell r="G3267" t="str">
            <v/>
          </cell>
          <cell r="H3267" t="str">
            <v>Part</v>
          </cell>
          <cell r="I3267" t="str">
            <v/>
          </cell>
          <cell r="J3267">
            <v>79200</v>
          </cell>
          <cell r="K3267">
            <v>15840</v>
          </cell>
          <cell r="L3267">
            <v>79208.5</v>
          </cell>
          <cell r="M3267" t="str">
            <v/>
          </cell>
          <cell r="N3267">
            <v>-8.5</v>
          </cell>
        </row>
        <row r="3268">
          <cell r="A3268">
            <v>3155</v>
          </cell>
          <cell r="B3268" t="str">
            <v>24/09/2012</v>
          </cell>
          <cell r="C3268" t="str">
            <v>C1103</v>
          </cell>
          <cell r="D3268" t="str">
            <v>Installation of ductwork</v>
          </cell>
          <cell r="E3268" t="str">
            <v>Gary Barnes</v>
          </cell>
          <cell r="F3268" t="str">
            <v>Subcontractor</v>
          </cell>
          <cell r="G3268" t="str">
            <v/>
          </cell>
          <cell r="H3268" t="str">
            <v/>
          </cell>
          <cell r="I3268" t="str">
            <v/>
          </cell>
          <cell r="J3268">
            <v>9500</v>
          </cell>
          <cell r="K3268">
            <v>1900</v>
          </cell>
          <cell r="L3268">
            <v>9500</v>
          </cell>
          <cell r="M3268" t="str">
            <v/>
          </cell>
          <cell r="N3268">
            <v>0</v>
          </cell>
        </row>
        <row r="3269">
          <cell r="A3269">
            <v>3154</v>
          </cell>
          <cell r="B3269" t="str">
            <v>24/09/2012</v>
          </cell>
          <cell r="C3269" t="str">
            <v>C1093</v>
          </cell>
          <cell r="D3269" t="str">
            <v>To install all ductwork as shown on the drawing</v>
          </cell>
          <cell r="E3269" t="str">
            <v>Omegair Limited</v>
          </cell>
          <cell r="F3269" t="str">
            <v>Subcontractor</v>
          </cell>
          <cell r="G3269" t="str">
            <v/>
          </cell>
          <cell r="H3269" t="str">
            <v/>
          </cell>
          <cell r="I3269" t="str">
            <v/>
          </cell>
          <cell r="J3269">
            <v>4120</v>
          </cell>
          <cell r="K3269">
            <v>824</v>
          </cell>
          <cell r="L3269">
            <v>4125</v>
          </cell>
          <cell r="M3269" t="str">
            <v/>
          </cell>
          <cell r="N3269">
            <v>-5</v>
          </cell>
        </row>
        <row r="3270">
          <cell r="A3270">
            <v>3153</v>
          </cell>
          <cell r="B3270" t="str">
            <v>24/09/2012</v>
          </cell>
          <cell r="C3270" t="str">
            <v>C1067</v>
          </cell>
          <cell r="D3270" t="str">
            <v>Installation of ductwork including premium time</v>
          </cell>
          <cell r="E3270" t="str">
            <v>Gary Barnes</v>
          </cell>
          <cell r="F3270" t="str">
            <v>Subcontractor</v>
          </cell>
          <cell r="G3270" t="str">
            <v/>
          </cell>
          <cell r="H3270" t="str">
            <v>Part</v>
          </cell>
          <cell r="I3270" t="str">
            <v/>
          </cell>
          <cell r="J3270">
            <v>500</v>
          </cell>
          <cell r="K3270">
            <v>100</v>
          </cell>
          <cell r="L3270">
            <v>500</v>
          </cell>
          <cell r="M3270" t="str">
            <v/>
          </cell>
          <cell r="N3270">
            <v>0</v>
          </cell>
        </row>
        <row r="3271">
          <cell r="A3271">
            <v>3152</v>
          </cell>
          <cell r="B3271" t="str">
            <v>24/09/2012</v>
          </cell>
          <cell r="C3271" t="str">
            <v>C1067</v>
          </cell>
          <cell r="D3271" t="str">
            <v>Installation of ductwork as discussed</v>
          </cell>
          <cell r="E3271" t="str">
            <v>Omegair Limited</v>
          </cell>
          <cell r="F3271" t="str">
            <v>Subcontractor</v>
          </cell>
          <cell r="G3271" t="str">
            <v/>
          </cell>
          <cell r="H3271" t="str">
            <v/>
          </cell>
          <cell r="I3271" t="str">
            <v/>
          </cell>
          <cell r="J3271">
            <v>4900</v>
          </cell>
          <cell r="K3271">
            <v>980</v>
          </cell>
          <cell r="L3271">
            <v>4900</v>
          </cell>
          <cell r="M3271" t="str">
            <v/>
          </cell>
          <cell r="N3271">
            <v>0</v>
          </cell>
        </row>
        <row r="3272">
          <cell r="A3272">
            <v>3150</v>
          </cell>
          <cell r="B3272" t="str">
            <v>24/09/2012</v>
          </cell>
          <cell r="C3272" t="str">
            <v>C1104</v>
          </cell>
          <cell r="D3272" t="str">
            <v>Sanitaryware Installations</v>
          </cell>
          <cell r="E3272" t="str">
            <v>Technical Building Services</v>
          </cell>
          <cell r="F3272" t="str">
            <v>Subcontractor</v>
          </cell>
          <cell r="G3272" t="str">
            <v/>
          </cell>
          <cell r="H3272" t="str">
            <v/>
          </cell>
          <cell r="I3272" t="str">
            <v/>
          </cell>
          <cell r="J3272">
            <v>72500</v>
          </cell>
          <cell r="K3272">
            <v>14500</v>
          </cell>
          <cell r="L3272">
            <v>72500</v>
          </cell>
          <cell r="M3272" t="str">
            <v/>
          </cell>
          <cell r="N3272">
            <v>0</v>
          </cell>
        </row>
        <row r="3273">
          <cell r="A3273">
            <v>3147</v>
          </cell>
          <cell r="B3273" t="str">
            <v>21/09/2012</v>
          </cell>
          <cell r="C3273" t="str">
            <v>C1068</v>
          </cell>
          <cell r="D3273" t="str">
            <v>Complete all installations</v>
          </cell>
          <cell r="E3273" t="str">
            <v>Omegair Limited</v>
          </cell>
          <cell r="F3273" t="str">
            <v>Subcontractor</v>
          </cell>
          <cell r="G3273" t="str">
            <v/>
          </cell>
          <cell r="H3273" t="str">
            <v/>
          </cell>
          <cell r="I3273" t="str">
            <v/>
          </cell>
          <cell r="J3273">
            <v>6250</v>
          </cell>
          <cell r="K3273">
            <v>1250</v>
          </cell>
          <cell r="L3273">
            <v>6750</v>
          </cell>
          <cell r="M3273" t="str">
            <v/>
          </cell>
          <cell r="N3273">
            <v>-500</v>
          </cell>
        </row>
        <row r="3274">
          <cell r="A3274">
            <v>3143</v>
          </cell>
          <cell r="B3274" t="str">
            <v>14/09/2012</v>
          </cell>
          <cell r="C3274" t="str">
            <v>C1095</v>
          </cell>
          <cell r="D3274" t="str">
            <v>Works carried out at Sandwell Hospital</v>
          </cell>
          <cell r="E3274" t="str">
            <v>Gary Barnes</v>
          </cell>
          <cell r="F3274" t="str">
            <v>Subcontractor</v>
          </cell>
          <cell r="G3274" t="str">
            <v/>
          </cell>
          <cell r="H3274" t="str">
            <v/>
          </cell>
          <cell r="I3274" t="str">
            <v/>
          </cell>
          <cell r="J3274">
            <v>1250</v>
          </cell>
          <cell r="K3274">
            <v>0</v>
          </cell>
          <cell r="L3274">
            <v>1250</v>
          </cell>
          <cell r="M3274" t="str">
            <v/>
          </cell>
          <cell r="N3274">
            <v>0</v>
          </cell>
        </row>
        <row r="3275">
          <cell r="A3275">
            <v>3123</v>
          </cell>
          <cell r="B3275" t="str">
            <v>12/09/2012</v>
          </cell>
          <cell r="C3275" t="str">
            <v>C1088</v>
          </cell>
          <cell r="D3275" t="str">
            <v>Carried out Hot Tap Maintenance</v>
          </cell>
          <cell r="E3275" t="str">
            <v>A Jones Heating &amp; Plumbing</v>
          </cell>
          <cell r="F3275" t="str">
            <v>Subcontractor</v>
          </cell>
          <cell r="G3275" t="str">
            <v/>
          </cell>
          <cell r="H3275" t="str">
            <v/>
          </cell>
          <cell r="I3275" t="str">
            <v/>
          </cell>
          <cell r="J3275">
            <v>145</v>
          </cell>
          <cell r="K3275">
            <v>0</v>
          </cell>
          <cell r="L3275">
            <v>145</v>
          </cell>
          <cell r="M3275" t="str">
            <v/>
          </cell>
          <cell r="N3275">
            <v>0</v>
          </cell>
        </row>
        <row r="3276">
          <cell r="A3276">
            <v>3118</v>
          </cell>
          <cell r="B3276" t="str">
            <v>12/09/2012</v>
          </cell>
          <cell r="C3276" t="str">
            <v>C1079</v>
          </cell>
          <cell r="D3276" t="str">
            <v>Carry out Chlorination Works as agreed with Mark Poulton</v>
          </cell>
          <cell r="E3276" t="str">
            <v>Foztek Limited</v>
          </cell>
          <cell r="F3276" t="str">
            <v>Subcontractor</v>
          </cell>
          <cell r="G3276" t="str">
            <v/>
          </cell>
          <cell r="H3276" t="str">
            <v/>
          </cell>
          <cell r="I3276" t="str">
            <v/>
          </cell>
          <cell r="J3276">
            <v>375</v>
          </cell>
          <cell r="K3276">
            <v>75</v>
          </cell>
          <cell r="L3276">
            <v>375</v>
          </cell>
          <cell r="M3276" t="str">
            <v/>
          </cell>
          <cell r="N3276">
            <v>0</v>
          </cell>
        </row>
        <row r="3277">
          <cell r="A3277">
            <v>3117</v>
          </cell>
          <cell r="B3277" t="str">
            <v>12/09/2012</v>
          </cell>
          <cell r="C3277" t="str">
            <v>C1092</v>
          </cell>
          <cell r="D3277" t="str">
            <v>Chlorintation Works</v>
          </cell>
          <cell r="E3277" t="str">
            <v>Foztek Limited</v>
          </cell>
          <cell r="F3277" t="str">
            <v>Subcontractor</v>
          </cell>
          <cell r="G3277" t="str">
            <v/>
          </cell>
          <cell r="H3277" t="str">
            <v/>
          </cell>
          <cell r="I3277" t="str">
            <v/>
          </cell>
          <cell r="J3277">
            <v>375</v>
          </cell>
          <cell r="K3277">
            <v>75</v>
          </cell>
          <cell r="L3277">
            <v>375</v>
          </cell>
          <cell r="M3277" t="str">
            <v/>
          </cell>
          <cell r="N3277">
            <v>0</v>
          </cell>
        </row>
        <row r="3278">
          <cell r="A3278">
            <v>3112</v>
          </cell>
          <cell r="B3278" t="str">
            <v>11/09/2012</v>
          </cell>
          <cell r="C3278" t="str">
            <v>C1099</v>
          </cell>
          <cell r="D3278" t="str">
            <v>Installation works at Spirit Pub - Burton on Trent</v>
          </cell>
          <cell r="E3278" t="str">
            <v>Gary Barnes</v>
          </cell>
          <cell r="F3278" t="str">
            <v>Subcontractor</v>
          </cell>
          <cell r="G3278" t="str">
            <v/>
          </cell>
          <cell r="H3278" t="str">
            <v/>
          </cell>
          <cell r="I3278" t="str">
            <v/>
          </cell>
          <cell r="J3278">
            <v>450</v>
          </cell>
          <cell r="K3278">
            <v>0</v>
          </cell>
          <cell r="L3278">
            <v>450</v>
          </cell>
          <cell r="M3278" t="str">
            <v/>
          </cell>
          <cell r="N3278">
            <v>0</v>
          </cell>
        </row>
        <row r="3279">
          <cell r="A3279">
            <v>3110</v>
          </cell>
          <cell r="B3279" t="str">
            <v>11/09/2012</v>
          </cell>
          <cell r="C3279" t="str">
            <v>C1098</v>
          </cell>
          <cell r="D3279" t="str">
            <v>Carry out works as agreed with Mark Poulton</v>
          </cell>
          <cell r="E3279" t="str">
            <v>Daniel Naylor</v>
          </cell>
          <cell r="F3279" t="str">
            <v>Subcontractor</v>
          </cell>
          <cell r="G3279" t="str">
            <v/>
          </cell>
          <cell r="H3279" t="str">
            <v/>
          </cell>
          <cell r="I3279" t="str">
            <v/>
          </cell>
          <cell r="J3279">
            <v>2260</v>
          </cell>
          <cell r="K3279">
            <v>452</v>
          </cell>
          <cell r="L3279">
            <v>2260</v>
          </cell>
          <cell r="M3279" t="str">
            <v/>
          </cell>
          <cell r="N3279">
            <v>0</v>
          </cell>
        </row>
        <row r="3280">
          <cell r="A3280">
            <v>3109</v>
          </cell>
          <cell r="B3280" t="str">
            <v>11/09/2012</v>
          </cell>
          <cell r="C3280" t="str">
            <v>C1097</v>
          </cell>
          <cell r="D3280" t="str">
            <v>Carry out works as discussed with Mark Poulton</v>
          </cell>
          <cell r="E3280" t="str">
            <v>Daniel Naylor</v>
          </cell>
          <cell r="F3280" t="str">
            <v>Subcontractor</v>
          </cell>
          <cell r="G3280" t="str">
            <v/>
          </cell>
          <cell r="H3280" t="str">
            <v/>
          </cell>
          <cell r="I3280" t="str">
            <v/>
          </cell>
          <cell r="J3280">
            <v>3000</v>
          </cell>
          <cell r="K3280">
            <v>600</v>
          </cell>
          <cell r="L3280">
            <v>3000</v>
          </cell>
          <cell r="M3280" t="str">
            <v/>
          </cell>
          <cell r="N3280">
            <v>0</v>
          </cell>
        </row>
        <row r="3281">
          <cell r="A3281">
            <v>3106</v>
          </cell>
          <cell r="B3281" t="str">
            <v>10/09/2012</v>
          </cell>
          <cell r="C3281" t="str">
            <v>CALLOUT</v>
          </cell>
          <cell r="D3281" t="str">
            <v>Carry out works to Chilled Beams as per quotation</v>
          </cell>
          <cell r="E3281" t="str">
            <v>RMS Electrical Services Ltd</v>
          </cell>
          <cell r="F3281" t="str">
            <v>Subcontractor</v>
          </cell>
          <cell r="G3281" t="str">
            <v/>
          </cell>
          <cell r="H3281" t="str">
            <v/>
          </cell>
          <cell r="I3281" t="str">
            <v/>
          </cell>
          <cell r="J3281">
            <v>1596.01</v>
          </cell>
          <cell r="K3281">
            <v>319.2</v>
          </cell>
          <cell r="L3281">
            <v>1596.01</v>
          </cell>
          <cell r="M3281" t="str">
            <v/>
          </cell>
          <cell r="N3281">
            <v>0</v>
          </cell>
        </row>
        <row r="3282">
          <cell r="A3282">
            <v>3089</v>
          </cell>
          <cell r="B3282" t="str">
            <v>05/09/2012</v>
          </cell>
          <cell r="C3282" t="str">
            <v>CALLOUT</v>
          </cell>
          <cell r="D3282" t="str">
            <v>Removed 4no Radiators and Relocated 2no AC Controllers</v>
          </cell>
          <cell r="E3282" t="str">
            <v>Daniel Naylor</v>
          </cell>
          <cell r="F3282" t="str">
            <v>Subcontractor</v>
          </cell>
          <cell r="G3282" t="str">
            <v/>
          </cell>
          <cell r="H3282" t="str">
            <v/>
          </cell>
          <cell r="I3282" t="str">
            <v/>
          </cell>
          <cell r="J3282">
            <v>600</v>
          </cell>
          <cell r="K3282">
            <v>120</v>
          </cell>
          <cell r="L3282">
            <v>600</v>
          </cell>
          <cell r="M3282" t="str">
            <v/>
          </cell>
          <cell r="N3282">
            <v>0</v>
          </cell>
        </row>
        <row r="3283">
          <cell r="A3283">
            <v>3057</v>
          </cell>
          <cell r="B3283" t="str">
            <v>29/08/2012</v>
          </cell>
          <cell r="C3283" t="str">
            <v>SERVICE</v>
          </cell>
          <cell r="D3283" t="str">
            <v>Carry out AC Maintenance as agreed with Hayley</v>
          </cell>
          <cell r="E3283" t="str">
            <v>Adept Cooling</v>
          </cell>
          <cell r="F3283" t="str">
            <v>Subcontractor</v>
          </cell>
          <cell r="G3283" t="str">
            <v/>
          </cell>
          <cell r="H3283" t="str">
            <v/>
          </cell>
          <cell r="I3283" t="str">
            <v/>
          </cell>
          <cell r="J3283">
            <v>180</v>
          </cell>
          <cell r="K3283">
            <v>36</v>
          </cell>
          <cell r="L3283">
            <v>180</v>
          </cell>
          <cell r="M3283" t="str">
            <v/>
          </cell>
          <cell r="N3283">
            <v>0</v>
          </cell>
        </row>
        <row r="3284">
          <cell r="A3284">
            <v>3051</v>
          </cell>
          <cell r="B3284" t="str">
            <v>28/08/2012</v>
          </cell>
          <cell r="C3284" t="str">
            <v>C1093</v>
          </cell>
          <cell r="D3284" t="str">
            <v>Enabling works at Bury College</v>
          </cell>
          <cell r="E3284" t="str">
            <v>Gary Barnes</v>
          </cell>
          <cell r="F3284" t="str">
            <v>Subcontractor</v>
          </cell>
          <cell r="G3284" t="str">
            <v/>
          </cell>
          <cell r="H3284" t="str">
            <v/>
          </cell>
          <cell r="I3284" t="str">
            <v/>
          </cell>
          <cell r="J3284">
            <v>1225</v>
          </cell>
          <cell r="K3284">
            <v>245</v>
          </cell>
          <cell r="L3284">
            <v>1225</v>
          </cell>
          <cell r="M3284" t="str">
            <v/>
          </cell>
          <cell r="N3284">
            <v>0</v>
          </cell>
        </row>
        <row r="3285">
          <cell r="A3285">
            <v>3050</v>
          </cell>
          <cell r="B3285" t="str">
            <v>28/08/2012</v>
          </cell>
          <cell r="C3285" t="str">
            <v>C1073</v>
          </cell>
          <cell r="D3285" t="str">
            <v>For works at Anchorsholme</v>
          </cell>
          <cell r="E3285" t="str">
            <v>Omegair Limited</v>
          </cell>
          <cell r="F3285" t="str">
            <v>Subcontractor</v>
          </cell>
          <cell r="G3285" t="str">
            <v/>
          </cell>
          <cell r="H3285" t="str">
            <v/>
          </cell>
          <cell r="I3285" t="str">
            <v/>
          </cell>
          <cell r="J3285">
            <v>3375</v>
          </cell>
          <cell r="K3285">
            <v>675</v>
          </cell>
          <cell r="L3285">
            <v>3375</v>
          </cell>
          <cell r="M3285" t="str">
            <v/>
          </cell>
          <cell r="N3285">
            <v>0</v>
          </cell>
        </row>
        <row r="3286">
          <cell r="A3286">
            <v>3029</v>
          </cell>
          <cell r="B3286" t="str">
            <v>23/08/2012</v>
          </cell>
          <cell r="C3286" t="str">
            <v>SERVICE</v>
          </cell>
          <cell r="D3286" t="str">
            <v>Carried out Boiler Maintenance</v>
          </cell>
          <cell r="E3286" t="str">
            <v>A Jones Heating &amp; Plumbing</v>
          </cell>
          <cell r="F3286" t="str">
            <v>Subcontractor</v>
          </cell>
          <cell r="G3286" t="str">
            <v/>
          </cell>
          <cell r="H3286" t="str">
            <v/>
          </cell>
          <cell r="I3286" t="str">
            <v/>
          </cell>
          <cell r="J3286">
            <v>190</v>
          </cell>
          <cell r="K3286">
            <v>0</v>
          </cell>
          <cell r="L3286">
            <v>190</v>
          </cell>
          <cell r="M3286" t="str">
            <v/>
          </cell>
          <cell r="N3286">
            <v>0</v>
          </cell>
        </row>
        <row r="3287">
          <cell r="A3287">
            <v>3016</v>
          </cell>
          <cell r="B3287" t="str">
            <v>22/08/2012</v>
          </cell>
          <cell r="C3287" t="str">
            <v>CALLOUT</v>
          </cell>
          <cell r="D3287" t="str">
            <v>Rectified faulty AC Unit - Leaking in Dispensing Room</v>
          </cell>
          <cell r="E3287" t="str">
            <v>Adept Cooling</v>
          </cell>
          <cell r="F3287" t="str">
            <v>Subcontractor</v>
          </cell>
          <cell r="G3287" t="str">
            <v/>
          </cell>
          <cell r="H3287" t="str">
            <v/>
          </cell>
          <cell r="I3287" t="str">
            <v/>
          </cell>
          <cell r="J3287">
            <v>108</v>
          </cell>
          <cell r="K3287">
            <v>21.6</v>
          </cell>
          <cell r="L3287">
            <v>108</v>
          </cell>
          <cell r="M3287" t="str">
            <v/>
          </cell>
          <cell r="N3287">
            <v>0</v>
          </cell>
        </row>
        <row r="3288">
          <cell r="A3288">
            <v>3015</v>
          </cell>
          <cell r="B3288" t="str">
            <v>22/08/2012</v>
          </cell>
          <cell r="C3288" t="str">
            <v>CALLOUT</v>
          </cell>
          <cell r="D3288" t="str">
            <v>Engineer to attend site to rectify fault on Zip Hydroboil</v>
          </cell>
          <cell r="E3288" t="str">
            <v>Zip Heaters (UK) Ltd</v>
          </cell>
          <cell r="F3288" t="str">
            <v>Subcontractor</v>
          </cell>
          <cell r="G3288" t="str">
            <v/>
          </cell>
          <cell r="H3288" t="str">
            <v/>
          </cell>
          <cell r="I3288" t="str">
            <v/>
          </cell>
          <cell r="J3288">
            <v>50.35</v>
          </cell>
          <cell r="K3288">
            <v>10.07</v>
          </cell>
          <cell r="L3288">
            <v>50.35</v>
          </cell>
          <cell r="M3288" t="str">
            <v/>
          </cell>
          <cell r="N3288">
            <v>0</v>
          </cell>
        </row>
        <row r="3289">
          <cell r="A3289">
            <v>3013</v>
          </cell>
          <cell r="B3289" t="str">
            <v>20/08/2012</v>
          </cell>
          <cell r="C3289" t="str">
            <v>C1094</v>
          </cell>
          <cell r="D3289" t="str">
            <v>Works to be carried out as per quote</v>
          </cell>
          <cell r="E3289" t="str">
            <v>RMS Electrical Services Ltd</v>
          </cell>
          <cell r="F3289" t="str">
            <v>Subcontractor</v>
          </cell>
          <cell r="G3289" t="str">
            <v/>
          </cell>
          <cell r="H3289" t="str">
            <v/>
          </cell>
          <cell r="I3289" t="str">
            <v/>
          </cell>
          <cell r="J3289">
            <v>10841.17</v>
          </cell>
          <cell r="K3289">
            <v>2168.23</v>
          </cell>
          <cell r="L3289">
            <v>10841.17</v>
          </cell>
          <cell r="M3289" t="str">
            <v/>
          </cell>
          <cell r="N3289">
            <v>0</v>
          </cell>
        </row>
        <row r="3290">
          <cell r="A3290">
            <v>2990</v>
          </cell>
          <cell r="B3290" t="str">
            <v>15/08/2012</v>
          </cell>
          <cell r="C3290" t="str">
            <v>C1089</v>
          </cell>
          <cell r="D3290" t="str">
            <v>For works to be carried out at RHI Zenith House</v>
          </cell>
          <cell r="E3290" t="str">
            <v>Anthony Howman Plumbing &amp; Heating</v>
          </cell>
          <cell r="F3290" t="str">
            <v>Subcontractor</v>
          </cell>
          <cell r="G3290" t="str">
            <v/>
          </cell>
          <cell r="H3290" t="str">
            <v/>
          </cell>
          <cell r="I3290" t="str">
            <v/>
          </cell>
          <cell r="J3290">
            <v>400</v>
          </cell>
          <cell r="K3290">
            <v>80</v>
          </cell>
          <cell r="L3290">
            <v>0</v>
          </cell>
          <cell r="M3290" t="str">
            <v/>
          </cell>
          <cell r="N3290">
            <v>400</v>
          </cell>
        </row>
        <row r="3291">
          <cell r="A3291">
            <v>2981</v>
          </cell>
          <cell r="B3291" t="str">
            <v>13/08/2012</v>
          </cell>
          <cell r="C3291" t="str">
            <v>C1079</v>
          </cell>
          <cell r="D3291" t="str">
            <v>Supply &amp; Install thermal insulation</v>
          </cell>
          <cell r="E3291" t="str">
            <v>R &amp; H Insulations</v>
          </cell>
          <cell r="F3291" t="str">
            <v>Subcontractor</v>
          </cell>
          <cell r="G3291" t="str">
            <v/>
          </cell>
          <cell r="H3291" t="str">
            <v/>
          </cell>
          <cell r="I3291" t="str">
            <v/>
          </cell>
          <cell r="J3291">
            <v>1254</v>
          </cell>
          <cell r="K3291">
            <v>250.8</v>
          </cell>
          <cell r="L3291">
            <v>1254</v>
          </cell>
          <cell r="M3291" t="str">
            <v/>
          </cell>
          <cell r="N3291">
            <v>0</v>
          </cell>
        </row>
        <row r="3292">
          <cell r="A3292">
            <v>2978</v>
          </cell>
          <cell r="B3292" t="str">
            <v>09/08/2012</v>
          </cell>
          <cell r="C3292" t="str">
            <v>CALLOUT</v>
          </cell>
          <cell r="D3292" t="str">
            <v>1st visit to inspect shower heads/ 2nd Visit to fit shower h</v>
          </cell>
          <cell r="E3292" t="str">
            <v>A Jones Heating &amp; Plumbing</v>
          </cell>
          <cell r="F3292" t="str">
            <v>Subcontractor</v>
          </cell>
          <cell r="G3292" t="str">
            <v/>
          </cell>
          <cell r="H3292" t="str">
            <v/>
          </cell>
          <cell r="I3292" t="str">
            <v/>
          </cell>
          <cell r="J3292">
            <v>210</v>
          </cell>
          <cell r="K3292">
            <v>0</v>
          </cell>
          <cell r="L3292">
            <v>210</v>
          </cell>
          <cell r="M3292" t="str">
            <v/>
          </cell>
          <cell r="N3292">
            <v>0</v>
          </cell>
        </row>
        <row r="3293">
          <cell r="A3293">
            <v>2964</v>
          </cell>
          <cell r="B3293" t="str">
            <v>07/08/2012</v>
          </cell>
          <cell r="C3293" t="str">
            <v>C1078</v>
          </cell>
          <cell r="D3293" t="str">
            <v>Carry out works as instructed by Mark Poulton</v>
          </cell>
          <cell r="E3293" t="str">
            <v>Anthony Howman Plumbing &amp; Heating</v>
          </cell>
          <cell r="F3293" t="str">
            <v>Subcontractor</v>
          </cell>
          <cell r="G3293" t="str">
            <v/>
          </cell>
          <cell r="H3293" t="str">
            <v/>
          </cell>
          <cell r="I3293" t="str">
            <v/>
          </cell>
          <cell r="J3293">
            <v>2475</v>
          </cell>
          <cell r="K3293">
            <v>495</v>
          </cell>
          <cell r="L3293">
            <v>0</v>
          </cell>
          <cell r="M3293" t="str">
            <v/>
          </cell>
          <cell r="N3293">
            <v>2475</v>
          </cell>
        </row>
        <row r="3294">
          <cell r="A3294">
            <v>2963</v>
          </cell>
          <cell r="B3294" t="str">
            <v>07/08/2012</v>
          </cell>
          <cell r="C3294" t="str">
            <v>C1079</v>
          </cell>
          <cell r="D3294" t="str">
            <v>Variation Works</v>
          </cell>
          <cell r="E3294" t="str">
            <v>Anthony Howman Plumbing &amp; Heating</v>
          </cell>
          <cell r="F3294" t="str">
            <v>Subcontractor</v>
          </cell>
          <cell r="G3294" t="str">
            <v/>
          </cell>
          <cell r="H3294" t="str">
            <v/>
          </cell>
          <cell r="I3294" t="str">
            <v/>
          </cell>
          <cell r="J3294">
            <v>350</v>
          </cell>
          <cell r="K3294">
            <v>70</v>
          </cell>
          <cell r="L3294">
            <v>350</v>
          </cell>
          <cell r="M3294" t="str">
            <v/>
          </cell>
          <cell r="N3294">
            <v>0</v>
          </cell>
        </row>
        <row r="3295">
          <cell r="A3295">
            <v>2962</v>
          </cell>
          <cell r="B3295" t="str">
            <v>07/08/2012</v>
          </cell>
          <cell r="C3295" t="str">
            <v>C1079</v>
          </cell>
          <cell r="D3295" t="str">
            <v>Carry out works as instructed by Mark Poulton</v>
          </cell>
          <cell r="E3295" t="str">
            <v>Anthony Howman Plumbing &amp; Heating</v>
          </cell>
          <cell r="F3295" t="str">
            <v>Subcontractor</v>
          </cell>
          <cell r="G3295" t="str">
            <v/>
          </cell>
          <cell r="H3295" t="str">
            <v/>
          </cell>
          <cell r="I3295" t="str">
            <v/>
          </cell>
          <cell r="J3295">
            <v>2475</v>
          </cell>
          <cell r="K3295">
            <v>495</v>
          </cell>
          <cell r="L3295">
            <v>3000</v>
          </cell>
          <cell r="M3295" t="str">
            <v/>
          </cell>
          <cell r="N3295">
            <v>-525</v>
          </cell>
        </row>
        <row r="3296">
          <cell r="A3296">
            <v>2960</v>
          </cell>
          <cell r="B3296" t="str">
            <v>07/08/2012</v>
          </cell>
          <cell r="C3296" t="str">
            <v>C1092</v>
          </cell>
          <cell r="D3296" t="str">
            <v>Installation of Air Con systems and Ancillary Services as pe</v>
          </cell>
          <cell r="E3296" t="str">
            <v>A Class Airconditioning</v>
          </cell>
          <cell r="F3296" t="str">
            <v>Subcontractor</v>
          </cell>
          <cell r="G3296" t="str">
            <v/>
          </cell>
          <cell r="H3296" t="str">
            <v/>
          </cell>
          <cell r="I3296" t="str">
            <v/>
          </cell>
          <cell r="J3296">
            <v>5000</v>
          </cell>
          <cell r="K3296">
            <v>1000</v>
          </cell>
          <cell r="L3296">
            <v>4010.14</v>
          </cell>
          <cell r="M3296" t="str">
            <v/>
          </cell>
          <cell r="N3296">
            <v>989.86</v>
          </cell>
        </row>
        <row r="3297">
          <cell r="A3297">
            <v>2959</v>
          </cell>
          <cell r="B3297" t="str">
            <v>07/08/2012</v>
          </cell>
          <cell r="C3297" t="str">
            <v>C1069</v>
          </cell>
          <cell r="D3297" t="str">
            <v>Carryout Chlorination as agreed with Mark Poulton</v>
          </cell>
          <cell r="E3297" t="str">
            <v>Foztek Limited</v>
          </cell>
          <cell r="F3297" t="str">
            <v>Subcontractor</v>
          </cell>
          <cell r="G3297" t="str">
            <v/>
          </cell>
          <cell r="H3297" t="str">
            <v/>
          </cell>
          <cell r="I3297" t="str">
            <v/>
          </cell>
          <cell r="J3297">
            <v>500</v>
          </cell>
          <cell r="K3297">
            <v>100</v>
          </cell>
          <cell r="L3297">
            <v>500</v>
          </cell>
          <cell r="M3297" t="str">
            <v/>
          </cell>
          <cell r="N3297">
            <v>0</v>
          </cell>
        </row>
        <row r="3298">
          <cell r="A3298">
            <v>2958</v>
          </cell>
          <cell r="B3298" t="str">
            <v>07/08/2012</v>
          </cell>
          <cell r="C3298" t="str">
            <v>CALLOUT</v>
          </cell>
          <cell r="D3298" t="str">
            <v>Carry out Routine Maintenance and Rectify Fault on AC System</v>
          </cell>
          <cell r="E3298" t="str">
            <v>Elite Air Conditioning &amp; Refrigeration Ltd</v>
          </cell>
          <cell r="F3298" t="str">
            <v>Subcontractor</v>
          </cell>
          <cell r="G3298" t="str">
            <v/>
          </cell>
          <cell r="H3298" t="str">
            <v/>
          </cell>
          <cell r="I3298" t="str">
            <v/>
          </cell>
          <cell r="J3298">
            <v>240</v>
          </cell>
          <cell r="K3298">
            <v>48</v>
          </cell>
          <cell r="L3298">
            <v>240</v>
          </cell>
          <cell r="M3298" t="str">
            <v/>
          </cell>
          <cell r="N3298">
            <v>0</v>
          </cell>
        </row>
        <row r="3299">
          <cell r="A3299">
            <v>2953</v>
          </cell>
          <cell r="B3299" t="str">
            <v>06/08/2012</v>
          </cell>
          <cell r="C3299" t="str">
            <v>CALLOUT</v>
          </cell>
          <cell r="D3299" t="str">
            <v>Installation of Rain Water Stacks</v>
          </cell>
          <cell r="E3299" t="str">
            <v>Technical Building Services</v>
          </cell>
          <cell r="F3299" t="str">
            <v>Subcontractor</v>
          </cell>
          <cell r="G3299" t="str">
            <v/>
          </cell>
          <cell r="H3299" t="str">
            <v/>
          </cell>
          <cell r="I3299" t="str">
            <v/>
          </cell>
          <cell r="J3299">
            <v>9500</v>
          </cell>
          <cell r="K3299">
            <v>1900</v>
          </cell>
          <cell r="L3299">
            <v>9500</v>
          </cell>
          <cell r="M3299" t="str">
            <v/>
          </cell>
          <cell r="N3299">
            <v>0</v>
          </cell>
        </row>
        <row r="3300">
          <cell r="A3300">
            <v>2920</v>
          </cell>
          <cell r="B3300" t="str">
            <v>31/07/2012</v>
          </cell>
          <cell r="C3300" t="str">
            <v>C1069</v>
          </cell>
          <cell r="D3300" t="str">
            <v>Commissioning Engineer to attend site on Monday 6th August 2</v>
          </cell>
          <cell r="E3300" t="str">
            <v>Probalance Ltd</v>
          </cell>
          <cell r="F3300" t="str">
            <v>Subcontractor</v>
          </cell>
          <cell r="G3300" t="str">
            <v/>
          </cell>
          <cell r="H3300" t="str">
            <v/>
          </cell>
          <cell r="I3300" t="str">
            <v/>
          </cell>
          <cell r="J3300">
            <v>250</v>
          </cell>
          <cell r="K3300">
            <v>50</v>
          </cell>
          <cell r="L3300">
            <v>250</v>
          </cell>
          <cell r="M3300" t="str">
            <v/>
          </cell>
          <cell r="N3300">
            <v>0</v>
          </cell>
        </row>
        <row r="3301">
          <cell r="A3301">
            <v>2912</v>
          </cell>
          <cell r="B3301" t="str">
            <v>31/07/2012</v>
          </cell>
          <cell r="C3301" t="str">
            <v>C1079</v>
          </cell>
          <cell r="D3301" t="str">
            <v>To complete Ductwork installation as agreed with Mark Poulto</v>
          </cell>
          <cell r="E3301" t="str">
            <v>AFN Airconditioning</v>
          </cell>
          <cell r="F3301" t="str">
            <v>Subcontractor</v>
          </cell>
          <cell r="G3301" t="str">
            <v/>
          </cell>
          <cell r="H3301" t="str">
            <v/>
          </cell>
          <cell r="I3301" t="str">
            <v/>
          </cell>
          <cell r="J3301">
            <v>2050</v>
          </cell>
          <cell r="K3301">
            <v>410</v>
          </cell>
          <cell r="L3301">
            <v>2050</v>
          </cell>
          <cell r="M3301" t="str">
            <v/>
          </cell>
          <cell r="N3301">
            <v>0</v>
          </cell>
        </row>
        <row r="3302">
          <cell r="A3302">
            <v>2911</v>
          </cell>
          <cell r="B3302" t="str">
            <v>31/07/2012</v>
          </cell>
          <cell r="C3302" t="str">
            <v>C1079</v>
          </cell>
          <cell r="D3302" t="str">
            <v>To complete AC works as discussed with Mark Poulton</v>
          </cell>
          <cell r="E3302" t="str">
            <v>AFN Airconditioning</v>
          </cell>
          <cell r="F3302" t="str">
            <v>Subcontractor</v>
          </cell>
          <cell r="G3302" t="str">
            <v/>
          </cell>
          <cell r="H3302" t="str">
            <v/>
          </cell>
          <cell r="I3302" t="str">
            <v/>
          </cell>
          <cell r="J3302">
            <v>7350</v>
          </cell>
          <cell r="K3302">
            <v>1470</v>
          </cell>
          <cell r="L3302">
            <v>6850</v>
          </cell>
          <cell r="M3302" t="str">
            <v/>
          </cell>
          <cell r="N3302">
            <v>500</v>
          </cell>
        </row>
        <row r="3303">
          <cell r="A3303">
            <v>2900</v>
          </cell>
          <cell r="B3303" t="str">
            <v>27/07/2012</v>
          </cell>
          <cell r="C3303" t="str">
            <v>C1087</v>
          </cell>
          <cell r="D3303" t="str">
            <v>Carry out works as agreed with Mark Poulton</v>
          </cell>
          <cell r="E3303" t="str">
            <v>Daniel Naylor</v>
          </cell>
          <cell r="F3303" t="str">
            <v>Subcontractor</v>
          </cell>
          <cell r="G3303" t="str">
            <v/>
          </cell>
          <cell r="H3303" t="str">
            <v/>
          </cell>
          <cell r="I3303" t="str">
            <v/>
          </cell>
          <cell r="J3303">
            <v>1000</v>
          </cell>
          <cell r="K3303">
            <v>200</v>
          </cell>
          <cell r="L3303">
            <v>1000</v>
          </cell>
          <cell r="M3303" t="str">
            <v/>
          </cell>
          <cell r="N3303">
            <v>0</v>
          </cell>
        </row>
        <row r="3304">
          <cell r="A3304">
            <v>2898</v>
          </cell>
          <cell r="B3304" t="str">
            <v>26/07/2012</v>
          </cell>
          <cell r="C3304" t="str">
            <v>C1069</v>
          </cell>
          <cell r="D3304" t="str">
            <v>Modification of Ductwork - Installation of Grilles</v>
          </cell>
          <cell r="E3304" t="str">
            <v>Omegair Limited</v>
          </cell>
          <cell r="F3304" t="str">
            <v>Subcontractor</v>
          </cell>
          <cell r="G3304" t="str">
            <v/>
          </cell>
          <cell r="H3304" t="str">
            <v/>
          </cell>
          <cell r="I3304" t="str">
            <v/>
          </cell>
          <cell r="J3304">
            <v>3000</v>
          </cell>
          <cell r="K3304">
            <v>600</v>
          </cell>
          <cell r="L3304">
            <v>3000</v>
          </cell>
          <cell r="M3304" t="str">
            <v/>
          </cell>
          <cell r="N3304">
            <v>0</v>
          </cell>
        </row>
        <row r="3305">
          <cell r="A3305">
            <v>2897</v>
          </cell>
          <cell r="B3305" t="str">
            <v>26/07/2012</v>
          </cell>
          <cell r="C3305" t="str">
            <v>C1069</v>
          </cell>
          <cell r="D3305" t="str">
            <v>For works completed to date and completion</v>
          </cell>
          <cell r="E3305" t="str">
            <v>Technical Building Services</v>
          </cell>
          <cell r="F3305" t="str">
            <v>Subcontractor</v>
          </cell>
          <cell r="G3305" t="str">
            <v/>
          </cell>
          <cell r="H3305" t="str">
            <v/>
          </cell>
          <cell r="I3305" t="str">
            <v/>
          </cell>
          <cell r="J3305">
            <v>4000</v>
          </cell>
          <cell r="K3305">
            <v>800</v>
          </cell>
          <cell r="L3305">
            <v>0</v>
          </cell>
          <cell r="M3305" t="str">
            <v/>
          </cell>
          <cell r="N3305">
            <v>4000</v>
          </cell>
        </row>
        <row r="3306">
          <cell r="A3306">
            <v>2896</v>
          </cell>
          <cell r="B3306" t="str">
            <v>26/07/2012</v>
          </cell>
          <cell r="C3306" t="str">
            <v>C1090</v>
          </cell>
          <cell r="D3306" t="str">
            <v>Install Ductwork as per drawing 57-702C1</v>
          </cell>
          <cell r="E3306" t="str">
            <v>Thornley Building Services</v>
          </cell>
          <cell r="F3306" t="str">
            <v>Subcontractor</v>
          </cell>
          <cell r="G3306" t="str">
            <v/>
          </cell>
          <cell r="H3306" t="str">
            <v/>
          </cell>
          <cell r="I3306" t="str">
            <v/>
          </cell>
          <cell r="J3306">
            <v>2650</v>
          </cell>
          <cell r="K3306">
            <v>530</v>
          </cell>
          <cell r="L3306">
            <v>2650</v>
          </cell>
          <cell r="M3306" t="str">
            <v/>
          </cell>
          <cell r="N3306">
            <v>0</v>
          </cell>
        </row>
        <row r="3307">
          <cell r="A3307">
            <v>2890</v>
          </cell>
          <cell r="B3307" t="str">
            <v>24/07/2012</v>
          </cell>
          <cell r="C3307" t="str">
            <v>CALLOUT</v>
          </cell>
          <cell r="D3307" t="str">
            <v>Rectified fault with the Ladies Showers</v>
          </cell>
          <cell r="E3307" t="str">
            <v>A Jones Heating &amp; Plumbing</v>
          </cell>
          <cell r="F3307" t="str">
            <v>Subcontractor</v>
          </cell>
          <cell r="G3307" t="str">
            <v/>
          </cell>
          <cell r="H3307" t="str">
            <v/>
          </cell>
          <cell r="I3307" t="str">
            <v/>
          </cell>
          <cell r="J3307">
            <v>105</v>
          </cell>
          <cell r="K3307">
            <v>0</v>
          </cell>
          <cell r="L3307">
            <v>105</v>
          </cell>
          <cell r="M3307" t="str">
            <v/>
          </cell>
          <cell r="N3307">
            <v>0</v>
          </cell>
        </row>
        <row r="3308">
          <cell r="A3308">
            <v>2889</v>
          </cell>
          <cell r="B3308" t="str">
            <v>24/07/2012</v>
          </cell>
          <cell r="C3308" t="str">
            <v>C1085</v>
          </cell>
          <cell r="D3308" t="str">
            <v>Installation of Ductwork on Nights</v>
          </cell>
          <cell r="E3308" t="str">
            <v>Gary Barnes</v>
          </cell>
          <cell r="F3308" t="str">
            <v>Subcontractor</v>
          </cell>
          <cell r="G3308" t="str">
            <v/>
          </cell>
          <cell r="H3308" t="str">
            <v/>
          </cell>
          <cell r="I3308" t="str">
            <v/>
          </cell>
          <cell r="J3308">
            <v>3600</v>
          </cell>
          <cell r="K3308">
            <v>0</v>
          </cell>
          <cell r="L3308">
            <v>3600</v>
          </cell>
          <cell r="M3308" t="str">
            <v/>
          </cell>
          <cell r="N3308">
            <v>0</v>
          </cell>
        </row>
        <row r="3309">
          <cell r="A3309">
            <v>2884</v>
          </cell>
          <cell r="B3309" t="str">
            <v>23/07/2012</v>
          </cell>
          <cell r="C3309" t="str">
            <v>C1079</v>
          </cell>
          <cell r="D3309" t="str">
            <v>Installation of Ductwork</v>
          </cell>
          <cell r="E3309" t="str">
            <v>AFN Airconditioning</v>
          </cell>
          <cell r="F3309" t="str">
            <v>Subcontractor</v>
          </cell>
          <cell r="G3309" t="str">
            <v/>
          </cell>
          <cell r="H3309" t="str">
            <v/>
          </cell>
          <cell r="I3309" t="str">
            <v/>
          </cell>
          <cell r="J3309">
            <v>2050</v>
          </cell>
          <cell r="K3309">
            <v>410</v>
          </cell>
          <cell r="L3309">
            <v>2050</v>
          </cell>
          <cell r="M3309" t="str">
            <v/>
          </cell>
          <cell r="N3309">
            <v>0</v>
          </cell>
        </row>
        <row r="3310">
          <cell r="A3310">
            <v>2883</v>
          </cell>
          <cell r="B3310" t="str">
            <v>23/07/2012</v>
          </cell>
          <cell r="C3310" t="str">
            <v>C1079</v>
          </cell>
          <cell r="D3310" t="str">
            <v>Carry out works as agreed with Mark Poulton</v>
          </cell>
          <cell r="E3310" t="str">
            <v>AFN Airconditioning</v>
          </cell>
          <cell r="F3310" t="str">
            <v>Subcontractor</v>
          </cell>
          <cell r="G3310" t="str">
            <v/>
          </cell>
          <cell r="H3310" t="str">
            <v/>
          </cell>
          <cell r="I3310" t="str">
            <v/>
          </cell>
          <cell r="J3310">
            <v>7350</v>
          </cell>
          <cell r="K3310">
            <v>1470</v>
          </cell>
          <cell r="L3310">
            <v>7350</v>
          </cell>
          <cell r="M3310" t="str">
            <v/>
          </cell>
          <cell r="N3310">
            <v>0</v>
          </cell>
        </row>
        <row r="3311">
          <cell r="A3311">
            <v>2879</v>
          </cell>
          <cell r="B3311" t="str">
            <v>20/07/2012</v>
          </cell>
          <cell r="C3311" t="str">
            <v>CALLOUT</v>
          </cell>
          <cell r="D3311" t="str">
            <v>1st Visit - Site Survey - 2nd Visit to supply and install pu</v>
          </cell>
          <cell r="E3311" t="str">
            <v>Anthony Howman Plumbing &amp; Heating</v>
          </cell>
          <cell r="F3311" t="str">
            <v>Subcontractor</v>
          </cell>
          <cell r="G3311" t="str">
            <v/>
          </cell>
          <cell r="H3311" t="str">
            <v/>
          </cell>
          <cell r="I3311" t="str">
            <v/>
          </cell>
          <cell r="J3311">
            <v>240</v>
          </cell>
          <cell r="K3311">
            <v>48</v>
          </cell>
          <cell r="L3311">
            <v>240</v>
          </cell>
          <cell r="M3311" t="str">
            <v/>
          </cell>
          <cell r="N3311">
            <v>0</v>
          </cell>
        </row>
        <row r="3312">
          <cell r="A3312">
            <v>2868</v>
          </cell>
          <cell r="B3312" t="str">
            <v>17/07/2012</v>
          </cell>
          <cell r="C3312" t="str">
            <v>CALLOUT</v>
          </cell>
          <cell r="D3312" t="str">
            <v>Installed cold water feed to the water cooler &amp; coffee machi</v>
          </cell>
          <cell r="E3312" t="str">
            <v>Anthony Howman Plumbing &amp; Heating</v>
          </cell>
          <cell r="F3312" t="str">
            <v>Subcontractor</v>
          </cell>
          <cell r="G3312" t="str">
            <v/>
          </cell>
          <cell r="H3312" t="str">
            <v/>
          </cell>
          <cell r="I3312" t="str">
            <v/>
          </cell>
          <cell r="J3312">
            <v>230</v>
          </cell>
          <cell r="K3312">
            <v>46</v>
          </cell>
          <cell r="L3312">
            <v>230</v>
          </cell>
          <cell r="M3312" t="str">
            <v/>
          </cell>
          <cell r="N3312">
            <v>0</v>
          </cell>
        </row>
        <row r="3313">
          <cell r="A3313">
            <v>2867</v>
          </cell>
          <cell r="B3313" t="str">
            <v>17/07/2012</v>
          </cell>
          <cell r="C3313" t="str">
            <v>CALLOUT</v>
          </cell>
          <cell r="D3313" t="str">
            <v>To attend site on Friday to work alongside the controls peop</v>
          </cell>
          <cell r="E3313" t="str">
            <v>GalxC Cooling Solutions</v>
          </cell>
          <cell r="F3313" t="str">
            <v>Subcontractor</v>
          </cell>
          <cell r="G3313" t="str">
            <v/>
          </cell>
          <cell r="H3313" t="str">
            <v/>
          </cell>
          <cell r="I3313" t="str">
            <v/>
          </cell>
          <cell r="J3313">
            <v>235</v>
          </cell>
          <cell r="K3313">
            <v>47</v>
          </cell>
          <cell r="L3313">
            <v>250</v>
          </cell>
          <cell r="M3313" t="str">
            <v/>
          </cell>
          <cell r="N3313">
            <v>-15</v>
          </cell>
        </row>
        <row r="3314">
          <cell r="A3314">
            <v>2866</v>
          </cell>
          <cell r="B3314" t="str">
            <v>17/07/2012</v>
          </cell>
          <cell r="C3314" t="str">
            <v>CALLOUT</v>
          </cell>
          <cell r="D3314" t="str">
            <v>Installation of power supply to serve the new rational cooke</v>
          </cell>
          <cell r="E3314" t="str">
            <v>ADS Electrical (Preston) Ltd</v>
          </cell>
          <cell r="F3314" t="str">
            <v>Subcontractor</v>
          </cell>
          <cell r="G3314" t="str">
            <v/>
          </cell>
          <cell r="H3314" t="str">
            <v/>
          </cell>
          <cell r="I3314" t="str">
            <v/>
          </cell>
          <cell r="J3314">
            <v>900</v>
          </cell>
          <cell r="K3314">
            <v>180</v>
          </cell>
          <cell r="L3314">
            <v>900</v>
          </cell>
          <cell r="M3314" t="str">
            <v/>
          </cell>
          <cell r="N3314">
            <v>0</v>
          </cell>
        </row>
        <row r="3315">
          <cell r="A3315">
            <v>2865</v>
          </cell>
          <cell r="B3315" t="str">
            <v>17/07/2012</v>
          </cell>
          <cell r="C3315" t="str">
            <v>C1088</v>
          </cell>
          <cell r="D3315" t="str">
            <v>Carry out Works as agreed with Mark Poulton</v>
          </cell>
          <cell r="E3315" t="str">
            <v>RMS Electrical Services Ltd</v>
          </cell>
          <cell r="F3315" t="str">
            <v>Subcontractor</v>
          </cell>
          <cell r="G3315" t="str">
            <v/>
          </cell>
          <cell r="H3315" t="str">
            <v>Part</v>
          </cell>
          <cell r="I3315" t="str">
            <v/>
          </cell>
          <cell r="J3315">
            <v>10341.5</v>
          </cell>
          <cell r="K3315">
            <v>2068.3000000000002</v>
          </cell>
          <cell r="L3315">
            <v>12468.14</v>
          </cell>
          <cell r="M3315" t="str">
            <v/>
          </cell>
          <cell r="N3315">
            <v>0</v>
          </cell>
        </row>
        <row r="3316">
          <cell r="A3316">
            <v>2863</v>
          </cell>
          <cell r="B3316" t="str">
            <v>17/07/2012</v>
          </cell>
          <cell r="C3316" t="str">
            <v>CALLOUT</v>
          </cell>
          <cell r="D3316" t="str">
            <v>Call Out to Site - Rectified Fault</v>
          </cell>
          <cell r="E3316" t="str">
            <v>Adept Cooling</v>
          </cell>
          <cell r="F3316" t="str">
            <v>Subcontractor</v>
          </cell>
          <cell r="G3316" t="str">
            <v/>
          </cell>
          <cell r="H3316" t="str">
            <v/>
          </cell>
          <cell r="I3316" t="str">
            <v/>
          </cell>
          <cell r="J3316">
            <v>70</v>
          </cell>
          <cell r="K3316">
            <v>14</v>
          </cell>
          <cell r="L3316">
            <v>70</v>
          </cell>
          <cell r="M3316" t="str">
            <v/>
          </cell>
          <cell r="N3316">
            <v>0</v>
          </cell>
        </row>
        <row r="3317">
          <cell r="A3317">
            <v>2843</v>
          </cell>
          <cell r="B3317" t="str">
            <v>11/07/2012</v>
          </cell>
          <cell r="C3317" t="str">
            <v>C1083</v>
          </cell>
          <cell r="D3317" t="str">
            <v>Carry out works as per drawings provided</v>
          </cell>
          <cell r="E3317" t="str">
            <v>Daniel Naylor</v>
          </cell>
          <cell r="F3317" t="str">
            <v>Subcontractor</v>
          </cell>
          <cell r="G3317" t="str">
            <v/>
          </cell>
          <cell r="H3317" t="str">
            <v/>
          </cell>
          <cell r="I3317" t="str">
            <v/>
          </cell>
          <cell r="J3317">
            <v>3200</v>
          </cell>
          <cell r="K3317">
            <v>640</v>
          </cell>
          <cell r="L3317">
            <v>3200</v>
          </cell>
          <cell r="M3317" t="str">
            <v/>
          </cell>
          <cell r="N3317">
            <v>0</v>
          </cell>
        </row>
        <row r="3318">
          <cell r="A3318">
            <v>2842</v>
          </cell>
          <cell r="B3318" t="str">
            <v>11/07/2012</v>
          </cell>
          <cell r="C3318" t="str">
            <v>C1084</v>
          </cell>
          <cell r="D3318" t="str">
            <v>Carry out works as per drawings</v>
          </cell>
          <cell r="E3318" t="str">
            <v>Daniel Naylor</v>
          </cell>
          <cell r="F3318" t="str">
            <v>Subcontractor</v>
          </cell>
          <cell r="G3318" t="str">
            <v/>
          </cell>
          <cell r="H3318" t="str">
            <v/>
          </cell>
          <cell r="I3318" t="str">
            <v/>
          </cell>
          <cell r="J3318">
            <v>5000</v>
          </cell>
          <cell r="K3318">
            <v>1000</v>
          </cell>
          <cell r="L3318">
            <v>4400</v>
          </cell>
          <cell r="M3318" t="str">
            <v/>
          </cell>
          <cell r="N3318">
            <v>600</v>
          </cell>
        </row>
        <row r="3319">
          <cell r="A3319">
            <v>2841</v>
          </cell>
          <cell r="B3319" t="str">
            <v>11/07/2012</v>
          </cell>
          <cell r="C3319" t="str">
            <v>C1086</v>
          </cell>
          <cell r="D3319" t="str">
            <v>Carry out works as per drawings</v>
          </cell>
          <cell r="E3319" t="str">
            <v>Daniel Naylor</v>
          </cell>
          <cell r="F3319" t="str">
            <v>Subcontractor</v>
          </cell>
          <cell r="G3319" t="str">
            <v/>
          </cell>
          <cell r="H3319" t="str">
            <v/>
          </cell>
          <cell r="I3319" t="str">
            <v/>
          </cell>
          <cell r="J3319">
            <v>2000</v>
          </cell>
          <cell r="K3319">
            <v>400</v>
          </cell>
          <cell r="L3319">
            <v>2000</v>
          </cell>
          <cell r="M3319" t="str">
            <v/>
          </cell>
          <cell r="N3319">
            <v>0</v>
          </cell>
        </row>
        <row r="3320">
          <cell r="A3320">
            <v>2827</v>
          </cell>
          <cell r="B3320" t="str">
            <v>10/07/2012</v>
          </cell>
          <cell r="C3320" t="str">
            <v>C1080</v>
          </cell>
          <cell r="D3320" t="str">
            <v>Attended site over 2no visits</v>
          </cell>
          <cell r="E3320" t="str">
            <v>Anthony Howman Plumbing &amp; Heating</v>
          </cell>
          <cell r="F3320" t="str">
            <v>Subcontractor</v>
          </cell>
          <cell r="G3320" t="str">
            <v/>
          </cell>
          <cell r="H3320" t="str">
            <v/>
          </cell>
          <cell r="I3320" t="str">
            <v/>
          </cell>
          <cell r="J3320">
            <v>700</v>
          </cell>
          <cell r="K3320">
            <v>140</v>
          </cell>
          <cell r="L3320">
            <v>700</v>
          </cell>
          <cell r="M3320" t="str">
            <v/>
          </cell>
          <cell r="N3320">
            <v>0</v>
          </cell>
        </row>
        <row r="3321">
          <cell r="A3321">
            <v>2816</v>
          </cell>
          <cell r="B3321" t="str">
            <v>04/07/2012</v>
          </cell>
          <cell r="C3321" t="str">
            <v>C1079</v>
          </cell>
          <cell r="D3321" t="str">
            <v>Disconnect Toilet</v>
          </cell>
          <cell r="E3321" t="str">
            <v>Anthony Howman Plumbing &amp; Heating</v>
          </cell>
          <cell r="F3321" t="str">
            <v>Subcontractor</v>
          </cell>
          <cell r="G3321" t="str">
            <v/>
          </cell>
          <cell r="H3321" t="str">
            <v/>
          </cell>
          <cell r="I3321" t="str">
            <v/>
          </cell>
          <cell r="J3321">
            <v>150</v>
          </cell>
          <cell r="K3321">
            <v>30</v>
          </cell>
          <cell r="L3321">
            <v>0</v>
          </cell>
          <cell r="M3321" t="str">
            <v/>
          </cell>
          <cell r="N3321">
            <v>150</v>
          </cell>
        </row>
        <row r="3322">
          <cell r="A3322">
            <v>2815</v>
          </cell>
          <cell r="B3322" t="str">
            <v>04/07/2012</v>
          </cell>
          <cell r="C3322" t="str">
            <v>C1070</v>
          </cell>
          <cell r="D3322" t="str">
            <v>Supply and Fit new Toilet System</v>
          </cell>
          <cell r="E3322" t="str">
            <v>Anthony Howman Plumbing &amp; Heating</v>
          </cell>
          <cell r="F3322" t="str">
            <v>Subcontractor</v>
          </cell>
          <cell r="G3322" t="str">
            <v/>
          </cell>
          <cell r="H3322" t="str">
            <v/>
          </cell>
          <cell r="I3322" t="str">
            <v/>
          </cell>
          <cell r="J3322">
            <v>250</v>
          </cell>
          <cell r="K3322">
            <v>50</v>
          </cell>
          <cell r="L3322">
            <v>250</v>
          </cell>
          <cell r="M3322" t="str">
            <v/>
          </cell>
          <cell r="N3322">
            <v>0</v>
          </cell>
        </row>
        <row r="3323">
          <cell r="A3323">
            <v>2814</v>
          </cell>
          <cell r="B3323" t="str">
            <v>04/07/2012</v>
          </cell>
          <cell r="C3323" t="str">
            <v>CALLOUT</v>
          </cell>
          <cell r="D3323" t="str">
            <v>Rectified fault on AC Unit</v>
          </cell>
          <cell r="E3323" t="str">
            <v>Adcock Refrigeration &amp; Air Conditioning</v>
          </cell>
          <cell r="F3323" t="str">
            <v>Subcontractor</v>
          </cell>
          <cell r="G3323" t="str">
            <v/>
          </cell>
          <cell r="H3323" t="str">
            <v/>
          </cell>
          <cell r="I3323" t="str">
            <v/>
          </cell>
          <cell r="J3323">
            <v>142</v>
          </cell>
          <cell r="K3323">
            <v>28.4</v>
          </cell>
          <cell r="L3323">
            <v>142</v>
          </cell>
          <cell r="M3323" t="str">
            <v/>
          </cell>
          <cell r="N3323">
            <v>0</v>
          </cell>
        </row>
        <row r="3324">
          <cell r="A3324">
            <v>2806</v>
          </cell>
          <cell r="B3324" t="str">
            <v>03/07/2012</v>
          </cell>
          <cell r="C3324" t="str">
            <v>C1078</v>
          </cell>
          <cell r="D3324" t="str">
            <v>Removed Steel Pipework</v>
          </cell>
          <cell r="E3324" t="str">
            <v>Daniel Naylor</v>
          </cell>
          <cell r="F3324" t="str">
            <v>Subcontractor</v>
          </cell>
          <cell r="G3324" t="str">
            <v/>
          </cell>
          <cell r="H3324" t="str">
            <v/>
          </cell>
          <cell r="I3324" t="str">
            <v/>
          </cell>
          <cell r="J3324">
            <v>200</v>
          </cell>
          <cell r="K3324">
            <v>40</v>
          </cell>
          <cell r="L3324">
            <v>200</v>
          </cell>
          <cell r="M3324" t="str">
            <v/>
          </cell>
          <cell r="N3324">
            <v>0</v>
          </cell>
        </row>
        <row r="3325">
          <cell r="A3325">
            <v>2801</v>
          </cell>
          <cell r="B3325" t="str">
            <v>03/07/2012</v>
          </cell>
          <cell r="C3325" t="str">
            <v>CALLOUT</v>
          </cell>
          <cell r="D3325" t="str">
            <v>Call Out - Rectified fault on AC Unit</v>
          </cell>
          <cell r="E3325" t="str">
            <v>Co-Ordinated Services Ltd</v>
          </cell>
          <cell r="F3325" t="str">
            <v>Subcontractor</v>
          </cell>
          <cell r="G3325" t="str">
            <v/>
          </cell>
          <cell r="H3325" t="str">
            <v/>
          </cell>
          <cell r="I3325" t="str">
            <v/>
          </cell>
          <cell r="J3325">
            <v>205</v>
          </cell>
          <cell r="K3325">
            <v>41</v>
          </cell>
          <cell r="L3325">
            <v>205</v>
          </cell>
          <cell r="M3325" t="str">
            <v/>
          </cell>
          <cell r="N3325">
            <v>0</v>
          </cell>
        </row>
        <row r="3326">
          <cell r="A3326">
            <v>2797</v>
          </cell>
          <cell r="B3326" t="str">
            <v>02/07/2012</v>
          </cell>
          <cell r="C3326" t="str">
            <v>C1068</v>
          </cell>
          <cell r="D3326" t="str">
            <v>To install roof mounted AHU's</v>
          </cell>
          <cell r="E3326" t="str">
            <v>Gary Barnes</v>
          </cell>
          <cell r="F3326" t="str">
            <v>Subcontractor</v>
          </cell>
          <cell r="G3326" t="str">
            <v/>
          </cell>
          <cell r="H3326" t="str">
            <v/>
          </cell>
          <cell r="I3326" t="str">
            <v/>
          </cell>
          <cell r="J3326">
            <v>650</v>
          </cell>
          <cell r="K3326">
            <v>0</v>
          </cell>
          <cell r="L3326">
            <v>650</v>
          </cell>
          <cell r="M3326" t="str">
            <v/>
          </cell>
          <cell r="N3326">
            <v>0</v>
          </cell>
        </row>
        <row r="3327">
          <cell r="A3327">
            <v>2796</v>
          </cell>
          <cell r="B3327" t="str">
            <v>02/07/2012</v>
          </cell>
          <cell r="C3327" t="str">
            <v>C1077</v>
          </cell>
          <cell r="D3327" t="str">
            <v>Installation of all ductwork, fans, silencers</v>
          </cell>
          <cell r="E3327" t="str">
            <v>Gary Barnes</v>
          </cell>
          <cell r="F3327" t="str">
            <v>Subcontractor</v>
          </cell>
          <cell r="G3327" t="str">
            <v/>
          </cell>
          <cell r="H3327" t="str">
            <v/>
          </cell>
          <cell r="I3327" t="str">
            <v/>
          </cell>
          <cell r="J3327">
            <v>3375</v>
          </cell>
          <cell r="K3327">
            <v>0</v>
          </cell>
          <cell r="L3327">
            <v>3375</v>
          </cell>
          <cell r="M3327" t="str">
            <v/>
          </cell>
          <cell r="N3327">
            <v>0</v>
          </cell>
        </row>
        <row r="3328">
          <cell r="A3328">
            <v>2781</v>
          </cell>
          <cell r="B3328" t="str">
            <v>28/06/2012</v>
          </cell>
          <cell r="C3328" t="str">
            <v>CALLOUT</v>
          </cell>
          <cell r="D3328" t="str">
            <v>Disconnected Temporary Water Feed</v>
          </cell>
          <cell r="E3328" t="str">
            <v>Promech (NW) Ltd</v>
          </cell>
          <cell r="F3328" t="str">
            <v>Subcontractor</v>
          </cell>
          <cell r="G3328" t="str">
            <v/>
          </cell>
          <cell r="H3328" t="str">
            <v/>
          </cell>
          <cell r="I3328" t="str">
            <v/>
          </cell>
          <cell r="J3328">
            <v>100</v>
          </cell>
          <cell r="K3328">
            <v>20</v>
          </cell>
          <cell r="L3328">
            <v>100</v>
          </cell>
          <cell r="M3328" t="str">
            <v/>
          </cell>
          <cell r="N3328">
            <v>0</v>
          </cell>
        </row>
        <row r="3329">
          <cell r="A3329">
            <v>2780</v>
          </cell>
          <cell r="B3329" t="str">
            <v>28/06/2012</v>
          </cell>
          <cell r="C3329" t="str">
            <v>C1078</v>
          </cell>
          <cell r="D3329" t="str">
            <v>1st Visit to Site to remove radiators</v>
          </cell>
          <cell r="E3329" t="str">
            <v>Promech (NW) Ltd</v>
          </cell>
          <cell r="F3329" t="str">
            <v>Subcontractor</v>
          </cell>
          <cell r="G3329" t="str">
            <v/>
          </cell>
          <cell r="H3329" t="str">
            <v/>
          </cell>
          <cell r="I3329" t="str">
            <v/>
          </cell>
          <cell r="J3329">
            <v>135</v>
          </cell>
          <cell r="K3329">
            <v>27</v>
          </cell>
          <cell r="L3329">
            <v>135</v>
          </cell>
          <cell r="M3329" t="str">
            <v/>
          </cell>
          <cell r="N3329">
            <v>0</v>
          </cell>
        </row>
        <row r="3330">
          <cell r="A3330">
            <v>2777</v>
          </cell>
          <cell r="B3330" t="str">
            <v>27/06/2012</v>
          </cell>
          <cell r="C3330" t="str">
            <v>C1074</v>
          </cell>
          <cell r="D3330" t="str">
            <v>Installation of 2no Water Chillers</v>
          </cell>
          <cell r="E3330" t="str">
            <v>Daniel Naylor</v>
          </cell>
          <cell r="F3330" t="str">
            <v>Subcontractor</v>
          </cell>
          <cell r="G3330" t="str">
            <v/>
          </cell>
          <cell r="H3330" t="str">
            <v/>
          </cell>
          <cell r="I3330" t="str">
            <v/>
          </cell>
          <cell r="J3330">
            <v>300</v>
          </cell>
          <cell r="K3330">
            <v>60</v>
          </cell>
          <cell r="L3330">
            <v>300</v>
          </cell>
          <cell r="M3330" t="str">
            <v/>
          </cell>
          <cell r="N3330">
            <v>0</v>
          </cell>
        </row>
        <row r="3331">
          <cell r="A3331">
            <v>2774</v>
          </cell>
          <cell r="B3331" t="str">
            <v>27/06/2012</v>
          </cell>
          <cell r="C3331" t="str">
            <v>CALLOUT</v>
          </cell>
          <cell r="D3331" t="str">
            <v>Investigate Gas Leak</v>
          </cell>
          <cell r="E3331" t="str">
            <v>Anthony Howman Plumbing &amp; Heating</v>
          </cell>
          <cell r="F3331" t="str">
            <v>Subcontractor</v>
          </cell>
          <cell r="G3331" t="str">
            <v/>
          </cell>
          <cell r="H3331" t="str">
            <v/>
          </cell>
          <cell r="I3331" t="str">
            <v/>
          </cell>
          <cell r="J3331">
            <v>110</v>
          </cell>
          <cell r="K3331">
            <v>22</v>
          </cell>
          <cell r="L3331">
            <v>110</v>
          </cell>
          <cell r="M3331" t="str">
            <v/>
          </cell>
          <cell r="N3331">
            <v>0</v>
          </cell>
        </row>
        <row r="3332">
          <cell r="A3332">
            <v>2772</v>
          </cell>
          <cell r="B3332" t="str">
            <v>26/06/2012</v>
          </cell>
          <cell r="C3332" t="str">
            <v>C1079</v>
          </cell>
          <cell r="D3332" t="str">
            <v>1st Visit to site - Strip Out</v>
          </cell>
          <cell r="E3332" t="str">
            <v>Anthony Howman Plumbing &amp; Heating</v>
          </cell>
          <cell r="F3332" t="str">
            <v>Subcontractor</v>
          </cell>
          <cell r="G3332" t="str">
            <v/>
          </cell>
          <cell r="H3332" t="str">
            <v/>
          </cell>
          <cell r="I3332" t="str">
            <v/>
          </cell>
          <cell r="J3332">
            <v>375</v>
          </cell>
          <cell r="K3332">
            <v>75</v>
          </cell>
          <cell r="L3332">
            <v>0</v>
          </cell>
          <cell r="M3332" t="str">
            <v/>
          </cell>
          <cell r="N3332">
            <v>375</v>
          </cell>
        </row>
        <row r="3333">
          <cell r="A3333">
            <v>2747</v>
          </cell>
          <cell r="B3333" t="str">
            <v>21/06/2012</v>
          </cell>
          <cell r="C3333" t="str">
            <v>SERVICE</v>
          </cell>
          <cell r="D3333" t="str">
            <v>Carry out Heating Maintenance</v>
          </cell>
          <cell r="E3333" t="str">
            <v>A Jones Heating &amp; Plumbing</v>
          </cell>
          <cell r="F3333" t="str">
            <v>Subcontractor</v>
          </cell>
          <cell r="G3333" t="str">
            <v/>
          </cell>
          <cell r="H3333" t="str">
            <v/>
          </cell>
          <cell r="I3333" t="str">
            <v/>
          </cell>
          <cell r="J3333">
            <v>170</v>
          </cell>
          <cell r="K3333">
            <v>0</v>
          </cell>
          <cell r="L3333">
            <v>260</v>
          </cell>
          <cell r="M3333" t="str">
            <v/>
          </cell>
          <cell r="N3333">
            <v>-90</v>
          </cell>
        </row>
        <row r="3334">
          <cell r="A3334">
            <v>2746</v>
          </cell>
          <cell r="B3334" t="str">
            <v>21/06/2012</v>
          </cell>
          <cell r="C3334" t="str">
            <v>C1069</v>
          </cell>
          <cell r="D3334" t="str">
            <v>2nd Fix Sanitary ware at QS house in Chorley</v>
          </cell>
          <cell r="E3334" t="str">
            <v>Promech (NW) Ltd</v>
          </cell>
          <cell r="F3334" t="str">
            <v>Subcontractor</v>
          </cell>
          <cell r="G3334" t="str">
            <v/>
          </cell>
          <cell r="H3334" t="str">
            <v/>
          </cell>
          <cell r="I3334" t="str">
            <v/>
          </cell>
          <cell r="J3334">
            <v>240</v>
          </cell>
          <cell r="K3334">
            <v>48</v>
          </cell>
          <cell r="L3334">
            <v>240</v>
          </cell>
          <cell r="M3334" t="str">
            <v/>
          </cell>
          <cell r="N3334">
            <v>0</v>
          </cell>
        </row>
        <row r="3335">
          <cell r="A3335">
            <v>2724</v>
          </cell>
          <cell r="B3335" t="str">
            <v>07/06/2012</v>
          </cell>
          <cell r="C3335" t="str">
            <v>CALLOUT</v>
          </cell>
          <cell r="D3335" t="str">
            <v>Investigated no Hot Water in cleaners room</v>
          </cell>
          <cell r="E3335" t="str">
            <v>Foztek Limited</v>
          </cell>
          <cell r="F3335" t="str">
            <v>Subcontractor</v>
          </cell>
          <cell r="G3335" t="str">
            <v/>
          </cell>
          <cell r="H3335" t="str">
            <v/>
          </cell>
          <cell r="I3335" t="str">
            <v/>
          </cell>
          <cell r="J3335">
            <v>60</v>
          </cell>
          <cell r="K3335">
            <v>12</v>
          </cell>
          <cell r="L3335">
            <v>60</v>
          </cell>
          <cell r="M3335" t="str">
            <v/>
          </cell>
          <cell r="N3335">
            <v>0</v>
          </cell>
        </row>
        <row r="3336">
          <cell r="A3336">
            <v>2714</v>
          </cell>
          <cell r="B3336" t="str">
            <v>06/06/2012</v>
          </cell>
          <cell r="C3336" t="str">
            <v>SERVICE</v>
          </cell>
          <cell r="D3336" t="str">
            <v>Carry out AC Maintenance (3no Split Systems)</v>
          </cell>
          <cell r="E3336" t="str">
            <v>Adcock Refrigeration &amp; Air Conditioning</v>
          </cell>
          <cell r="F3336" t="str">
            <v>Subcontractor</v>
          </cell>
          <cell r="G3336" t="str">
            <v/>
          </cell>
          <cell r="H3336" t="str">
            <v/>
          </cell>
          <cell r="I3336" t="str">
            <v/>
          </cell>
          <cell r="J3336">
            <v>150</v>
          </cell>
          <cell r="K3336">
            <v>30</v>
          </cell>
          <cell r="L3336">
            <v>150</v>
          </cell>
          <cell r="M3336" t="str">
            <v/>
          </cell>
          <cell r="N3336">
            <v>0</v>
          </cell>
        </row>
        <row r="3337">
          <cell r="A3337">
            <v>2713</v>
          </cell>
          <cell r="B3337" t="str">
            <v>06/06/2012</v>
          </cell>
          <cell r="C3337" t="str">
            <v>SERVICE</v>
          </cell>
          <cell r="D3337" t="str">
            <v>Carry out Maintenance of AHU on the roof</v>
          </cell>
          <cell r="E3337" t="str">
            <v>Adcock Refrigeration &amp; Air Conditioning</v>
          </cell>
          <cell r="F3337" t="str">
            <v>Subcontractor</v>
          </cell>
          <cell r="G3337" t="str">
            <v/>
          </cell>
          <cell r="H3337" t="str">
            <v/>
          </cell>
          <cell r="I3337" t="str">
            <v/>
          </cell>
          <cell r="J3337">
            <v>230.5</v>
          </cell>
          <cell r="K3337">
            <v>46.1</v>
          </cell>
          <cell r="L3337">
            <v>230.5</v>
          </cell>
          <cell r="M3337" t="str">
            <v/>
          </cell>
          <cell r="N3337">
            <v>0</v>
          </cell>
        </row>
        <row r="3338">
          <cell r="A3338">
            <v>2710</v>
          </cell>
          <cell r="B3338" t="str">
            <v>01/06/2012</v>
          </cell>
          <cell r="C3338" t="str">
            <v>C1059</v>
          </cell>
          <cell r="D3338" t="str">
            <v>Works to be carried out at Media City 17th Floor</v>
          </cell>
          <cell r="E3338" t="str">
            <v>Gary Barnes</v>
          </cell>
          <cell r="F3338" t="str">
            <v>Subcontractor</v>
          </cell>
          <cell r="G3338" t="str">
            <v/>
          </cell>
          <cell r="H3338" t="str">
            <v/>
          </cell>
          <cell r="I3338" t="str">
            <v/>
          </cell>
          <cell r="J3338">
            <v>450</v>
          </cell>
          <cell r="K3338">
            <v>0</v>
          </cell>
          <cell r="L3338">
            <v>450</v>
          </cell>
          <cell r="M3338" t="str">
            <v/>
          </cell>
          <cell r="N3338">
            <v>0</v>
          </cell>
        </row>
        <row r="3339">
          <cell r="A3339">
            <v>2709</v>
          </cell>
          <cell r="B3339" t="str">
            <v>01/06/2012</v>
          </cell>
          <cell r="C3339" t="str">
            <v>C1064</v>
          </cell>
          <cell r="D3339" t="str">
            <v>Works to be carried out at Milton Keynes</v>
          </cell>
          <cell r="E3339" t="str">
            <v>Omegair Limited</v>
          </cell>
          <cell r="F3339" t="str">
            <v>Subcontractor</v>
          </cell>
          <cell r="G3339" t="str">
            <v/>
          </cell>
          <cell r="H3339" t="str">
            <v/>
          </cell>
          <cell r="I3339" t="str">
            <v/>
          </cell>
          <cell r="J3339">
            <v>1660</v>
          </cell>
          <cell r="K3339">
            <v>332</v>
          </cell>
          <cell r="L3339">
            <v>1660</v>
          </cell>
          <cell r="M3339" t="str">
            <v/>
          </cell>
          <cell r="N3339">
            <v>0</v>
          </cell>
        </row>
        <row r="3340">
          <cell r="A3340">
            <v>2708</v>
          </cell>
          <cell r="B3340" t="str">
            <v>01/06/2012</v>
          </cell>
          <cell r="C3340" t="str">
            <v>C1063</v>
          </cell>
          <cell r="D3340" t="str">
            <v>Works to be carried out at Sittingbourne</v>
          </cell>
          <cell r="E3340" t="str">
            <v>Omegair Limited</v>
          </cell>
          <cell r="F3340" t="str">
            <v>Subcontractor</v>
          </cell>
          <cell r="G3340" t="str">
            <v/>
          </cell>
          <cell r="H3340" t="str">
            <v/>
          </cell>
          <cell r="I3340" t="str">
            <v/>
          </cell>
          <cell r="J3340">
            <v>300</v>
          </cell>
          <cell r="K3340">
            <v>60</v>
          </cell>
          <cell r="L3340">
            <v>300</v>
          </cell>
          <cell r="M3340" t="str">
            <v/>
          </cell>
          <cell r="N3340">
            <v>0</v>
          </cell>
        </row>
        <row r="3341">
          <cell r="A3341">
            <v>2695</v>
          </cell>
          <cell r="B3341" t="str">
            <v>31/05/2012</v>
          </cell>
          <cell r="C3341" t="str">
            <v>C1070</v>
          </cell>
          <cell r="D3341" t="str">
            <v>Installation of Free Issue AC Equipment</v>
          </cell>
          <cell r="E3341" t="str">
            <v>Daniel Naylor</v>
          </cell>
          <cell r="F3341" t="str">
            <v>Subcontractor</v>
          </cell>
          <cell r="G3341" t="str">
            <v/>
          </cell>
          <cell r="H3341" t="str">
            <v/>
          </cell>
          <cell r="I3341" t="str">
            <v/>
          </cell>
          <cell r="J3341">
            <v>2300</v>
          </cell>
          <cell r="K3341">
            <v>0</v>
          </cell>
          <cell r="L3341">
            <v>2700</v>
          </cell>
          <cell r="M3341" t="str">
            <v/>
          </cell>
          <cell r="N3341">
            <v>-400</v>
          </cell>
        </row>
        <row r="3342">
          <cell r="A3342">
            <v>2691</v>
          </cell>
          <cell r="B3342" t="str">
            <v>30/05/2012</v>
          </cell>
          <cell r="C3342" t="str">
            <v>C1070</v>
          </cell>
          <cell r="D3342" t="str">
            <v>Carried out 2no visits to site</v>
          </cell>
          <cell r="E3342" t="str">
            <v>Anthony Howman Plumbing &amp; Heating</v>
          </cell>
          <cell r="F3342" t="str">
            <v>Subcontractor</v>
          </cell>
          <cell r="G3342" t="str">
            <v/>
          </cell>
          <cell r="H3342" t="str">
            <v/>
          </cell>
          <cell r="I3342" t="str">
            <v/>
          </cell>
          <cell r="J3342">
            <v>290</v>
          </cell>
          <cell r="K3342">
            <v>58</v>
          </cell>
          <cell r="L3342">
            <v>290</v>
          </cell>
          <cell r="M3342" t="str">
            <v/>
          </cell>
          <cell r="N3342">
            <v>0</v>
          </cell>
        </row>
        <row r="3343">
          <cell r="A3343">
            <v>2675</v>
          </cell>
          <cell r="B3343" t="str">
            <v>28/05/2012</v>
          </cell>
          <cell r="C3343" t="str">
            <v>CALLOUT</v>
          </cell>
          <cell r="D3343" t="str">
            <v>Call Out - AC leaking</v>
          </cell>
          <cell r="E3343" t="str">
            <v>A Class Airconditioning</v>
          </cell>
          <cell r="F3343" t="str">
            <v>Subcontractor</v>
          </cell>
          <cell r="G3343" t="str">
            <v/>
          </cell>
          <cell r="H3343" t="str">
            <v/>
          </cell>
          <cell r="I3343" t="str">
            <v/>
          </cell>
          <cell r="J3343">
            <v>110</v>
          </cell>
          <cell r="K3343">
            <v>22</v>
          </cell>
          <cell r="L3343">
            <v>110</v>
          </cell>
          <cell r="M3343" t="str">
            <v/>
          </cell>
          <cell r="N3343">
            <v>0</v>
          </cell>
        </row>
        <row r="3344">
          <cell r="A3344">
            <v>2643</v>
          </cell>
          <cell r="B3344" t="str">
            <v>22/05/2012</v>
          </cell>
          <cell r="C3344" t="str">
            <v>SERVICE</v>
          </cell>
          <cell r="D3344" t="str">
            <v>Carry out AC Maintenance on Tuesday Morning 29th May 2012</v>
          </cell>
          <cell r="E3344" t="str">
            <v>Adcock Refrigeration &amp; Air Conditioning</v>
          </cell>
          <cell r="F3344" t="str">
            <v>Subcontractor</v>
          </cell>
          <cell r="G3344" t="str">
            <v/>
          </cell>
          <cell r="H3344" t="str">
            <v/>
          </cell>
          <cell r="I3344" t="str">
            <v/>
          </cell>
          <cell r="J3344">
            <v>150</v>
          </cell>
          <cell r="K3344">
            <v>30</v>
          </cell>
          <cell r="L3344">
            <v>150</v>
          </cell>
          <cell r="M3344" t="str">
            <v/>
          </cell>
          <cell r="N3344">
            <v>0</v>
          </cell>
        </row>
        <row r="3345">
          <cell r="A3345">
            <v>2631</v>
          </cell>
          <cell r="B3345" t="str">
            <v>18/05/2012</v>
          </cell>
          <cell r="C3345" t="str">
            <v>C1064</v>
          </cell>
          <cell r="D3345" t="str">
            <v>Works to be carried out at Snap Fittness Milton Keynes</v>
          </cell>
          <cell r="E3345" t="str">
            <v>AFN Airconditioning</v>
          </cell>
          <cell r="F3345" t="str">
            <v>Subcontractor</v>
          </cell>
          <cell r="G3345" t="str">
            <v/>
          </cell>
          <cell r="H3345" t="str">
            <v/>
          </cell>
          <cell r="I3345" t="str">
            <v/>
          </cell>
          <cell r="J3345">
            <v>3400</v>
          </cell>
          <cell r="K3345">
            <v>680</v>
          </cell>
          <cell r="L3345">
            <v>3400</v>
          </cell>
          <cell r="M3345" t="str">
            <v/>
          </cell>
          <cell r="N3345">
            <v>0</v>
          </cell>
        </row>
        <row r="3346">
          <cell r="A3346">
            <v>2624</v>
          </cell>
          <cell r="B3346" t="str">
            <v>17/05/2012</v>
          </cell>
          <cell r="C3346" t="str">
            <v>CALLOUT</v>
          </cell>
          <cell r="D3346" t="str">
            <v>Supplied Labour as agreed with Hayley</v>
          </cell>
          <cell r="E3346" t="str">
            <v>Anthony Howman Plumbing &amp; Heating</v>
          </cell>
          <cell r="F3346" t="str">
            <v>Subcontractor</v>
          </cell>
          <cell r="G3346" t="str">
            <v/>
          </cell>
          <cell r="H3346" t="str">
            <v/>
          </cell>
          <cell r="I3346" t="str">
            <v/>
          </cell>
          <cell r="J3346">
            <v>300</v>
          </cell>
          <cell r="K3346">
            <v>60</v>
          </cell>
          <cell r="L3346">
            <v>300</v>
          </cell>
          <cell r="M3346" t="str">
            <v/>
          </cell>
          <cell r="N3346">
            <v>0</v>
          </cell>
        </row>
        <row r="3347">
          <cell r="A3347">
            <v>2618</v>
          </cell>
          <cell r="B3347" t="str">
            <v>16/05/2012</v>
          </cell>
          <cell r="C3347" t="str">
            <v>C1060</v>
          </cell>
          <cell r="D3347" t="str">
            <v>Refit 7no Radiators</v>
          </cell>
          <cell r="E3347" t="str">
            <v>Anthony Howman Plumbing &amp; Heating</v>
          </cell>
          <cell r="F3347" t="str">
            <v>Subcontractor</v>
          </cell>
          <cell r="G3347" t="str">
            <v/>
          </cell>
          <cell r="H3347" t="str">
            <v/>
          </cell>
          <cell r="I3347" t="str">
            <v/>
          </cell>
          <cell r="J3347">
            <v>375</v>
          </cell>
          <cell r="K3347">
            <v>75</v>
          </cell>
          <cell r="L3347">
            <v>375</v>
          </cell>
          <cell r="M3347" t="str">
            <v/>
          </cell>
          <cell r="N3347">
            <v>0</v>
          </cell>
        </row>
        <row r="3348">
          <cell r="A3348">
            <v>2606</v>
          </cell>
          <cell r="B3348" t="str">
            <v>10/05/2012</v>
          </cell>
          <cell r="C3348" t="str">
            <v>C1069</v>
          </cell>
          <cell r="D3348" t="str">
            <v>Engineer to attend site on Sunday 13th May 2012</v>
          </cell>
          <cell r="E3348" t="str">
            <v>Probalance Ltd</v>
          </cell>
          <cell r="F3348" t="str">
            <v>Subcontractor</v>
          </cell>
          <cell r="G3348" t="str">
            <v/>
          </cell>
          <cell r="H3348" t="str">
            <v/>
          </cell>
          <cell r="I3348" t="str">
            <v/>
          </cell>
          <cell r="J3348">
            <v>375.75</v>
          </cell>
          <cell r="K3348">
            <v>75.150000000000006</v>
          </cell>
          <cell r="L3348">
            <v>361.56</v>
          </cell>
          <cell r="M3348" t="str">
            <v/>
          </cell>
          <cell r="N3348">
            <v>14.19</v>
          </cell>
        </row>
        <row r="3349">
          <cell r="A3349">
            <v>2605</v>
          </cell>
          <cell r="B3349" t="str">
            <v>10/05/2012</v>
          </cell>
          <cell r="C3349" t="str">
            <v>C1065</v>
          </cell>
          <cell r="D3349" t="str">
            <v>Remove &amp; Refit Radiators</v>
          </cell>
          <cell r="E3349" t="str">
            <v>Anthony Howman Plumbing &amp; Heating</v>
          </cell>
          <cell r="F3349" t="str">
            <v>Subcontractor</v>
          </cell>
          <cell r="G3349" t="str">
            <v/>
          </cell>
          <cell r="H3349" t="str">
            <v/>
          </cell>
          <cell r="I3349" t="str">
            <v/>
          </cell>
          <cell r="J3349">
            <v>900</v>
          </cell>
          <cell r="K3349">
            <v>180</v>
          </cell>
          <cell r="L3349">
            <v>900</v>
          </cell>
          <cell r="M3349" t="str">
            <v/>
          </cell>
          <cell r="N3349">
            <v>0</v>
          </cell>
        </row>
        <row r="3350">
          <cell r="A3350">
            <v>2604</v>
          </cell>
          <cell r="B3350" t="str">
            <v>10/05/2012</v>
          </cell>
          <cell r="C3350" t="str">
            <v>C1069</v>
          </cell>
          <cell r="D3350" t="str">
            <v>Commissioning Works completed as discussed with Mark Poulton</v>
          </cell>
          <cell r="E3350" t="str">
            <v>Probalance Ltd</v>
          </cell>
          <cell r="F3350" t="str">
            <v>Subcontractor</v>
          </cell>
          <cell r="G3350" t="str">
            <v/>
          </cell>
          <cell r="H3350" t="str">
            <v/>
          </cell>
          <cell r="I3350" t="str">
            <v/>
          </cell>
          <cell r="J3350">
            <v>250</v>
          </cell>
          <cell r="K3350">
            <v>50</v>
          </cell>
          <cell r="L3350">
            <v>250</v>
          </cell>
          <cell r="M3350" t="str">
            <v/>
          </cell>
          <cell r="N3350">
            <v>0</v>
          </cell>
        </row>
        <row r="3351">
          <cell r="A3351">
            <v>2599</v>
          </cell>
          <cell r="B3351" t="str">
            <v>09/05/2012</v>
          </cell>
          <cell r="C3351" t="str">
            <v>CALLOUT</v>
          </cell>
          <cell r="D3351" t="str">
            <v>Relocate 2no Cassettes and Service/Supply and fit new Plumbi</v>
          </cell>
          <cell r="E3351" t="str">
            <v>Daniel Naylor</v>
          </cell>
          <cell r="F3351" t="str">
            <v>Subcontractor</v>
          </cell>
          <cell r="G3351" t="str">
            <v/>
          </cell>
          <cell r="H3351" t="str">
            <v/>
          </cell>
          <cell r="I3351" t="str">
            <v/>
          </cell>
          <cell r="J3351">
            <v>2000</v>
          </cell>
          <cell r="K3351">
            <v>0</v>
          </cell>
          <cell r="L3351">
            <v>2000</v>
          </cell>
          <cell r="M3351" t="str">
            <v/>
          </cell>
          <cell r="N3351">
            <v>0</v>
          </cell>
        </row>
        <row r="3352">
          <cell r="A3352">
            <v>2594</v>
          </cell>
          <cell r="B3352" t="str">
            <v>08/05/2012</v>
          </cell>
          <cell r="C3352" t="str">
            <v>CALLOUT</v>
          </cell>
          <cell r="D3352" t="str">
            <v>Remove &amp; refit 2no urinals &amp; replace tap</v>
          </cell>
          <cell r="E3352" t="str">
            <v>Anthony Howman Plumbing &amp; Heating</v>
          </cell>
          <cell r="F3352" t="str">
            <v>Subcontractor</v>
          </cell>
          <cell r="G3352" t="str">
            <v/>
          </cell>
          <cell r="H3352" t="str">
            <v/>
          </cell>
          <cell r="I3352" t="str">
            <v/>
          </cell>
          <cell r="J3352">
            <v>330</v>
          </cell>
          <cell r="K3352">
            <v>66</v>
          </cell>
          <cell r="L3352">
            <v>330</v>
          </cell>
          <cell r="M3352" t="str">
            <v/>
          </cell>
          <cell r="N3352">
            <v>0</v>
          </cell>
        </row>
        <row r="3353">
          <cell r="A3353">
            <v>2593</v>
          </cell>
          <cell r="B3353" t="str">
            <v>08/05/2012</v>
          </cell>
          <cell r="C3353" t="str">
            <v>CALLOUT</v>
          </cell>
          <cell r="D3353" t="str">
            <v>To remove &amp; refit 3no radiators</v>
          </cell>
          <cell r="E3353" t="str">
            <v>Anthony Howman Plumbing &amp; Heating</v>
          </cell>
          <cell r="F3353" t="str">
            <v>Subcontractor</v>
          </cell>
          <cell r="G3353" t="str">
            <v/>
          </cell>
          <cell r="H3353" t="str">
            <v/>
          </cell>
          <cell r="I3353" t="str">
            <v/>
          </cell>
          <cell r="J3353">
            <v>180</v>
          </cell>
          <cell r="K3353">
            <v>36</v>
          </cell>
          <cell r="L3353">
            <v>180</v>
          </cell>
          <cell r="M3353" t="str">
            <v/>
          </cell>
          <cell r="N3353">
            <v>0</v>
          </cell>
        </row>
        <row r="3354">
          <cell r="A3354">
            <v>2563</v>
          </cell>
          <cell r="B3354" t="str">
            <v>30/04/2012</v>
          </cell>
          <cell r="C3354" t="str">
            <v>C1058</v>
          </cell>
          <cell r="D3354" t="str">
            <v>To carry out commissioning works</v>
          </cell>
          <cell r="E3354" t="str">
            <v>Probalance Ltd</v>
          </cell>
          <cell r="F3354" t="str">
            <v>Subcontractor</v>
          </cell>
          <cell r="G3354" t="str">
            <v/>
          </cell>
          <cell r="H3354" t="str">
            <v/>
          </cell>
          <cell r="I3354" t="str">
            <v/>
          </cell>
          <cell r="J3354">
            <v>325</v>
          </cell>
          <cell r="K3354">
            <v>65</v>
          </cell>
          <cell r="L3354">
            <v>325</v>
          </cell>
          <cell r="M3354" t="str">
            <v/>
          </cell>
          <cell r="N3354">
            <v>0</v>
          </cell>
        </row>
        <row r="3355">
          <cell r="A3355">
            <v>2538</v>
          </cell>
          <cell r="B3355" t="str">
            <v>25/04/2012</v>
          </cell>
          <cell r="C3355" t="str">
            <v>C1058</v>
          </cell>
          <cell r="D3355" t="str">
            <v>Fire rated cladding supplied &amp; fitted to the kitchen extract</v>
          </cell>
          <cell r="E3355" t="str">
            <v>R &amp; H Insulations</v>
          </cell>
          <cell r="F3355" t="str">
            <v>Subcontractor</v>
          </cell>
          <cell r="G3355" t="str">
            <v/>
          </cell>
          <cell r="H3355" t="str">
            <v/>
          </cell>
          <cell r="I3355" t="str">
            <v/>
          </cell>
          <cell r="J3355">
            <v>3190</v>
          </cell>
          <cell r="K3355">
            <v>638</v>
          </cell>
          <cell r="L3355">
            <v>3190</v>
          </cell>
          <cell r="M3355" t="str">
            <v/>
          </cell>
          <cell r="N3355">
            <v>0</v>
          </cell>
        </row>
        <row r="3356">
          <cell r="A3356">
            <v>2531</v>
          </cell>
          <cell r="B3356" t="str">
            <v>24/04/2012</v>
          </cell>
          <cell r="C3356" t="str">
            <v>C1063</v>
          </cell>
          <cell r="D3356" t="str">
            <v>Additional Order as per email dated 24th April 2012</v>
          </cell>
          <cell r="E3356" t="str">
            <v>Co-Ordinated Services Ltd</v>
          </cell>
          <cell r="F3356" t="str">
            <v>Subcontractor</v>
          </cell>
          <cell r="G3356" t="str">
            <v/>
          </cell>
          <cell r="H3356" t="str">
            <v/>
          </cell>
          <cell r="I3356" t="str">
            <v/>
          </cell>
          <cell r="J3356">
            <v>750</v>
          </cell>
          <cell r="K3356">
            <v>150</v>
          </cell>
          <cell r="L3356">
            <v>2750</v>
          </cell>
          <cell r="M3356" t="str">
            <v/>
          </cell>
          <cell r="N3356">
            <v>-2000</v>
          </cell>
        </row>
        <row r="3357">
          <cell r="A3357">
            <v>2523</v>
          </cell>
          <cell r="B3357" t="str">
            <v>24/04/2012</v>
          </cell>
          <cell r="C3357" t="str">
            <v>CALLOUT</v>
          </cell>
          <cell r="D3357" t="str">
            <v>Capping off MCW/Drains and Strip Out Pipework</v>
          </cell>
          <cell r="E3357" t="str">
            <v>Promech (NW) Ltd</v>
          </cell>
          <cell r="F3357" t="str">
            <v>Subcontractor</v>
          </cell>
          <cell r="G3357" t="str">
            <v/>
          </cell>
          <cell r="H3357" t="str">
            <v/>
          </cell>
          <cell r="I3357" t="str">
            <v/>
          </cell>
          <cell r="J3357">
            <v>110</v>
          </cell>
          <cell r="K3357">
            <v>22</v>
          </cell>
          <cell r="L3357">
            <v>110</v>
          </cell>
          <cell r="M3357" t="str">
            <v/>
          </cell>
          <cell r="N3357">
            <v>0</v>
          </cell>
        </row>
        <row r="3358">
          <cell r="A3358">
            <v>2501</v>
          </cell>
          <cell r="B3358" t="str">
            <v>19/04/2012</v>
          </cell>
          <cell r="C3358" t="str">
            <v>CALLOUT</v>
          </cell>
          <cell r="D3358" t="str">
            <v>Please carry out works as per your quotation no CC/CH/3028</v>
          </cell>
          <cell r="E3358" t="str">
            <v>R &amp; H Insulations</v>
          </cell>
          <cell r="F3358" t="str">
            <v>Subcontractor</v>
          </cell>
          <cell r="G3358" t="str">
            <v/>
          </cell>
          <cell r="H3358" t="str">
            <v/>
          </cell>
          <cell r="I3358" t="str">
            <v/>
          </cell>
          <cell r="J3358">
            <v>10207.75</v>
          </cell>
          <cell r="K3358">
            <v>2041.55</v>
          </cell>
          <cell r="L3358">
            <v>10207.75</v>
          </cell>
          <cell r="M3358" t="str">
            <v/>
          </cell>
          <cell r="N3358">
            <v>0</v>
          </cell>
        </row>
        <row r="3359">
          <cell r="A3359">
            <v>2500</v>
          </cell>
          <cell r="B3359" t="str">
            <v>19/04/2012</v>
          </cell>
          <cell r="C3359" t="str">
            <v>C1063</v>
          </cell>
          <cell r="D3359" t="str">
            <v>Supply Labour &amp; Materials for AC installations excluding bra</v>
          </cell>
          <cell r="E3359" t="str">
            <v>Co-Ordinated Services Ltd</v>
          </cell>
          <cell r="F3359" t="str">
            <v>Subcontractor</v>
          </cell>
          <cell r="G3359" t="str">
            <v/>
          </cell>
          <cell r="H3359" t="str">
            <v/>
          </cell>
          <cell r="I3359" t="str">
            <v/>
          </cell>
          <cell r="J3359">
            <v>5500</v>
          </cell>
          <cell r="K3359">
            <v>1100</v>
          </cell>
          <cell r="L3359">
            <v>3500</v>
          </cell>
          <cell r="M3359" t="str">
            <v/>
          </cell>
          <cell r="N3359">
            <v>2000</v>
          </cell>
        </row>
        <row r="3360">
          <cell r="A3360">
            <v>2497</v>
          </cell>
          <cell r="B3360" t="str">
            <v>18/04/2012</v>
          </cell>
          <cell r="C3360" t="str">
            <v>C1061</v>
          </cell>
          <cell r="D3360" t="str">
            <v>Removed Central Heating System</v>
          </cell>
          <cell r="E3360" t="str">
            <v>Anthony Howman Plumbing &amp; Heating</v>
          </cell>
          <cell r="F3360" t="str">
            <v>Subcontractor</v>
          </cell>
          <cell r="G3360" t="str">
            <v/>
          </cell>
          <cell r="H3360" t="str">
            <v/>
          </cell>
          <cell r="I3360" t="str">
            <v/>
          </cell>
          <cell r="J3360">
            <v>450</v>
          </cell>
          <cell r="K3360">
            <v>90</v>
          </cell>
          <cell r="L3360">
            <v>450</v>
          </cell>
          <cell r="M3360" t="str">
            <v/>
          </cell>
          <cell r="N3360">
            <v>0</v>
          </cell>
        </row>
        <row r="3361">
          <cell r="A3361">
            <v>2496</v>
          </cell>
          <cell r="B3361" t="str">
            <v>18/04/2012</v>
          </cell>
          <cell r="C3361" t="str">
            <v>C1060</v>
          </cell>
          <cell r="D3361" t="str">
            <v>Removed 7 Radiators</v>
          </cell>
          <cell r="E3361" t="str">
            <v>Anthony Howman Plumbing &amp; Heating</v>
          </cell>
          <cell r="F3361" t="str">
            <v>Subcontractor</v>
          </cell>
          <cell r="G3361" t="str">
            <v/>
          </cell>
          <cell r="H3361" t="str">
            <v/>
          </cell>
          <cell r="I3361" t="str">
            <v/>
          </cell>
          <cell r="J3361">
            <v>675</v>
          </cell>
          <cell r="K3361">
            <v>135</v>
          </cell>
          <cell r="L3361">
            <v>675</v>
          </cell>
          <cell r="M3361" t="str">
            <v/>
          </cell>
          <cell r="N3361">
            <v>0</v>
          </cell>
        </row>
        <row r="3362">
          <cell r="A3362">
            <v>2485</v>
          </cell>
          <cell r="B3362" t="str">
            <v>17/04/2012</v>
          </cell>
          <cell r="C3362" t="str">
            <v>CALLOUT</v>
          </cell>
          <cell r="D3362" t="str">
            <v>Installation of Safety Shower in Surface Lab - plus 3no sink</v>
          </cell>
          <cell r="E3362" t="str">
            <v>Promech (NW) Ltd</v>
          </cell>
          <cell r="F3362" t="str">
            <v>Subcontractor</v>
          </cell>
          <cell r="G3362" t="str">
            <v/>
          </cell>
          <cell r="H3362" t="str">
            <v/>
          </cell>
          <cell r="I3362" t="str">
            <v/>
          </cell>
          <cell r="J3362">
            <v>320</v>
          </cell>
          <cell r="K3362">
            <v>64</v>
          </cell>
          <cell r="L3362">
            <v>320</v>
          </cell>
          <cell r="M3362" t="str">
            <v/>
          </cell>
          <cell r="N3362">
            <v>0</v>
          </cell>
        </row>
        <row r="3363">
          <cell r="A3363">
            <v>2468</v>
          </cell>
          <cell r="B3363" t="str">
            <v>05/04/2012</v>
          </cell>
          <cell r="C3363" t="str">
            <v>CALLOUT</v>
          </cell>
          <cell r="D3363" t="str">
            <v>Attended site to investigate faulty water heater</v>
          </cell>
          <cell r="E3363" t="str">
            <v>A Jones Heating &amp; Plumbing</v>
          </cell>
          <cell r="F3363" t="str">
            <v>Subcontractor</v>
          </cell>
          <cell r="G3363" t="str">
            <v/>
          </cell>
          <cell r="H3363" t="str">
            <v/>
          </cell>
          <cell r="I3363" t="str">
            <v/>
          </cell>
          <cell r="J3363">
            <v>210</v>
          </cell>
          <cell r="K3363">
            <v>0</v>
          </cell>
          <cell r="L3363">
            <v>210</v>
          </cell>
          <cell r="M3363" t="str">
            <v/>
          </cell>
          <cell r="N3363">
            <v>0</v>
          </cell>
        </row>
        <row r="3364">
          <cell r="A3364">
            <v>2467</v>
          </cell>
          <cell r="B3364" t="str">
            <v>05/04/2012</v>
          </cell>
          <cell r="C3364" t="str">
            <v>CALLOUT</v>
          </cell>
          <cell r="D3364" t="str">
            <v>1st Visit - Removed 8no Radiators</v>
          </cell>
          <cell r="E3364" t="str">
            <v>Anthony Howman Plumbing &amp; Heating</v>
          </cell>
          <cell r="F3364" t="str">
            <v>Subcontractor</v>
          </cell>
          <cell r="G3364" t="str">
            <v/>
          </cell>
          <cell r="H3364" t="str">
            <v/>
          </cell>
          <cell r="I3364" t="str">
            <v/>
          </cell>
          <cell r="J3364">
            <v>1000</v>
          </cell>
          <cell r="K3364">
            <v>200</v>
          </cell>
          <cell r="L3364">
            <v>1000</v>
          </cell>
          <cell r="M3364" t="str">
            <v/>
          </cell>
          <cell r="N3364">
            <v>0</v>
          </cell>
        </row>
        <row r="3365">
          <cell r="A3365">
            <v>2460</v>
          </cell>
          <cell r="B3365" t="str">
            <v>03/04/2012</v>
          </cell>
          <cell r="C3365" t="str">
            <v>CALLOUT</v>
          </cell>
          <cell r="D3365" t="str">
            <v>Installation of Water Heater and Saniflo</v>
          </cell>
          <cell r="E3365" t="str">
            <v>Anthony Howman Plumbing &amp; Heating</v>
          </cell>
          <cell r="F3365" t="str">
            <v>Subcontractor</v>
          </cell>
          <cell r="G3365" t="str">
            <v/>
          </cell>
          <cell r="H3365" t="str">
            <v/>
          </cell>
          <cell r="I3365" t="str">
            <v/>
          </cell>
          <cell r="J3365">
            <v>300</v>
          </cell>
          <cell r="K3365">
            <v>60</v>
          </cell>
          <cell r="L3365">
            <v>300</v>
          </cell>
          <cell r="M3365" t="str">
            <v/>
          </cell>
          <cell r="N3365">
            <v>0</v>
          </cell>
        </row>
        <row r="3366">
          <cell r="A3366">
            <v>2424</v>
          </cell>
          <cell r="B3366" t="str">
            <v>27/03/2012</v>
          </cell>
          <cell r="C3366" t="str">
            <v>CALLOUT</v>
          </cell>
          <cell r="D3366" t="str">
            <v>Labour and Materials as agreed with Gary Williamson</v>
          </cell>
          <cell r="E3366" t="str">
            <v>DL M&amp;E Building Services Ltd</v>
          </cell>
          <cell r="F3366" t="str">
            <v>Subcontractor</v>
          </cell>
          <cell r="G3366" t="str">
            <v/>
          </cell>
          <cell r="H3366" t="str">
            <v/>
          </cell>
          <cell r="I3366" t="str">
            <v/>
          </cell>
          <cell r="J3366">
            <v>1203.8499999999999</v>
          </cell>
          <cell r="K3366">
            <v>240.77</v>
          </cell>
          <cell r="L3366">
            <v>1203.8499999999999</v>
          </cell>
          <cell r="M3366" t="str">
            <v/>
          </cell>
          <cell r="N3366">
            <v>0</v>
          </cell>
        </row>
        <row r="3367">
          <cell r="A3367">
            <v>2423</v>
          </cell>
          <cell r="B3367" t="str">
            <v>27/03/2012</v>
          </cell>
          <cell r="C3367" t="str">
            <v>CALLOUT</v>
          </cell>
          <cell r="D3367" t="str">
            <v>Removed &amp; Refit 4no Radiators over 2no Visits - plus other v</v>
          </cell>
          <cell r="E3367" t="str">
            <v>Anthony Howman Plumbing &amp; Heating</v>
          </cell>
          <cell r="F3367" t="str">
            <v>Subcontractor</v>
          </cell>
          <cell r="G3367" t="str">
            <v/>
          </cell>
          <cell r="H3367" t="str">
            <v/>
          </cell>
          <cell r="I3367" t="str">
            <v/>
          </cell>
          <cell r="J3367">
            <v>880</v>
          </cell>
          <cell r="K3367">
            <v>176</v>
          </cell>
          <cell r="L3367">
            <v>880</v>
          </cell>
          <cell r="M3367" t="str">
            <v/>
          </cell>
          <cell r="N3367">
            <v>0</v>
          </cell>
        </row>
        <row r="3368">
          <cell r="A3368">
            <v>2410</v>
          </cell>
          <cell r="B3368" t="str">
            <v>23/03/2012</v>
          </cell>
          <cell r="C3368" t="str">
            <v>C1048</v>
          </cell>
          <cell r="D3368" t="str">
            <v>Install all remaining ductwork &amp; plant equipment</v>
          </cell>
          <cell r="E3368" t="str">
            <v>Gary Barnes</v>
          </cell>
          <cell r="F3368" t="str">
            <v>Subcontractor</v>
          </cell>
          <cell r="G3368" t="str">
            <v/>
          </cell>
          <cell r="H3368" t="str">
            <v/>
          </cell>
          <cell r="I3368" t="str">
            <v/>
          </cell>
          <cell r="J3368">
            <v>17300</v>
          </cell>
          <cell r="K3368">
            <v>0</v>
          </cell>
          <cell r="L3368">
            <v>17300</v>
          </cell>
          <cell r="M3368" t="str">
            <v/>
          </cell>
          <cell r="N3368">
            <v>0</v>
          </cell>
        </row>
        <row r="3369">
          <cell r="A3369">
            <v>2395</v>
          </cell>
          <cell r="B3369" t="str">
            <v>20/03/2012</v>
          </cell>
          <cell r="C3369" t="str">
            <v>C1058</v>
          </cell>
          <cell r="D3369" t="str">
            <v>For lagging works to be carried out at Sharpys Restaurant</v>
          </cell>
          <cell r="E3369" t="str">
            <v>R &amp; H Insulations</v>
          </cell>
          <cell r="F3369" t="str">
            <v>Subcontractor</v>
          </cell>
          <cell r="G3369" t="str">
            <v/>
          </cell>
          <cell r="H3369" t="str">
            <v/>
          </cell>
          <cell r="I3369" t="str">
            <v/>
          </cell>
          <cell r="J3369">
            <v>5200</v>
          </cell>
          <cell r="K3369">
            <v>1040</v>
          </cell>
          <cell r="L3369">
            <v>5200</v>
          </cell>
          <cell r="M3369" t="str">
            <v/>
          </cell>
          <cell r="N3369">
            <v>0</v>
          </cell>
        </row>
        <row r="3370">
          <cell r="A3370">
            <v>2393</v>
          </cell>
          <cell r="B3370" t="str">
            <v>20/03/2012</v>
          </cell>
          <cell r="C3370" t="str">
            <v>CALLOUT</v>
          </cell>
          <cell r="D3370" t="str">
            <v>For labour supplied at Lloyds Pang</v>
          </cell>
          <cell r="E3370" t="str">
            <v>Co-Ordinated Services Ltd</v>
          </cell>
          <cell r="F3370" t="str">
            <v>Subcontractor</v>
          </cell>
          <cell r="G3370" t="str">
            <v/>
          </cell>
          <cell r="H3370" t="str">
            <v/>
          </cell>
          <cell r="I3370" t="str">
            <v/>
          </cell>
          <cell r="J3370">
            <v>250</v>
          </cell>
          <cell r="K3370">
            <v>50</v>
          </cell>
          <cell r="L3370">
            <v>250</v>
          </cell>
          <cell r="M3370" t="str">
            <v/>
          </cell>
          <cell r="N3370">
            <v>0</v>
          </cell>
        </row>
        <row r="3371">
          <cell r="A3371">
            <v>2392</v>
          </cell>
          <cell r="B3371" t="str">
            <v>19/03/2012</v>
          </cell>
          <cell r="C3371" t="str">
            <v>C1066</v>
          </cell>
          <cell r="D3371" t="str">
            <v>Original contract</v>
          </cell>
          <cell r="E3371" t="str">
            <v>Bradshaws</v>
          </cell>
          <cell r="F3371" t="str">
            <v>Subcontractor</v>
          </cell>
          <cell r="G3371" t="str">
            <v/>
          </cell>
          <cell r="H3371" t="str">
            <v>Complete</v>
          </cell>
          <cell r="I3371" t="str">
            <v/>
          </cell>
          <cell r="J3371">
            <v>0</v>
          </cell>
          <cell r="K3371">
            <v>0</v>
          </cell>
          <cell r="L3371">
            <v>0</v>
          </cell>
          <cell r="M3371" t="str">
            <v/>
          </cell>
          <cell r="N3371">
            <v>0</v>
          </cell>
        </row>
        <row r="3372">
          <cell r="A3372">
            <v>2390</v>
          </cell>
          <cell r="B3372" t="str">
            <v>19/03/2012</v>
          </cell>
          <cell r="C3372" t="str">
            <v>C1066</v>
          </cell>
          <cell r="D3372" t="str">
            <v>To install cover plates</v>
          </cell>
          <cell r="E3372" t="str">
            <v>Bradshaws</v>
          </cell>
          <cell r="F3372" t="str">
            <v>Subcontractor</v>
          </cell>
          <cell r="G3372" t="str">
            <v/>
          </cell>
          <cell r="H3372" t="str">
            <v>Complete</v>
          </cell>
          <cell r="I3372" t="str">
            <v/>
          </cell>
          <cell r="J3372">
            <v>0</v>
          </cell>
          <cell r="K3372">
            <v>0</v>
          </cell>
          <cell r="L3372">
            <v>0</v>
          </cell>
          <cell r="M3372" t="str">
            <v/>
          </cell>
          <cell r="N3372">
            <v>0</v>
          </cell>
        </row>
        <row r="3373">
          <cell r="A3373">
            <v>2384</v>
          </cell>
          <cell r="B3373" t="str">
            <v>16/03/2012</v>
          </cell>
          <cell r="C3373" t="str">
            <v>C1056</v>
          </cell>
          <cell r="D3373" t="str">
            <v>Installation of access doors to facilitate cleaning the duct</v>
          </cell>
          <cell r="E3373" t="str">
            <v>Gary Barnes</v>
          </cell>
          <cell r="F3373" t="str">
            <v>Subcontractor</v>
          </cell>
          <cell r="G3373" t="str">
            <v/>
          </cell>
          <cell r="H3373" t="str">
            <v/>
          </cell>
          <cell r="I3373" t="str">
            <v/>
          </cell>
          <cell r="J3373">
            <v>200</v>
          </cell>
          <cell r="K3373">
            <v>0</v>
          </cell>
          <cell r="L3373">
            <v>200</v>
          </cell>
          <cell r="M3373" t="str">
            <v/>
          </cell>
          <cell r="N3373">
            <v>0</v>
          </cell>
        </row>
        <row r="3374">
          <cell r="A3374">
            <v>2383</v>
          </cell>
          <cell r="B3374" t="str">
            <v>16/03/2012</v>
          </cell>
          <cell r="C3374" t="str">
            <v>C1054</v>
          </cell>
          <cell r="D3374" t="str">
            <v>For the installation of all ductwork, dampers &amp; plant equipm</v>
          </cell>
          <cell r="E3374" t="str">
            <v>Bradshaws</v>
          </cell>
          <cell r="F3374" t="str">
            <v>Subcontractor</v>
          </cell>
          <cell r="G3374" t="str">
            <v/>
          </cell>
          <cell r="H3374" t="str">
            <v>Complete</v>
          </cell>
          <cell r="I3374" t="str">
            <v/>
          </cell>
          <cell r="J3374">
            <v>0</v>
          </cell>
          <cell r="K3374">
            <v>0</v>
          </cell>
          <cell r="L3374">
            <v>0</v>
          </cell>
          <cell r="M3374" t="str">
            <v/>
          </cell>
          <cell r="N3374">
            <v>0</v>
          </cell>
        </row>
        <row r="3375">
          <cell r="A3375">
            <v>2381</v>
          </cell>
          <cell r="B3375" t="str">
            <v>16/03/2012</v>
          </cell>
          <cell r="C3375" t="str">
            <v>CALLOUT</v>
          </cell>
          <cell r="D3375" t="str">
            <v>Rectified water leak - Tightened Gland in Valve</v>
          </cell>
          <cell r="E3375" t="str">
            <v>Promech (NW) Ltd</v>
          </cell>
          <cell r="F3375" t="str">
            <v>Subcontractor</v>
          </cell>
          <cell r="G3375" t="str">
            <v/>
          </cell>
          <cell r="H3375" t="str">
            <v/>
          </cell>
          <cell r="I3375" t="str">
            <v/>
          </cell>
          <cell r="J3375">
            <v>90</v>
          </cell>
          <cell r="K3375">
            <v>18</v>
          </cell>
          <cell r="L3375">
            <v>90</v>
          </cell>
          <cell r="M3375" t="str">
            <v/>
          </cell>
          <cell r="N3375">
            <v>0</v>
          </cell>
        </row>
        <row r="3376">
          <cell r="A3376">
            <v>2378</v>
          </cell>
          <cell r="B3376" t="str">
            <v>16/03/2012</v>
          </cell>
          <cell r="C3376" t="str">
            <v>C1050</v>
          </cell>
          <cell r="D3376" t="str">
            <v>Supplied Engineers 2 days (£350 per day)</v>
          </cell>
          <cell r="E3376" t="str">
            <v>Co-Ordinated Services Ltd</v>
          </cell>
          <cell r="F3376" t="str">
            <v>Subcontractor</v>
          </cell>
          <cell r="G3376" t="str">
            <v/>
          </cell>
          <cell r="H3376" t="str">
            <v/>
          </cell>
          <cell r="I3376" t="str">
            <v/>
          </cell>
          <cell r="J3376">
            <v>920</v>
          </cell>
          <cell r="K3376">
            <v>184</v>
          </cell>
          <cell r="L3376">
            <v>920</v>
          </cell>
          <cell r="M3376" t="str">
            <v/>
          </cell>
          <cell r="N3376">
            <v>0</v>
          </cell>
        </row>
        <row r="3377">
          <cell r="A3377">
            <v>2370</v>
          </cell>
          <cell r="B3377" t="str">
            <v>14/03/2012</v>
          </cell>
          <cell r="C3377" t="str">
            <v>CALLOUT</v>
          </cell>
          <cell r="D3377" t="str">
            <v>Service Controls and Reset Timer</v>
          </cell>
          <cell r="E3377" t="str">
            <v>Building Technology Systems</v>
          </cell>
          <cell r="F3377" t="str">
            <v>Subcontractor</v>
          </cell>
          <cell r="G3377" t="str">
            <v/>
          </cell>
          <cell r="H3377" t="str">
            <v/>
          </cell>
          <cell r="I3377" t="str">
            <v/>
          </cell>
          <cell r="J3377">
            <v>495</v>
          </cell>
          <cell r="K3377">
            <v>99</v>
          </cell>
          <cell r="L3377">
            <v>495</v>
          </cell>
          <cell r="M3377" t="str">
            <v/>
          </cell>
          <cell r="N3377">
            <v>0</v>
          </cell>
        </row>
        <row r="3378">
          <cell r="A3378">
            <v>2364</v>
          </cell>
          <cell r="B3378" t="str">
            <v>13/03/2012</v>
          </cell>
          <cell r="C3378" t="str">
            <v>C1052</v>
          </cell>
          <cell r="D3378" t="str">
            <v>Supply and Install as per your quotation no: CC/CH/3022</v>
          </cell>
          <cell r="E3378" t="str">
            <v>R &amp; H Insulations</v>
          </cell>
          <cell r="F3378" t="str">
            <v>Subcontractor</v>
          </cell>
          <cell r="G3378" t="str">
            <v/>
          </cell>
          <cell r="H3378" t="str">
            <v/>
          </cell>
          <cell r="I3378" t="str">
            <v/>
          </cell>
          <cell r="J3378">
            <v>397</v>
          </cell>
          <cell r="K3378">
            <v>79.400000000000006</v>
          </cell>
          <cell r="L3378">
            <v>0</v>
          </cell>
          <cell r="M3378" t="str">
            <v/>
          </cell>
          <cell r="N3378">
            <v>397</v>
          </cell>
        </row>
        <row r="3379">
          <cell r="A3379">
            <v>2344</v>
          </cell>
          <cell r="B3379" t="str">
            <v>07/03/2012</v>
          </cell>
          <cell r="C3379" t="str">
            <v>C1057</v>
          </cell>
          <cell r="D3379" t="str">
            <v>To install Ductwork &amp; Free Issue equipment as discussed with</v>
          </cell>
          <cell r="E3379" t="str">
            <v>Bradshaws</v>
          </cell>
          <cell r="F3379" t="str">
            <v>Subcontractor</v>
          </cell>
          <cell r="G3379" t="str">
            <v/>
          </cell>
          <cell r="H3379" t="str">
            <v>Complete</v>
          </cell>
          <cell r="I3379" t="str">
            <v/>
          </cell>
          <cell r="J3379">
            <v>0</v>
          </cell>
          <cell r="K3379">
            <v>0</v>
          </cell>
          <cell r="L3379">
            <v>0</v>
          </cell>
          <cell r="M3379" t="str">
            <v/>
          </cell>
          <cell r="N3379">
            <v>0</v>
          </cell>
        </row>
        <row r="3380">
          <cell r="A3380">
            <v>2334</v>
          </cell>
          <cell r="B3380" t="str">
            <v>06/03/2012</v>
          </cell>
          <cell r="C3380" t="str">
            <v>CALLOUT</v>
          </cell>
          <cell r="D3380" t="str">
            <v>Pressure Testing Kit and 1no Engineer</v>
          </cell>
          <cell r="E3380" t="str">
            <v>Probalance Ltd</v>
          </cell>
          <cell r="F3380" t="str">
            <v>Subcontractor</v>
          </cell>
          <cell r="G3380" t="str">
            <v/>
          </cell>
          <cell r="H3380" t="str">
            <v/>
          </cell>
          <cell r="I3380" t="str">
            <v/>
          </cell>
          <cell r="J3380">
            <v>300</v>
          </cell>
          <cell r="K3380">
            <v>60</v>
          </cell>
          <cell r="L3380">
            <v>300</v>
          </cell>
          <cell r="M3380" t="str">
            <v/>
          </cell>
          <cell r="N3380">
            <v>0</v>
          </cell>
        </row>
        <row r="3381">
          <cell r="A3381">
            <v>2330</v>
          </cell>
          <cell r="B3381" t="str">
            <v>06/03/2012</v>
          </cell>
          <cell r="C3381" t="str">
            <v>CALLOUT</v>
          </cell>
          <cell r="D3381" t="str">
            <v>Degas &amp; Remove 2no Wall Mounted AC Units on the 2nd Floor</v>
          </cell>
          <cell r="E3381" t="str">
            <v>A Class Airconditioning</v>
          </cell>
          <cell r="F3381" t="str">
            <v>Subcontractor</v>
          </cell>
          <cell r="G3381" t="str">
            <v/>
          </cell>
          <cell r="H3381" t="str">
            <v/>
          </cell>
          <cell r="I3381" t="str">
            <v/>
          </cell>
          <cell r="J3381">
            <v>340</v>
          </cell>
          <cell r="K3381">
            <v>68</v>
          </cell>
          <cell r="L3381">
            <v>340.03</v>
          </cell>
          <cell r="M3381" t="str">
            <v/>
          </cell>
          <cell r="N3381">
            <v>-0.03</v>
          </cell>
        </row>
        <row r="3382">
          <cell r="A3382">
            <v>2329</v>
          </cell>
          <cell r="B3382" t="str">
            <v>05/03/2012</v>
          </cell>
          <cell r="C3382" t="str">
            <v>CALLOUT</v>
          </cell>
          <cell r="D3382" t="str">
            <v>Installation of Sink as agreed with Mark Poulton</v>
          </cell>
          <cell r="E3382" t="str">
            <v>Promech (NW) Ltd</v>
          </cell>
          <cell r="F3382" t="str">
            <v>Subcontractor</v>
          </cell>
          <cell r="G3382" t="str">
            <v/>
          </cell>
          <cell r="H3382" t="str">
            <v/>
          </cell>
          <cell r="I3382" t="str">
            <v/>
          </cell>
          <cell r="J3382">
            <v>650</v>
          </cell>
          <cell r="K3382">
            <v>130</v>
          </cell>
          <cell r="L3382">
            <v>650</v>
          </cell>
          <cell r="M3382" t="str">
            <v/>
          </cell>
          <cell r="N3382">
            <v>0</v>
          </cell>
        </row>
        <row r="3383">
          <cell r="A3383">
            <v>2328</v>
          </cell>
          <cell r="B3383" t="str">
            <v>05/03/2012</v>
          </cell>
          <cell r="C3383" t="str">
            <v>CALLOUT</v>
          </cell>
          <cell r="D3383" t="str">
            <v>Installation of 3no Zip Tap Internal Filters</v>
          </cell>
          <cell r="E3383" t="str">
            <v>Foztek Limited</v>
          </cell>
          <cell r="F3383" t="str">
            <v>Subcontractor</v>
          </cell>
          <cell r="G3383" t="str">
            <v>05/03/2012</v>
          </cell>
          <cell r="H3383" t="str">
            <v/>
          </cell>
          <cell r="I3383" t="str">
            <v/>
          </cell>
          <cell r="J3383">
            <v>55</v>
          </cell>
          <cell r="K3383">
            <v>11</v>
          </cell>
          <cell r="L3383">
            <v>55</v>
          </cell>
          <cell r="M3383" t="str">
            <v/>
          </cell>
          <cell r="N3383">
            <v>0</v>
          </cell>
        </row>
        <row r="3384">
          <cell r="A3384">
            <v>2285</v>
          </cell>
          <cell r="B3384" t="str">
            <v>22/02/2012</v>
          </cell>
          <cell r="C3384" t="str">
            <v>CALLOUT</v>
          </cell>
          <cell r="D3384" t="str">
            <v>Clean debris out of strainers</v>
          </cell>
          <cell r="E3384" t="str">
            <v>Foztek Limited</v>
          </cell>
          <cell r="F3384" t="str">
            <v>Subcontractor</v>
          </cell>
          <cell r="G3384" t="str">
            <v/>
          </cell>
          <cell r="H3384" t="str">
            <v/>
          </cell>
          <cell r="I3384" t="str">
            <v/>
          </cell>
          <cell r="J3384">
            <v>75</v>
          </cell>
          <cell r="K3384">
            <v>15</v>
          </cell>
          <cell r="L3384">
            <v>75</v>
          </cell>
          <cell r="M3384" t="str">
            <v/>
          </cell>
          <cell r="N3384">
            <v>0</v>
          </cell>
        </row>
        <row r="3385">
          <cell r="A3385">
            <v>2284</v>
          </cell>
          <cell r="B3385" t="str">
            <v>22/02/2012</v>
          </cell>
          <cell r="C3385" t="str">
            <v>CALLOUT</v>
          </cell>
          <cell r="D3385" t="str">
            <v>Installation of 11no Samsung Controllers</v>
          </cell>
          <cell r="E3385" t="str">
            <v>A Class Airconditioning</v>
          </cell>
          <cell r="F3385" t="str">
            <v>Subcontractor</v>
          </cell>
          <cell r="G3385" t="str">
            <v/>
          </cell>
          <cell r="H3385" t="str">
            <v/>
          </cell>
          <cell r="I3385" t="str">
            <v/>
          </cell>
          <cell r="J3385">
            <v>150</v>
          </cell>
          <cell r="K3385">
            <v>30</v>
          </cell>
          <cell r="L3385">
            <v>150</v>
          </cell>
          <cell r="M3385" t="str">
            <v/>
          </cell>
          <cell r="N3385">
            <v>0</v>
          </cell>
        </row>
        <row r="3386">
          <cell r="A3386">
            <v>2283</v>
          </cell>
          <cell r="B3386" t="str">
            <v>22/02/2012</v>
          </cell>
          <cell r="C3386" t="str">
            <v>CALLOUT</v>
          </cell>
          <cell r="D3386" t="str">
            <v>Installation</v>
          </cell>
          <cell r="E3386" t="str">
            <v>A Class Airconditioning</v>
          </cell>
          <cell r="F3386" t="str">
            <v>Subcontractor</v>
          </cell>
          <cell r="G3386" t="str">
            <v/>
          </cell>
          <cell r="H3386" t="str">
            <v/>
          </cell>
          <cell r="I3386" t="str">
            <v/>
          </cell>
          <cell r="J3386">
            <v>130</v>
          </cell>
          <cell r="K3386">
            <v>26</v>
          </cell>
          <cell r="L3386">
            <v>130</v>
          </cell>
          <cell r="M3386" t="str">
            <v/>
          </cell>
          <cell r="N3386">
            <v>0</v>
          </cell>
        </row>
        <row r="3387">
          <cell r="A3387">
            <v>2278</v>
          </cell>
          <cell r="B3387" t="str">
            <v>21/02/2012</v>
          </cell>
          <cell r="C3387" t="str">
            <v>CALLOUT</v>
          </cell>
          <cell r="D3387" t="str">
            <v>Installation of Boiler 2no men £40.00 x 18 Hours</v>
          </cell>
          <cell r="E3387" t="str">
            <v>Promech (NW) Ltd</v>
          </cell>
          <cell r="F3387" t="str">
            <v>Subcontractor</v>
          </cell>
          <cell r="G3387" t="str">
            <v/>
          </cell>
          <cell r="H3387" t="str">
            <v/>
          </cell>
          <cell r="I3387" t="str">
            <v/>
          </cell>
          <cell r="J3387">
            <v>1082.58</v>
          </cell>
          <cell r="K3387">
            <v>216.52</v>
          </cell>
          <cell r="L3387">
            <v>1082.58</v>
          </cell>
          <cell r="M3387" t="str">
            <v/>
          </cell>
          <cell r="N3387">
            <v>0</v>
          </cell>
        </row>
        <row r="3388">
          <cell r="A3388">
            <v>2277</v>
          </cell>
          <cell r="B3388" t="str">
            <v>21/02/2012</v>
          </cell>
          <cell r="C3388" t="str">
            <v>CALLOUT</v>
          </cell>
          <cell r="D3388" t="str">
            <v>Replaced AC Unit in Petrol Station</v>
          </cell>
          <cell r="E3388" t="str">
            <v>AFN Airconditioning</v>
          </cell>
          <cell r="F3388" t="str">
            <v>Subcontractor</v>
          </cell>
          <cell r="G3388" t="str">
            <v/>
          </cell>
          <cell r="H3388" t="str">
            <v/>
          </cell>
          <cell r="I3388" t="str">
            <v/>
          </cell>
          <cell r="J3388">
            <v>250</v>
          </cell>
          <cell r="K3388">
            <v>50</v>
          </cell>
          <cell r="L3388">
            <v>250</v>
          </cell>
          <cell r="M3388" t="str">
            <v/>
          </cell>
          <cell r="N3388">
            <v>0</v>
          </cell>
        </row>
        <row r="3389">
          <cell r="A3389">
            <v>2276</v>
          </cell>
          <cell r="B3389" t="str">
            <v>21/02/2012</v>
          </cell>
          <cell r="C3389" t="str">
            <v>CALLOUT</v>
          </cell>
          <cell r="D3389" t="str">
            <v>Checked Control Box - Reset &amp; Returned System to Normal Work</v>
          </cell>
          <cell r="E3389" t="str">
            <v>Foztek Limited</v>
          </cell>
          <cell r="F3389" t="str">
            <v>Subcontractor</v>
          </cell>
          <cell r="G3389" t="str">
            <v/>
          </cell>
          <cell r="H3389" t="str">
            <v/>
          </cell>
          <cell r="I3389" t="str">
            <v/>
          </cell>
          <cell r="J3389">
            <v>100</v>
          </cell>
          <cell r="K3389">
            <v>20</v>
          </cell>
          <cell r="L3389">
            <v>100</v>
          </cell>
          <cell r="M3389" t="str">
            <v/>
          </cell>
          <cell r="N3389">
            <v>0</v>
          </cell>
        </row>
        <row r="3390">
          <cell r="A3390">
            <v>2275</v>
          </cell>
          <cell r="B3390" t="str">
            <v>21/02/2012</v>
          </cell>
          <cell r="C3390" t="str">
            <v>CALLOUT</v>
          </cell>
          <cell r="D3390" t="str">
            <v>Supply and Fit new Pump on Pressurisation Unit</v>
          </cell>
          <cell r="E3390" t="str">
            <v>Foztek Limited</v>
          </cell>
          <cell r="F3390" t="str">
            <v>Subcontractor</v>
          </cell>
          <cell r="G3390" t="str">
            <v/>
          </cell>
          <cell r="H3390" t="str">
            <v/>
          </cell>
          <cell r="I3390" t="str">
            <v/>
          </cell>
          <cell r="J3390">
            <v>350</v>
          </cell>
          <cell r="K3390">
            <v>70</v>
          </cell>
          <cell r="L3390">
            <v>350</v>
          </cell>
          <cell r="M3390" t="str">
            <v/>
          </cell>
          <cell r="N3390">
            <v>0</v>
          </cell>
        </row>
        <row r="3391">
          <cell r="A3391">
            <v>2274</v>
          </cell>
          <cell r="B3391" t="str">
            <v>21/02/2012</v>
          </cell>
          <cell r="C3391" t="str">
            <v>CALLOUT</v>
          </cell>
          <cell r="D3391" t="str">
            <v>Checked Boiler Gas Burner - Reset Returned to Normal Working</v>
          </cell>
          <cell r="E3391" t="str">
            <v>Foztek Limited</v>
          </cell>
          <cell r="F3391" t="str">
            <v>Subcontractor</v>
          </cell>
          <cell r="G3391" t="str">
            <v/>
          </cell>
          <cell r="H3391" t="str">
            <v/>
          </cell>
          <cell r="I3391" t="str">
            <v/>
          </cell>
          <cell r="J3391">
            <v>56</v>
          </cell>
          <cell r="K3391">
            <v>11.2</v>
          </cell>
          <cell r="L3391">
            <v>56</v>
          </cell>
          <cell r="M3391" t="str">
            <v/>
          </cell>
          <cell r="N3391">
            <v>0</v>
          </cell>
        </row>
        <row r="3392">
          <cell r="A3392">
            <v>2268</v>
          </cell>
          <cell r="B3392" t="str">
            <v>21/02/2012</v>
          </cell>
          <cell r="C3392" t="str">
            <v>SERVICE</v>
          </cell>
          <cell r="D3392" t="str">
            <v>Boiler Maintenance</v>
          </cell>
          <cell r="E3392" t="str">
            <v>A Jones Heating &amp; Plumbing</v>
          </cell>
          <cell r="F3392" t="str">
            <v>Subcontractor</v>
          </cell>
          <cell r="G3392" t="str">
            <v/>
          </cell>
          <cell r="H3392" t="str">
            <v/>
          </cell>
          <cell r="I3392" t="str">
            <v/>
          </cell>
          <cell r="J3392">
            <v>190</v>
          </cell>
          <cell r="K3392">
            <v>0</v>
          </cell>
          <cell r="L3392">
            <v>190</v>
          </cell>
          <cell r="M3392" t="str">
            <v/>
          </cell>
          <cell r="N3392">
            <v>0</v>
          </cell>
        </row>
        <row r="3393">
          <cell r="A3393">
            <v>2238</v>
          </cell>
          <cell r="B3393" t="str">
            <v>16/02/2012</v>
          </cell>
          <cell r="C3393" t="str">
            <v>CALLOUT</v>
          </cell>
          <cell r="D3393" t="str">
            <v>Works carried out at Halifax Trinity Road</v>
          </cell>
          <cell r="E3393" t="str">
            <v>Anthony Howman Plumbing &amp; Heating</v>
          </cell>
          <cell r="F3393" t="str">
            <v>Subcontractor</v>
          </cell>
          <cell r="G3393" t="str">
            <v/>
          </cell>
          <cell r="H3393" t="str">
            <v/>
          </cell>
          <cell r="I3393" t="str">
            <v/>
          </cell>
          <cell r="J3393">
            <v>650</v>
          </cell>
          <cell r="K3393">
            <v>130</v>
          </cell>
          <cell r="L3393">
            <v>650</v>
          </cell>
          <cell r="M3393" t="str">
            <v/>
          </cell>
          <cell r="N3393">
            <v>0</v>
          </cell>
        </row>
        <row r="3394">
          <cell r="A3394">
            <v>2233</v>
          </cell>
          <cell r="B3394" t="str">
            <v>14/02/2012</v>
          </cell>
          <cell r="C3394" t="str">
            <v>CALLOUT</v>
          </cell>
          <cell r="D3394" t="str">
            <v>Insulated Liquid Line &amp; Extended External Condensate Drain</v>
          </cell>
          <cell r="E3394" t="str">
            <v>AFN Airconditioning</v>
          </cell>
          <cell r="F3394" t="str">
            <v>Subcontractor</v>
          </cell>
          <cell r="G3394" t="str">
            <v/>
          </cell>
          <cell r="H3394" t="str">
            <v/>
          </cell>
          <cell r="I3394" t="str">
            <v/>
          </cell>
          <cell r="J3394">
            <v>150</v>
          </cell>
          <cell r="K3394">
            <v>30</v>
          </cell>
          <cell r="L3394">
            <v>150</v>
          </cell>
          <cell r="M3394" t="str">
            <v/>
          </cell>
          <cell r="N3394">
            <v>0</v>
          </cell>
        </row>
        <row r="3395">
          <cell r="A3395">
            <v>2232</v>
          </cell>
          <cell r="B3395" t="str">
            <v>14/02/2012</v>
          </cell>
          <cell r="C3395" t="str">
            <v>CALLOUT</v>
          </cell>
          <cell r="D3395" t="str">
            <v>Small water leak from pump</v>
          </cell>
          <cell r="E3395" t="str">
            <v>A Jones Heating &amp; Plumbing</v>
          </cell>
          <cell r="F3395" t="str">
            <v>Subcontractor</v>
          </cell>
          <cell r="G3395" t="str">
            <v/>
          </cell>
          <cell r="H3395" t="str">
            <v/>
          </cell>
          <cell r="I3395" t="str">
            <v/>
          </cell>
          <cell r="J3395">
            <v>90</v>
          </cell>
          <cell r="K3395">
            <v>18</v>
          </cell>
          <cell r="L3395">
            <v>90</v>
          </cell>
          <cell r="M3395" t="str">
            <v/>
          </cell>
          <cell r="N3395">
            <v>0</v>
          </cell>
        </row>
        <row r="3396">
          <cell r="A3396">
            <v>2231</v>
          </cell>
          <cell r="B3396" t="str">
            <v>14/02/2012</v>
          </cell>
          <cell r="C3396" t="str">
            <v>SERVICE</v>
          </cell>
          <cell r="D3396" t="str">
            <v>Carry out AC maintenance on Thursday 16th February</v>
          </cell>
          <cell r="E3396" t="str">
            <v>A Class Airconditioning</v>
          </cell>
          <cell r="F3396" t="str">
            <v>Subcontractor</v>
          </cell>
          <cell r="G3396" t="str">
            <v/>
          </cell>
          <cell r="H3396" t="str">
            <v/>
          </cell>
          <cell r="I3396" t="str">
            <v/>
          </cell>
          <cell r="J3396">
            <v>250</v>
          </cell>
          <cell r="K3396">
            <v>50</v>
          </cell>
          <cell r="L3396">
            <v>0</v>
          </cell>
          <cell r="M3396" t="str">
            <v/>
          </cell>
          <cell r="N3396">
            <v>250</v>
          </cell>
        </row>
        <row r="3397">
          <cell r="A3397">
            <v>2219</v>
          </cell>
          <cell r="B3397" t="str">
            <v>08/02/2012</v>
          </cell>
          <cell r="C3397" t="str">
            <v>CALLOUT</v>
          </cell>
          <cell r="D3397" t="str">
            <v>Labour at Forster &amp; Dean Oldham</v>
          </cell>
          <cell r="E3397" t="str">
            <v>Foztek Limited</v>
          </cell>
          <cell r="F3397" t="str">
            <v>Subcontractor</v>
          </cell>
          <cell r="G3397" t="str">
            <v/>
          </cell>
          <cell r="H3397" t="str">
            <v/>
          </cell>
          <cell r="I3397" t="str">
            <v/>
          </cell>
          <cell r="J3397">
            <v>112.5</v>
          </cell>
          <cell r="K3397">
            <v>22.5</v>
          </cell>
          <cell r="L3397">
            <v>112.5</v>
          </cell>
          <cell r="M3397" t="str">
            <v/>
          </cell>
          <cell r="N3397">
            <v>0</v>
          </cell>
        </row>
        <row r="3398">
          <cell r="A3398">
            <v>2218</v>
          </cell>
          <cell r="B3398" t="str">
            <v>08/02/2012</v>
          </cell>
          <cell r="C3398" t="str">
            <v>CALLOUT</v>
          </cell>
          <cell r="D3398" t="str">
            <v>Checked installation of water heater</v>
          </cell>
          <cell r="E3398" t="str">
            <v>Anthony Howman Plumbing &amp; Heating</v>
          </cell>
          <cell r="F3398" t="str">
            <v>Subcontractor</v>
          </cell>
          <cell r="G3398" t="str">
            <v/>
          </cell>
          <cell r="H3398" t="str">
            <v/>
          </cell>
          <cell r="I3398" t="str">
            <v/>
          </cell>
          <cell r="J3398">
            <v>90</v>
          </cell>
          <cell r="K3398">
            <v>18</v>
          </cell>
          <cell r="L3398">
            <v>90</v>
          </cell>
          <cell r="M3398" t="str">
            <v/>
          </cell>
          <cell r="N3398">
            <v>0</v>
          </cell>
        </row>
        <row r="3399">
          <cell r="A3399">
            <v>2217</v>
          </cell>
          <cell r="B3399" t="str">
            <v>08/02/2012</v>
          </cell>
          <cell r="C3399" t="str">
            <v>CALLOUT</v>
          </cell>
          <cell r="D3399" t="str">
            <v>Recifed crossed over AC Pipework</v>
          </cell>
          <cell r="E3399" t="str">
            <v>A Class Airconditioning</v>
          </cell>
          <cell r="F3399" t="str">
            <v>Subcontractor</v>
          </cell>
          <cell r="G3399" t="str">
            <v/>
          </cell>
          <cell r="H3399" t="str">
            <v/>
          </cell>
          <cell r="I3399" t="str">
            <v/>
          </cell>
          <cell r="J3399">
            <v>1120</v>
          </cell>
          <cell r="K3399">
            <v>224</v>
          </cell>
          <cell r="L3399">
            <v>1120</v>
          </cell>
          <cell r="M3399" t="str">
            <v/>
          </cell>
          <cell r="N3399">
            <v>0</v>
          </cell>
        </row>
        <row r="3400">
          <cell r="A3400">
            <v>2216</v>
          </cell>
          <cell r="B3400" t="str">
            <v>08/02/2012</v>
          </cell>
          <cell r="C3400" t="str">
            <v>CALLOUT</v>
          </cell>
          <cell r="D3400" t="str">
            <v>Remove 5no diffusers from old ceiling</v>
          </cell>
          <cell r="E3400" t="str">
            <v>Daniel Naylor</v>
          </cell>
          <cell r="F3400" t="str">
            <v>Subcontractor</v>
          </cell>
          <cell r="G3400" t="str">
            <v/>
          </cell>
          <cell r="H3400" t="str">
            <v/>
          </cell>
          <cell r="I3400" t="str">
            <v/>
          </cell>
          <cell r="J3400">
            <v>250</v>
          </cell>
          <cell r="K3400">
            <v>0</v>
          </cell>
          <cell r="L3400">
            <v>250</v>
          </cell>
          <cell r="M3400" t="str">
            <v/>
          </cell>
          <cell r="N3400">
            <v>0</v>
          </cell>
        </row>
        <row r="3401">
          <cell r="A3401">
            <v>2213</v>
          </cell>
          <cell r="B3401" t="str">
            <v>08/02/2012</v>
          </cell>
          <cell r="C3401" t="str">
            <v>CALLOUT</v>
          </cell>
          <cell r="D3401" t="str">
            <v>Call out to Site to rectify AC Not Working</v>
          </cell>
          <cell r="E3401" t="str">
            <v>A Class Airconditioning</v>
          </cell>
          <cell r="F3401" t="str">
            <v>Subcontractor</v>
          </cell>
          <cell r="G3401" t="str">
            <v/>
          </cell>
          <cell r="H3401" t="str">
            <v/>
          </cell>
          <cell r="I3401" t="str">
            <v/>
          </cell>
          <cell r="J3401">
            <v>100</v>
          </cell>
          <cell r="K3401">
            <v>20</v>
          </cell>
          <cell r="L3401">
            <v>100</v>
          </cell>
          <cell r="M3401" t="str">
            <v/>
          </cell>
          <cell r="N3401">
            <v>0</v>
          </cell>
        </row>
        <row r="3402">
          <cell r="A3402">
            <v>2211</v>
          </cell>
          <cell r="B3402" t="str">
            <v>08/02/2012</v>
          </cell>
          <cell r="C3402" t="str">
            <v>C1028</v>
          </cell>
          <cell r="D3402" t="str">
            <v>COMMISSION OF HVAC SYSTEMS NANOCO TECHNOLIGIES MANCHESTER</v>
          </cell>
          <cell r="E3402" t="str">
            <v>Probalance Ltd</v>
          </cell>
          <cell r="F3402" t="str">
            <v>Subcontractor</v>
          </cell>
          <cell r="G3402" t="str">
            <v/>
          </cell>
          <cell r="H3402" t="str">
            <v>Part</v>
          </cell>
          <cell r="I3402" t="str">
            <v/>
          </cell>
          <cell r="J3402">
            <v>4868.93</v>
          </cell>
          <cell r="K3402">
            <v>973.79</v>
          </cell>
          <cell r="L3402">
            <v>4868.93</v>
          </cell>
          <cell r="M3402" t="str">
            <v/>
          </cell>
          <cell r="N3402">
            <v>0</v>
          </cell>
        </row>
        <row r="3403">
          <cell r="A3403">
            <v>2189</v>
          </cell>
          <cell r="B3403" t="str">
            <v>01/02/2012</v>
          </cell>
          <cell r="C3403" t="str">
            <v>CALLOUT</v>
          </cell>
          <cell r="D3403" t="str">
            <v>No Heating or Hot Water at Oystar Manesty 1st Visit</v>
          </cell>
          <cell r="E3403" t="str">
            <v>A Jones Heating &amp; Plumbing</v>
          </cell>
          <cell r="F3403" t="str">
            <v>Subcontractor</v>
          </cell>
          <cell r="G3403" t="str">
            <v/>
          </cell>
          <cell r="H3403" t="str">
            <v/>
          </cell>
          <cell r="I3403" t="str">
            <v/>
          </cell>
          <cell r="J3403">
            <v>250</v>
          </cell>
          <cell r="K3403">
            <v>0</v>
          </cell>
          <cell r="L3403">
            <v>250</v>
          </cell>
          <cell r="M3403" t="str">
            <v/>
          </cell>
          <cell r="N3403">
            <v>0</v>
          </cell>
        </row>
        <row r="3404">
          <cell r="A3404">
            <v>2186</v>
          </cell>
          <cell r="B3404" t="str">
            <v>31/01/2012</v>
          </cell>
          <cell r="C3404" t="str">
            <v>CALLOUT</v>
          </cell>
          <cell r="D3404" t="str">
            <v>Installation of AC Systems &amp; Pipework at Norbain</v>
          </cell>
          <cell r="E3404" t="str">
            <v>AFN Airconditioning</v>
          </cell>
          <cell r="F3404" t="str">
            <v>Subcontractor</v>
          </cell>
          <cell r="G3404" t="str">
            <v/>
          </cell>
          <cell r="H3404" t="str">
            <v/>
          </cell>
          <cell r="I3404" t="str">
            <v/>
          </cell>
          <cell r="J3404">
            <v>650</v>
          </cell>
          <cell r="K3404">
            <v>130</v>
          </cell>
          <cell r="L3404">
            <v>650</v>
          </cell>
          <cell r="M3404" t="str">
            <v/>
          </cell>
          <cell r="N3404">
            <v>0</v>
          </cell>
        </row>
        <row r="3405">
          <cell r="A3405">
            <v>2183</v>
          </cell>
          <cell r="B3405" t="str">
            <v>31/01/2012</v>
          </cell>
          <cell r="C3405" t="str">
            <v>C1050</v>
          </cell>
          <cell r="D3405" t="str">
            <v>Quote ref CC/CH/2911 Supply &amp; Install Thermasl Insulation</v>
          </cell>
          <cell r="E3405" t="str">
            <v>R &amp; H Insulations</v>
          </cell>
          <cell r="F3405" t="str">
            <v>Subcontractor</v>
          </cell>
          <cell r="G3405" t="str">
            <v/>
          </cell>
          <cell r="H3405" t="str">
            <v/>
          </cell>
          <cell r="I3405" t="str">
            <v/>
          </cell>
          <cell r="J3405">
            <v>1277</v>
          </cell>
          <cell r="K3405">
            <v>255.4</v>
          </cell>
          <cell r="L3405">
            <v>1434</v>
          </cell>
          <cell r="M3405" t="str">
            <v/>
          </cell>
          <cell r="N3405">
            <v>-157</v>
          </cell>
        </row>
        <row r="3406">
          <cell r="A3406">
            <v>2182</v>
          </cell>
          <cell r="B3406" t="str">
            <v>31/01/2012</v>
          </cell>
          <cell r="C3406" t="str">
            <v>C1050</v>
          </cell>
          <cell r="D3406" t="str">
            <v>To Supply &amp; Install Thermal Insulation at RBS Exeter</v>
          </cell>
          <cell r="E3406" t="str">
            <v>R &amp; H Insulations</v>
          </cell>
          <cell r="F3406" t="str">
            <v>Subcontractor</v>
          </cell>
          <cell r="G3406" t="str">
            <v/>
          </cell>
          <cell r="H3406" t="str">
            <v/>
          </cell>
          <cell r="I3406" t="str">
            <v/>
          </cell>
          <cell r="J3406">
            <v>737</v>
          </cell>
          <cell r="K3406">
            <v>147.4</v>
          </cell>
          <cell r="L3406">
            <v>737</v>
          </cell>
          <cell r="M3406" t="str">
            <v/>
          </cell>
          <cell r="N3406">
            <v>0</v>
          </cell>
        </row>
        <row r="3407">
          <cell r="A3407">
            <v>2172</v>
          </cell>
          <cell r="B3407" t="str">
            <v>30/01/2012</v>
          </cell>
          <cell r="C3407" t="str">
            <v>C1028</v>
          </cell>
          <cell r="D3407" t="str">
            <v>Installation of 4no Split Systems as agreed with Mark Poulto</v>
          </cell>
          <cell r="E3407" t="str">
            <v>AFN Airconditioning</v>
          </cell>
          <cell r="F3407" t="str">
            <v>Subcontractor</v>
          </cell>
          <cell r="G3407" t="str">
            <v/>
          </cell>
          <cell r="H3407" t="str">
            <v/>
          </cell>
          <cell r="I3407" t="str">
            <v/>
          </cell>
          <cell r="J3407">
            <v>4500</v>
          </cell>
          <cell r="K3407">
            <v>900</v>
          </cell>
          <cell r="L3407">
            <v>4500</v>
          </cell>
          <cell r="M3407" t="str">
            <v/>
          </cell>
          <cell r="N3407">
            <v>0</v>
          </cell>
        </row>
        <row r="3408">
          <cell r="A3408">
            <v>2147</v>
          </cell>
          <cell r="B3408" t="str">
            <v>24/01/2012</v>
          </cell>
          <cell r="C3408" t="str">
            <v>CALLOUT</v>
          </cell>
          <cell r="D3408" t="str">
            <v>Investigated no heating at Dunnes Store Heywood</v>
          </cell>
          <cell r="E3408" t="str">
            <v>A Jones Heating &amp; Plumbing</v>
          </cell>
          <cell r="F3408" t="str">
            <v>Subcontractor</v>
          </cell>
          <cell r="G3408" t="str">
            <v/>
          </cell>
          <cell r="H3408" t="str">
            <v/>
          </cell>
          <cell r="I3408" t="str">
            <v/>
          </cell>
          <cell r="J3408">
            <v>300</v>
          </cell>
          <cell r="K3408">
            <v>0</v>
          </cell>
          <cell r="L3408">
            <v>300</v>
          </cell>
          <cell r="M3408" t="str">
            <v/>
          </cell>
          <cell r="N3408">
            <v>0</v>
          </cell>
        </row>
        <row r="3409">
          <cell r="A3409">
            <v>2139</v>
          </cell>
          <cell r="B3409" t="str">
            <v>24/01/2012</v>
          </cell>
          <cell r="C3409" t="str">
            <v>CALLOUT</v>
          </cell>
          <cell r="D3409" t="str">
            <v>(No heat from AHU No4) Carried out full inspection of all co</v>
          </cell>
          <cell r="E3409" t="str">
            <v>A Jones Heating &amp; Plumbing</v>
          </cell>
          <cell r="F3409" t="str">
            <v>Subcontractor</v>
          </cell>
          <cell r="G3409" t="str">
            <v/>
          </cell>
          <cell r="H3409" t="str">
            <v/>
          </cell>
          <cell r="I3409" t="str">
            <v/>
          </cell>
          <cell r="J3409">
            <v>165</v>
          </cell>
          <cell r="K3409">
            <v>0</v>
          </cell>
          <cell r="L3409">
            <v>165</v>
          </cell>
          <cell r="M3409" t="str">
            <v/>
          </cell>
          <cell r="N3409">
            <v>0</v>
          </cell>
        </row>
        <row r="3410">
          <cell r="A3410">
            <v>2133</v>
          </cell>
          <cell r="B3410" t="str">
            <v>20/01/2012</v>
          </cell>
          <cell r="C3410" t="str">
            <v>CALLOUT</v>
          </cell>
          <cell r="D3410" t="str">
            <v>To carry out Proposals as per your ref: C6165revA</v>
          </cell>
          <cell r="E3410" t="str">
            <v>Medical Pipeline Services Ltd</v>
          </cell>
          <cell r="F3410" t="str">
            <v>Subcontractor</v>
          </cell>
          <cell r="G3410" t="str">
            <v/>
          </cell>
          <cell r="H3410" t="str">
            <v/>
          </cell>
          <cell r="I3410" t="str">
            <v/>
          </cell>
          <cell r="J3410">
            <v>670</v>
          </cell>
          <cell r="K3410">
            <v>134</v>
          </cell>
          <cell r="L3410">
            <v>670</v>
          </cell>
          <cell r="M3410" t="str">
            <v/>
          </cell>
          <cell r="N3410">
            <v>0</v>
          </cell>
        </row>
        <row r="3411">
          <cell r="A3411">
            <v>2126</v>
          </cell>
          <cell r="B3411" t="str">
            <v>19/01/2012</v>
          </cell>
          <cell r="C3411" t="str">
            <v>CALLOUT</v>
          </cell>
          <cell r="D3411" t="str">
            <v>Carry Out Chlorination Works - 1no TVC Sample Required</v>
          </cell>
          <cell r="E3411" t="str">
            <v>Foztek Limited</v>
          </cell>
          <cell r="F3411" t="str">
            <v>Subcontractor</v>
          </cell>
          <cell r="G3411" t="str">
            <v/>
          </cell>
          <cell r="H3411" t="str">
            <v>Part</v>
          </cell>
          <cell r="I3411" t="str">
            <v/>
          </cell>
          <cell r="J3411">
            <v>220</v>
          </cell>
          <cell r="K3411">
            <v>0</v>
          </cell>
          <cell r="L3411">
            <v>220</v>
          </cell>
          <cell r="M3411" t="str">
            <v/>
          </cell>
          <cell r="N3411">
            <v>0</v>
          </cell>
        </row>
        <row r="3412">
          <cell r="A3412">
            <v>2125</v>
          </cell>
          <cell r="B3412" t="str">
            <v>19/01/2012</v>
          </cell>
          <cell r="C3412" t="str">
            <v>CALLOUT</v>
          </cell>
          <cell r="D3412" t="str">
            <v>Carry Out Chlorination Works - 1no TVC Sample Required</v>
          </cell>
          <cell r="E3412" t="str">
            <v>Foztek Limited</v>
          </cell>
          <cell r="F3412" t="str">
            <v>Subcontractor</v>
          </cell>
          <cell r="G3412" t="str">
            <v/>
          </cell>
          <cell r="H3412" t="str">
            <v>Part</v>
          </cell>
          <cell r="I3412" t="str">
            <v/>
          </cell>
          <cell r="J3412">
            <v>220</v>
          </cell>
          <cell r="K3412">
            <v>0</v>
          </cell>
          <cell r="L3412">
            <v>220</v>
          </cell>
          <cell r="M3412" t="str">
            <v/>
          </cell>
          <cell r="N3412">
            <v>0</v>
          </cell>
        </row>
        <row r="3413">
          <cell r="A3413">
            <v>2124</v>
          </cell>
          <cell r="B3413" t="str">
            <v>19/01/2012</v>
          </cell>
          <cell r="C3413" t="str">
            <v>CALLOUT</v>
          </cell>
          <cell r="D3413" t="str">
            <v>Carry Out Chlorination Works - 1no TCV Sample Required</v>
          </cell>
          <cell r="E3413" t="str">
            <v>Foztek Limited</v>
          </cell>
          <cell r="F3413" t="str">
            <v>Subcontractor</v>
          </cell>
          <cell r="G3413" t="str">
            <v/>
          </cell>
          <cell r="H3413" t="str">
            <v/>
          </cell>
          <cell r="I3413" t="str">
            <v/>
          </cell>
          <cell r="J3413">
            <v>220</v>
          </cell>
          <cell r="K3413">
            <v>0</v>
          </cell>
          <cell r="L3413">
            <v>220</v>
          </cell>
          <cell r="M3413" t="str">
            <v/>
          </cell>
          <cell r="N3413">
            <v>0</v>
          </cell>
        </row>
        <row r="3414">
          <cell r="A3414">
            <v>2123</v>
          </cell>
          <cell r="B3414" t="str">
            <v>19/01/2012</v>
          </cell>
          <cell r="C3414" t="str">
            <v>CALLOUT</v>
          </cell>
          <cell r="D3414" t="str">
            <v>Carry Out Chlorination Works - 1no TVC Sample Required</v>
          </cell>
          <cell r="E3414" t="str">
            <v>Foztek Limited</v>
          </cell>
          <cell r="F3414" t="str">
            <v>Subcontractor</v>
          </cell>
          <cell r="G3414" t="str">
            <v/>
          </cell>
          <cell r="H3414" t="str">
            <v/>
          </cell>
          <cell r="I3414" t="str">
            <v/>
          </cell>
          <cell r="J3414">
            <v>220</v>
          </cell>
          <cell r="K3414">
            <v>0</v>
          </cell>
          <cell r="L3414">
            <v>220</v>
          </cell>
          <cell r="M3414" t="str">
            <v/>
          </cell>
          <cell r="N3414">
            <v>0</v>
          </cell>
        </row>
        <row r="3415">
          <cell r="A3415">
            <v>2122</v>
          </cell>
          <cell r="B3415" t="str">
            <v>19/01/2012</v>
          </cell>
          <cell r="C3415" t="str">
            <v>CALLOUT</v>
          </cell>
          <cell r="D3415" t="str">
            <v>Carry Out Chlorination Works - 1no TVC Sample Required</v>
          </cell>
          <cell r="E3415" t="str">
            <v>Foztek Limited</v>
          </cell>
          <cell r="F3415" t="str">
            <v>Subcontractor</v>
          </cell>
          <cell r="G3415" t="str">
            <v/>
          </cell>
          <cell r="H3415" t="str">
            <v/>
          </cell>
          <cell r="I3415" t="str">
            <v/>
          </cell>
          <cell r="J3415">
            <v>220</v>
          </cell>
          <cell r="K3415">
            <v>0</v>
          </cell>
          <cell r="L3415">
            <v>220</v>
          </cell>
          <cell r="M3415" t="str">
            <v/>
          </cell>
          <cell r="N3415">
            <v>0</v>
          </cell>
        </row>
        <row r="3416">
          <cell r="A3416">
            <v>2121</v>
          </cell>
          <cell r="B3416" t="str">
            <v>19/01/2012</v>
          </cell>
          <cell r="C3416" t="str">
            <v>CALLOUT</v>
          </cell>
          <cell r="D3416" t="str">
            <v>Carry Out Chlorination Works - 1no TVC Sample Required</v>
          </cell>
          <cell r="E3416" t="str">
            <v>Foztek Limited</v>
          </cell>
          <cell r="F3416" t="str">
            <v>Subcontractor</v>
          </cell>
          <cell r="G3416" t="str">
            <v/>
          </cell>
          <cell r="H3416" t="str">
            <v/>
          </cell>
          <cell r="I3416" t="str">
            <v/>
          </cell>
          <cell r="J3416">
            <v>220</v>
          </cell>
          <cell r="K3416">
            <v>0</v>
          </cell>
          <cell r="L3416">
            <v>220</v>
          </cell>
          <cell r="M3416" t="str">
            <v/>
          </cell>
          <cell r="N3416">
            <v>0</v>
          </cell>
        </row>
        <row r="3417">
          <cell r="A3417">
            <v>2120</v>
          </cell>
          <cell r="B3417" t="str">
            <v>19/01/2012</v>
          </cell>
          <cell r="C3417" t="str">
            <v>C1053</v>
          </cell>
          <cell r="D3417" t="str">
            <v>For installation of all ductwork, fans silencer &amp; grilles as</v>
          </cell>
          <cell r="E3417" t="str">
            <v>Gary Barnes</v>
          </cell>
          <cell r="F3417" t="str">
            <v>Subcontractor</v>
          </cell>
          <cell r="G3417" t="str">
            <v/>
          </cell>
          <cell r="H3417" t="str">
            <v/>
          </cell>
          <cell r="I3417" t="str">
            <v/>
          </cell>
          <cell r="J3417">
            <v>1125</v>
          </cell>
          <cell r="K3417">
            <v>0</v>
          </cell>
          <cell r="L3417">
            <v>1125</v>
          </cell>
          <cell r="M3417" t="str">
            <v/>
          </cell>
          <cell r="N3417">
            <v>0</v>
          </cell>
        </row>
        <row r="3418">
          <cell r="A3418">
            <v>2119</v>
          </cell>
          <cell r="B3418" t="str">
            <v>19/01/2012</v>
          </cell>
          <cell r="C3418" t="str">
            <v>C1028</v>
          </cell>
          <cell r="D3418" t="str">
            <v>Supply &amp; Installation works as per your email dated 17/01/12</v>
          </cell>
          <cell r="E3418" t="str">
            <v>R &amp; H Insulations</v>
          </cell>
          <cell r="F3418" t="str">
            <v>Subcontractor</v>
          </cell>
          <cell r="G3418" t="str">
            <v/>
          </cell>
          <cell r="H3418" t="str">
            <v/>
          </cell>
          <cell r="I3418" t="str">
            <v/>
          </cell>
          <cell r="J3418">
            <v>1138</v>
          </cell>
          <cell r="K3418">
            <v>227.6</v>
          </cell>
          <cell r="L3418">
            <v>1138</v>
          </cell>
          <cell r="M3418" t="str">
            <v/>
          </cell>
          <cell r="N3418">
            <v>0</v>
          </cell>
        </row>
        <row r="3419">
          <cell r="A3419">
            <v>2118</v>
          </cell>
          <cell r="B3419" t="str">
            <v>18/01/2012</v>
          </cell>
          <cell r="C3419" t="str">
            <v>CALLOUT</v>
          </cell>
          <cell r="D3419" t="str">
            <v>Strip out and remove AC Units</v>
          </cell>
          <cell r="E3419" t="str">
            <v>Co-Ordinated Services Ltd</v>
          </cell>
          <cell r="F3419" t="str">
            <v>Subcontractor</v>
          </cell>
          <cell r="G3419" t="str">
            <v/>
          </cell>
          <cell r="H3419" t="str">
            <v/>
          </cell>
          <cell r="I3419" t="str">
            <v/>
          </cell>
          <cell r="J3419">
            <v>1500</v>
          </cell>
          <cell r="K3419">
            <v>300</v>
          </cell>
          <cell r="L3419">
            <v>1500</v>
          </cell>
          <cell r="M3419" t="str">
            <v/>
          </cell>
          <cell r="N3419">
            <v>0</v>
          </cell>
        </row>
        <row r="3420">
          <cell r="A3420">
            <v>2104</v>
          </cell>
          <cell r="B3420" t="str">
            <v>16/01/2012</v>
          </cell>
          <cell r="C3420" t="str">
            <v>CALLOUT</v>
          </cell>
          <cell r="D3420" t="str">
            <v>To remove &amp; refit radiator on 28/12/11</v>
          </cell>
          <cell r="E3420" t="str">
            <v>Daniel Naylor</v>
          </cell>
          <cell r="F3420" t="str">
            <v>Subcontractor</v>
          </cell>
          <cell r="G3420" t="str">
            <v/>
          </cell>
          <cell r="H3420" t="str">
            <v/>
          </cell>
          <cell r="I3420" t="str">
            <v/>
          </cell>
          <cell r="J3420">
            <v>150</v>
          </cell>
          <cell r="K3420">
            <v>0</v>
          </cell>
          <cell r="L3420">
            <v>150</v>
          </cell>
          <cell r="M3420" t="str">
            <v/>
          </cell>
          <cell r="N3420">
            <v>0</v>
          </cell>
        </row>
        <row r="3421">
          <cell r="A3421">
            <v>2103</v>
          </cell>
          <cell r="B3421" t="str">
            <v>16/01/2012</v>
          </cell>
          <cell r="C3421" t="str">
            <v>CALLOUT</v>
          </cell>
          <cell r="D3421" t="str">
            <v>First Visit Lloyds TSB Colwyn Bay</v>
          </cell>
          <cell r="E3421" t="str">
            <v>A Jones Heating &amp; Plumbing</v>
          </cell>
          <cell r="F3421" t="str">
            <v>Subcontractor</v>
          </cell>
          <cell r="G3421" t="str">
            <v/>
          </cell>
          <cell r="H3421" t="str">
            <v/>
          </cell>
          <cell r="I3421" t="str">
            <v/>
          </cell>
          <cell r="J3421">
            <v>350</v>
          </cell>
          <cell r="K3421">
            <v>0</v>
          </cell>
          <cell r="L3421">
            <v>350</v>
          </cell>
          <cell r="M3421" t="str">
            <v/>
          </cell>
          <cell r="N3421">
            <v>0</v>
          </cell>
        </row>
        <row r="3422">
          <cell r="A3422">
            <v>2102</v>
          </cell>
          <cell r="B3422" t="str">
            <v>16/01/2012</v>
          </cell>
          <cell r="C3422" t="str">
            <v>C1050</v>
          </cell>
          <cell r="D3422" t="str">
            <v>Supply and Install Plumbing Works as agreed with Mark Poulto</v>
          </cell>
          <cell r="E3422" t="str">
            <v>Promech (NW) Ltd</v>
          </cell>
          <cell r="F3422" t="str">
            <v>Subcontractor</v>
          </cell>
          <cell r="G3422" t="str">
            <v/>
          </cell>
          <cell r="H3422" t="str">
            <v>Part</v>
          </cell>
          <cell r="I3422" t="str">
            <v/>
          </cell>
          <cell r="J3422">
            <v>8500</v>
          </cell>
          <cell r="K3422">
            <v>1700</v>
          </cell>
          <cell r="L3422">
            <v>0</v>
          </cell>
          <cell r="M3422" t="str">
            <v/>
          </cell>
          <cell r="N3422">
            <v>8500</v>
          </cell>
        </row>
        <row r="3423">
          <cell r="A3423">
            <v>2089</v>
          </cell>
          <cell r="B3423" t="str">
            <v>12/01/2012</v>
          </cell>
          <cell r="C3423" t="str">
            <v>C1050</v>
          </cell>
          <cell r="D3423" t="str">
            <v>Supply Materials and Install AC Systems as agreed with Mark</v>
          </cell>
          <cell r="E3423" t="str">
            <v>AFN Airconditioning</v>
          </cell>
          <cell r="F3423" t="str">
            <v>Subcontractor</v>
          </cell>
          <cell r="G3423" t="str">
            <v/>
          </cell>
          <cell r="H3423" t="str">
            <v/>
          </cell>
          <cell r="I3423" t="str">
            <v/>
          </cell>
          <cell r="J3423">
            <v>7200</v>
          </cell>
          <cell r="K3423">
            <v>1440</v>
          </cell>
          <cell r="L3423">
            <v>7200</v>
          </cell>
          <cell r="M3423" t="str">
            <v/>
          </cell>
          <cell r="N3423">
            <v>0</v>
          </cell>
        </row>
        <row r="3424">
          <cell r="A3424">
            <v>2083</v>
          </cell>
          <cell r="B3424" t="str">
            <v>05/01/2012</v>
          </cell>
          <cell r="C3424" t="str">
            <v>C1028</v>
          </cell>
          <cell r="D3424" t="str">
            <v>Supply and Install piped distribution system as per your quo</v>
          </cell>
          <cell r="E3424" t="str">
            <v>Medical Pipeline Services Ltd</v>
          </cell>
          <cell r="F3424" t="str">
            <v>Subcontractor</v>
          </cell>
          <cell r="G3424" t="str">
            <v>06/01/2012</v>
          </cell>
          <cell r="H3424" t="str">
            <v/>
          </cell>
          <cell r="I3424" t="str">
            <v/>
          </cell>
          <cell r="J3424">
            <v>20000</v>
          </cell>
          <cell r="K3424">
            <v>4000</v>
          </cell>
          <cell r="L3424">
            <v>20412</v>
          </cell>
          <cell r="M3424" t="str">
            <v/>
          </cell>
          <cell r="N3424">
            <v>-412</v>
          </cell>
        </row>
        <row r="3425">
          <cell r="A3425">
            <v>2067</v>
          </cell>
          <cell r="B3425" t="str">
            <v>21/12/2011</v>
          </cell>
          <cell r="C3425" t="str">
            <v>CALLOUT</v>
          </cell>
          <cell r="D3425" t="str">
            <v>Carried out enabling works at Lyme Park</v>
          </cell>
          <cell r="E3425" t="str">
            <v>A Jones Heating &amp; Plumbing</v>
          </cell>
          <cell r="F3425" t="str">
            <v>Subcontractor</v>
          </cell>
          <cell r="G3425" t="str">
            <v/>
          </cell>
          <cell r="H3425" t="str">
            <v/>
          </cell>
          <cell r="I3425" t="str">
            <v/>
          </cell>
          <cell r="J3425">
            <v>560</v>
          </cell>
          <cell r="K3425">
            <v>0</v>
          </cell>
          <cell r="L3425">
            <v>560</v>
          </cell>
          <cell r="M3425" t="str">
            <v/>
          </cell>
          <cell r="N3425">
            <v>0</v>
          </cell>
        </row>
        <row r="3426">
          <cell r="A3426">
            <v>2065</v>
          </cell>
          <cell r="B3426" t="str">
            <v>21/12/2011</v>
          </cell>
          <cell r="C3426" t="str">
            <v>CALLOUT</v>
          </cell>
          <cell r="D3426" t="str">
            <v>Labour supplied on Dunnes Store Heywood 1st &amp; 2nd Visit</v>
          </cell>
          <cell r="E3426" t="str">
            <v>A Jones Heating &amp; Plumbing</v>
          </cell>
          <cell r="F3426" t="str">
            <v>Subcontractor</v>
          </cell>
          <cell r="G3426" t="str">
            <v/>
          </cell>
          <cell r="H3426" t="str">
            <v/>
          </cell>
          <cell r="I3426" t="str">
            <v/>
          </cell>
          <cell r="J3426">
            <v>280</v>
          </cell>
          <cell r="K3426">
            <v>0</v>
          </cell>
          <cell r="L3426">
            <v>280</v>
          </cell>
          <cell r="M3426" t="str">
            <v/>
          </cell>
          <cell r="N3426">
            <v>0</v>
          </cell>
        </row>
        <row r="3427">
          <cell r="A3427">
            <v>2064</v>
          </cell>
          <cell r="B3427" t="str">
            <v>21/12/2011</v>
          </cell>
          <cell r="C3427" t="str">
            <v>SERVICE</v>
          </cell>
          <cell r="D3427" t="str">
            <v>Carried out heating maintenance at Hattons Health &amp; Leisure</v>
          </cell>
          <cell r="E3427" t="str">
            <v>A Jones Heating &amp; Plumbing</v>
          </cell>
          <cell r="F3427" t="str">
            <v>Subcontractor</v>
          </cell>
          <cell r="G3427" t="str">
            <v/>
          </cell>
          <cell r="H3427" t="str">
            <v/>
          </cell>
          <cell r="I3427" t="str">
            <v/>
          </cell>
          <cell r="J3427">
            <v>170</v>
          </cell>
          <cell r="K3427">
            <v>0</v>
          </cell>
          <cell r="L3427">
            <v>170</v>
          </cell>
          <cell r="M3427" t="str">
            <v/>
          </cell>
          <cell r="N3427">
            <v>0</v>
          </cell>
        </row>
        <row r="3428">
          <cell r="A3428">
            <v>2063</v>
          </cell>
          <cell r="B3428" t="str">
            <v>21/12/2011</v>
          </cell>
          <cell r="C3428" t="str">
            <v>CALLOUT</v>
          </cell>
          <cell r="D3428" t="str">
            <v>Rectify fault on AC system</v>
          </cell>
          <cell r="E3428" t="str">
            <v>Co-Ordinated Services Ltd</v>
          </cell>
          <cell r="F3428" t="str">
            <v>Subcontractor</v>
          </cell>
          <cell r="G3428" t="str">
            <v/>
          </cell>
          <cell r="H3428" t="str">
            <v/>
          </cell>
          <cell r="I3428" t="str">
            <v/>
          </cell>
          <cell r="J3428">
            <v>275</v>
          </cell>
          <cell r="K3428">
            <v>55</v>
          </cell>
          <cell r="L3428">
            <v>275</v>
          </cell>
          <cell r="M3428" t="str">
            <v/>
          </cell>
          <cell r="N3428">
            <v>0</v>
          </cell>
        </row>
        <row r="3429">
          <cell r="A3429">
            <v>2062</v>
          </cell>
          <cell r="B3429" t="str">
            <v>21/12/2011</v>
          </cell>
          <cell r="C3429" t="str">
            <v>SERVICE</v>
          </cell>
          <cell r="D3429" t="str">
            <v>Carried out AC maintenance</v>
          </cell>
          <cell r="E3429" t="str">
            <v>Co-Ordinated Services Ltd</v>
          </cell>
          <cell r="F3429" t="str">
            <v>Subcontractor</v>
          </cell>
          <cell r="G3429" t="str">
            <v/>
          </cell>
          <cell r="H3429" t="str">
            <v/>
          </cell>
          <cell r="I3429" t="str">
            <v/>
          </cell>
          <cell r="J3429">
            <v>275</v>
          </cell>
          <cell r="K3429">
            <v>55</v>
          </cell>
          <cell r="L3429">
            <v>275</v>
          </cell>
          <cell r="M3429" t="str">
            <v/>
          </cell>
          <cell r="N3429">
            <v>0</v>
          </cell>
        </row>
        <row r="3430">
          <cell r="A3430">
            <v>2061</v>
          </cell>
          <cell r="B3430" t="str">
            <v>21/12/2011</v>
          </cell>
          <cell r="C3430" t="str">
            <v>CALLOUT</v>
          </cell>
          <cell r="D3430" t="str">
            <v>Decommission AC system and supply and fit new Isolation Valv</v>
          </cell>
          <cell r="E3430" t="str">
            <v>Co-Ordinated Services Ltd</v>
          </cell>
          <cell r="F3430" t="str">
            <v>Subcontractor</v>
          </cell>
          <cell r="G3430" t="str">
            <v/>
          </cell>
          <cell r="H3430" t="str">
            <v/>
          </cell>
          <cell r="I3430" t="str">
            <v/>
          </cell>
          <cell r="J3430">
            <v>800</v>
          </cell>
          <cell r="K3430">
            <v>160</v>
          </cell>
          <cell r="L3430">
            <v>800</v>
          </cell>
          <cell r="M3430" t="str">
            <v/>
          </cell>
          <cell r="N3430">
            <v>0</v>
          </cell>
        </row>
        <row r="3431">
          <cell r="A3431">
            <v>2048</v>
          </cell>
          <cell r="B3431" t="str">
            <v>20/12/2011</v>
          </cell>
          <cell r="C3431" t="str">
            <v>CALLOUT</v>
          </cell>
          <cell r="D3431" t="str">
            <v>Decommission and relocate AC units</v>
          </cell>
          <cell r="E3431" t="str">
            <v>Daniel Naylor</v>
          </cell>
          <cell r="F3431" t="str">
            <v>Subcontractor</v>
          </cell>
          <cell r="G3431" t="str">
            <v/>
          </cell>
          <cell r="H3431" t="str">
            <v/>
          </cell>
          <cell r="I3431" t="str">
            <v/>
          </cell>
          <cell r="J3431">
            <v>570</v>
          </cell>
          <cell r="K3431">
            <v>0</v>
          </cell>
          <cell r="L3431">
            <v>570</v>
          </cell>
          <cell r="M3431" t="str">
            <v/>
          </cell>
          <cell r="N3431">
            <v>0</v>
          </cell>
        </row>
        <row r="3432">
          <cell r="A3432">
            <v>2045</v>
          </cell>
          <cell r="B3432" t="str">
            <v>20/12/2011</v>
          </cell>
          <cell r="C3432" t="str">
            <v>CALLOUT</v>
          </cell>
          <cell r="D3432" t="str">
            <v>Works carried out at Natwest Withernsea</v>
          </cell>
          <cell r="E3432" t="str">
            <v>Daniel Naylor</v>
          </cell>
          <cell r="F3432" t="str">
            <v>Subcontractor</v>
          </cell>
          <cell r="G3432" t="str">
            <v/>
          </cell>
          <cell r="H3432" t="str">
            <v/>
          </cell>
          <cell r="I3432" t="str">
            <v/>
          </cell>
          <cell r="J3432">
            <v>280</v>
          </cell>
          <cell r="K3432">
            <v>0</v>
          </cell>
          <cell r="L3432">
            <v>280</v>
          </cell>
          <cell r="M3432" t="str">
            <v/>
          </cell>
          <cell r="N3432">
            <v>0</v>
          </cell>
        </row>
        <row r="3433">
          <cell r="A3433">
            <v>2044</v>
          </cell>
          <cell r="B3433" t="str">
            <v>20/12/2011</v>
          </cell>
          <cell r="C3433" t="str">
            <v>CALLOUT</v>
          </cell>
          <cell r="D3433" t="str">
            <v>Sunday 11th December</v>
          </cell>
          <cell r="E3433" t="str">
            <v>Daniel Naylor</v>
          </cell>
          <cell r="F3433" t="str">
            <v>Subcontractor</v>
          </cell>
          <cell r="G3433" t="str">
            <v/>
          </cell>
          <cell r="H3433" t="str">
            <v/>
          </cell>
          <cell r="I3433" t="str">
            <v/>
          </cell>
          <cell r="J3433">
            <v>200</v>
          </cell>
          <cell r="K3433">
            <v>0</v>
          </cell>
          <cell r="L3433">
            <v>200</v>
          </cell>
          <cell r="M3433" t="str">
            <v/>
          </cell>
          <cell r="N3433">
            <v>0</v>
          </cell>
        </row>
        <row r="3434">
          <cell r="A3434">
            <v>2043</v>
          </cell>
          <cell r="B3434" t="str">
            <v>20/12/2011</v>
          </cell>
          <cell r="C3434" t="str">
            <v>CALLOUT</v>
          </cell>
          <cell r="D3434" t="str">
            <v>2nd Visit to Lloyds TSB Colwyn Bay</v>
          </cell>
          <cell r="E3434" t="str">
            <v>Daniel Naylor</v>
          </cell>
          <cell r="F3434" t="str">
            <v>Subcontractor</v>
          </cell>
          <cell r="G3434" t="str">
            <v/>
          </cell>
          <cell r="H3434" t="str">
            <v/>
          </cell>
          <cell r="I3434" t="str">
            <v/>
          </cell>
          <cell r="J3434">
            <v>290</v>
          </cell>
          <cell r="K3434">
            <v>0</v>
          </cell>
          <cell r="L3434">
            <v>290</v>
          </cell>
          <cell r="M3434" t="str">
            <v/>
          </cell>
          <cell r="N3434">
            <v>0</v>
          </cell>
        </row>
        <row r="3435">
          <cell r="A3435">
            <v>2042</v>
          </cell>
          <cell r="B3435" t="str">
            <v>19/12/2011</v>
          </cell>
          <cell r="C3435" t="str">
            <v>CALLOUT</v>
          </cell>
          <cell r="D3435" t="str">
            <v>Works carried out on</v>
          </cell>
          <cell r="E3435" t="str">
            <v>GF Plumbing</v>
          </cell>
          <cell r="F3435" t="str">
            <v>Subcontractor</v>
          </cell>
          <cell r="G3435" t="str">
            <v/>
          </cell>
          <cell r="H3435" t="str">
            <v/>
          </cell>
          <cell r="I3435" t="str">
            <v/>
          </cell>
          <cell r="J3435">
            <v>684</v>
          </cell>
          <cell r="K3435">
            <v>0</v>
          </cell>
          <cell r="L3435">
            <v>684</v>
          </cell>
          <cell r="M3435" t="str">
            <v/>
          </cell>
          <cell r="N3435">
            <v>0</v>
          </cell>
        </row>
        <row r="3436">
          <cell r="A3436">
            <v>2041</v>
          </cell>
          <cell r="B3436" t="str">
            <v>19/12/2011</v>
          </cell>
          <cell r="C3436" t="str">
            <v>CALLOUT</v>
          </cell>
          <cell r="D3436" t="str">
            <v>24 Hour Call Out for weekend 16/12/11 - 18/12/11</v>
          </cell>
          <cell r="E3436" t="str">
            <v>GF Plumbing</v>
          </cell>
          <cell r="F3436" t="str">
            <v>Subcontractor</v>
          </cell>
          <cell r="G3436" t="str">
            <v/>
          </cell>
          <cell r="H3436" t="str">
            <v/>
          </cell>
          <cell r="I3436" t="str">
            <v/>
          </cell>
          <cell r="J3436">
            <v>500</v>
          </cell>
          <cell r="K3436">
            <v>0</v>
          </cell>
          <cell r="L3436">
            <v>500</v>
          </cell>
          <cell r="M3436" t="str">
            <v/>
          </cell>
          <cell r="N3436">
            <v>0</v>
          </cell>
        </row>
        <row r="3437">
          <cell r="A3437">
            <v>2040</v>
          </cell>
          <cell r="B3437" t="str">
            <v>19/12/2011</v>
          </cell>
          <cell r="C3437" t="str">
            <v>CALLOUT</v>
          </cell>
          <cell r="D3437" t="str">
            <v>Install water main to water cooler</v>
          </cell>
          <cell r="E3437" t="str">
            <v>GF Plumbing</v>
          </cell>
          <cell r="F3437" t="str">
            <v>Subcontractor</v>
          </cell>
          <cell r="G3437" t="str">
            <v/>
          </cell>
          <cell r="H3437" t="str">
            <v/>
          </cell>
          <cell r="I3437" t="str">
            <v/>
          </cell>
          <cell r="J3437">
            <v>109</v>
          </cell>
          <cell r="K3437">
            <v>0</v>
          </cell>
          <cell r="L3437">
            <v>109</v>
          </cell>
          <cell r="M3437" t="str">
            <v/>
          </cell>
          <cell r="N3437">
            <v>0</v>
          </cell>
        </row>
        <row r="3438">
          <cell r="A3438">
            <v>2039</v>
          </cell>
          <cell r="B3438" t="str">
            <v>19/12/2011</v>
          </cell>
          <cell r="C3438" t="str">
            <v>CALLOUT</v>
          </cell>
          <cell r="D3438" t="str">
            <v>Carried out works on</v>
          </cell>
          <cell r="E3438" t="str">
            <v>GF Plumbing</v>
          </cell>
          <cell r="F3438" t="str">
            <v>Subcontractor</v>
          </cell>
          <cell r="G3438" t="str">
            <v/>
          </cell>
          <cell r="H3438" t="str">
            <v/>
          </cell>
          <cell r="I3438" t="str">
            <v/>
          </cell>
          <cell r="J3438">
            <v>415</v>
          </cell>
          <cell r="K3438">
            <v>0</v>
          </cell>
          <cell r="L3438">
            <v>415</v>
          </cell>
          <cell r="M3438" t="str">
            <v/>
          </cell>
          <cell r="N3438">
            <v>0</v>
          </cell>
        </row>
        <row r="3439">
          <cell r="A3439">
            <v>2038</v>
          </cell>
          <cell r="B3439" t="str">
            <v>19/12/2011</v>
          </cell>
          <cell r="C3439" t="str">
            <v>CALLOUT</v>
          </cell>
          <cell r="D3439" t="str">
            <v>Thursday 8th December 2011</v>
          </cell>
          <cell r="E3439" t="str">
            <v>GF Plumbing</v>
          </cell>
          <cell r="F3439" t="str">
            <v>Subcontractor</v>
          </cell>
          <cell r="G3439" t="str">
            <v/>
          </cell>
          <cell r="H3439" t="str">
            <v/>
          </cell>
          <cell r="I3439" t="str">
            <v/>
          </cell>
          <cell r="J3439">
            <v>229</v>
          </cell>
          <cell r="K3439">
            <v>0</v>
          </cell>
          <cell r="L3439">
            <v>229</v>
          </cell>
          <cell r="M3439" t="str">
            <v/>
          </cell>
          <cell r="N3439">
            <v>0</v>
          </cell>
        </row>
        <row r="3440">
          <cell r="A3440">
            <v>2015</v>
          </cell>
          <cell r="B3440" t="str">
            <v>13/12/2011</v>
          </cell>
          <cell r="C3440" t="str">
            <v>CALLOUT</v>
          </cell>
          <cell r="D3440" t="str">
            <v>Rectified fault on AC System</v>
          </cell>
          <cell r="E3440" t="str">
            <v>Elite Air Conditioning &amp; Refrigeration Ltd</v>
          </cell>
          <cell r="F3440" t="str">
            <v>Subcontractor</v>
          </cell>
          <cell r="G3440" t="str">
            <v/>
          </cell>
          <cell r="H3440" t="str">
            <v/>
          </cell>
          <cell r="I3440" t="str">
            <v/>
          </cell>
          <cell r="J3440">
            <v>140</v>
          </cell>
          <cell r="K3440">
            <v>28</v>
          </cell>
          <cell r="L3440">
            <v>140</v>
          </cell>
          <cell r="M3440" t="str">
            <v/>
          </cell>
          <cell r="N3440">
            <v>0</v>
          </cell>
        </row>
        <row r="3441">
          <cell r="A3441">
            <v>2011</v>
          </cell>
          <cell r="B3441" t="str">
            <v>09/12/2011</v>
          </cell>
          <cell r="C3441" t="str">
            <v>CALLOUT</v>
          </cell>
          <cell r="D3441" t="str">
            <v>Works Carried Out At Lloyds TSB Wolverhampton</v>
          </cell>
          <cell r="E3441" t="str">
            <v>Anthony Howman Plumbing &amp; Heating</v>
          </cell>
          <cell r="F3441" t="str">
            <v>Subcontractor</v>
          </cell>
          <cell r="G3441" t="str">
            <v/>
          </cell>
          <cell r="H3441" t="str">
            <v/>
          </cell>
          <cell r="I3441" t="str">
            <v/>
          </cell>
          <cell r="J3441">
            <v>535</v>
          </cell>
          <cell r="K3441">
            <v>107</v>
          </cell>
          <cell r="L3441">
            <v>535</v>
          </cell>
          <cell r="M3441" t="str">
            <v/>
          </cell>
          <cell r="N3441">
            <v>0</v>
          </cell>
        </row>
        <row r="3442">
          <cell r="A3442">
            <v>2010</v>
          </cell>
          <cell r="B3442" t="str">
            <v>09/12/2011</v>
          </cell>
          <cell r="C3442" t="str">
            <v>CALLOUT</v>
          </cell>
          <cell r="D3442" t="str">
            <v>Works Carried Out At Lloyds TSB Sowerby Bridge</v>
          </cell>
          <cell r="E3442" t="str">
            <v>Anthony Howman Plumbing &amp; Heating</v>
          </cell>
          <cell r="F3442" t="str">
            <v>Subcontractor</v>
          </cell>
          <cell r="G3442" t="str">
            <v/>
          </cell>
          <cell r="H3442" t="str">
            <v/>
          </cell>
          <cell r="I3442" t="str">
            <v/>
          </cell>
          <cell r="J3442">
            <v>190</v>
          </cell>
          <cell r="K3442">
            <v>38</v>
          </cell>
          <cell r="L3442">
            <v>190</v>
          </cell>
          <cell r="M3442" t="str">
            <v/>
          </cell>
          <cell r="N3442">
            <v>0</v>
          </cell>
        </row>
        <row r="3443">
          <cell r="A3443">
            <v>2009</v>
          </cell>
          <cell r="B3443" t="str">
            <v>09/12/2011</v>
          </cell>
          <cell r="C3443" t="str">
            <v>CALLOUT</v>
          </cell>
          <cell r="D3443" t="str">
            <v>Works Carried Out At Halifax Longton</v>
          </cell>
          <cell r="E3443" t="str">
            <v>Anthony Howman Plumbing &amp; Heating</v>
          </cell>
          <cell r="F3443" t="str">
            <v>Subcontractor</v>
          </cell>
          <cell r="G3443" t="str">
            <v/>
          </cell>
          <cell r="H3443" t="str">
            <v/>
          </cell>
          <cell r="I3443" t="str">
            <v/>
          </cell>
          <cell r="J3443">
            <v>160</v>
          </cell>
          <cell r="K3443">
            <v>32</v>
          </cell>
          <cell r="L3443">
            <v>280</v>
          </cell>
          <cell r="M3443" t="str">
            <v/>
          </cell>
          <cell r="N3443">
            <v>-120</v>
          </cell>
        </row>
        <row r="3444">
          <cell r="A3444">
            <v>2008</v>
          </cell>
          <cell r="B3444" t="str">
            <v>09/12/2011</v>
          </cell>
          <cell r="C3444" t="str">
            <v>CALLOUT</v>
          </cell>
          <cell r="D3444" t="str">
            <v>Works Carried Out At Lloyds TSB Colwyn Bay</v>
          </cell>
          <cell r="E3444" t="str">
            <v>Daniel Naylor</v>
          </cell>
          <cell r="F3444" t="str">
            <v>Subcontractor</v>
          </cell>
          <cell r="G3444" t="str">
            <v/>
          </cell>
          <cell r="H3444" t="str">
            <v/>
          </cell>
          <cell r="I3444" t="str">
            <v/>
          </cell>
          <cell r="J3444">
            <v>160</v>
          </cell>
          <cell r="K3444">
            <v>0</v>
          </cell>
          <cell r="L3444">
            <v>160</v>
          </cell>
          <cell r="M3444" t="str">
            <v/>
          </cell>
          <cell r="N3444">
            <v>0</v>
          </cell>
        </row>
        <row r="3445">
          <cell r="A3445">
            <v>2004</v>
          </cell>
          <cell r="B3445" t="str">
            <v>06/12/2011</v>
          </cell>
          <cell r="C3445" t="str">
            <v>CALLOUT</v>
          </cell>
          <cell r="D3445" t="str">
            <v>Labour and Materials on Helena</v>
          </cell>
          <cell r="E3445" t="str">
            <v>Foztek Limited</v>
          </cell>
          <cell r="F3445" t="str">
            <v>Subcontractor</v>
          </cell>
          <cell r="G3445" t="str">
            <v/>
          </cell>
          <cell r="H3445" t="str">
            <v/>
          </cell>
          <cell r="I3445" t="str">
            <v/>
          </cell>
          <cell r="J3445">
            <v>550</v>
          </cell>
          <cell r="K3445">
            <v>0</v>
          </cell>
          <cell r="L3445">
            <v>550</v>
          </cell>
          <cell r="M3445" t="str">
            <v/>
          </cell>
          <cell r="N3445">
            <v>0</v>
          </cell>
        </row>
        <row r="3446">
          <cell r="A3446">
            <v>2000</v>
          </cell>
          <cell r="B3446" t="str">
            <v>06/12/2011</v>
          </cell>
          <cell r="C3446" t="str">
            <v>CALLOUT</v>
          </cell>
          <cell r="D3446" t="str">
            <v>Disconnect Exisiting Sink</v>
          </cell>
          <cell r="E3446" t="str">
            <v>Anthony Howman Plumbing &amp; Heating</v>
          </cell>
          <cell r="F3446" t="str">
            <v>Subcontractor</v>
          </cell>
          <cell r="G3446" t="str">
            <v/>
          </cell>
          <cell r="H3446" t="str">
            <v/>
          </cell>
          <cell r="I3446" t="str">
            <v/>
          </cell>
          <cell r="J3446">
            <v>300</v>
          </cell>
          <cell r="K3446">
            <v>60</v>
          </cell>
          <cell r="L3446">
            <v>300</v>
          </cell>
          <cell r="M3446" t="str">
            <v/>
          </cell>
          <cell r="N3446">
            <v>0</v>
          </cell>
        </row>
        <row r="3447">
          <cell r="A3447">
            <v>1990</v>
          </cell>
          <cell r="B3447" t="str">
            <v>01/12/2011</v>
          </cell>
          <cell r="C3447" t="str">
            <v>C1044</v>
          </cell>
          <cell r="D3447" t="str">
            <v>For works carried out at Barclays Rotherhithe</v>
          </cell>
          <cell r="E3447" t="str">
            <v>N M Services</v>
          </cell>
          <cell r="F3447" t="str">
            <v>Subcontractor</v>
          </cell>
          <cell r="G3447" t="str">
            <v/>
          </cell>
          <cell r="H3447" t="str">
            <v/>
          </cell>
          <cell r="I3447" t="str">
            <v/>
          </cell>
          <cell r="J3447">
            <v>390</v>
          </cell>
          <cell r="K3447">
            <v>0</v>
          </cell>
          <cell r="L3447">
            <v>390</v>
          </cell>
          <cell r="M3447" t="str">
            <v/>
          </cell>
          <cell r="N3447">
            <v>0</v>
          </cell>
        </row>
        <row r="3448">
          <cell r="A3448">
            <v>1989</v>
          </cell>
          <cell r="B3448" t="str">
            <v>01/12/2011</v>
          </cell>
          <cell r="C3448" t="str">
            <v>C1041</v>
          </cell>
          <cell r="D3448" t="str">
            <v>Remove AC Units &amp; Fit New Toilet Seat</v>
          </cell>
          <cell r="E3448" t="str">
            <v>N M Services</v>
          </cell>
          <cell r="F3448" t="str">
            <v>Subcontractor</v>
          </cell>
          <cell r="G3448" t="str">
            <v/>
          </cell>
          <cell r="H3448" t="str">
            <v>Part</v>
          </cell>
          <cell r="I3448" t="str">
            <v/>
          </cell>
          <cell r="J3448">
            <v>100</v>
          </cell>
          <cell r="K3448">
            <v>0</v>
          </cell>
          <cell r="L3448">
            <v>100</v>
          </cell>
          <cell r="M3448" t="str">
            <v/>
          </cell>
          <cell r="N3448">
            <v>0</v>
          </cell>
        </row>
        <row r="3449">
          <cell r="A3449">
            <v>1988</v>
          </cell>
          <cell r="B3449" t="str">
            <v>01/12/2011</v>
          </cell>
          <cell r="C3449" t="str">
            <v>C1049</v>
          </cell>
          <cell r="D3449" t="str">
            <v>Supply labour and materials as per drawing</v>
          </cell>
          <cell r="E3449" t="str">
            <v>AFN Airconditioning</v>
          </cell>
          <cell r="F3449" t="str">
            <v>Subcontractor</v>
          </cell>
          <cell r="G3449" t="str">
            <v/>
          </cell>
          <cell r="H3449" t="str">
            <v/>
          </cell>
          <cell r="I3449" t="str">
            <v/>
          </cell>
          <cell r="J3449">
            <v>1900</v>
          </cell>
          <cell r="K3449">
            <v>380</v>
          </cell>
          <cell r="L3449">
            <v>1900</v>
          </cell>
          <cell r="M3449" t="str">
            <v/>
          </cell>
          <cell r="N3449">
            <v>0</v>
          </cell>
        </row>
        <row r="3450">
          <cell r="A3450">
            <v>1963</v>
          </cell>
          <cell r="B3450" t="str">
            <v>28/11/2011</v>
          </cell>
          <cell r="C3450" t="str">
            <v>CALLOUT</v>
          </cell>
          <cell r="D3450" t="str">
            <v>Supply and Fit new Temperature Control Knob</v>
          </cell>
          <cell r="E3450" t="str">
            <v>Amroc Heating Supplies</v>
          </cell>
          <cell r="F3450" t="str">
            <v>Subcontractor</v>
          </cell>
          <cell r="G3450" t="str">
            <v/>
          </cell>
          <cell r="H3450" t="str">
            <v/>
          </cell>
          <cell r="I3450" t="str">
            <v/>
          </cell>
          <cell r="J3450">
            <v>138</v>
          </cell>
          <cell r="K3450">
            <v>27.6</v>
          </cell>
          <cell r="L3450">
            <v>138</v>
          </cell>
          <cell r="M3450" t="str">
            <v/>
          </cell>
          <cell r="N3450">
            <v>0</v>
          </cell>
        </row>
        <row r="3451">
          <cell r="A3451">
            <v>1934</v>
          </cell>
          <cell r="B3451" t="str">
            <v>23/11/2011</v>
          </cell>
          <cell r="C3451" t="str">
            <v>C1029</v>
          </cell>
          <cell r="D3451" t="str">
            <v>Installation of 6no Swirl Grilles as discussed with Mark Pou</v>
          </cell>
          <cell r="E3451" t="str">
            <v>N M Services</v>
          </cell>
          <cell r="F3451" t="str">
            <v>Subcontractor</v>
          </cell>
          <cell r="G3451" t="str">
            <v/>
          </cell>
          <cell r="H3451" t="str">
            <v/>
          </cell>
          <cell r="I3451" t="str">
            <v/>
          </cell>
          <cell r="J3451">
            <v>200</v>
          </cell>
          <cell r="K3451">
            <v>0</v>
          </cell>
          <cell r="L3451">
            <v>200</v>
          </cell>
          <cell r="M3451" t="str">
            <v/>
          </cell>
          <cell r="N3451">
            <v>0</v>
          </cell>
        </row>
        <row r="3452">
          <cell r="A3452">
            <v>1933</v>
          </cell>
          <cell r="B3452" t="str">
            <v>23/11/2011</v>
          </cell>
          <cell r="C3452" t="str">
            <v>CALLOUT</v>
          </cell>
          <cell r="D3452" t="str">
            <v>Remove 1no Radiator</v>
          </cell>
          <cell r="E3452" t="str">
            <v>Anthony Howman Plumbing &amp; Heating</v>
          </cell>
          <cell r="F3452" t="str">
            <v>Subcontractor</v>
          </cell>
          <cell r="G3452" t="str">
            <v/>
          </cell>
          <cell r="H3452" t="str">
            <v/>
          </cell>
          <cell r="I3452" t="str">
            <v/>
          </cell>
          <cell r="J3452">
            <v>145</v>
          </cell>
          <cell r="K3452">
            <v>29</v>
          </cell>
          <cell r="L3452">
            <v>145</v>
          </cell>
          <cell r="M3452" t="str">
            <v/>
          </cell>
          <cell r="N3452">
            <v>0</v>
          </cell>
        </row>
        <row r="3453">
          <cell r="A3453">
            <v>1931</v>
          </cell>
          <cell r="B3453" t="str">
            <v>23/11/2011</v>
          </cell>
          <cell r="C3453" t="str">
            <v>CALLOUT</v>
          </cell>
          <cell r="D3453" t="str">
            <v>Strip out Sink &amp; Heater and refit</v>
          </cell>
          <cell r="E3453" t="str">
            <v>Amroc Heating Supplies</v>
          </cell>
          <cell r="F3453" t="str">
            <v>Subcontractor</v>
          </cell>
          <cell r="G3453" t="str">
            <v/>
          </cell>
          <cell r="H3453" t="str">
            <v/>
          </cell>
          <cell r="I3453" t="str">
            <v/>
          </cell>
          <cell r="J3453">
            <v>872</v>
          </cell>
          <cell r="K3453">
            <v>174.4</v>
          </cell>
          <cell r="L3453">
            <v>872</v>
          </cell>
          <cell r="M3453" t="str">
            <v/>
          </cell>
          <cell r="N3453">
            <v>0</v>
          </cell>
        </row>
        <row r="3454">
          <cell r="A3454">
            <v>1929</v>
          </cell>
          <cell r="B3454" t="str">
            <v>22/11/2011</v>
          </cell>
          <cell r="C3454" t="str">
            <v>CALLOUT</v>
          </cell>
          <cell r="D3454" t="str">
            <v>Connected cold water feed to water cooler &amp; removed AC unit</v>
          </cell>
          <cell r="E3454" t="str">
            <v>Anthony Howman Plumbing &amp; Heating</v>
          </cell>
          <cell r="F3454" t="str">
            <v>Subcontractor</v>
          </cell>
          <cell r="G3454" t="str">
            <v/>
          </cell>
          <cell r="H3454" t="str">
            <v/>
          </cell>
          <cell r="I3454" t="str">
            <v/>
          </cell>
          <cell r="J3454">
            <v>270</v>
          </cell>
          <cell r="K3454">
            <v>54</v>
          </cell>
          <cell r="L3454">
            <v>270</v>
          </cell>
          <cell r="M3454" t="str">
            <v/>
          </cell>
          <cell r="N3454">
            <v>0</v>
          </cell>
        </row>
        <row r="3455">
          <cell r="A3455">
            <v>1928</v>
          </cell>
          <cell r="B3455" t="str">
            <v>22/11/2011</v>
          </cell>
          <cell r="C3455" t="str">
            <v>CALLOUT</v>
          </cell>
          <cell r="D3455" t="str">
            <v>Repaired leaking radiator in ladies toilet</v>
          </cell>
          <cell r="E3455" t="str">
            <v>Anthony Howman Plumbing &amp; Heating</v>
          </cell>
          <cell r="F3455" t="str">
            <v>Subcontractor</v>
          </cell>
          <cell r="G3455" t="str">
            <v/>
          </cell>
          <cell r="H3455" t="str">
            <v/>
          </cell>
          <cell r="I3455" t="str">
            <v/>
          </cell>
          <cell r="J3455">
            <v>150</v>
          </cell>
          <cell r="K3455">
            <v>30</v>
          </cell>
          <cell r="L3455">
            <v>150</v>
          </cell>
          <cell r="M3455" t="str">
            <v/>
          </cell>
          <cell r="N3455">
            <v>0</v>
          </cell>
        </row>
        <row r="3456">
          <cell r="A3456">
            <v>1926</v>
          </cell>
          <cell r="B3456" t="str">
            <v>22/11/2011</v>
          </cell>
          <cell r="C3456" t="str">
            <v>CALLOUT</v>
          </cell>
          <cell r="D3456" t="str">
            <v>Pressure System, found leak from the suction pipe flare nut</v>
          </cell>
          <cell r="E3456" t="str">
            <v>A Class Airconditioning</v>
          </cell>
          <cell r="F3456" t="str">
            <v>Subcontractor</v>
          </cell>
          <cell r="G3456" t="str">
            <v/>
          </cell>
          <cell r="H3456" t="str">
            <v/>
          </cell>
          <cell r="I3456" t="str">
            <v/>
          </cell>
          <cell r="J3456">
            <v>180</v>
          </cell>
          <cell r="K3456">
            <v>36</v>
          </cell>
          <cell r="L3456">
            <v>180</v>
          </cell>
          <cell r="M3456" t="str">
            <v/>
          </cell>
          <cell r="N3456">
            <v>0</v>
          </cell>
        </row>
        <row r="3457">
          <cell r="A3457">
            <v>1923</v>
          </cell>
          <cell r="B3457" t="str">
            <v>22/11/2011</v>
          </cell>
          <cell r="C3457" t="str">
            <v>C1043</v>
          </cell>
          <cell r="D3457" t="str">
            <v>For works to be carried out at Barclays Westcombe</v>
          </cell>
          <cell r="E3457" t="str">
            <v>N M Services</v>
          </cell>
          <cell r="F3457" t="str">
            <v>Subcontractor</v>
          </cell>
          <cell r="G3457" t="str">
            <v/>
          </cell>
          <cell r="H3457" t="str">
            <v>Part</v>
          </cell>
          <cell r="I3457" t="str">
            <v/>
          </cell>
          <cell r="J3457">
            <v>1100</v>
          </cell>
          <cell r="K3457">
            <v>0</v>
          </cell>
          <cell r="L3457">
            <v>1100</v>
          </cell>
          <cell r="M3457" t="str">
            <v/>
          </cell>
          <cell r="N3457">
            <v>0</v>
          </cell>
        </row>
        <row r="3458">
          <cell r="A3458">
            <v>1906</v>
          </cell>
          <cell r="B3458" t="str">
            <v>17/11/2011</v>
          </cell>
          <cell r="C3458" t="str">
            <v>C1029</v>
          </cell>
          <cell r="D3458" t="str">
            <v>1x Lost Day</v>
          </cell>
          <cell r="E3458" t="str">
            <v>The Wright Installations Ltd</v>
          </cell>
          <cell r="F3458" t="str">
            <v>Subcontractor</v>
          </cell>
          <cell r="G3458" t="str">
            <v/>
          </cell>
          <cell r="H3458" t="str">
            <v/>
          </cell>
          <cell r="I3458" t="str">
            <v/>
          </cell>
          <cell r="J3458">
            <v>900</v>
          </cell>
          <cell r="K3458">
            <v>180</v>
          </cell>
          <cell r="L3458">
            <v>1250</v>
          </cell>
          <cell r="M3458" t="str">
            <v/>
          </cell>
          <cell r="N3458">
            <v>-350</v>
          </cell>
        </row>
        <row r="3459">
          <cell r="A3459">
            <v>1905</v>
          </cell>
          <cell r="B3459" t="str">
            <v>17/11/2011</v>
          </cell>
          <cell r="C3459" t="str">
            <v>C1046</v>
          </cell>
          <cell r="D3459" t="str">
            <v>To supply labour &amp; materials at Barclays Tunstall as per quo</v>
          </cell>
          <cell r="E3459" t="str">
            <v>AFN Airconditioning</v>
          </cell>
          <cell r="F3459" t="str">
            <v>Subcontractor</v>
          </cell>
          <cell r="G3459" t="str">
            <v/>
          </cell>
          <cell r="H3459" t="str">
            <v/>
          </cell>
          <cell r="I3459" t="str">
            <v/>
          </cell>
          <cell r="J3459">
            <v>1100</v>
          </cell>
          <cell r="K3459">
            <v>220</v>
          </cell>
          <cell r="L3459">
            <v>1100</v>
          </cell>
          <cell r="M3459" t="str">
            <v/>
          </cell>
          <cell r="N3459">
            <v>0</v>
          </cell>
        </row>
        <row r="3460">
          <cell r="A3460">
            <v>1904</v>
          </cell>
          <cell r="B3460" t="str">
            <v>17/11/2011</v>
          </cell>
          <cell r="C3460" t="str">
            <v>C1035</v>
          </cell>
          <cell r="D3460" t="str">
            <v>Works to start at Barclays Waterlooville Monday 21st Novembe</v>
          </cell>
          <cell r="E3460" t="str">
            <v>R &amp; H Insulations</v>
          </cell>
          <cell r="F3460" t="str">
            <v>Subcontractor</v>
          </cell>
          <cell r="G3460" t="str">
            <v/>
          </cell>
          <cell r="H3460" t="str">
            <v/>
          </cell>
          <cell r="I3460" t="str">
            <v/>
          </cell>
          <cell r="J3460">
            <v>1217</v>
          </cell>
          <cell r="K3460">
            <v>243.4</v>
          </cell>
          <cell r="L3460">
            <v>1217</v>
          </cell>
          <cell r="M3460" t="str">
            <v/>
          </cell>
          <cell r="N3460">
            <v>0</v>
          </cell>
        </row>
        <row r="3461">
          <cell r="A3461">
            <v>1901</v>
          </cell>
          <cell r="B3461" t="str">
            <v>16/11/2011</v>
          </cell>
          <cell r="C3461" t="str">
            <v>C1045</v>
          </cell>
          <cell r="D3461" t="str">
            <v>To supply labour &amp; materials on Barclays Kidsgrove</v>
          </cell>
          <cell r="E3461" t="str">
            <v>AFN Airconditioning</v>
          </cell>
          <cell r="F3461" t="str">
            <v>Subcontractor</v>
          </cell>
          <cell r="G3461" t="str">
            <v/>
          </cell>
          <cell r="H3461" t="str">
            <v/>
          </cell>
          <cell r="I3461" t="str">
            <v/>
          </cell>
          <cell r="J3461">
            <v>1500</v>
          </cell>
          <cell r="K3461">
            <v>300</v>
          </cell>
          <cell r="L3461">
            <v>1500</v>
          </cell>
          <cell r="M3461" t="str">
            <v/>
          </cell>
          <cell r="N3461">
            <v>0</v>
          </cell>
        </row>
        <row r="3462">
          <cell r="A3462">
            <v>1886</v>
          </cell>
          <cell r="B3462" t="str">
            <v>15/11/2011</v>
          </cell>
          <cell r="C3462" t="str">
            <v>C1047</v>
          </cell>
          <cell r="D3462" t="str">
            <v>Supply labour &amp; AC materials</v>
          </cell>
          <cell r="E3462" t="str">
            <v>A Class Airconditioning</v>
          </cell>
          <cell r="F3462" t="str">
            <v>Subcontractor</v>
          </cell>
          <cell r="G3462" t="str">
            <v/>
          </cell>
          <cell r="H3462" t="str">
            <v/>
          </cell>
          <cell r="I3462" t="str">
            <v/>
          </cell>
          <cell r="J3462">
            <v>1200</v>
          </cell>
          <cell r="K3462">
            <v>240</v>
          </cell>
          <cell r="L3462">
            <v>1200</v>
          </cell>
          <cell r="M3462" t="str">
            <v/>
          </cell>
          <cell r="N3462">
            <v>0</v>
          </cell>
        </row>
        <row r="3463">
          <cell r="A3463">
            <v>1880</v>
          </cell>
          <cell r="B3463" t="str">
            <v>15/11/2011</v>
          </cell>
          <cell r="C3463" t="str">
            <v>CALLOUT</v>
          </cell>
          <cell r="D3463" t="str">
            <v>Visit Three - Leaking water above ceiling in main entrance</v>
          </cell>
          <cell r="E3463" t="str">
            <v>Foztek Limited</v>
          </cell>
          <cell r="F3463" t="str">
            <v>Subcontractor</v>
          </cell>
          <cell r="G3463" t="str">
            <v/>
          </cell>
          <cell r="H3463" t="str">
            <v/>
          </cell>
          <cell r="I3463" t="str">
            <v/>
          </cell>
          <cell r="J3463">
            <v>82.5</v>
          </cell>
          <cell r="K3463">
            <v>16.5</v>
          </cell>
          <cell r="L3463">
            <v>82.5</v>
          </cell>
          <cell r="M3463" t="str">
            <v/>
          </cell>
          <cell r="N3463">
            <v>0</v>
          </cell>
        </row>
        <row r="3464">
          <cell r="A3464">
            <v>1879</v>
          </cell>
          <cell r="B3464" t="str">
            <v>15/11/2011</v>
          </cell>
          <cell r="C3464" t="str">
            <v>CALLOUT</v>
          </cell>
          <cell r="D3464" t="str">
            <v>Vist Two - Reset micro fill</v>
          </cell>
          <cell r="E3464" t="str">
            <v>Foztek Limited</v>
          </cell>
          <cell r="F3464" t="str">
            <v>Subcontractor</v>
          </cell>
          <cell r="G3464" t="str">
            <v/>
          </cell>
          <cell r="H3464" t="str">
            <v/>
          </cell>
          <cell r="I3464" t="str">
            <v/>
          </cell>
          <cell r="J3464">
            <v>68.75</v>
          </cell>
          <cell r="K3464">
            <v>13.75</v>
          </cell>
          <cell r="L3464">
            <v>68.75</v>
          </cell>
          <cell r="M3464" t="str">
            <v/>
          </cell>
          <cell r="N3464">
            <v>0</v>
          </cell>
        </row>
        <row r="3465">
          <cell r="A3465">
            <v>1878</v>
          </cell>
          <cell r="B3465" t="str">
            <v>15/11/2011</v>
          </cell>
          <cell r="C3465" t="str">
            <v>CALLOUT</v>
          </cell>
          <cell r="D3465" t="str">
            <v>Visit One - Low water pressure</v>
          </cell>
          <cell r="E3465" t="str">
            <v>Foztek Limited</v>
          </cell>
          <cell r="F3465" t="str">
            <v>Subcontractor</v>
          </cell>
          <cell r="G3465" t="str">
            <v/>
          </cell>
          <cell r="H3465" t="str">
            <v/>
          </cell>
          <cell r="I3465" t="str">
            <v/>
          </cell>
          <cell r="J3465">
            <v>68.75</v>
          </cell>
          <cell r="K3465">
            <v>13.75</v>
          </cell>
          <cell r="L3465">
            <v>68.75</v>
          </cell>
          <cell r="M3465" t="str">
            <v/>
          </cell>
          <cell r="N3465">
            <v>0</v>
          </cell>
        </row>
        <row r="3466">
          <cell r="A3466">
            <v>1876</v>
          </cell>
          <cell r="B3466" t="str">
            <v>14/11/2011</v>
          </cell>
          <cell r="C3466" t="str">
            <v>CALLOUT</v>
          </cell>
          <cell r="D3466" t="str">
            <v>Connect water heater</v>
          </cell>
          <cell r="E3466" t="str">
            <v>A Jones Heating &amp; Plumbing</v>
          </cell>
          <cell r="F3466" t="str">
            <v>Subcontractor</v>
          </cell>
          <cell r="G3466" t="str">
            <v/>
          </cell>
          <cell r="H3466" t="str">
            <v/>
          </cell>
          <cell r="I3466" t="str">
            <v/>
          </cell>
          <cell r="J3466">
            <v>75</v>
          </cell>
          <cell r="K3466">
            <v>0</v>
          </cell>
          <cell r="L3466">
            <v>75</v>
          </cell>
          <cell r="M3466" t="str">
            <v/>
          </cell>
          <cell r="N3466">
            <v>0</v>
          </cell>
        </row>
        <row r="3467">
          <cell r="A3467">
            <v>1875</v>
          </cell>
          <cell r="B3467" t="str">
            <v>14/11/2011</v>
          </cell>
          <cell r="C3467" t="str">
            <v>CALLOUT</v>
          </cell>
          <cell r="D3467" t="str">
            <v>Assisting Scott</v>
          </cell>
          <cell r="E3467" t="str">
            <v>A Jones Heating &amp; Plumbing</v>
          </cell>
          <cell r="F3467" t="str">
            <v>Subcontractor</v>
          </cell>
          <cell r="G3467" t="str">
            <v/>
          </cell>
          <cell r="H3467" t="str">
            <v/>
          </cell>
          <cell r="I3467" t="str">
            <v/>
          </cell>
          <cell r="J3467">
            <v>40</v>
          </cell>
          <cell r="K3467">
            <v>0</v>
          </cell>
          <cell r="L3467">
            <v>40</v>
          </cell>
          <cell r="M3467" t="str">
            <v/>
          </cell>
          <cell r="N3467">
            <v>0</v>
          </cell>
        </row>
        <row r="3468">
          <cell r="A3468">
            <v>1874</v>
          </cell>
          <cell r="B3468" t="str">
            <v>14/11/2011</v>
          </cell>
          <cell r="C3468" t="str">
            <v>CALLOUT</v>
          </cell>
          <cell r="D3468" t="str">
            <v>Full gas drop test at Great Bear Distribution Skelmersdale</v>
          </cell>
          <cell r="E3468" t="str">
            <v>A Jones Heating &amp; Plumbing</v>
          </cell>
          <cell r="F3468" t="str">
            <v>Subcontractor</v>
          </cell>
          <cell r="G3468" t="str">
            <v/>
          </cell>
          <cell r="H3468" t="str">
            <v/>
          </cell>
          <cell r="I3468" t="str">
            <v/>
          </cell>
          <cell r="J3468">
            <v>105</v>
          </cell>
          <cell r="K3468">
            <v>0</v>
          </cell>
          <cell r="L3468">
            <v>105</v>
          </cell>
          <cell r="M3468" t="str">
            <v/>
          </cell>
          <cell r="N3468">
            <v>0</v>
          </cell>
        </row>
        <row r="3469">
          <cell r="A3469">
            <v>1870</v>
          </cell>
          <cell r="B3469" t="str">
            <v>10/11/2011</v>
          </cell>
          <cell r="C3469" t="str">
            <v>CALLOUT</v>
          </cell>
          <cell r="D3469" t="str">
            <v>Decommission units and remove from site</v>
          </cell>
          <cell r="E3469" t="str">
            <v>Elite Air Conditioning &amp; Refrigeration Ltd</v>
          </cell>
          <cell r="F3469" t="str">
            <v>Subcontractor</v>
          </cell>
          <cell r="G3469" t="str">
            <v/>
          </cell>
          <cell r="H3469" t="str">
            <v/>
          </cell>
          <cell r="I3469" t="str">
            <v/>
          </cell>
          <cell r="J3469">
            <v>950</v>
          </cell>
          <cell r="K3469">
            <v>190</v>
          </cell>
          <cell r="L3469">
            <v>950</v>
          </cell>
          <cell r="M3469" t="str">
            <v/>
          </cell>
          <cell r="N3469">
            <v>0</v>
          </cell>
        </row>
        <row r="3470">
          <cell r="A3470">
            <v>1869</v>
          </cell>
          <cell r="B3470" t="str">
            <v>10/11/2011</v>
          </cell>
          <cell r="C3470" t="str">
            <v>CALLOUT</v>
          </cell>
          <cell r="D3470" t="str">
            <v>Checked over toilet cistern and drains</v>
          </cell>
          <cell r="E3470" t="str">
            <v>Anthony Howman Plumbing &amp; Heating</v>
          </cell>
          <cell r="F3470" t="str">
            <v>Subcontractor</v>
          </cell>
          <cell r="G3470" t="str">
            <v/>
          </cell>
          <cell r="H3470" t="str">
            <v/>
          </cell>
          <cell r="I3470" t="str">
            <v/>
          </cell>
          <cell r="J3470">
            <v>120</v>
          </cell>
          <cell r="K3470">
            <v>24</v>
          </cell>
          <cell r="L3470">
            <v>120</v>
          </cell>
          <cell r="M3470" t="str">
            <v/>
          </cell>
          <cell r="N3470">
            <v>0</v>
          </cell>
        </row>
        <row r="3471">
          <cell r="A3471">
            <v>1868</v>
          </cell>
          <cell r="B3471" t="str">
            <v>10/11/2011</v>
          </cell>
          <cell r="C3471" t="str">
            <v>CALLOUT</v>
          </cell>
          <cell r="D3471" t="str">
            <v>Unblocked Drains and cleared gulleys</v>
          </cell>
          <cell r="E3471" t="str">
            <v>Anthony Howman Plumbing &amp; Heating</v>
          </cell>
          <cell r="F3471" t="str">
            <v>Subcontractor</v>
          </cell>
          <cell r="G3471" t="str">
            <v/>
          </cell>
          <cell r="H3471" t="str">
            <v/>
          </cell>
          <cell r="I3471" t="str">
            <v/>
          </cell>
          <cell r="J3471">
            <v>160</v>
          </cell>
          <cell r="K3471">
            <v>32</v>
          </cell>
          <cell r="L3471">
            <v>160</v>
          </cell>
          <cell r="M3471" t="str">
            <v/>
          </cell>
          <cell r="N3471">
            <v>0</v>
          </cell>
        </row>
        <row r="3472">
          <cell r="A3472">
            <v>1867</v>
          </cell>
          <cell r="B3472" t="str">
            <v>10/11/2011</v>
          </cell>
          <cell r="C3472" t="str">
            <v>CALLOUT</v>
          </cell>
          <cell r="D3472" t="str">
            <v>Disconnect and Remove wash hand basin - relocate new wash ha</v>
          </cell>
          <cell r="E3472" t="str">
            <v>Anthony Howman Plumbing &amp; Heating</v>
          </cell>
          <cell r="F3472" t="str">
            <v>Subcontractor</v>
          </cell>
          <cell r="G3472" t="str">
            <v/>
          </cell>
          <cell r="H3472" t="str">
            <v/>
          </cell>
          <cell r="I3472" t="str">
            <v/>
          </cell>
          <cell r="J3472">
            <v>140</v>
          </cell>
          <cell r="K3472">
            <v>28</v>
          </cell>
          <cell r="L3472">
            <v>140</v>
          </cell>
          <cell r="M3472" t="str">
            <v/>
          </cell>
          <cell r="N3472">
            <v>0</v>
          </cell>
        </row>
        <row r="3473">
          <cell r="A3473">
            <v>1866</v>
          </cell>
          <cell r="B3473" t="str">
            <v>10/11/2011</v>
          </cell>
          <cell r="C3473" t="str">
            <v>CALLOUT</v>
          </cell>
          <cell r="D3473" t="str">
            <v>Supplied Labour to recloate Air Con Unit</v>
          </cell>
          <cell r="E3473" t="str">
            <v>A Class Airconditioning</v>
          </cell>
          <cell r="F3473" t="str">
            <v>Subcontractor</v>
          </cell>
          <cell r="G3473" t="str">
            <v/>
          </cell>
          <cell r="H3473" t="str">
            <v/>
          </cell>
          <cell r="I3473" t="str">
            <v/>
          </cell>
          <cell r="J3473">
            <v>300</v>
          </cell>
          <cell r="K3473">
            <v>60</v>
          </cell>
          <cell r="L3473">
            <v>300</v>
          </cell>
          <cell r="M3473" t="str">
            <v/>
          </cell>
          <cell r="N3473">
            <v>0</v>
          </cell>
        </row>
        <row r="3474">
          <cell r="A3474">
            <v>1865</v>
          </cell>
          <cell r="B3474" t="str">
            <v>10/11/2011</v>
          </cell>
          <cell r="C3474" t="str">
            <v>CALLOUT</v>
          </cell>
          <cell r="D3474" t="str">
            <v>Rectify fault on aircon system not blowing cold air</v>
          </cell>
          <cell r="E3474" t="str">
            <v>Elite Air Conditioning &amp; Refrigeration Ltd</v>
          </cell>
          <cell r="F3474" t="str">
            <v>Subcontractor</v>
          </cell>
          <cell r="G3474" t="str">
            <v/>
          </cell>
          <cell r="H3474" t="str">
            <v/>
          </cell>
          <cell r="I3474" t="str">
            <v/>
          </cell>
          <cell r="J3474">
            <v>205</v>
          </cell>
          <cell r="K3474">
            <v>41</v>
          </cell>
          <cell r="L3474">
            <v>205</v>
          </cell>
          <cell r="M3474" t="str">
            <v/>
          </cell>
          <cell r="N3474">
            <v>0</v>
          </cell>
        </row>
        <row r="3475">
          <cell r="A3475">
            <v>1864</v>
          </cell>
          <cell r="B3475" t="str">
            <v>10/11/2011</v>
          </cell>
          <cell r="C3475" t="str">
            <v>CALLOUT</v>
          </cell>
          <cell r="D3475" t="str">
            <v>Removed 5no radiators on Tuesday Evening - 8th November 2011</v>
          </cell>
          <cell r="E3475" t="str">
            <v>Amroc Heating Supplies</v>
          </cell>
          <cell r="F3475" t="str">
            <v>Subcontractor</v>
          </cell>
          <cell r="G3475" t="str">
            <v/>
          </cell>
          <cell r="H3475" t="str">
            <v/>
          </cell>
          <cell r="I3475" t="str">
            <v/>
          </cell>
          <cell r="J3475">
            <v>156.25</v>
          </cell>
          <cell r="K3475">
            <v>31.25</v>
          </cell>
          <cell r="L3475">
            <v>156.25</v>
          </cell>
          <cell r="M3475" t="str">
            <v/>
          </cell>
          <cell r="N3475">
            <v>0</v>
          </cell>
        </row>
        <row r="3476">
          <cell r="A3476">
            <v>1856</v>
          </cell>
          <cell r="B3476" t="str">
            <v>09/11/2011</v>
          </cell>
          <cell r="C3476" t="str">
            <v>SERVICE</v>
          </cell>
          <cell r="D3476" t="str">
            <v>Carry out Maintenance on Blue Box Chiller - Serial No: BBOX</v>
          </cell>
          <cell r="E3476" t="str">
            <v>GalxC Cooling Solutions</v>
          </cell>
          <cell r="F3476" t="str">
            <v>Subcontractor</v>
          </cell>
          <cell r="G3476" t="str">
            <v/>
          </cell>
          <cell r="H3476" t="str">
            <v/>
          </cell>
          <cell r="I3476" t="str">
            <v/>
          </cell>
          <cell r="J3476">
            <v>200</v>
          </cell>
          <cell r="K3476">
            <v>40</v>
          </cell>
          <cell r="L3476">
            <v>200</v>
          </cell>
          <cell r="M3476" t="str">
            <v/>
          </cell>
          <cell r="N3476">
            <v>0</v>
          </cell>
        </row>
        <row r="3477">
          <cell r="A3477">
            <v>1853</v>
          </cell>
          <cell r="B3477" t="str">
            <v>03/11/2011</v>
          </cell>
          <cell r="C3477" t="str">
            <v>CALLOUT</v>
          </cell>
          <cell r="D3477" t="str">
            <v>Supply and Fit new Monobloc Tap</v>
          </cell>
          <cell r="E3477" t="str">
            <v>Foztek Limited</v>
          </cell>
          <cell r="F3477" t="str">
            <v>Subcontractor</v>
          </cell>
          <cell r="G3477" t="str">
            <v/>
          </cell>
          <cell r="H3477" t="str">
            <v/>
          </cell>
          <cell r="I3477" t="str">
            <v/>
          </cell>
          <cell r="J3477">
            <v>148</v>
          </cell>
          <cell r="K3477">
            <v>0</v>
          </cell>
          <cell r="L3477">
            <v>148</v>
          </cell>
          <cell r="M3477" t="str">
            <v/>
          </cell>
          <cell r="N3477">
            <v>0</v>
          </cell>
        </row>
        <row r="3478">
          <cell r="A3478">
            <v>1850</v>
          </cell>
          <cell r="B3478" t="str">
            <v>02/11/2011</v>
          </cell>
          <cell r="C3478" t="str">
            <v>C1039</v>
          </cell>
          <cell r="D3478" t="str">
            <v>To supply labour at the Turning Point</v>
          </cell>
          <cell r="E3478" t="str">
            <v>Gary Barnes</v>
          </cell>
          <cell r="F3478" t="str">
            <v>Subcontractor</v>
          </cell>
          <cell r="G3478" t="str">
            <v/>
          </cell>
          <cell r="H3478" t="str">
            <v/>
          </cell>
          <cell r="I3478" t="str">
            <v/>
          </cell>
          <cell r="J3478">
            <v>16365</v>
          </cell>
          <cell r="K3478">
            <v>0</v>
          </cell>
          <cell r="L3478">
            <v>16365</v>
          </cell>
          <cell r="M3478" t="str">
            <v/>
          </cell>
          <cell r="N3478">
            <v>0</v>
          </cell>
        </row>
        <row r="3479">
          <cell r="A3479">
            <v>1849</v>
          </cell>
          <cell r="B3479" t="str">
            <v>02/11/2011</v>
          </cell>
          <cell r="C3479" t="str">
            <v>C1039</v>
          </cell>
          <cell r="D3479" t="str">
            <v>Labour</v>
          </cell>
          <cell r="E3479" t="str">
            <v>The Wright Installations Ltd</v>
          </cell>
          <cell r="F3479" t="str">
            <v>Subcontractor</v>
          </cell>
          <cell r="G3479" t="str">
            <v/>
          </cell>
          <cell r="H3479" t="str">
            <v/>
          </cell>
          <cell r="I3479" t="str">
            <v/>
          </cell>
          <cell r="J3479">
            <v>860</v>
          </cell>
          <cell r="K3479">
            <v>172</v>
          </cell>
          <cell r="L3479">
            <v>860</v>
          </cell>
          <cell r="M3479" t="str">
            <v/>
          </cell>
          <cell r="N3479">
            <v>0</v>
          </cell>
        </row>
        <row r="3480">
          <cell r="A3480">
            <v>1839</v>
          </cell>
          <cell r="B3480" t="str">
            <v>02/11/2011</v>
          </cell>
          <cell r="C3480" t="str">
            <v>CALLOUT</v>
          </cell>
          <cell r="D3480" t="str">
            <v>Provided Labour at Nanoco</v>
          </cell>
          <cell r="E3480" t="str">
            <v>A Jones Heating &amp; Plumbing</v>
          </cell>
          <cell r="F3480" t="str">
            <v>Subcontractor</v>
          </cell>
          <cell r="G3480" t="str">
            <v/>
          </cell>
          <cell r="H3480" t="str">
            <v/>
          </cell>
          <cell r="I3480" t="str">
            <v/>
          </cell>
          <cell r="J3480">
            <v>100</v>
          </cell>
          <cell r="K3480">
            <v>0</v>
          </cell>
          <cell r="L3480">
            <v>100</v>
          </cell>
          <cell r="M3480" t="str">
            <v/>
          </cell>
          <cell r="N3480">
            <v>0</v>
          </cell>
        </row>
        <row r="3481">
          <cell r="A3481">
            <v>1838</v>
          </cell>
          <cell r="B3481" t="str">
            <v>02/11/2011</v>
          </cell>
          <cell r="C3481" t="str">
            <v>C1016</v>
          </cell>
          <cell r="D3481" t="str">
            <v>Provided Labour at Helena HQ</v>
          </cell>
          <cell r="E3481" t="str">
            <v>A Jones Heating &amp; Plumbing</v>
          </cell>
          <cell r="F3481" t="str">
            <v>Subcontractor</v>
          </cell>
          <cell r="G3481" t="str">
            <v/>
          </cell>
          <cell r="H3481" t="str">
            <v/>
          </cell>
          <cell r="I3481" t="str">
            <v/>
          </cell>
          <cell r="J3481">
            <v>150</v>
          </cell>
          <cell r="K3481">
            <v>0</v>
          </cell>
          <cell r="L3481">
            <v>0</v>
          </cell>
          <cell r="M3481" t="str">
            <v/>
          </cell>
          <cell r="N3481">
            <v>0</v>
          </cell>
        </row>
        <row r="3482">
          <cell r="A3482">
            <v>1827</v>
          </cell>
          <cell r="B3482" t="str">
            <v>01/11/2011</v>
          </cell>
          <cell r="C3482" t="str">
            <v>SERVICE</v>
          </cell>
          <cell r="D3482" t="str">
            <v>Carried out service on LPG Boiler at Movianto Knowsley</v>
          </cell>
          <cell r="E3482" t="str">
            <v>Anthony Howman Plumbing &amp; Heating</v>
          </cell>
          <cell r="F3482" t="str">
            <v>Subcontractor</v>
          </cell>
          <cell r="G3482" t="str">
            <v/>
          </cell>
          <cell r="H3482" t="str">
            <v/>
          </cell>
          <cell r="I3482" t="str">
            <v/>
          </cell>
          <cell r="J3482">
            <v>200</v>
          </cell>
          <cell r="K3482">
            <v>40</v>
          </cell>
          <cell r="L3482">
            <v>200</v>
          </cell>
          <cell r="M3482" t="str">
            <v/>
          </cell>
          <cell r="N3482">
            <v>0</v>
          </cell>
        </row>
        <row r="3483">
          <cell r="A3483">
            <v>1808</v>
          </cell>
          <cell r="B3483" t="str">
            <v>27/10/2011</v>
          </cell>
          <cell r="C3483" t="str">
            <v>C1029</v>
          </cell>
          <cell r="D3483" t="str">
            <v>To supply labour on the contract below</v>
          </cell>
          <cell r="E3483" t="str">
            <v>The Wright Installations Ltd</v>
          </cell>
          <cell r="F3483" t="str">
            <v>Subcontractor</v>
          </cell>
          <cell r="G3483" t="str">
            <v/>
          </cell>
          <cell r="H3483" t="str">
            <v/>
          </cell>
          <cell r="I3483" t="str">
            <v/>
          </cell>
          <cell r="J3483">
            <v>2000</v>
          </cell>
          <cell r="K3483">
            <v>400</v>
          </cell>
          <cell r="L3483">
            <v>2000</v>
          </cell>
          <cell r="M3483" t="str">
            <v/>
          </cell>
          <cell r="N3483">
            <v>0</v>
          </cell>
        </row>
        <row r="3484">
          <cell r="A3484">
            <v>1769</v>
          </cell>
          <cell r="B3484" t="str">
            <v>19/10/2011</v>
          </cell>
          <cell r="C3484" t="str">
            <v>C1036</v>
          </cell>
          <cell r="D3484" t="str">
            <v>Provide Labour to work with Scott on Saturday 22nd October 2</v>
          </cell>
          <cell r="E3484" t="str">
            <v>A Class Airconditioning</v>
          </cell>
          <cell r="F3484" t="str">
            <v>Subcontractor</v>
          </cell>
          <cell r="G3484" t="str">
            <v/>
          </cell>
          <cell r="H3484" t="str">
            <v/>
          </cell>
          <cell r="I3484" t="str">
            <v/>
          </cell>
          <cell r="J3484">
            <v>120</v>
          </cell>
          <cell r="K3484">
            <v>24</v>
          </cell>
          <cell r="L3484">
            <v>120</v>
          </cell>
          <cell r="M3484" t="str">
            <v/>
          </cell>
          <cell r="N3484">
            <v>0</v>
          </cell>
        </row>
        <row r="3485">
          <cell r="A3485">
            <v>1730</v>
          </cell>
          <cell r="B3485" t="str">
            <v>10/10/2011</v>
          </cell>
          <cell r="C3485" t="str">
            <v>C1029</v>
          </cell>
          <cell r="D3485" t="str">
            <v>Order as agreed with Mark Poulton</v>
          </cell>
          <cell r="E3485" t="str">
            <v>Co-Ordinated Services Ltd</v>
          </cell>
          <cell r="F3485" t="str">
            <v>Subcontractor</v>
          </cell>
          <cell r="G3485" t="str">
            <v/>
          </cell>
          <cell r="H3485" t="str">
            <v/>
          </cell>
          <cell r="I3485" t="str">
            <v/>
          </cell>
          <cell r="J3485">
            <v>2100</v>
          </cell>
          <cell r="K3485">
            <v>420</v>
          </cell>
          <cell r="L3485">
            <v>2100</v>
          </cell>
          <cell r="M3485" t="str">
            <v/>
          </cell>
          <cell r="N3485">
            <v>0</v>
          </cell>
        </row>
        <row r="3486">
          <cell r="A3486">
            <v>1729</v>
          </cell>
          <cell r="B3486" t="str">
            <v>07/10/2011</v>
          </cell>
          <cell r="C3486" t="str">
            <v>C1032</v>
          </cell>
          <cell r="D3486" t="str">
            <v>Air Conditioning Works as per drawings</v>
          </cell>
          <cell r="E3486" t="str">
            <v>A Class Airconditioning</v>
          </cell>
          <cell r="F3486" t="str">
            <v>Subcontractor</v>
          </cell>
          <cell r="G3486" t="str">
            <v/>
          </cell>
          <cell r="H3486" t="str">
            <v/>
          </cell>
          <cell r="I3486" t="str">
            <v/>
          </cell>
          <cell r="J3486">
            <v>900</v>
          </cell>
          <cell r="K3486">
            <v>180</v>
          </cell>
          <cell r="L3486">
            <v>300</v>
          </cell>
          <cell r="M3486" t="str">
            <v/>
          </cell>
          <cell r="N3486">
            <v>600</v>
          </cell>
        </row>
        <row r="3487">
          <cell r="A3487">
            <v>1728</v>
          </cell>
          <cell r="B3487" t="str">
            <v>07/10/2011</v>
          </cell>
          <cell r="C3487" t="str">
            <v>C1034</v>
          </cell>
          <cell r="D3487" t="str">
            <v>Air Conditioning Works as per drawings</v>
          </cell>
          <cell r="E3487" t="str">
            <v>A Class Airconditioning</v>
          </cell>
          <cell r="F3487" t="str">
            <v>Subcontractor</v>
          </cell>
          <cell r="G3487" t="str">
            <v/>
          </cell>
          <cell r="H3487" t="str">
            <v/>
          </cell>
          <cell r="I3487" t="str">
            <v/>
          </cell>
          <cell r="J3487">
            <v>2300</v>
          </cell>
          <cell r="K3487">
            <v>460</v>
          </cell>
          <cell r="L3487">
            <v>1600</v>
          </cell>
          <cell r="M3487" t="str">
            <v/>
          </cell>
          <cell r="N3487">
            <v>700</v>
          </cell>
        </row>
        <row r="3488">
          <cell r="A3488">
            <v>1727</v>
          </cell>
          <cell r="B3488" t="str">
            <v>07/10/2011</v>
          </cell>
          <cell r="C3488" t="str">
            <v>C1023</v>
          </cell>
          <cell r="D3488" t="str">
            <v>Works carried out at Barclays Scarborough</v>
          </cell>
          <cell r="E3488" t="str">
            <v>Anthony Howman Plumbing &amp; Heating</v>
          </cell>
          <cell r="F3488" t="str">
            <v>Subcontractor</v>
          </cell>
          <cell r="G3488" t="str">
            <v/>
          </cell>
          <cell r="H3488" t="str">
            <v/>
          </cell>
          <cell r="I3488" t="str">
            <v/>
          </cell>
          <cell r="J3488">
            <v>2250</v>
          </cell>
          <cell r="K3488">
            <v>450</v>
          </cell>
          <cell r="L3488">
            <v>0</v>
          </cell>
          <cell r="M3488" t="str">
            <v/>
          </cell>
          <cell r="N3488">
            <v>2250</v>
          </cell>
        </row>
        <row r="3489">
          <cell r="A3489">
            <v>1726</v>
          </cell>
          <cell r="B3489" t="str">
            <v>07/10/2011</v>
          </cell>
          <cell r="C3489" t="str">
            <v>C1016</v>
          </cell>
          <cell r="D3489" t="str">
            <v>Works carried out at Helena</v>
          </cell>
          <cell r="E3489" t="str">
            <v>Anthony Howman Plumbing &amp; Heating</v>
          </cell>
          <cell r="F3489" t="str">
            <v>Subcontractor</v>
          </cell>
          <cell r="G3489" t="str">
            <v/>
          </cell>
          <cell r="H3489" t="str">
            <v/>
          </cell>
          <cell r="I3489" t="str">
            <v/>
          </cell>
          <cell r="J3489">
            <v>230</v>
          </cell>
          <cell r="K3489">
            <v>46</v>
          </cell>
          <cell r="L3489">
            <v>0</v>
          </cell>
          <cell r="M3489" t="str">
            <v/>
          </cell>
          <cell r="N3489">
            <v>230</v>
          </cell>
        </row>
        <row r="3490">
          <cell r="A3490">
            <v>1725</v>
          </cell>
          <cell r="B3490" t="str">
            <v>07/10/2011</v>
          </cell>
          <cell r="C3490" t="str">
            <v>C1018</v>
          </cell>
          <cell r="D3490" t="str">
            <v>Works carried out at Barclays St Helens</v>
          </cell>
          <cell r="E3490" t="str">
            <v>Anthony Howman Plumbing &amp; Heating</v>
          </cell>
          <cell r="F3490" t="str">
            <v>Subcontractor</v>
          </cell>
          <cell r="G3490" t="str">
            <v/>
          </cell>
          <cell r="H3490" t="str">
            <v/>
          </cell>
          <cell r="I3490" t="str">
            <v/>
          </cell>
          <cell r="J3490">
            <v>275</v>
          </cell>
          <cell r="K3490">
            <v>55</v>
          </cell>
          <cell r="L3490">
            <v>0</v>
          </cell>
          <cell r="M3490" t="str">
            <v/>
          </cell>
          <cell r="N3490">
            <v>275</v>
          </cell>
        </row>
        <row r="3491">
          <cell r="A3491">
            <v>1724</v>
          </cell>
          <cell r="B3491" t="str">
            <v>07/10/2011</v>
          </cell>
          <cell r="C3491" t="str">
            <v>C1027</v>
          </cell>
          <cell r="D3491" t="str">
            <v>Works carried out at Barclays Thatcham</v>
          </cell>
          <cell r="E3491" t="str">
            <v>Anthony Howman Plumbing &amp; Heating</v>
          </cell>
          <cell r="F3491" t="str">
            <v>Subcontractor</v>
          </cell>
          <cell r="G3491" t="str">
            <v/>
          </cell>
          <cell r="H3491" t="str">
            <v/>
          </cell>
          <cell r="I3491" t="str">
            <v/>
          </cell>
          <cell r="J3491">
            <v>100</v>
          </cell>
          <cell r="K3491">
            <v>20</v>
          </cell>
          <cell r="L3491">
            <v>0</v>
          </cell>
          <cell r="M3491" t="str">
            <v/>
          </cell>
          <cell r="N3491">
            <v>100</v>
          </cell>
        </row>
        <row r="3492">
          <cell r="A3492">
            <v>1723</v>
          </cell>
          <cell r="B3492" t="str">
            <v>07/10/2011</v>
          </cell>
          <cell r="C3492" t="str">
            <v>C1026</v>
          </cell>
          <cell r="D3492" t="str">
            <v>Works carried out at Barclays Hungerford</v>
          </cell>
          <cell r="E3492" t="str">
            <v>Anthony Howman Plumbing &amp; Heating</v>
          </cell>
          <cell r="F3492" t="str">
            <v>Subcontractor</v>
          </cell>
          <cell r="G3492" t="str">
            <v/>
          </cell>
          <cell r="H3492" t="str">
            <v/>
          </cell>
          <cell r="I3492" t="str">
            <v/>
          </cell>
          <cell r="J3492">
            <v>350</v>
          </cell>
          <cell r="K3492">
            <v>70</v>
          </cell>
          <cell r="L3492">
            <v>0</v>
          </cell>
          <cell r="M3492" t="str">
            <v/>
          </cell>
          <cell r="N3492">
            <v>350</v>
          </cell>
        </row>
        <row r="3493">
          <cell r="A3493">
            <v>1716</v>
          </cell>
          <cell r="B3493" t="str">
            <v>06/10/2011</v>
          </cell>
          <cell r="C3493" t="str">
            <v>C1023</v>
          </cell>
          <cell r="D3493" t="str">
            <v>2 Nights Work installing AC Units</v>
          </cell>
          <cell r="E3493" t="str">
            <v>A Class Airconditioning</v>
          </cell>
          <cell r="F3493" t="str">
            <v>Subcontractor</v>
          </cell>
          <cell r="G3493" t="str">
            <v/>
          </cell>
          <cell r="H3493" t="str">
            <v/>
          </cell>
          <cell r="I3493" t="str">
            <v/>
          </cell>
          <cell r="J3493">
            <v>780</v>
          </cell>
          <cell r="K3493">
            <v>156</v>
          </cell>
          <cell r="L3493">
            <v>780</v>
          </cell>
          <cell r="M3493" t="str">
            <v/>
          </cell>
          <cell r="N3493">
            <v>0</v>
          </cell>
        </row>
        <row r="3494">
          <cell r="A3494">
            <v>1714</v>
          </cell>
          <cell r="B3494" t="str">
            <v>06/10/2011</v>
          </cell>
          <cell r="C3494" t="str">
            <v>CALLOUT</v>
          </cell>
          <cell r="D3494" t="str">
            <v>To re-position pipework</v>
          </cell>
          <cell r="E3494" t="str">
            <v>Goldstar Plumbing and Heating</v>
          </cell>
          <cell r="F3494" t="str">
            <v>Subcontractor</v>
          </cell>
          <cell r="G3494" t="str">
            <v/>
          </cell>
          <cell r="H3494" t="str">
            <v/>
          </cell>
          <cell r="I3494" t="str">
            <v/>
          </cell>
          <cell r="J3494">
            <v>490</v>
          </cell>
          <cell r="K3494">
            <v>98</v>
          </cell>
          <cell r="L3494">
            <v>490</v>
          </cell>
          <cell r="M3494" t="str">
            <v/>
          </cell>
          <cell r="N3494">
            <v>0</v>
          </cell>
        </row>
        <row r="3495">
          <cell r="A3495">
            <v>1713</v>
          </cell>
          <cell r="B3495" t="str">
            <v>06/10/2011</v>
          </cell>
          <cell r="C3495" t="str">
            <v>C1029</v>
          </cell>
          <cell r="D3495" t="str">
            <v>One day 2 engineers</v>
          </cell>
          <cell r="E3495" t="str">
            <v>Co-Ordinated Services Ltd</v>
          </cell>
          <cell r="F3495" t="str">
            <v>Subcontractor</v>
          </cell>
          <cell r="G3495" t="str">
            <v/>
          </cell>
          <cell r="H3495" t="str">
            <v/>
          </cell>
          <cell r="I3495" t="str">
            <v/>
          </cell>
          <cell r="J3495">
            <v>620</v>
          </cell>
          <cell r="K3495">
            <v>124</v>
          </cell>
          <cell r="L3495">
            <v>1070</v>
          </cell>
          <cell r="M3495" t="str">
            <v/>
          </cell>
          <cell r="N3495">
            <v>-450</v>
          </cell>
        </row>
        <row r="3496">
          <cell r="A3496">
            <v>1711</v>
          </cell>
          <cell r="B3496" t="str">
            <v>06/10/2011</v>
          </cell>
          <cell r="C3496" t="str">
            <v>C1023</v>
          </cell>
          <cell r="D3496" t="str">
            <v>For works on Barclays Scarborough</v>
          </cell>
          <cell r="E3496" t="str">
            <v>Bradshaws</v>
          </cell>
          <cell r="F3496" t="str">
            <v>Subcontractor</v>
          </cell>
          <cell r="G3496" t="str">
            <v/>
          </cell>
          <cell r="H3496" t="str">
            <v/>
          </cell>
          <cell r="I3496" t="str">
            <v/>
          </cell>
          <cell r="J3496">
            <v>240.5</v>
          </cell>
          <cell r="K3496">
            <v>0</v>
          </cell>
          <cell r="L3496">
            <v>0</v>
          </cell>
          <cell r="M3496" t="str">
            <v/>
          </cell>
          <cell r="N3496">
            <v>240.5</v>
          </cell>
        </row>
        <row r="3497">
          <cell r="A3497">
            <v>1708</v>
          </cell>
          <cell r="B3497" t="str">
            <v>06/10/2011</v>
          </cell>
          <cell r="C3497" t="str">
            <v>C1010</v>
          </cell>
          <cell r="D3497" t="str">
            <v>Works carried out at Blessed Thomas Invoice 058</v>
          </cell>
          <cell r="E3497" t="str">
            <v>Gary Barnes</v>
          </cell>
          <cell r="F3497" t="str">
            <v>Subcontractor</v>
          </cell>
          <cell r="G3497" t="str">
            <v/>
          </cell>
          <cell r="H3497" t="str">
            <v/>
          </cell>
          <cell r="I3497" t="str">
            <v/>
          </cell>
          <cell r="J3497">
            <v>100</v>
          </cell>
          <cell r="K3497">
            <v>0</v>
          </cell>
          <cell r="L3497">
            <v>100</v>
          </cell>
          <cell r="M3497" t="str">
            <v/>
          </cell>
          <cell r="N3497">
            <v>0</v>
          </cell>
        </row>
        <row r="3498">
          <cell r="A3498">
            <v>1707</v>
          </cell>
          <cell r="B3498" t="str">
            <v>06/10/2011</v>
          </cell>
          <cell r="C3498" t="str">
            <v>C1017</v>
          </cell>
          <cell r="D3498" t="str">
            <v>Works carried out at Mayo Building Invoice 433</v>
          </cell>
          <cell r="E3498" t="str">
            <v>KM Wright Installations</v>
          </cell>
          <cell r="F3498" t="str">
            <v>Subcontractor</v>
          </cell>
          <cell r="G3498" t="str">
            <v/>
          </cell>
          <cell r="H3498" t="str">
            <v/>
          </cell>
          <cell r="I3498" t="str">
            <v/>
          </cell>
          <cell r="J3498">
            <v>1885</v>
          </cell>
          <cell r="K3498">
            <v>377</v>
          </cell>
          <cell r="L3498">
            <v>1885</v>
          </cell>
          <cell r="M3498" t="str">
            <v/>
          </cell>
          <cell r="N3498">
            <v>0</v>
          </cell>
        </row>
        <row r="3499">
          <cell r="A3499">
            <v>1706</v>
          </cell>
          <cell r="B3499" t="str">
            <v>06/10/2011</v>
          </cell>
          <cell r="C3499" t="str">
            <v>C1008</v>
          </cell>
          <cell r="D3499" t="str">
            <v>Works completed at UCLAN Invoice 1614</v>
          </cell>
          <cell r="E3499" t="str">
            <v>The Wright Installations Ltd</v>
          </cell>
          <cell r="F3499" t="str">
            <v>Subcontractor</v>
          </cell>
          <cell r="G3499" t="str">
            <v/>
          </cell>
          <cell r="H3499" t="str">
            <v/>
          </cell>
          <cell r="I3499" t="str">
            <v/>
          </cell>
          <cell r="J3499">
            <v>82.5</v>
          </cell>
          <cell r="K3499">
            <v>16.5</v>
          </cell>
          <cell r="L3499">
            <v>82.5</v>
          </cell>
          <cell r="M3499" t="str">
            <v/>
          </cell>
          <cell r="N3499">
            <v>0</v>
          </cell>
        </row>
        <row r="3500">
          <cell r="A3500">
            <v>1705</v>
          </cell>
          <cell r="B3500" t="str">
            <v>06/10/2011</v>
          </cell>
          <cell r="C3500" t="str">
            <v>C1017</v>
          </cell>
          <cell r="D3500" t="str">
            <v>Works Completed at Mayo Building Invoice 1613</v>
          </cell>
          <cell r="E3500" t="str">
            <v>The Wright Installations Ltd</v>
          </cell>
          <cell r="F3500" t="str">
            <v>Subcontractor</v>
          </cell>
          <cell r="G3500" t="str">
            <v/>
          </cell>
          <cell r="H3500" t="str">
            <v/>
          </cell>
          <cell r="I3500" t="str">
            <v/>
          </cell>
          <cell r="J3500">
            <v>240</v>
          </cell>
          <cell r="K3500">
            <v>48</v>
          </cell>
          <cell r="L3500">
            <v>240</v>
          </cell>
          <cell r="M3500" t="str">
            <v/>
          </cell>
          <cell r="N3500">
            <v>0</v>
          </cell>
        </row>
        <row r="3501">
          <cell r="A3501">
            <v>1697</v>
          </cell>
          <cell r="B3501" t="str">
            <v>05/10/2011</v>
          </cell>
          <cell r="C3501" t="str">
            <v>C1030</v>
          </cell>
          <cell r="D3501" t="str">
            <v>Installation of Ductwork as agreed with Mark Wilkinson</v>
          </cell>
          <cell r="E3501" t="str">
            <v>The Wright Installations Ltd</v>
          </cell>
          <cell r="F3501" t="str">
            <v>Subcontractor</v>
          </cell>
          <cell r="G3501" t="str">
            <v/>
          </cell>
          <cell r="H3501" t="str">
            <v/>
          </cell>
          <cell r="I3501" t="str">
            <v/>
          </cell>
          <cell r="J3501">
            <v>2000</v>
          </cell>
          <cell r="K3501">
            <v>400</v>
          </cell>
          <cell r="L3501">
            <v>2000</v>
          </cell>
          <cell r="M3501" t="str">
            <v/>
          </cell>
          <cell r="N3501">
            <v>0</v>
          </cell>
        </row>
        <row r="3502">
          <cell r="A3502">
            <v>1685</v>
          </cell>
          <cell r="B3502" t="str">
            <v>04/10/2011</v>
          </cell>
          <cell r="C3502" t="str">
            <v>C1017</v>
          </cell>
          <cell r="D3502" t="str">
            <v>Pressure Test System</v>
          </cell>
          <cell r="E3502" t="str">
            <v>Probalance Ltd</v>
          </cell>
          <cell r="F3502" t="str">
            <v>Subcontractor</v>
          </cell>
          <cell r="G3502" t="str">
            <v/>
          </cell>
          <cell r="H3502" t="str">
            <v/>
          </cell>
          <cell r="I3502" t="str">
            <v/>
          </cell>
          <cell r="J3502">
            <v>300</v>
          </cell>
          <cell r="K3502">
            <v>60</v>
          </cell>
          <cell r="L3502">
            <v>300</v>
          </cell>
          <cell r="M3502" t="str">
            <v/>
          </cell>
          <cell r="N3502">
            <v>0</v>
          </cell>
        </row>
        <row r="3503">
          <cell r="A3503">
            <v>1674</v>
          </cell>
          <cell r="B3503" t="str">
            <v>03/10/2011</v>
          </cell>
          <cell r="C3503" t="str">
            <v>CALLOUT</v>
          </cell>
          <cell r="D3503" t="str">
            <v>Investigate Boiler Leak</v>
          </cell>
          <cell r="E3503" t="str">
            <v>A Jones Heating &amp; Plumbing</v>
          </cell>
          <cell r="F3503" t="str">
            <v>Subcontractor</v>
          </cell>
          <cell r="G3503" t="str">
            <v/>
          </cell>
          <cell r="H3503" t="str">
            <v/>
          </cell>
          <cell r="I3503" t="str">
            <v/>
          </cell>
          <cell r="J3503">
            <v>125</v>
          </cell>
          <cell r="K3503">
            <v>0</v>
          </cell>
          <cell r="L3503">
            <v>125</v>
          </cell>
          <cell r="M3503" t="str">
            <v/>
          </cell>
          <cell r="N3503">
            <v>0</v>
          </cell>
        </row>
        <row r="3504">
          <cell r="A3504">
            <v>1673</v>
          </cell>
          <cell r="B3504" t="str">
            <v>03/10/2011</v>
          </cell>
          <cell r="C3504" t="str">
            <v>CALLOUT</v>
          </cell>
          <cell r="D3504" t="str">
            <v>Investigate fault heating system at Dunnes Store Bradford</v>
          </cell>
          <cell r="E3504" t="str">
            <v>A Jones Heating &amp; Plumbing</v>
          </cell>
          <cell r="F3504" t="str">
            <v>Subcontractor</v>
          </cell>
          <cell r="G3504" t="str">
            <v/>
          </cell>
          <cell r="H3504" t="str">
            <v/>
          </cell>
          <cell r="I3504" t="str">
            <v/>
          </cell>
          <cell r="J3504">
            <v>80</v>
          </cell>
          <cell r="K3504">
            <v>0</v>
          </cell>
          <cell r="L3504">
            <v>80</v>
          </cell>
          <cell r="M3504" t="str">
            <v/>
          </cell>
          <cell r="N3504">
            <v>0</v>
          </cell>
        </row>
        <row r="3505">
          <cell r="A3505">
            <v>1666</v>
          </cell>
          <cell r="B3505" t="str">
            <v>30/09/2011</v>
          </cell>
          <cell r="C3505" t="str">
            <v>CALLOUT</v>
          </cell>
          <cell r="D3505" t="str">
            <v>Connected cold water to mains cold water at Oyster Manesty</v>
          </cell>
          <cell r="E3505" t="str">
            <v>A Jones Heating &amp; Plumbing</v>
          </cell>
          <cell r="F3505" t="str">
            <v>Subcontractor</v>
          </cell>
          <cell r="G3505" t="str">
            <v/>
          </cell>
          <cell r="H3505" t="str">
            <v/>
          </cell>
          <cell r="I3505" t="str">
            <v/>
          </cell>
          <cell r="J3505">
            <v>290</v>
          </cell>
          <cell r="K3505">
            <v>0</v>
          </cell>
          <cell r="L3505">
            <v>290</v>
          </cell>
          <cell r="M3505" t="str">
            <v/>
          </cell>
          <cell r="N3505">
            <v>0</v>
          </cell>
        </row>
        <row r="3506">
          <cell r="A3506">
            <v>1660</v>
          </cell>
          <cell r="B3506" t="str">
            <v>29/09/2011</v>
          </cell>
          <cell r="C3506" t="str">
            <v>C1024</v>
          </cell>
          <cell r="D3506" t="str">
            <v>To supply labour on the contract below including</v>
          </cell>
          <cell r="E3506" t="str">
            <v>The Wright Installations Ltd</v>
          </cell>
          <cell r="F3506" t="str">
            <v>Subcontractor</v>
          </cell>
          <cell r="G3506" t="str">
            <v/>
          </cell>
          <cell r="H3506" t="str">
            <v>Part</v>
          </cell>
          <cell r="I3506" t="str">
            <v/>
          </cell>
          <cell r="J3506">
            <v>2500</v>
          </cell>
          <cell r="K3506">
            <v>500</v>
          </cell>
          <cell r="L3506">
            <v>2500</v>
          </cell>
          <cell r="M3506" t="str">
            <v/>
          </cell>
          <cell r="N3506">
            <v>0</v>
          </cell>
        </row>
        <row r="3507">
          <cell r="A3507">
            <v>1657</v>
          </cell>
          <cell r="B3507" t="str">
            <v>28/09/2011</v>
          </cell>
          <cell r="C3507" t="str">
            <v>C1016</v>
          </cell>
          <cell r="D3507" t="str">
            <v>To provide 1no engineer to take readings on site</v>
          </cell>
          <cell r="E3507" t="str">
            <v>Probalance Ltd</v>
          </cell>
          <cell r="F3507" t="str">
            <v>Subcontractor</v>
          </cell>
          <cell r="G3507" t="str">
            <v/>
          </cell>
          <cell r="H3507" t="str">
            <v/>
          </cell>
          <cell r="I3507" t="str">
            <v/>
          </cell>
          <cell r="J3507">
            <v>250</v>
          </cell>
          <cell r="K3507">
            <v>50</v>
          </cell>
          <cell r="L3507">
            <v>250</v>
          </cell>
          <cell r="M3507" t="str">
            <v/>
          </cell>
          <cell r="N3507">
            <v>0</v>
          </cell>
        </row>
        <row r="3508">
          <cell r="A3508">
            <v>1641</v>
          </cell>
          <cell r="B3508" t="str">
            <v>22/09/2011</v>
          </cell>
          <cell r="C3508" t="str">
            <v>C1005</v>
          </cell>
          <cell r="D3508" t="str">
            <v>Install all ductwork, dampers and plant equipment for the 4t</v>
          </cell>
          <cell r="E3508" t="str">
            <v>Bradshaws</v>
          </cell>
          <cell r="F3508" t="str">
            <v>Subcontractor</v>
          </cell>
          <cell r="G3508" t="str">
            <v/>
          </cell>
          <cell r="H3508" t="str">
            <v/>
          </cell>
          <cell r="I3508" t="str">
            <v/>
          </cell>
          <cell r="J3508">
            <v>3152.5</v>
          </cell>
          <cell r="K3508">
            <v>630.5</v>
          </cell>
          <cell r="L3508">
            <v>3152.5</v>
          </cell>
          <cell r="M3508" t="str">
            <v/>
          </cell>
          <cell r="N3508">
            <v>0</v>
          </cell>
        </row>
        <row r="3509">
          <cell r="A3509">
            <v>1633</v>
          </cell>
          <cell r="B3509" t="str">
            <v>21/09/2011</v>
          </cell>
          <cell r="C3509" t="str">
            <v>C1028</v>
          </cell>
          <cell r="D3509" t="str">
            <v>Carry out traverse readings &amp; fan pressures</v>
          </cell>
          <cell r="E3509" t="str">
            <v>Swift Commissioning Limited</v>
          </cell>
          <cell r="F3509" t="str">
            <v>Subcontractor</v>
          </cell>
          <cell r="G3509" t="str">
            <v/>
          </cell>
          <cell r="H3509" t="str">
            <v>Complete</v>
          </cell>
          <cell r="I3509" t="str">
            <v/>
          </cell>
          <cell r="J3509">
            <v>392</v>
          </cell>
          <cell r="K3509">
            <v>78.400000000000006</v>
          </cell>
          <cell r="L3509">
            <v>392</v>
          </cell>
          <cell r="M3509" t="str">
            <v/>
          </cell>
          <cell r="N3509">
            <v>0</v>
          </cell>
        </row>
        <row r="3510">
          <cell r="A3510">
            <v>1615</v>
          </cell>
          <cell r="B3510" t="str">
            <v>20/09/2011</v>
          </cell>
          <cell r="C3510" t="str">
            <v>C1021</v>
          </cell>
          <cell r="D3510" t="str">
            <v>To rectify noisy AC unit</v>
          </cell>
          <cell r="E3510" t="str">
            <v>Elite Air Conditioning &amp; Refrigeration Ltd</v>
          </cell>
          <cell r="F3510" t="str">
            <v>Subcontractor</v>
          </cell>
          <cell r="G3510" t="str">
            <v/>
          </cell>
          <cell r="H3510" t="str">
            <v/>
          </cell>
          <cell r="I3510" t="str">
            <v/>
          </cell>
          <cell r="J3510">
            <v>90</v>
          </cell>
          <cell r="K3510">
            <v>18</v>
          </cell>
          <cell r="L3510">
            <v>90</v>
          </cell>
          <cell r="M3510" t="str">
            <v/>
          </cell>
          <cell r="N3510">
            <v>0</v>
          </cell>
        </row>
        <row r="3511">
          <cell r="A3511">
            <v>1592</v>
          </cell>
          <cell r="B3511" t="str">
            <v>13/09/2011</v>
          </cell>
          <cell r="C3511" t="str">
            <v>C1025</v>
          </cell>
          <cell r="D3511" t="str">
            <v>To supply labour on the contract below including fitting of</v>
          </cell>
          <cell r="E3511" t="str">
            <v>KM Wright Installations</v>
          </cell>
          <cell r="F3511" t="str">
            <v>Subcontractor</v>
          </cell>
          <cell r="G3511" t="str">
            <v/>
          </cell>
          <cell r="H3511" t="str">
            <v/>
          </cell>
          <cell r="I3511" t="str">
            <v/>
          </cell>
          <cell r="J3511">
            <v>2650</v>
          </cell>
          <cell r="K3511">
            <v>530</v>
          </cell>
          <cell r="L3511">
            <v>2650</v>
          </cell>
          <cell r="M3511" t="str">
            <v/>
          </cell>
          <cell r="N3511">
            <v>0</v>
          </cell>
        </row>
        <row r="3512">
          <cell r="A3512">
            <v>1562</v>
          </cell>
          <cell r="B3512" t="str">
            <v>06/09/2011</v>
          </cell>
          <cell r="C3512" t="str">
            <v>C1016</v>
          </cell>
          <cell r="D3512" t="str">
            <v>Carry out plumbing works as agreed with Mark Poulton</v>
          </cell>
          <cell r="E3512" t="str">
            <v>Anthony Howman Plumbing &amp; Heating</v>
          </cell>
          <cell r="F3512" t="str">
            <v>Subcontractor</v>
          </cell>
          <cell r="G3512" t="str">
            <v/>
          </cell>
          <cell r="H3512" t="str">
            <v/>
          </cell>
          <cell r="I3512" t="str">
            <v/>
          </cell>
          <cell r="J3512">
            <v>1000</v>
          </cell>
          <cell r="K3512">
            <v>200</v>
          </cell>
          <cell r="L3512">
            <v>1000</v>
          </cell>
          <cell r="M3512" t="str">
            <v/>
          </cell>
          <cell r="N3512">
            <v>0</v>
          </cell>
        </row>
        <row r="3513">
          <cell r="A3513">
            <v>1554</v>
          </cell>
          <cell r="B3513" t="str">
            <v>06/09/2011</v>
          </cell>
          <cell r="C3513" t="str">
            <v>C1018</v>
          </cell>
          <cell r="D3513" t="str">
            <v>Ductwork installation as per drawings</v>
          </cell>
          <cell r="E3513" t="str">
            <v>Bradshaws</v>
          </cell>
          <cell r="F3513" t="str">
            <v>Subcontractor</v>
          </cell>
          <cell r="G3513" t="str">
            <v/>
          </cell>
          <cell r="H3513" t="str">
            <v/>
          </cell>
          <cell r="I3513" t="str">
            <v/>
          </cell>
          <cell r="J3513">
            <v>1550</v>
          </cell>
          <cell r="K3513">
            <v>0</v>
          </cell>
          <cell r="L3513">
            <v>1443.5</v>
          </cell>
          <cell r="M3513" t="str">
            <v/>
          </cell>
          <cell r="N3513">
            <v>106.5</v>
          </cell>
        </row>
        <row r="3514">
          <cell r="A3514">
            <v>1534</v>
          </cell>
          <cell r="B3514" t="str">
            <v>02/09/2011</v>
          </cell>
          <cell r="C3514" t="str">
            <v>C1022</v>
          </cell>
          <cell r="D3514" t="str">
            <v>To supply labour on the contract below including fitting</v>
          </cell>
          <cell r="E3514" t="str">
            <v>KM Wright Installations</v>
          </cell>
          <cell r="F3514" t="str">
            <v>Subcontractor</v>
          </cell>
          <cell r="G3514" t="str">
            <v/>
          </cell>
          <cell r="H3514" t="str">
            <v/>
          </cell>
          <cell r="I3514" t="str">
            <v/>
          </cell>
          <cell r="J3514">
            <v>1600</v>
          </cell>
          <cell r="K3514">
            <v>320</v>
          </cell>
          <cell r="L3514">
            <v>1600</v>
          </cell>
          <cell r="M3514" t="str">
            <v/>
          </cell>
          <cell r="N3514">
            <v>0</v>
          </cell>
        </row>
        <row r="3515">
          <cell r="A3515">
            <v>1533</v>
          </cell>
          <cell r="B3515" t="str">
            <v>02/09/2011</v>
          </cell>
          <cell r="C3515" t="str">
            <v>C1017</v>
          </cell>
          <cell r="D3515" t="str">
            <v>To supply labour on the contract below including fitting</v>
          </cell>
          <cell r="E3515" t="str">
            <v>Gary Barnes</v>
          </cell>
          <cell r="F3515" t="str">
            <v>Subcontractor</v>
          </cell>
          <cell r="G3515" t="str">
            <v/>
          </cell>
          <cell r="H3515" t="str">
            <v>Complete</v>
          </cell>
          <cell r="I3515" t="str">
            <v/>
          </cell>
          <cell r="J3515">
            <v>10100</v>
          </cell>
          <cell r="K3515">
            <v>0</v>
          </cell>
          <cell r="L3515">
            <v>10100</v>
          </cell>
          <cell r="M3515" t="str">
            <v/>
          </cell>
          <cell r="N3515">
            <v>0</v>
          </cell>
        </row>
        <row r="3516">
          <cell r="A3516">
            <v>1532</v>
          </cell>
          <cell r="B3516" t="str">
            <v>02/09/2011</v>
          </cell>
          <cell r="C3516" t="str">
            <v>C1012</v>
          </cell>
          <cell r="D3516" t="str">
            <v>To supply labour on the contract below including fitting</v>
          </cell>
          <cell r="E3516" t="str">
            <v>The Wright Installations Ltd</v>
          </cell>
          <cell r="F3516" t="str">
            <v>Subcontractor</v>
          </cell>
          <cell r="G3516" t="str">
            <v/>
          </cell>
          <cell r="H3516" t="str">
            <v>Part</v>
          </cell>
          <cell r="I3516" t="str">
            <v/>
          </cell>
          <cell r="J3516">
            <v>4000</v>
          </cell>
          <cell r="K3516">
            <v>800</v>
          </cell>
          <cell r="L3516">
            <v>4000</v>
          </cell>
          <cell r="M3516" t="str">
            <v/>
          </cell>
          <cell r="N3516">
            <v>0</v>
          </cell>
        </row>
        <row r="3517">
          <cell r="A3517">
            <v>1531</v>
          </cell>
          <cell r="B3517" t="str">
            <v>02/09/2011</v>
          </cell>
          <cell r="C3517" t="str">
            <v>C1016</v>
          </cell>
          <cell r="D3517" t="str">
            <v>Works at Helena</v>
          </cell>
          <cell r="E3517" t="str">
            <v>Bradshaws</v>
          </cell>
          <cell r="F3517" t="str">
            <v>Subcontractor</v>
          </cell>
          <cell r="G3517" t="str">
            <v/>
          </cell>
          <cell r="H3517" t="str">
            <v/>
          </cell>
          <cell r="I3517" t="str">
            <v/>
          </cell>
          <cell r="J3517">
            <v>750</v>
          </cell>
          <cell r="K3517">
            <v>0</v>
          </cell>
          <cell r="L3517">
            <v>701</v>
          </cell>
          <cell r="M3517" t="str">
            <v/>
          </cell>
          <cell r="N3517">
            <v>49</v>
          </cell>
        </row>
        <row r="3518">
          <cell r="A3518">
            <v>1530</v>
          </cell>
          <cell r="B3518" t="str">
            <v>02/09/2011</v>
          </cell>
          <cell r="C3518" t="str">
            <v>C1005</v>
          </cell>
          <cell r="D3518" t="str">
            <v>To supply labour on the above contract including fitting of</v>
          </cell>
          <cell r="E3518" t="str">
            <v>Bradshaws</v>
          </cell>
          <cell r="F3518" t="str">
            <v>Subcontractor</v>
          </cell>
          <cell r="G3518" t="str">
            <v/>
          </cell>
          <cell r="H3518" t="str">
            <v>Part</v>
          </cell>
          <cell r="I3518" t="str">
            <v/>
          </cell>
          <cell r="J3518">
            <v>28275</v>
          </cell>
          <cell r="K3518">
            <v>5655</v>
          </cell>
          <cell r="L3518">
            <v>28275</v>
          </cell>
          <cell r="M3518" t="str">
            <v/>
          </cell>
          <cell r="N3518">
            <v>0</v>
          </cell>
        </row>
        <row r="3519">
          <cell r="A3519">
            <v>1525</v>
          </cell>
          <cell r="B3519" t="str">
            <v>01/09/2011</v>
          </cell>
          <cell r="C3519" t="str">
            <v>C1018</v>
          </cell>
          <cell r="D3519" t="str">
            <v>Carry out plumbing works at Barclays St Helens</v>
          </cell>
          <cell r="E3519" t="str">
            <v>Anthony Howman Plumbing &amp; Heating</v>
          </cell>
          <cell r="F3519" t="str">
            <v>Subcontractor</v>
          </cell>
          <cell r="G3519" t="str">
            <v/>
          </cell>
          <cell r="H3519" t="str">
            <v/>
          </cell>
          <cell r="I3519" t="str">
            <v/>
          </cell>
          <cell r="J3519">
            <v>2500</v>
          </cell>
          <cell r="K3519">
            <v>500</v>
          </cell>
          <cell r="L3519">
            <v>2000</v>
          </cell>
          <cell r="M3519" t="str">
            <v/>
          </cell>
          <cell r="N3519">
            <v>500</v>
          </cell>
        </row>
        <row r="3520">
          <cell r="A3520">
            <v>1519</v>
          </cell>
          <cell r="B3520" t="str">
            <v>31/08/2011</v>
          </cell>
          <cell r="C3520" t="str">
            <v>SERVICE</v>
          </cell>
          <cell r="D3520" t="str">
            <v>Maintenance on boilers at Great Bear Distribution</v>
          </cell>
          <cell r="E3520" t="str">
            <v>A Jones Heating &amp; Plumbing</v>
          </cell>
          <cell r="F3520" t="str">
            <v>Subcontractor</v>
          </cell>
          <cell r="G3520" t="str">
            <v/>
          </cell>
          <cell r="H3520" t="str">
            <v/>
          </cell>
          <cell r="I3520" t="str">
            <v/>
          </cell>
          <cell r="J3520">
            <v>190</v>
          </cell>
          <cell r="K3520">
            <v>0</v>
          </cell>
          <cell r="L3520">
            <v>190</v>
          </cell>
          <cell r="M3520" t="str">
            <v/>
          </cell>
          <cell r="N3520">
            <v>0</v>
          </cell>
        </row>
        <row r="3521">
          <cell r="A3521">
            <v>1509</v>
          </cell>
          <cell r="B3521" t="str">
            <v>25/08/2011</v>
          </cell>
          <cell r="C3521" t="str">
            <v>SERVICE</v>
          </cell>
          <cell r="D3521" t="str">
            <v>AC maintenance at Foot Locker Middlesborough</v>
          </cell>
          <cell r="E3521" t="str">
            <v>Elite Air Conditioning &amp; Refrigeration Ltd</v>
          </cell>
          <cell r="F3521" t="str">
            <v>Subcontractor</v>
          </cell>
          <cell r="G3521" t="str">
            <v/>
          </cell>
          <cell r="H3521" t="str">
            <v/>
          </cell>
          <cell r="I3521" t="str">
            <v/>
          </cell>
          <cell r="J3521">
            <v>95</v>
          </cell>
          <cell r="K3521">
            <v>19</v>
          </cell>
          <cell r="L3521">
            <v>95</v>
          </cell>
          <cell r="M3521" t="str">
            <v/>
          </cell>
          <cell r="N3521">
            <v>0</v>
          </cell>
        </row>
        <row r="3522">
          <cell r="A3522">
            <v>1508</v>
          </cell>
          <cell r="B3522" t="str">
            <v>25/08/2011</v>
          </cell>
          <cell r="C3522" t="str">
            <v>SERVICE</v>
          </cell>
          <cell r="D3522" t="str">
            <v>Maintenance on 3 AC Units</v>
          </cell>
          <cell r="E3522" t="str">
            <v>Elite Air Conditioning &amp; Refrigeration Ltd</v>
          </cell>
          <cell r="F3522" t="str">
            <v>Subcontractor</v>
          </cell>
          <cell r="G3522" t="str">
            <v/>
          </cell>
          <cell r="H3522" t="str">
            <v/>
          </cell>
          <cell r="I3522" t="str">
            <v/>
          </cell>
          <cell r="J3522">
            <v>130</v>
          </cell>
          <cell r="K3522">
            <v>26</v>
          </cell>
          <cell r="L3522">
            <v>130</v>
          </cell>
          <cell r="M3522" t="str">
            <v/>
          </cell>
          <cell r="N3522">
            <v>0</v>
          </cell>
        </row>
        <row r="3523">
          <cell r="A3523">
            <v>1507</v>
          </cell>
          <cell r="B3523" t="str">
            <v>25/08/2011</v>
          </cell>
          <cell r="C3523" t="str">
            <v>CALLOUT</v>
          </cell>
          <cell r="D3523" t="str">
            <v>Rectify fault on AC system at Hidden Hearing Middlesborough</v>
          </cell>
          <cell r="E3523" t="str">
            <v>Elite Air Conditioning &amp; Refrigeration Ltd</v>
          </cell>
          <cell r="F3523" t="str">
            <v>Subcontractor</v>
          </cell>
          <cell r="G3523" t="str">
            <v/>
          </cell>
          <cell r="H3523" t="str">
            <v/>
          </cell>
          <cell r="I3523" t="str">
            <v/>
          </cell>
          <cell r="J3523">
            <v>50</v>
          </cell>
          <cell r="K3523">
            <v>10</v>
          </cell>
          <cell r="L3523">
            <v>50</v>
          </cell>
          <cell r="M3523" t="str">
            <v/>
          </cell>
          <cell r="N3523">
            <v>0</v>
          </cell>
        </row>
        <row r="3524">
          <cell r="A3524">
            <v>1496</v>
          </cell>
          <cell r="B3524" t="str">
            <v>24/08/2011</v>
          </cell>
          <cell r="C3524" t="str">
            <v>SERVICE</v>
          </cell>
          <cell r="D3524" t="str">
            <v>Carried out minor service on heating system</v>
          </cell>
          <cell r="E3524" t="str">
            <v>A Jones Heating &amp; Plumbing</v>
          </cell>
          <cell r="F3524" t="str">
            <v>Subcontractor</v>
          </cell>
          <cell r="G3524" t="str">
            <v/>
          </cell>
          <cell r="H3524" t="str">
            <v/>
          </cell>
          <cell r="I3524" t="str">
            <v/>
          </cell>
          <cell r="J3524">
            <v>400</v>
          </cell>
          <cell r="K3524">
            <v>0</v>
          </cell>
          <cell r="L3524">
            <v>400</v>
          </cell>
          <cell r="M3524" t="str">
            <v/>
          </cell>
          <cell r="N3524">
            <v>0</v>
          </cell>
        </row>
        <row r="3525">
          <cell r="A3525">
            <v>1403</v>
          </cell>
          <cell r="B3525" t="str">
            <v>04/08/2011</v>
          </cell>
          <cell r="C3525" t="str">
            <v>C1014</v>
          </cell>
          <cell r="D3525" t="str">
            <v>Supply labour installation on 1st and 2nd fix as agreed with</v>
          </cell>
          <cell r="E3525" t="str">
            <v>Anthony Howman Plumbing &amp; Heating</v>
          </cell>
          <cell r="F3525" t="str">
            <v>Subcontractor</v>
          </cell>
          <cell r="G3525" t="str">
            <v/>
          </cell>
          <cell r="H3525" t="str">
            <v/>
          </cell>
          <cell r="I3525" t="str">
            <v/>
          </cell>
          <cell r="J3525">
            <v>1000</v>
          </cell>
          <cell r="K3525">
            <v>200</v>
          </cell>
          <cell r="L3525">
            <v>1000</v>
          </cell>
          <cell r="M3525" t="str">
            <v/>
          </cell>
          <cell r="N3525">
            <v>0</v>
          </cell>
        </row>
        <row r="3526">
          <cell r="A3526">
            <v>1203</v>
          </cell>
          <cell r="B3526" t="str">
            <v>06/07/2011</v>
          </cell>
          <cell r="C3526" t="str">
            <v>CALLOUT</v>
          </cell>
          <cell r="D3526" t="str">
            <v>Fitted new thermostatic spray tap to sink at Oystar Manesty</v>
          </cell>
          <cell r="E3526" t="str">
            <v>A Jones Heating &amp; Plumbing</v>
          </cell>
          <cell r="F3526" t="str">
            <v>Subcontractor</v>
          </cell>
          <cell r="G3526" t="str">
            <v/>
          </cell>
          <cell r="H3526" t="str">
            <v/>
          </cell>
          <cell r="I3526" t="str">
            <v/>
          </cell>
          <cell r="J3526">
            <v>410</v>
          </cell>
          <cell r="K3526">
            <v>0</v>
          </cell>
          <cell r="L3526">
            <v>410</v>
          </cell>
          <cell r="M3526" t="str">
            <v/>
          </cell>
          <cell r="N3526">
            <v>0</v>
          </cell>
        </row>
        <row r="3527">
          <cell r="A3527">
            <v>1202</v>
          </cell>
          <cell r="B3527" t="str">
            <v>05/07/2011</v>
          </cell>
          <cell r="C3527" t="str">
            <v>SERVICE</v>
          </cell>
          <cell r="D3527" t="str">
            <v>Carried out full service</v>
          </cell>
          <cell r="E3527" t="str">
            <v>A Jones Heating &amp; Plumbing</v>
          </cell>
          <cell r="F3527" t="str">
            <v>Subcontractor</v>
          </cell>
          <cell r="G3527" t="str">
            <v/>
          </cell>
          <cell r="H3527" t="str">
            <v/>
          </cell>
          <cell r="I3527" t="str">
            <v/>
          </cell>
          <cell r="J3527">
            <v>170</v>
          </cell>
          <cell r="K3527">
            <v>0</v>
          </cell>
          <cell r="L3527">
            <v>170</v>
          </cell>
          <cell r="M3527" t="str">
            <v/>
          </cell>
          <cell r="N3527">
            <v>0</v>
          </cell>
        </row>
        <row r="3528">
          <cell r="A3528">
            <v>1148</v>
          </cell>
          <cell r="B3528" t="str">
            <v>21/06/2011</v>
          </cell>
          <cell r="C3528" t="str">
            <v>CALLOUT</v>
          </cell>
          <cell r="D3528" t="str">
            <v>Installation of water dispenser in main office area</v>
          </cell>
          <cell r="E3528" t="str">
            <v>A Jones Heating &amp; Plumbing</v>
          </cell>
          <cell r="F3528" t="str">
            <v>Subcontractor</v>
          </cell>
          <cell r="G3528" t="str">
            <v/>
          </cell>
          <cell r="H3528" t="str">
            <v/>
          </cell>
          <cell r="I3528" t="str">
            <v/>
          </cell>
          <cell r="J3528">
            <v>180</v>
          </cell>
          <cell r="K3528">
            <v>0</v>
          </cell>
          <cell r="L3528">
            <v>180</v>
          </cell>
          <cell r="M3528" t="str">
            <v/>
          </cell>
          <cell r="N3528">
            <v>0</v>
          </cell>
        </row>
        <row r="3529">
          <cell r="A3529">
            <v>1139</v>
          </cell>
          <cell r="B3529" t="str">
            <v>16/06/2011</v>
          </cell>
          <cell r="C3529" t="str">
            <v>SERVICE</v>
          </cell>
          <cell r="D3529" t="str">
            <v>AC Maintenance Date TBC</v>
          </cell>
          <cell r="E3529" t="str">
            <v>Adcock Refrigeration &amp; Air Conditioning</v>
          </cell>
          <cell r="F3529" t="str">
            <v>Subcontractor</v>
          </cell>
          <cell r="G3529" t="str">
            <v/>
          </cell>
          <cell r="H3529" t="str">
            <v/>
          </cell>
          <cell r="I3529" t="str">
            <v/>
          </cell>
          <cell r="J3529">
            <v>150</v>
          </cell>
          <cell r="K3529">
            <v>30</v>
          </cell>
          <cell r="L3529">
            <v>150</v>
          </cell>
          <cell r="M3529" t="str">
            <v/>
          </cell>
          <cell r="N3529">
            <v>0</v>
          </cell>
        </row>
        <row r="3530">
          <cell r="A3530">
            <v>1138</v>
          </cell>
          <cell r="B3530" t="str">
            <v>16/06/2011</v>
          </cell>
          <cell r="C3530" t="str">
            <v>SERVICE</v>
          </cell>
          <cell r="D3530" t="str">
            <v>AC Maintenance - Date TBC (To be carried out the same day as</v>
          </cell>
          <cell r="E3530" t="str">
            <v>Adcock Refrigeration &amp; Air Conditioning</v>
          </cell>
          <cell r="F3530" t="str">
            <v>Subcontractor</v>
          </cell>
          <cell r="G3530" t="str">
            <v/>
          </cell>
          <cell r="H3530" t="str">
            <v/>
          </cell>
          <cell r="I3530" t="str">
            <v/>
          </cell>
          <cell r="J3530">
            <v>150</v>
          </cell>
          <cell r="K3530">
            <v>30</v>
          </cell>
          <cell r="L3530">
            <v>150</v>
          </cell>
          <cell r="M3530" t="str">
            <v/>
          </cell>
          <cell r="N3530">
            <v>0</v>
          </cell>
        </row>
        <row r="3531">
          <cell r="A3531">
            <v>1134</v>
          </cell>
          <cell r="B3531" t="str">
            <v>15/06/2011</v>
          </cell>
          <cell r="C3531" t="str">
            <v>CALLOUT</v>
          </cell>
          <cell r="D3531" t="str">
            <v>To survey all items on surveyors report</v>
          </cell>
          <cell r="E3531" t="str">
            <v>A Jones Heating &amp; Plumbing</v>
          </cell>
          <cell r="F3531" t="str">
            <v>Subcontractor</v>
          </cell>
          <cell r="G3531" t="str">
            <v/>
          </cell>
          <cell r="H3531" t="str">
            <v>Complete</v>
          </cell>
          <cell r="I3531" t="str">
            <v/>
          </cell>
          <cell r="J3531">
            <v>80</v>
          </cell>
          <cell r="K3531">
            <v>0</v>
          </cell>
          <cell r="L3531">
            <v>80</v>
          </cell>
          <cell r="M3531" t="str">
            <v/>
          </cell>
          <cell r="N3531">
            <v>0</v>
          </cell>
        </row>
        <row r="3532">
          <cell r="A3532">
            <v>1133</v>
          </cell>
          <cell r="B3532" t="str">
            <v>15/06/2011</v>
          </cell>
          <cell r="C3532" t="str">
            <v>CALLOUT</v>
          </cell>
          <cell r="D3532" t="str">
            <v>Investigate no heat from AHU(Jet) at Movianto Pharmaceutical</v>
          </cell>
          <cell r="E3532" t="str">
            <v>A Jones Heating &amp; Plumbing</v>
          </cell>
          <cell r="F3532" t="str">
            <v>Subcontractor</v>
          </cell>
          <cell r="G3532" t="str">
            <v/>
          </cell>
          <cell r="H3532" t="str">
            <v>Complete</v>
          </cell>
          <cell r="I3532" t="str">
            <v/>
          </cell>
          <cell r="J3532">
            <v>155</v>
          </cell>
          <cell r="K3532">
            <v>0</v>
          </cell>
          <cell r="L3532">
            <v>155</v>
          </cell>
          <cell r="M3532" t="str">
            <v/>
          </cell>
          <cell r="N3532">
            <v>0</v>
          </cell>
        </row>
        <row r="3533">
          <cell r="A3533">
            <v>1131</v>
          </cell>
          <cell r="B3533" t="str">
            <v>17/05/2011</v>
          </cell>
          <cell r="C3533" t="str">
            <v>SERVICE</v>
          </cell>
          <cell r="D3533" t="str">
            <v>Carried out full service on LPG Burner at Movianto Pharmaceu</v>
          </cell>
          <cell r="E3533" t="str">
            <v>A Jones Heating &amp; Plumbing</v>
          </cell>
          <cell r="F3533" t="str">
            <v>Subcontractor</v>
          </cell>
          <cell r="G3533" t="str">
            <v/>
          </cell>
          <cell r="H3533" t="str">
            <v>Complete</v>
          </cell>
          <cell r="I3533" t="str">
            <v/>
          </cell>
          <cell r="J3533">
            <v>180</v>
          </cell>
          <cell r="K3533">
            <v>0</v>
          </cell>
          <cell r="L3533">
            <v>180</v>
          </cell>
          <cell r="M3533" t="str">
            <v/>
          </cell>
          <cell r="N3533">
            <v>0</v>
          </cell>
        </row>
        <row r="3534">
          <cell r="A3534">
            <v>1089</v>
          </cell>
          <cell r="B3534" t="str">
            <v>16/05/2011</v>
          </cell>
          <cell r="C3534" t="str">
            <v>CALLOUT</v>
          </cell>
          <cell r="D3534" t="str">
            <v>Rectify Water Leak @ Oystar Manesty Knowsley (M000012)</v>
          </cell>
          <cell r="E3534" t="str">
            <v>A Jones Heating &amp; Plumbing</v>
          </cell>
          <cell r="F3534" t="str">
            <v>Subcontractor</v>
          </cell>
          <cell r="G3534" t="str">
            <v/>
          </cell>
          <cell r="H3534" t="str">
            <v>Complete</v>
          </cell>
          <cell r="I3534" t="str">
            <v/>
          </cell>
          <cell r="J3534">
            <v>155</v>
          </cell>
          <cell r="K3534">
            <v>0</v>
          </cell>
          <cell r="L3534">
            <v>155</v>
          </cell>
          <cell r="M3534" t="str">
            <v/>
          </cell>
          <cell r="N3534">
            <v>0</v>
          </cell>
        </row>
        <row r="3535">
          <cell r="A3535">
            <v>1132</v>
          </cell>
          <cell r="B3535" t="str">
            <v>11/05/2011</v>
          </cell>
          <cell r="C3535" t="str">
            <v>CALLOUT</v>
          </cell>
          <cell r="D3535" t="str">
            <v>Fitted new gas valve on Paramount 60 condensing boiler</v>
          </cell>
          <cell r="E3535" t="str">
            <v>A Jones Heating &amp; Plumbing</v>
          </cell>
          <cell r="F3535" t="str">
            <v>Subcontractor</v>
          </cell>
          <cell r="G3535" t="str">
            <v/>
          </cell>
          <cell r="H3535" t="str">
            <v>Complete</v>
          </cell>
          <cell r="I3535" t="str">
            <v/>
          </cell>
          <cell r="J3535">
            <v>100</v>
          </cell>
          <cell r="K3535">
            <v>0</v>
          </cell>
          <cell r="L3535">
            <v>100</v>
          </cell>
          <cell r="M3535" t="str">
            <v/>
          </cell>
          <cell r="N3535">
            <v>0</v>
          </cell>
        </row>
        <row r="3536">
          <cell r="A3536">
            <v>1088</v>
          </cell>
          <cell r="B3536" t="str">
            <v>06/05/2011</v>
          </cell>
          <cell r="C3536" t="str">
            <v>CALLOUT</v>
          </cell>
          <cell r="D3536" t="str">
            <v>Investigate Flood In Basement (Replaced Sani-Flow)</v>
          </cell>
          <cell r="E3536" t="str">
            <v>A Jones Heating &amp; Plumbing</v>
          </cell>
          <cell r="F3536" t="str">
            <v>Subcontractor</v>
          </cell>
          <cell r="G3536" t="str">
            <v/>
          </cell>
          <cell r="H3536" t="str">
            <v>Complete</v>
          </cell>
          <cell r="I3536" t="str">
            <v/>
          </cell>
          <cell r="J3536">
            <v>200</v>
          </cell>
          <cell r="K3536">
            <v>0</v>
          </cell>
          <cell r="L3536">
            <v>200</v>
          </cell>
          <cell r="M3536" t="str">
            <v/>
          </cell>
          <cell r="N3536">
            <v>0</v>
          </cell>
        </row>
        <row r="3537">
          <cell r="A3537">
            <v>19509</v>
          </cell>
          <cell r="B3537" t="str">
            <v/>
          </cell>
          <cell r="C3537" t="str">
            <v>CALLOUT</v>
          </cell>
          <cell r="D3537" t="str">
            <v>fire alarm sounding reported friday 23.10.2020</v>
          </cell>
          <cell r="E3537" t="str">
            <v>Marlowe Fire &amp; Security Limited</v>
          </cell>
          <cell r="F3537" t="str">
            <v>Subcontractor</v>
          </cell>
          <cell r="G3537" t="str">
            <v/>
          </cell>
          <cell r="H3537" t="str">
            <v>Part</v>
          </cell>
          <cell r="I3537" t="str">
            <v/>
          </cell>
          <cell r="J3537">
            <v>295</v>
          </cell>
          <cell r="K3537">
            <v>59</v>
          </cell>
          <cell r="L3537">
            <v>295</v>
          </cell>
          <cell r="M3537" t="str">
            <v/>
          </cell>
          <cell r="N3537">
            <v>0</v>
          </cell>
        </row>
        <row r="3538">
          <cell r="A3538" t="str">
            <v/>
          </cell>
          <cell r="B3538" t="str">
            <v/>
          </cell>
          <cell r="C3538" t="str">
            <v/>
          </cell>
          <cell r="D3538" t="str">
            <v/>
          </cell>
          <cell r="E3538" t="str">
            <v/>
          </cell>
          <cell r="F3538" t="str">
            <v/>
          </cell>
          <cell r="G3538" t="str">
            <v/>
          </cell>
          <cell r="H3538" t="str">
            <v/>
          </cell>
          <cell r="I3538" t="str">
            <v/>
          </cell>
          <cell r="J3538">
            <v>53492552.689999998</v>
          </cell>
          <cell r="K3538">
            <v>7969675.5300000003</v>
          </cell>
          <cell r="L3538">
            <v>43703991.420000002</v>
          </cell>
          <cell r="M3538" t="str">
            <v/>
          </cell>
          <cell r="N3538">
            <v>9786025.4100000001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FCA0-E1D3-4556-837F-A2CB1B42559E}">
  <dimension ref="A1:AG127"/>
  <sheetViews>
    <sheetView tabSelected="1" zoomScaleNormal="100" zoomScaleSheetLayoutView="100" workbookViewId="0">
      <pane xSplit="4" ySplit="3" topLeftCell="P4" activePane="bottomRight" state="frozen"/>
      <selection pane="topRight" activeCell="D1" sqref="D1"/>
      <selection pane="bottomLeft" activeCell="A3" sqref="A3"/>
      <selection pane="bottomRight" activeCell="Z1" sqref="Z1"/>
    </sheetView>
  </sheetViews>
  <sheetFormatPr defaultRowHeight="15" x14ac:dyDescent="0.25"/>
  <cols>
    <col min="1" max="1" width="49.5703125" customWidth="1"/>
    <col min="2" max="2" width="12.5703125" style="5" customWidth="1"/>
    <col min="3" max="3" width="58.42578125" style="51" customWidth="1"/>
    <col min="4" max="4" width="8.140625" style="5" customWidth="1"/>
    <col min="5" max="5" width="8.28515625" style="5" customWidth="1"/>
    <col min="6" max="6" width="7.5703125" style="5" customWidth="1"/>
    <col min="7" max="7" width="8.42578125" style="5" customWidth="1"/>
    <col min="8" max="8" width="16.140625" style="6" customWidth="1"/>
    <col min="9" max="9" width="15.7109375" style="18" customWidth="1"/>
    <col min="10" max="10" width="9.5703125" style="18" customWidth="1"/>
    <col min="11" max="11" width="15.28515625" style="6" customWidth="1"/>
    <col min="12" max="12" width="3.85546875" style="6" customWidth="1"/>
    <col min="13" max="13" width="17" style="6" customWidth="1"/>
    <col min="14" max="14" width="14.28515625" style="6" customWidth="1"/>
    <col min="15" max="15" width="9.85546875" style="6" customWidth="1"/>
    <col min="16" max="16" width="16.7109375" style="6" customWidth="1"/>
    <col min="17" max="17" width="4.7109375" style="6" customWidth="1"/>
    <col min="18" max="18" width="14" style="6" customWidth="1"/>
    <col min="19" max="19" width="3.140625" style="6" customWidth="1"/>
    <col min="20" max="20" width="15.85546875" style="6" customWidth="1"/>
    <col min="21" max="21" width="17.7109375" style="6" customWidth="1"/>
    <col min="22" max="22" width="5.85546875" style="5" customWidth="1"/>
    <col min="23" max="23" width="8" style="5" customWidth="1"/>
    <col min="24" max="24" width="15.85546875" style="6" customWidth="1"/>
    <col min="25" max="25" width="11" style="63" customWidth="1"/>
    <col min="26" max="26" width="13.85546875" style="6" customWidth="1"/>
    <col min="27" max="27" width="10.28515625" style="5" customWidth="1"/>
    <col min="28" max="28" width="13.7109375" style="5" customWidth="1"/>
    <col min="29" max="29" width="9.5703125" style="5" customWidth="1"/>
    <col min="30" max="30" width="57.42578125" style="3" customWidth="1"/>
    <col min="31" max="31" width="9.5703125" customWidth="1"/>
    <col min="32" max="32" width="10.5703125" bestFit="1" customWidth="1"/>
    <col min="33" max="33" width="12.5703125" customWidth="1"/>
  </cols>
  <sheetData>
    <row r="1" spans="1:32" ht="75" customHeight="1" x14ac:dyDescent="0.45">
      <c r="A1" s="154" t="s">
        <v>0</v>
      </c>
      <c r="B1" s="154"/>
      <c r="C1" s="128" t="s">
        <v>1</v>
      </c>
      <c r="D1" s="69"/>
      <c r="E1" s="69"/>
      <c r="F1" s="69"/>
      <c r="G1" s="69"/>
      <c r="H1" s="69"/>
      <c r="I1" s="70"/>
      <c r="J1" s="70"/>
      <c r="K1" s="71"/>
      <c r="L1" s="70"/>
      <c r="M1" s="70"/>
      <c r="N1" s="70"/>
      <c r="O1" s="69"/>
      <c r="P1" s="130"/>
      <c r="Q1" s="70"/>
      <c r="R1" s="70"/>
      <c r="S1" s="70"/>
      <c r="T1" s="72"/>
      <c r="U1" s="69"/>
      <c r="V1" s="72"/>
      <c r="W1" s="72"/>
      <c r="X1" s="72"/>
      <c r="Y1" s="73"/>
      <c r="Z1" s="74"/>
      <c r="AA1" s="75"/>
      <c r="AB1" s="75"/>
      <c r="AC1" s="75"/>
      <c r="AD1" s="76"/>
    </row>
    <row r="2" spans="1:32" ht="62.25" customHeight="1" thickBot="1" x14ac:dyDescent="0.3">
      <c r="A2" s="68" t="s">
        <v>2</v>
      </c>
      <c r="B2" s="68" t="s">
        <v>3</v>
      </c>
      <c r="C2" s="92" t="s">
        <v>4</v>
      </c>
      <c r="D2" s="93" t="s">
        <v>5</v>
      </c>
      <c r="E2" s="122" t="s">
        <v>6</v>
      </c>
      <c r="F2" s="122" t="s">
        <v>7</v>
      </c>
      <c r="G2" s="94" t="s">
        <v>8</v>
      </c>
      <c r="H2" s="95" t="s">
        <v>9</v>
      </c>
      <c r="I2" s="95" t="s">
        <v>10</v>
      </c>
      <c r="J2" s="96" t="s">
        <v>11</v>
      </c>
      <c r="K2" s="95" t="s">
        <v>12</v>
      </c>
      <c r="L2" s="97"/>
      <c r="M2" s="95" t="s">
        <v>13</v>
      </c>
      <c r="N2" s="95" t="s">
        <v>14</v>
      </c>
      <c r="O2" s="96" t="s">
        <v>15</v>
      </c>
      <c r="P2" s="95" t="s">
        <v>12</v>
      </c>
      <c r="Q2" s="98"/>
      <c r="R2" s="95" t="s">
        <v>16</v>
      </c>
      <c r="S2" s="99"/>
      <c r="T2" s="95" t="s">
        <v>17</v>
      </c>
      <c r="U2" s="95" t="s">
        <v>18</v>
      </c>
      <c r="V2" s="94" t="s">
        <v>19</v>
      </c>
      <c r="W2" s="94" t="s">
        <v>20</v>
      </c>
      <c r="X2" s="95" t="s">
        <v>17</v>
      </c>
      <c r="Y2" s="100" t="s">
        <v>21</v>
      </c>
      <c r="Z2" s="95" t="s">
        <v>22</v>
      </c>
      <c r="AA2" s="94" t="s">
        <v>23</v>
      </c>
      <c r="AB2" s="94" t="s">
        <v>24</v>
      </c>
      <c r="AC2" s="151" t="s">
        <v>25</v>
      </c>
      <c r="AD2" s="101" t="s">
        <v>26</v>
      </c>
      <c r="AE2" s="2"/>
      <c r="AF2" s="4"/>
    </row>
    <row r="3" spans="1:32" ht="15.75" thickBot="1" x14ac:dyDescent="0.3">
      <c r="A3" s="153"/>
      <c r="B3" s="7"/>
      <c r="C3" s="84"/>
      <c r="D3" s="85"/>
      <c r="E3" s="123"/>
      <c r="F3" s="123"/>
      <c r="G3" s="86"/>
      <c r="H3" s="87"/>
      <c r="I3" s="88"/>
      <c r="J3" s="15" t="s">
        <v>27</v>
      </c>
      <c r="K3" s="87"/>
      <c r="L3" s="87"/>
      <c r="M3" s="87"/>
      <c r="N3" s="87"/>
      <c r="O3" s="15"/>
      <c r="P3" s="87"/>
      <c r="Q3" s="87"/>
      <c r="R3" s="87"/>
      <c r="S3" s="87"/>
      <c r="T3" s="87"/>
      <c r="U3" s="87"/>
      <c r="V3" s="86"/>
      <c r="W3" s="86"/>
      <c r="X3" s="87"/>
      <c r="Y3" s="89"/>
      <c r="Z3" s="87"/>
      <c r="AA3" s="86"/>
      <c r="AB3" s="90">
        <v>1</v>
      </c>
      <c r="AC3" s="86"/>
      <c r="AD3" s="91"/>
      <c r="AE3" s="1"/>
      <c r="AF3" s="4"/>
    </row>
    <row r="4" spans="1:32" x14ac:dyDescent="0.25">
      <c r="A4" s="146"/>
      <c r="B4" s="133"/>
      <c r="C4" s="16"/>
      <c r="D4" s="16"/>
      <c r="E4" s="9"/>
      <c r="F4" s="8"/>
      <c r="G4" s="13"/>
      <c r="H4" s="14">
        <v>0</v>
      </c>
      <c r="I4" s="21">
        <v>0</v>
      </c>
      <c r="J4" s="11" t="e">
        <f t="shared" ref="J4:J68" si="0">I4/H4</f>
        <v>#DIV/0!</v>
      </c>
      <c r="K4" s="46">
        <f t="shared" ref="K4:K8" si="1">H4+I4</f>
        <v>0</v>
      </c>
      <c r="L4" s="14"/>
      <c r="M4" s="10">
        <v>0</v>
      </c>
      <c r="N4" s="10">
        <v>0</v>
      </c>
      <c r="O4" s="11" t="e">
        <f t="shared" ref="O4:O68" si="2">P4/K4</f>
        <v>#DIV/0!</v>
      </c>
      <c r="P4" s="47">
        <f>M4+N4</f>
        <v>0</v>
      </c>
      <c r="Q4" s="34"/>
      <c r="R4" s="38" t="e">
        <f>VLOOKUP(G4,[1]CMDATA!A:N,10,FALSE)-K4</f>
        <v>#N/A</v>
      </c>
      <c r="S4" s="38"/>
      <c r="T4" s="77">
        <v>0</v>
      </c>
      <c r="U4" s="10">
        <v>0</v>
      </c>
      <c r="V4" s="8"/>
      <c r="W4" s="17"/>
      <c r="X4" s="77">
        <v>0</v>
      </c>
      <c r="Y4" s="14"/>
      <c r="Z4" s="14"/>
      <c r="AA4" s="15" t="e">
        <f t="shared" ref="AA4:AA68" si="3">X4/K4</f>
        <v>#DIV/0!</v>
      </c>
      <c r="AB4" s="15" t="e">
        <f>IF(AA4=100%,"Y","N")</f>
        <v>#DIV/0!</v>
      </c>
      <c r="AC4" s="31"/>
      <c r="AD4" s="54"/>
    </row>
    <row r="5" spans="1:32" x14ac:dyDescent="0.25">
      <c r="A5" s="152" t="s">
        <v>28</v>
      </c>
      <c r="B5" s="132"/>
      <c r="C5" s="16"/>
      <c r="D5" s="16"/>
      <c r="E5" s="8"/>
      <c r="F5" s="8"/>
      <c r="G5" s="8"/>
      <c r="H5" s="10">
        <v>30000</v>
      </c>
      <c r="I5" s="21">
        <v>2000</v>
      </c>
      <c r="J5" s="11">
        <f t="shared" si="0"/>
        <v>6.6666666666666666E-2</v>
      </c>
      <c r="K5" s="45">
        <f t="shared" si="1"/>
        <v>32000</v>
      </c>
      <c r="L5" s="10"/>
      <c r="M5" s="10">
        <v>5000</v>
      </c>
      <c r="N5" s="10">
        <v>1000</v>
      </c>
      <c r="O5" s="11">
        <f t="shared" si="2"/>
        <v>0.1875</v>
      </c>
      <c r="P5" s="47">
        <f t="shared" ref="P5:P69" si="4">M5+N5</f>
        <v>6000</v>
      </c>
      <c r="Q5" s="34"/>
      <c r="R5" s="38" t="e">
        <f>VLOOKUP(G5,[1]CMDATA!A:N,10,FALSE)-K5</f>
        <v>#N/A</v>
      </c>
      <c r="S5" s="38"/>
      <c r="T5" s="77">
        <v>0</v>
      </c>
      <c r="U5" s="10">
        <f t="shared" ref="U5:U69" si="5">P5-T5</f>
        <v>6000</v>
      </c>
      <c r="V5" s="8">
        <v>1</v>
      </c>
      <c r="W5" s="17">
        <v>45962</v>
      </c>
      <c r="X5" s="77">
        <v>0</v>
      </c>
      <c r="Y5" s="14"/>
      <c r="Z5" s="14"/>
      <c r="AA5" s="15">
        <f t="shared" si="3"/>
        <v>0</v>
      </c>
      <c r="AB5" s="15" t="str">
        <f t="shared" ref="AB5:AB91" si="6">IF(AA5=100%,"Y","N")</f>
        <v>N</v>
      </c>
      <c r="AC5" s="31"/>
      <c r="AD5" s="55"/>
    </row>
    <row r="6" spans="1:32" x14ac:dyDescent="0.25">
      <c r="A6" s="135"/>
      <c r="B6" s="132"/>
      <c r="C6" s="16"/>
      <c r="D6" s="16"/>
      <c r="E6" s="9"/>
      <c r="F6" s="9"/>
      <c r="G6" s="9"/>
      <c r="H6" s="10">
        <v>0</v>
      </c>
      <c r="I6" s="21">
        <v>0</v>
      </c>
      <c r="J6" s="11" t="e">
        <f t="shared" si="0"/>
        <v>#DIV/0!</v>
      </c>
      <c r="K6" s="45">
        <f t="shared" si="1"/>
        <v>0</v>
      </c>
      <c r="L6" s="10"/>
      <c r="M6" s="10">
        <v>0</v>
      </c>
      <c r="N6" s="10">
        <v>0</v>
      </c>
      <c r="O6" s="11" t="e">
        <f t="shared" si="2"/>
        <v>#DIV/0!</v>
      </c>
      <c r="P6" s="47">
        <f t="shared" si="4"/>
        <v>0</v>
      </c>
      <c r="Q6" s="34"/>
      <c r="R6" s="38" t="e">
        <f>VLOOKUP(G6,[1]CMDATA!A:N,10,FALSE)-K6</f>
        <v>#N/A</v>
      </c>
      <c r="S6" s="38"/>
      <c r="T6" s="77">
        <v>0</v>
      </c>
      <c r="U6" s="10">
        <f t="shared" si="5"/>
        <v>0</v>
      </c>
      <c r="V6" s="8"/>
      <c r="W6" s="17"/>
      <c r="X6" s="77">
        <v>0</v>
      </c>
      <c r="Y6" s="14"/>
      <c r="Z6" s="14"/>
      <c r="AA6" s="15" t="e">
        <f t="shared" si="3"/>
        <v>#DIV/0!</v>
      </c>
      <c r="AB6" s="15" t="e">
        <f t="shared" si="6"/>
        <v>#DIV/0!</v>
      </c>
      <c r="AC6" s="31"/>
      <c r="AD6" s="55"/>
    </row>
    <row r="7" spans="1:32" x14ac:dyDescent="0.25">
      <c r="A7" s="135"/>
      <c r="B7" s="132"/>
      <c r="C7" s="50"/>
      <c r="D7" s="16"/>
      <c r="E7" s="9"/>
      <c r="F7" s="8"/>
      <c r="G7" s="9"/>
      <c r="H7" s="10">
        <v>0</v>
      </c>
      <c r="I7" s="21">
        <v>0</v>
      </c>
      <c r="J7" s="11" t="e">
        <f t="shared" si="0"/>
        <v>#DIV/0!</v>
      </c>
      <c r="K7" s="45">
        <f t="shared" si="1"/>
        <v>0</v>
      </c>
      <c r="L7" s="10"/>
      <c r="M7" s="10">
        <v>0</v>
      </c>
      <c r="N7" s="10">
        <v>0</v>
      </c>
      <c r="O7" s="11" t="e">
        <f t="shared" si="2"/>
        <v>#DIV/0!</v>
      </c>
      <c r="P7" s="47">
        <f t="shared" si="4"/>
        <v>0</v>
      </c>
      <c r="Q7" s="34"/>
      <c r="R7" s="38" t="e">
        <f>VLOOKUP(G7,[1]CMDATA!A:N,10,FALSE)-K7</f>
        <v>#N/A</v>
      </c>
      <c r="S7" s="38"/>
      <c r="T7" s="77">
        <v>0</v>
      </c>
      <c r="U7" s="10">
        <f t="shared" si="5"/>
        <v>0</v>
      </c>
      <c r="V7" s="8"/>
      <c r="W7" s="17"/>
      <c r="X7" s="77">
        <v>0</v>
      </c>
      <c r="Y7" s="14"/>
      <c r="Z7" s="14"/>
      <c r="AA7" s="15" t="e">
        <f t="shared" si="3"/>
        <v>#DIV/0!</v>
      </c>
      <c r="AB7" s="15" t="e">
        <f t="shared" si="6"/>
        <v>#DIV/0!</v>
      </c>
      <c r="AC7" s="31"/>
      <c r="AD7" s="55"/>
    </row>
    <row r="8" spans="1:32" x14ac:dyDescent="0.25">
      <c r="A8" s="135"/>
      <c r="B8" s="132"/>
      <c r="C8" s="50"/>
      <c r="D8" s="16"/>
      <c r="E8" s="9"/>
      <c r="F8" s="8"/>
      <c r="G8" s="9"/>
      <c r="H8" s="10">
        <v>0</v>
      </c>
      <c r="I8" s="21">
        <v>0</v>
      </c>
      <c r="J8" s="11" t="e">
        <f t="shared" si="0"/>
        <v>#DIV/0!</v>
      </c>
      <c r="K8" s="45">
        <f t="shared" si="1"/>
        <v>0</v>
      </c>
      <c r="L8" s="10"/>
      <c r="M8" s="10">
        <v>0</v>
      </c>
      <c r="N8" s="10">
        <v>0</v>
      </c>
      <c r="O8" s="11" t="e">
        <f t="shared" si="2"/>
        <v>#DIV/0!</v>
      </c>
      <c r="P8" s="47">
        <f t="shared" si="4"/>
        <v>0</v>
      </c>
      <c r="Q8" s="34"/>
      <c r="R8" s="38" t="e">
        <f>VLOOKUP(G8,[1]CMDATA!A:N,10,FALSE)-K8</f>
        <v>#N/A</v>
      </c>
      <c r="S8" s="38"/>
      <c r="T8" s="77">
        <v>0</v>
      </c>
      <c r="U8" s="10">
        <f t="shared" si="5"/>
        <v>0</v>
      </c>
      <c r="V8" s="8"/>
      <c r="W8" s="17"/>
      <c r="X8" s="77">
        <v>0</v>
      </c>
      <c r="Y8" s="14"/>
      <c r="Z8" s="14"/>
      <c r="AA8" s="15" t="e">
        <f t="shared" si="3"/>
        <v>#DIV/0!</v>
      </c>
      <c r="AB8" s="15" t="e">
        <f t="shared" si="6"/>
        <v>#DIV/0!</v>
      </c>
      <c r="AC8" s="31"/>
      <c r="AD8" s="55"/>
    </row>
    <row r="9" spans="1:32" x14ac:dyDescent="0.25">
      <c r="A9" s="135"/>
      <c r="B9" s="132"/>
      <c r="C9" s="16"/>
      <c r="D9" s="16"/>
      <c r="E9" s="9"/>
      <c r="F9" s="8"/>
      <c r="G9" s="9"/>
      <c r="H9" s="10">
        <v>0</v>
      </c>
      <c r="I9" s="21">
        <v>0</v>
      </c>
      <c r="J9" s="11" t="e">
        <f t="shared" si="0"/>
        <v>#DIV/0!</v>
      </c>
      <c r="K9" s="45">
        <f>H9+I9</f>
        <v>0</v>
      </c>
      <c r="L9" s="10"/>
      <c r="M9" s="10">
        <v>0</v>
      </c>
      <c r="N9" s="10">
        <v>0</v>
      </c>
      <c r="O9" s="11" t="e">
        <f t="shared" si="2"/>
        <v>#DIV/0!</v>
      </c>
      <c r="P9" s="47">
        <f t="shared" si="4"/>
        <v>0</v>
      </c>
      <c r="Q9" s="34"/>
      <c r="R9" s="38" t="e">
        <f>VLOOKUP(G9,[1]CMDATA!A:N,10,FALSE)-K9</f>
        <v>#N/A</v>
      </c>
      <c r="S9" s="38"/>
      <c r="T9" s="77">
        <v>0</v>
      </c>
      <c r="U9" s="10">
        <f t="shared" si="5"/>
        <v>0</v>
      </c>
      <c r="V9" s="8"/>
      <c r="W9" s="17"/>
      <c r="X9" s="77">
        <v>0</v>
      </c>
      <c r="Y9" s="14"/>
      <c r="Z9" s="14"/>
      <c r="AA9" s="15" t="e">
        <f t="shared" si="3"/>
        <v>#DIV/0!</v>
      </c>
      <c r="AB9" s="15" t="e">
        <f t="shared" si="6"/>
        <v>#DIV/0!</v>
      </c>
      <c r="AC9" s="31"/>
      <c r="AD9" s="55"/>
    </row>
    <row r="10" spans="1:32" x14ac:dyDescent="0.25">
      <c r="A10" s="136"/>
      <c r="B10" s="132"/>
      <c r="C10" s="16"/>
      <c r="D10" s="16"/>
      <c r="E10" s="9"/>
      <c r="F10" s="8"/>
      <c r="G10" s="9"/>
      <c r="H10" s="10">
        <v>0</v>
      </c>
      <c r="I10" s="21">
        <v>0</v>
      </c>
      <c r="J10" s="11" t="e">
        <f t="shared" si="0"/>
        <v>#DIV/0!</v>
      </c>
      <c r="K10" s="45">
        <f t="shared" ref="K10:K66" si="7">H10+I10</f>
        <v>0</v>
      </c>
      <c r="L10" s="10"/>
      <c r="M10" s="10">
        <v>0</v>
      </c>
      <c r="N10" s="10">
        <v>0</v>
      </c>
      <c r="O10" s="11" t="e">
        <f t="shared" si="2"/>
        <v>#DIV/0!</v>
      </c>
      <c r="P10" s="47">
        <f t="shared" si="4"/>
        <v>0</v>
      </c>
      <c r="Q10" s="34"/>
      <c r="R10" s="38" t="e">
        <f>VLOOKUP(G10,[1]CMDATA!A:N,10,FALSE)-K10</f>
        <v>#N/A</v>
      </c>
      <c r="S10" s="38"/>
      <c r="T10" s="77">
        <v>0</v>
      </c>
      <c r="U10" s="10">
        <f t="shared" si="5"/>
        <v>0</v>
      </c>
      <c r="V10" s="8"/>
      <c r="W10" s="17"/>
      <c r="X10" s="77">
        <v>0</v>
      </c>
      <c r="Y10" s="64"/>
      <c r="Z10" s="14"/>
      <c r="AA10" s="15" t="e">
        <f t="shared" si="3"/>
        <v>#DIV/0!</v>
      </c>
      <c r="AB10" s="15" t="e">
        <f t="shared" si="6"/>
        <v>#DIV/0!</v>
      </c>
      <c r="AC10" s="149"/>
      <c r="AD10" s="81"/>
    </row>
    <row r="11" spans="1:32" x14ac:dyDescent="0.25">
      <c r="A11" s="135"/>
      <c r="B11" s="132"/>
      <c r="C11" s="16"/>
      <c r="D11" s="16"/>
      <c r="E11" s="9"/>
      <c r="F11" s="8"/>
      <c r="G11" s="9"/>
      <c r="H11" s="10">
        <v>0</v>
      </c>
      <c r="I11" s="21">
        <v>0</v>
      </c>
      <c r="J11" s="11" t="e">
        <f t="shared" si="0"/>
        <v>#DIV/0!</v>
      </c>
      <c r="K11" s="45">
        <f t="shared" si="7"/>
        <v>0</v>
      </c>
      <c r="L11" s="21"/>
      <c r="M11" s="10">
        <v>0</v>
      </c>
      <c r="N11" s="10">
        <v>0</v>
      </c>
      <c r="O11" s="11" t="e">
        <f t="shared" si="2"/>
        <v>#DIV/0!</v>
      </c>
      <c r="P11" s="47">
        <f t="shared" si="4"/>
        <v>0</v>
      </c>
      <c r="Q11" s="37"/>
      <c r="R11" s="41" t="e">
        <f>VLOOKUP(G11,[1]CMDATA!A:N,10,FALSE)-K11</f>
        <v>#N/A</v>
      </c>
      <c r="S11" s="41"/>
      <c r="T11" s="77">
        <v>0</v>
      </c>
      <c r="U11" s="21">
        <v>0</v>
      </c>
      <c r="V11" s="8"/>
      <c r="W11" s="17"/>
      <c r="X11" s="77">
        <v>0</v>
      </c>
      <c r="Y11" s="32"/>
      <c r="Z11" s="32"/>
      <c r="AA11" s="31" t="e">
        <f t="shared" si="3"/>
        <v>#DIV/0!</v>
      </c>
      <c r="AB11" s="15" t="e">
        <f t="shared" si="6"/>
        <v>#DIV/0!</v>
      </c>
      <c r="AC11" s="31"/>
      <c r="AD11" s="56"/>
    </row>
    <row r="12" spans="1:32" x14ac:dyDescent="0.25">
      <c r="A12" s="135"/>
      <c r="B12" s="132"/>
      <c r="C12" s="16"/>
      <c r="D12" s="16"/>
      <c r="E12" s="9"/>
      <c r="F12" s="8"/>
      <c r="G12" s="9"/>
      <c r="H12" s="10">
        <v>0</v>
      </c>
      <c r="I12" s="21">
        <v>0</v>
      </c>
      <c r="J12" s="11" t="e">
        <f t="shared" si="0"/>
        <v>#DIV/0!</v>
      </c>
      <c r="K12" s="45">
        <f t="shared" si="7"/>
        <v>0</v>
      </c>
      <c r="L12" s="10"/>
      <c r="M12" s="10">
        <v>0</v>
      </c>
      <c r="N12" s="10">
        <v>0</v>
      </c>
      <c r="O12" s="11" t="e">
        <f t="shared" si="2"/>
        <v>#DIV/0!</v>
      </c>
      <c r="P12" s="47">
        <f t="shared" si="4"/>
        <v>0</v>
      </c>
      <c r="Q12" s="34"/>
      <c r="R12" s="38" t="e">
        <f>VLOOKUP(G12,[1]CMDATA!A:N,10,FALSE)-K12</f>
        <v>#N/A</v>
      </c>
      <c r="S12" s="38"/>
      <c r="T12" s="77">
        <v>0</v>
      </c>
      <c r="U12" s="10">
        <f t="shared" si="5"/>
        <v>0</v>
      </c>
      <c r="V12" s="8"/>
      <c r="W12" s="17"/>
      <c r="X12" s="77">
        <v>0</v>
      </c>
      <c r="Y12" s="14"/>
      <c r="Z12" s="14"/>
      <c r="AA12" s="15" t="e">
        <f t="shared" si="3"/>
        <v>#DIV/0!</v>
      </c>
      <c r="AB12" s="15" t="e">
        <f t="shared" si="6"/>
        <v>#DIV/0!</v>
      </c>
      <c r="AC12" s="31"/>
      <c r="AD12" s="55"/>
    </row>
    <row r="13" spans="1:32" x14ac:dyDescent="0.25">
      <c r="A13" s="137"/>
      <c r="B13" s="132"/>
      <c r="C13" s="16"/>
      <c r="D13" s="16"/>
      <c r="E13" s="9"/>
      <c r="F13" s="8"/>
      <c r="G13" s="9"/>
      <c r="H13" s="10">
        <v>0</v>
      </c>
      <c r="I13" s="21">
        <v>0</v>
      </c>
      <c r="J13" s="11" t="e">
        <f t="shared" si="0"/>
        <v>#DIV/0!</v>
      </c>
      <c r="K13" s="45">
        <f t="shared" si="7"/>
        <v>0</v>
      </c>
      <c r="L13" s="21"/>
      <c r="M13" s="10">
        <v>0</v>
      </c>
      <c r="N13" s="10">
        <v>0</v>
      </c>
      <c r="O13" s="11" t="e">
        <f t="shared" si="2"/>
        <v>#DIV/0!</v>
      </c>
      <c r="P13" s="47">
        <f t="shared" si="4"/>
        <v>0</v>
      </c>
      <c r="Q13" s="37"/>
      <c r="R13" s="38" t="e">
        <f>VLOOKUP(G13,[1]CMDATA!A:N,10,FALSE)-K13</f>
        <v>#N/A</v>
      </c>
      <c r="S13" s="38"/>
      <c r="T13" s="77">
        <v>0</v>
      </c>
      <c r="U13" s="21">
        <f t="shared" si="5"/>
        <v>0</v>
      </c>
      <c r="V13" s="8"/>
      <c r="W13" s="17"/>
      <c r="X13" s="77">
        <v>0</v>
      </c>
      <c r="Y13" s="32"/>
      <c r="Z13" s="32"/>
      <c r="AA13" s="31" t="e">
        <f t="shared" si="3"/>
        <v>#DIV/0!</v>
      </c>
      <c r="AB13" s="15" t="e">
        <f t="shared" si="6"/>
        <v>#DIV/0!</v>
      </c>
      <c r="AC13" s="31"/>
      <c r="AD13" s="55"/>
    </row>
    <row r="14" spans="1:32" x14ac:dyDescent="0.25">
      <c r="A14" s="138"/>
      <c r="B14" s="106"/>
      <c r="C14" s="50"/>
      <c r="D14" s="12"/>
      <c r="E14" s="9"/>
      <c r="F14" s="124"/>
      <c r="G14" s="9"/>
      <c r="H14" s="10">
        <v>0</v>
      </c>
      <c r="I14" s="21">
        <v>0</v>
      </c>
      <c r="J14" s="11" t="e">
        <f t="shared" si="0"/>
        <v>#DIV/0!</v>
      </c>
      <c r="K14" s="45">
        <f t="shared" si="7"/>
        <v>0</v>
      </c>
      <c r="L14" s="10"/>
      <c r="M14" s="10">
        <v>0</v>
      </c>
      <c r="N14" s="10">
        <v>0</v>
      </c>
      <c r="O14" s="11" t="e">
        <f t="shared" si="2"/>
        <v>#DIV/0!</v>
      </c>
      <c r="P14" s="47">
        <f t="shared" si="4"/>
        <v>0</v>
      </c>
      <c r="Q14" s="34"/>
      <c r="R14" s="38" t="e">
        <f>VLOOKUP(G14,[1]CMDATA!A:N,10,FALSE)-K14</f>
        <v>#N/A</v>
      </c>
      <c r="S14" s="38"/>
      <c r="T14" s="77">
        <v>0</v>
      </c>
      <c r="U14" s="10">
        <f t="shared" si="5"/>
        <v>0</v>
      </c>
      <c r="V14" s="8"/>
      <c r="W14" s="17"/>
      <c r="X14" s="77">
        <v>0</v>
      </c>
      <c r="Y14" s="67"/>
      <c r="Z14" s="14"/>
      <c r="AA14" s="15" t="e">
        <f t="shared" si="3"/>
        <v>#DIV/0!</v>
      </c>
      <c r="AB14" s="15" t="e">
        <f t="shared" si="6"/>
        <v>#DIV/0!</v>
      </c>
      <c r="AC14" s="31"/>
      <c r="AD14" s="126"/>
    </row>
    <row r="15" spans="1:32" x14ac:dyDescent="0.25">
      <c r="A15" s="108"/>
      <c r="B15" s="106"/>
      <c r="C15" s="50"/>
      <c r="D15" s="12"/>
      <c r="E15" s="8"/>
      <c r="F15" s="9"/>
      <c r="G15" s="9"/>
      <c r="H15" s="10">
        <v>0</v>
      </c>
      <c r="I15" s="21">
        <v>0</v>
      </c>
      <c r="J15" s="11" t="e">
        <f t="shared" si="0"/>
        <v>#DIV/0!</v>
      </c>
      <c r="K15" s="45">
        <f t="shared" si="7"/>
        <v>0</v>
      </c>
      <c r="L15" s="10"/>
      <c r="M15" s="10">
        <v>0</v>
      </c>
      <c r="N15" s="10">
        <v>0</v>
      </c>
      <c r="O15" s="11" t="e">
        <f t="shared" si="2"/>
        <v>#DIV/0!</v>
      </c>
      <c r="P15" s="47">
        <f t="shared" si="4"/>
        <v>0</v>
      </c>
      <c r="Q15" s="34"/>
      <c r="R15" s="38" t="e">
        <f>VLOOKUP(G15,[1]CMDATA!A:N,10,FALSE)-K15</f>
        <v>#N/A</v>
      </c>
      <c r="S15" s="38"/>
      <c r="T15" s="77">
        <v>0</v>
      </c>
      <c r="U15" s="10">
        <f t="shared" si="5"/>
        <v>0</v>
      </c>
      <c r="V15" s="8"/>
      <c r="W15" s="17"/>
      <c r="X15" s="77">
        <v>0</v>
      </c>
      <c r="Y15" s="64"/>
      <c r="Z15" s="14"/>
      <c r="AA15" s="15" t="e">
        <f t="shared" si="3"/>
        <v>#DIV/0!</v>
      </c>
      <c r="AB15" s="15" t="e">
        <f t="shared" si="6"/>
        <v>#DIV/0!</v>
      </c>
      <c r="AC15" s="31"/>
      <c r="AD15" s="55"/>
    </row>
    <row r="16" spans="1:32" x14ac:dyDescent="0.25">
      <c r="A16" s="108"/>
      <c r="B16" s="106"/>
      <c r="C16" s="50"/>
      <c r="D16" s="12"/>
      <c r="E16" s="8"/>
      <c r="F16" s="43"/>
      <c r="G16" s="8"/>
      <c r="H16" s="10">
        <v>0</v>
      </c>
      <c r="I16" s="21">
        <v>0</v>
      </c>
      <c r="J16" s="11" t="e">
        <f t="shared" si="0"/>
        <v>#DIV/0!</v>
      </c>
      <c r="K16" s="45">
        <f t="shared" si="7"/>
        <v>0</v>
      </c>
      <c r="L16" s="10"/>
      <c r="M16" s="10">
        <v>0</v>
      </c>
      <c r="N16" s="10">
        <v>0</v>
      </c>
      <c r="O16" s="11" t="e">
        <f t="shared" si="2"/>
        <v>#DIV/0!</v>
      </c>
      <c r="P16" s="47">
        <f t="shared" si="4"/>
        <v>0</v>
      </c>
      <c r="Q16" s="34"/>
      <c r="R16" s="38" t="e">
        <f>VLOOKUP(G16,[1]CMDATA!A:N,10,FALSE)-K16</f>
        <v>#N/A</v>
      </c>
      <c r="S16" s="38"/>
      <c r="T16" s="77">
        <v>0</v>
      </c>
      <c r="U16" s="10">
        <f t="shared" si="5"/>
        <v>0</v>
      </c>
      <c r="V16" s="8"/>
      <c r="W16" s="17"/>
      <c r="X16" s="77">
        <v>0</v>
      </c>
      <c r="Y16" s="64"/>
      <c r="Z16" s="14"/>
      <c r="AA16" s="15" t="e">
        <f t="shared" si="3"/>
        <v>#DIV/0!</v>
      </c>
      <c r="AB16" s="15" t="e">
        <f t="shared" si="6"/>
        <v>#DIV/0!</v>
      </c>
      <c r="AC16" s="31"/>
      <c r="AD16" s="55"/>
    </row>
    <row r="17" spans="1:33" x14ac:dyDescent="0.25">
      <c r="A17" s="139"/>
      <c r="B17" s="106"/>
      <c r="C17" s="50"/>
      <c r="D17" s="12"/>
      <c r="E17" s="8"/>
      <c r="F17" s="43"/>
      <c r="G17" s="8"/>
      <c r="H17" s="10">
        <v>0</v>
      </c>
      <c r="I17" s="21">
        <v>0</v>
      </c>
      <c r="J17" s="11" t="e">
        <f t="shared" si="0"/>
        <v>#DIV/0!</v>
      </c>
      <c r="K17" s="45">
        <f t="shared" si="7"/>
        <v>0</v>
      </c>
      <c r="L17" s="10"/>
      <c r="M17" s="10">
        <v>0</v>
      </c>
      <c r="N17" s="10">
        <v>0</v>
      </c>
      <c r="O17" s="11" t="e">
        <f t="shared" si="2"/>
        <v>#DIV/0!</v>
      </c>
      <c r="P17" s="47">
        <f t="shared" si="4"/>
        <v>0</v>
      </c>
      <c r="Q17" s="34"/>
      <c r="R17" s="38" t="e">
        <f>VLOOKUP(G17,[1]CMDATA!A:N,10,FALSE)-K17</f>
        <v>#N/A</v>
      </c>
      <c r="S17" s="38"/>
      <c r="T17" s="77">
        <v>0</v>
      </c>
      <c r="U17" s="10">
        <f t="shared" si="5"/>
        <v>0</v>
      </c>
      <c r="V17" s="8"/>
      <c r="W17" s="17"/>
      <c r="X17" s="77">
        <v>0</v>
      </c>
      <c r="Y17" s="64"/>
      <c r="Z17" s="14"/>
      <c r="AA17" s="15" t="e">
        <f t="shared" si="3"/>
        <v>#DIV/0!</v>
      </c>
      <c r="AB17" s="15" t="e">
        <f t="shared" si="6"/>
        <v>#DIV/0!</v>
      </c>
      <c r="AC17" s="31"/>
      <c r="AD17" s="55"/>
    </row>
    <row r="18" spans="1:33" x14ac:dyDescent="0.25">
      <c r="A18" s="140"/>
      <c r="B18" s="106"/>
      <c r="C18" s="50"/>
      <c r="D18" s="12"/>
      <c r="E18" s="8"/>
      <c r="F18" s="43"/>
      <c r="G18" s="8"/>
      <c r="H18" s="10">
        <v>0</v>
      </c>
      <c r="I18" s="21">
        <v>0</v>
      </c>
      <c r="J18" s="11" t="e">
        <f t="shared" si="0"/>
        <v>#DIV/0!</v>
      </c>
      <c r="K18" s="45">
        <f t="shared" si="7"/>
        <v>0</v>
      </c>
      <c r="L18" s="10"/>
      <c r="M18" s="10">
        <v>0</v>
      </c>
      <c r="N18" s="10">
        <v>0</v>
      </c>
      <c r="O18" s="11" t="e">
        <f t="shared" si="2"/>
        <v>#DIV/0!</v>
      </c>
      <c r="P18" s="47">
        <f t="shared" si="4"/>
        <v>0</v>
      </c>
      <c r="Q18" s="34"/>
      <c r="R18" s="38" t="e">
        <f>VLOOKUP(G18,[1]CMDATA!A:N,10,FALSE)-K18</f>
        <v>#N/A</v>
      </c>
      <c r="S18" s="38"/>
      <c r="T18" s="77">
        <v>0</v>
      </c>
      <c r="U18" s="10">
        <f t="shared" si="5"/>
        <v>0</v>
      </c>
      <c r="V18" s="8"/>
      <c r="W18" s="17"/>
      <c r="X18" s="77">
        <v>0</v>
      </c>
      <c r="Y18" s="64"/>
      <c r="Z18" s="14"/>
      <c r="AA18" s="15" t="e">
        <f t="shared" si="3"/>
        <v>#DIV/0!</v>
      </c>
      <c r="AB18" s="15" t="e">
        <f t="shared" si="6"/>
        <v>#DIV/0!</v>
      </c>
      <c r="AC18" s="31"/>
      <c r="AD18" s="55"/>
    </row>
    <row r="19" spans="1:33" x14ac:dyDescent="0.25">
      <c r="A19" s="108"/>
      <c r="B19" s="106"/>
      <c r="C19" s="50"/>
      <c r="D19" s="12"/>
      <c r="E19" s="8"/>
      <c r="F19" s="43"/>
      <c r="G19" s="8"/>
      <c r="H19" s="10">
        <v>0</v>
      </c>
      <c r="I19" s="21">
        <v>0</v>
      </c>
      <c r="J19" s="11" t="e">
        <f t="shared" si="0"/>
        <v>#DIV/0!</v>
      </c>
      <c r="K19" s="45">
        <f t="shared" si="7"/>
        <v>0</v>
      </c>
      <c r="L19" s="10"/>
      <c r="M19" s="10">
        <v>0</v>
      </c>
      <c r="N19" s="10">
        <v>0</v>
      </c>
      <c r="O19" s="11" t="e">
        <f t="shared" si="2"/>
        <v>#DIV/0!</v>
      </c>
      <c r="P19" s="47">
        <f t="shared" si="4"/>
        <v>0</v>
      </c>
      <c r="Q19" s="34"/>
      <c r="R19" s="38" t="e">
        <f>VLOOKUP(G19,[1]CMDATA!A:N,10,FALSE)-K19</f>
        <v>#N/A</v>
      </c>
      <c r="S19" s="38"/>
      <c r="T19" s="77">
        <v>0</v>
      </c>
      <c r="U19" s="10">
        <f t="shared" si="5"/>
        <v>0</v>
      </c>
      <c r="V19" s="8"/>
      <c r="W19" s="17"/>
      <c r="X19" s="77">
        <v>0</v>
      </c>
      <c r="Y19" s="64"/>
      <c r="Z19" s="14"/>
      <c r="AA19" s="15" t="e">
        <f t="shared" si="3"/>
        <v>#DIV/0!</v>
      </c>
      <c r="AB19" s="15" t="e">
        <f t="shared" si="6"/>
        <v>#DIV/0!</v>
      </c>
      <c r="AC19" s="31"/>
      <c r="AD19" s="55"/>
    </row>
    <row r="20" spans="1:33" x14ac:dyDescent="0.25">
      <c r="A20" s="141"/>
      <c r="B20" s="106"/>
      <c r="C20" s="50"/>
      <c r="D20" s="12"/>
      <c r="E20" s="8"/>
      <c r="F20" s="43"/>
      <c r="G20" s="8"/>
      <c r="H20" s="10">
        <v>0</v>
      </c>
      <c r="I20" s="21">
        <v>0</v>
      </c>
      <c r="J20" s="11" t="e">
        <f t="shared" si="0"/>
        <v>#DIV/0!</v>
      </c>
      <c r="K20" s="45">
        <f t="shared" si="7"/>
        <v>0</v>
      </c>
      <c r="L20" s="10"/>
      <c r="M20" s="10">
        <v>0</v>
      </c>
      <c r="N20" s="10">
        <v>0</v>
      </c>
      <c r="O20" s="11" t="e">
        <f t="shared" si="2"/>
        <v>#DIV/0!</v>
      </c>
      <c r="P20" s="47">
        <f t="shared" si="4"/>
        <v>0</v>
      </c>
      <c r="Q20" s="34"/>
      <c r="R20" s="38" t="e">
        <f>VLOOKUP(G20,[1]CMDATA!A:N,10,FALSE)-K20</f>
        <v>#N/A</v>
      </c>
      <c r="S20" s="38"/>
      <c r="T20" s="77">
        <v>0</v>
      </c>
      <c r="U20" s="10">
        <f t="shared" si="5"/>
        <v>0</v>
      </c>
      <c r="V20" s="8"/>
      <c r="W20" s="17"/>
      <c r="X20" s="77">
        <v>0</v>
      </c>
      <c r="Y20" s="64"/>
      <c r="Z20" s="14"/>
      <c r="AA20" s="15" t="e">
        <f t="shared" si="3"/>
        <v>#DIV/0!</v>
      </c>
      <c r="AB20" s="15" t="e">
        <f t="shared" si="6"/>
        <v>#DIV/0!</v>
      </c>
      <c r="AC20" s="31"/>
      <c r="AD20" s="55"/>
    </row>
    <row r="21" spans="1:33" x14ac:dyDescent="0.25">
      <c r="A21" s="142"/>
      <c r="B21" s="106"/>
      <c r="C21" s="50"/>
      <c r="D21" s="12"/>
      <c r="E21" s="8"/>
      <c r="F21" s="43"/>
      <c r="G21" s="8"/>
      <c r="H21" s="10">
        <v>0</v>
      </c>
      <c r="I21" s="21">
        <v>0</v>
      </c>
      <c r="J21" s="11" t="e">
        <f t="shared" si="0"/>
        <v>#DIV/0!</v>
      </c>
      <c r="K21" s="45">
        <f t="shared" si="7"/>
        <v>0</v>
      </c>
      <c r="L21" s="10"/>
      <c r="M21" s="10">
        <v>0</v>
      </c>
      <c r="N21" s="10">
        <v>0</v>
      </c>
      <c r="O21" s="11" t="e">
        <f t="shared" si="2"/>
        <v>#DIV/0!</v>
      </c>
      <c r="P21" s="47">
        <f t="shared" si="4"/>
        <v>0</v>
      </c>
      <c r="Q21" s="34"/>
      <c r="R21" s="38" t="e">
        <f>VLOOKUP(G21,[1]CMDATA!A:N,10,FALSE)-K21</f>
        <v>#N/A</v>
      </c>
      <c r="S21" s="38"/>
      <c r="T21" s="77">
        <v>0</v>
      </c>
      <c r="U21" s="10">
        <f t="shared" si="5"/>
        <v>0</v>
      </c>
      <c r="V21" s="8"/>
      <c r="W21" s="17"/>
      <c r="X21" s="77">
        <v>0</v>
      </c>
      <c r="Y21" s="105"/>
      <c r="Z21" s="104"/>
      <c r="AA21" s="49" t="e">
        <f t="shared" si="3"/>
        <v>#DIV/0!</v>
      </c>
      <c r="AB21" s="15" t="e">
        <f t="shared" si="6"/>
        <v>#DIV/0!</v>
      </c>
      <c r="AC21" s="149"/>
      <c r="AD21" s="81"/>
    </row>
    <row r="22" spans="1:33" x14ac:dyDescent="0.25">
      <c r="A22" s="108"/>
      <c r="B22" s="106"/>
      <c r="C22" s="50"/>
      <c r="D22" s="16"/>
      <c r="E22" s="8"/>
      <c r="F22" s="43"/>
      <c r="G22" s="8"/>
      <c r="H22" s="10">
        <v>0</v>
      </c>
      <c r="I22" s="21">
        <v>0</v>
      </c>
      <c r="J22" s="11" t="e">
        <f t="shared" si="0"/>
        <v>#DIV/0!</v>
      </c>
      <c r="K22" s="45">
        <f t="shared" si="7"/>
        <v>0</v>
      </c>
      <c r="L22" s="10"/>
      <c r="M22" s="10">
        <v>0</v>
      </c>
      <c r="N22" s="10">
        <v>0</v>
      </c>
      <c r="O22" s="11" t="e">
        <f t="shared" si="2"/>
        <v>#DIV/0!</v>
      </c>
      <c r="P22" s="47">
        <f t="shared" si="4"/>
        <v>0</v>
      </c>
      <c r="Q22" s="34"/>
      <c r="R22" s="38" t="e">
        <f>VLOOKUP(G22,[1]CMDATA!A:N,10,FALSE)-K22</f>
        <v>#N/A</v>
      </c>
      <c r="S22" s="38"/>
      <c r="T22" s="77">
        <v>0</v>
      </c>
      <c r="U22" s="10">
        <f t="shared" si="5"/>
        <v>0</v>
      </c>
      <c r="V22" s="8"/>
      <c r="W22" s="17"/>
      <c r="X22" s="77">
        <v>0</v>
      </c>
      <c r="Y22" s="64"/>
      <c r="Z22" s="14"/>
      <c r="AA22" s="15" t="e">
        <f t="shared" si="3"/>
        <v>#DIV/0!</v>
      </c>
      <c r="AB22" s="15" t="e">
        <f t="shared" si="6"/>
        <v>#DIV/0!</v>
      </c>
      <c r="AC22" s="31"/>
      <c r="AD22" s="57"/>
    </row>
    <row r="23" spans="1:33" x14ac:dyDescent="0.25">
      <c r="A23" s="139"/>
      <c r="B23" s="106"/>
      <c r="C23" s="50"/>
      <c r="D23" s="16"/>
      <c r="E23" s="8"/>
      <c r="F23" s="43"/>
      <c r="G23" s="8"/>
      <c r="H23" s="10">
        <v>0</v>
      </c>
      <c r="I23" s="21">
        <v>0</v>
      </c>
      <c r="J23" s="11" t="e">
        <f t="shared" si="0"/>
        <v>#DIV/0!</v>
      </c>
      <c r="K23" s="45">
        <f t="shared" si="7"/>
        <v>0</v>
      </c>
      <c r="L23" s="10"/>
      <c r="M23" s="10">
        <v>0</v>
      </c>
      <c r="N23" s="10">
        <v>0</v>
      </c>
      <c r="O23" s="11" t="e">
        <f t="shared" si="2"/>
        <v>#DIV/0!</v>
      </c>
      <c r="P23" s="47">
        <f t="shared" si="4"/>
        <v>0</v>
      </c>
      <c r="Q23" s="34"/>
      <c r="R23" s="38" t="e">
        <f>VLOOKUP(G23,[1]CMDATA!A:N,10,FALSE)-K23</f>
        <v>#N/A</v>
      </c>
      <c r="S23" s="38"/>
      <c r="T23" s="77">
        <v>0</v>
      </c>
      <c r="U23" s="10">
        <f t="shared" si="5"/>
        <v>0</v>
      </c>
      <c r="V23" s="8"/>
      <c r="W23" s="17"/>
      <c r="X23" s="77">
        <v>0</v>
      </c>
      <c r="Y23" s="14"/>
      <c r="Z23" s="14"/>
      <c r="AA23" s="15" t="e">
        <f t="shared" si="3"/>
        <v>#DIV/0!</v>
      </c>
      <c r="AB23" s="15" t="e">
        <f t="shared" si="6"/>
        <v>#DIV/0!</v>
      </c>
      <c r="AC23" s="31"/>
      <c r="AD23" s="55"/>
    </row>
    <row r="24" spans="1:33" x14ac:dyDescent="0.25">
      <c r="A24" s="139"/>
      <c r="B24" s="106"/>
      <c r="C24" s="50"/>
      <c r="D24" s="16"/>
      <c r="E24" s="8"/>
      <c r="F24" s="43"/>
      <c r="G24" s="8"/>
      <c r="H24" s="10">
        <v>0</v>
      </c>
      <c r="I24" s="21">
        <v>0</v>
      </c>
      <c r="J24" s="11" t="e">
        <f t="shared" si="0"/>
        <v>#DIV/0!</v>
      </c>
      <c r="K24" s="45">
        <f t="shared" si="7"/>
        <v>0</v>
      </c>
      <c r="L24" s="10"/>
      <c r="M24" s="10">
        <v>0</v>
      </c>
      <c r="N24" s="10">
        <v>0</v>
      </c>
      <c r="O24" s="11" t="e">
        <f t="shared" si="2"/>
        <v>#DIV/0!</v>
      </c>
      <c r="P24" s="47">
        <f t="shared" si="4"/>
        <v>0</v>
      </c>
      <c r="Q24" s="34"/>
      <c r="R24" s="38" t="e">
        <f>VLOOKUP(G24,[1]CMDATA!A:N,10,FALSE)-K24</f>
        <v>#N/A</v>
      </c>
      <c r="S24" s="38"/>
      <c r="T24" s="77">
        <v>0</v>
      </c>
      <c r="U24" s="10">
        <f t="shared" si="5"/>
        <v>0</v>
      </c>
      <c r="V24" s="8"/>
      <c r="W24" s="17"/>
      <c r="X24" s="77">
        <v>0</v>
      </c>
      <c r="Y24" s="64"/>
      <c r="Z24" s="14"/>
      <c r="AA24" s="15" t="e">
        <f t="shared" si="3"/>
        <v>#DIV/0!</v>
      </c>
      <c r="AB24" s="15" t="e">
        <f t="shared" si="6"/>
        <v>#DIV/0!</v>
      </c>
      <c r="AC24" s="31"/>
      <c r="AD24" s="55"/>
    </row>
    <row r="25" spans="1:33" x14ac:dyDescent="0.25">
      <c r="A25" s="108"/>
      <c r="B25" s="106"/>
      <c r="C25" s="50"/>
      <c r="D25" s="16"/>
      <c r="E25" s="8"/>
      <c r="F25" s="43"/>
      <c r="G25" s="8"/>
      <c r="H25" s="10">
        <v>0</v>
      </c>
      <c r="I25" s="21">
        <v>0</v>
      </c>
      <c r="J25" s="11" t="e">
        <f t="shared" si="0"/>
        <v>#DIV/0!</v>
      </c>
      <c r="K25" s="45">
        <f t="shared" si="7"/>
        <v>0</v>
      </c>
      <c r="L25" s="10"/>
      <c r="M25" s="10">
        <v>0</v>
      </c>
      <c r="N25" s="10">
        <v>0</v>
      </c>
      <c r="O25" s="11" t="e">
        <f t="shared" si="2"/>
        <v>#DIV/0!</v>
      </c>
      <c r="P25" s="47">
        <f t="shared" si="4"/>
        <v>0</v>
      </c>
      <c r="Q25" s="34"/>
      <c r="R25" s="38" t="e">
        <f>VLOOKUP(G25,[1]CMDATA!A:N,10,FALSE)-K25</f>
        <v>#N/A</v>
      </c>
      <c r="S25" s="38"/>
      <c r="T25" s="77">
        <v>0</v>
      </c>
      <c r="U25" s="10">
        <f t="shared" si="5"/>
        <v>0</v>
      </c>
      <c r="V25" s="8"/>
      <c r="W25" s="17"/>
      <c r="X25" s="77">
        <v>0</v>
      </c>
      <c r="Y25" s="64"/>
      <c r="Z25" s="14"/>
      <c r="AA25" s="15" t="e">
        <f t="shared" si="3"/>
        <v>#DIV/0!</v>
      </c>
      <c r="AB25" s="15" t="e">
        <f t="shared" si="6"/>
        <v>#DIV/0!</v>
      </c>
      <c r="AC25" s="149"/>
      <c r="AD25" s="55"/>
    </row>
    <row r="26" spans="1:33" x14ac:dyDescent="0.25">
      <c r="A26" s="139"/>
      <c r="B26" s="106"/>
      <c r="C26" s="50"/>
      <c r="D26" s="16"/>
      <c r="E26" s="8"/>
      <c r="F26" s="43"/>
      <c r="G26" s="8"/>
      <c r="H26" s="10">
        <v>0</v>
      </c>
      <c r="I26" s="21">
        <v>0</v>
      </c>
      <c r="J26" s="11" t="e">
        <f t="shared" si="0"/>
        <v>#DIV/0!</v>
      </c>
      <c r="K26" s="45">
        <f t="shared" si="7"/>
        <v>0</v>
      </c>
      <c r="L26" s="10"/>
      <c r="M26" s="10">
        <v>0</v>
      </c>
      <c r="N26" s="10">
        <v>0</v>
      </c>
      <c r="O26" s="11" t="e">
        <f t="shared" si="2"/>
        <v>#DIV/0!</v>
      </c>
      <c r="P26" s="47">
        <f t="shared" si="4"/>
        <v>0</v>
      </c>
      <c r="Q26" s="34"/>
      <c r="R26" s="38" t="e">
        <f>VLOOKUP(G26,[1]CMDATA!A:N,10,FALSE)-K26</f>
        <v>#N/A</v>
      </c>
      <c r="S26" s="38"/>
      <c r="T26" s="77">
        <v>0</v>
      </c>
      <c r="U26" s="10">
        <f t="shared" si="5"/>
        <v>0</v>
      </c>
      <c r="V26" s="8"/>
      <c r="W26" s="17"/>
      <c r="X26" s="77">
        <v>0</v>
      </c>
      <c r="Y26" s="14"/>
      <c r="Z26" s="14"/>
      <c r="AA26" s="15" t="e">
        <f t="shared" si="3"/>
        <v>#DIV/0!</v>
      </c>
      <c r="AB26" s="15" t="e">
        <f t="shared" si="6"/>
        <v>#DIV/0!</v>
      </c>
      <c r="AC26" s="149"/>
      <c r="AD26" s="55"/>
    </row>
    <row r="27" spans="1:33" x14ac:dyDescent="0.25">
      <c r="A27" s="108"/>
      <c r="B27" s="106"/>
      <c r="C27" s="50"/>
      <c r="D27" s="16"/>
      <c r="E27" s="8"/>
      <c r="F27" s="43"/>
      <c r="G27" s="8"/>
      <c r="H27" s="10">
        <v>0</v>
      </c>
      <c r="I27" s="21">
        <v>0</v>
      </c>
      <c r="J27" s="11" t="e">
        <f t="shared" si="0"/>
        <v>#DIV/0!</v>
      </c>
      <c r="K27" s="45">
        <f t="shared" si="7"/>
        <v>0</v>
      </c>
      <c r="L27" s="10"/>
      <c r="M27" s="10">
        <v>0</v>
      </c>
      <c r="N27" s="10">
        <v>0</v>
      </c>
      <c r="O27" s="11" t="e">
        <f t="shared" si="2"/>
        <v>#DIV/0!</v>
      </c>
      <c r="P27" s="47">
        <f t="shared" si="4"/>
        <v>0</v>
      </c>
      <c r="Q27" s="34"/>
      <c r="R27" s="38" t="e">
        <f>VLOOKUP(G27,[1]CMDATA!A:N,10,FALSE)-K27</f>
        <v>#N/A</v>
      </c>
      <c r="S27" s="38"/>
      <c r="T27" s="77">
        <v>0</v>
      </c>
      <c r="U27" s="10">
        <f t="shared" si="5"/>
        <v>0</v>
      </c>
      <c r="V27" s="8"/>
      <c r="W27" s="17"/>
      <c r="X27" s="77">
        <v>0</v>
      </c>
      <c r="Y27" s="105"/>
      <c r="Z27" s="64"/>
      <c r="AA27" s="15" t="e">
        <f t="shared" si="3"/>
        <v>#DIV/0!</v>
      </c>
      <c r="AB27" s="15" t="e">
        <f t="shared" si="6"/>
        <v>#DIV/0!</v>
      </c>
      <c r="AC27" s="31"/>
      <c r="AD27" s="57"/>
    </row>
    <row r="28" spans="1:33" x14ac:dyDescent="0.25">
      <c r="A28" s="107"/>
      <c r="B28" s="106"/>
      <c r="C28" s="50"/>
      <c r="D28" s="16"/>
      <c r="E28" s="8"/>
      <c r="F28" s="43"/>
      <c r="G28" s="8"/>
      <c r="H28" s="10">
        <v>0</v>
      </c>
      <c r="I28" s="21">
        <v>0</v>
      </c>
      <c r="J28" s="66" t="e">
        <f t="shared" si="0"/>
        <v>#DIV/0!</v>
      </c>
      <c r="K28" s="45">
        <f t="shared" si="7"/>
        <v>0</v>
      </c>
      <c r="L28" s="21"/>
      <c r="M28" s="10">
        <v>0</v>
      </c>
      <c r="N28" s="10">
        <v>0</v>
      </c>
      <c r="O28" s="66" t="e">
        <f t="shared" si="2"/>
        <v>#DIV/0!</v>
      </c>
      <c r="P28" s="47">
        <f t="shared" si="4"/>
        <v>0</v>
      </c>
      <c r="Q28" s="37"/>
      <c r="R28" s="41" t="e">
        <f>VLOOKUP(G28,[1]CMDATA!A:N,10,FALSE)-K28</f>
        <v>#N/A</v>
      </c>
      <c r="S28" s="41"/>
      <c r="T28" s="77">
        <v>0</v>
      </c>
      <c r="U28" s="21">
        <f t="shared" si="5"/>
        <v>0</v>
      </c>
      <c r="V28" s="8"/>
      <c r="W28" s="17"/>
      <c r="X28" s="77">
        <v>0</v>
      </c>
      <c r="Y28" s="67"/>
      <c r="Z28" s="32"/>
      <c r="AA28" s="31" t="e">
        <f t="shared" si="3"/>
        <v>#DIV/0!</v>
      </c>
      <c r="AB28" s="15" t="e">
        <f t="shared" si="6"/>
        <v>#DIV/0!</v>
      </c>
      <c r="AC28" s="149"/>
      <c r="AD28" s="56"/>
      <c r="AF28" s="83"/>
    </row>
    <row r="29" spans="1:33" x14ac:dyDescent="0.25">
      <c r="A29" s="135"/>
      <c r="B29" s="106"/>
      <c r="C29" s="50"/>
      <c r="D29" s="16"/>
      <c r="E29" s="8"/>
      <c r="F29" s="43"/>
      <c r="G29" s="8"/>
      <c r="H29" s="10">
        <v>0</v>
      </c>
      <c r="I29" s="21">
        <v>0</v>
      </c>
      <c r="J29" s="11" t="e">
        <f t="shared" si="0"/>
        <v>#DIV/0!</v>
      </c>
      <c r="K29" s="45">
        <f t="shared" si="7"/>
        <v>0</v>
      </c>
      <c r="L29" s="10"/>
      <c r="M29" s="10">
        <v>0</v>
      </c>
      <c r="N29" s="10">
        <v>0</v>
      </c>
      <c r="O29" s="11" t="e">
        <f t="shared" si="2"/>
        <v>#DIV/0!</v>
      </c>
      <c r="P29" s="47">
        <f t="shared" si="4"/>
        <v>0</v>
      </c>
      <c r="Q29" s="34"/>
      <c r="R29" s="38" t="e">
        <f>VLOOKUP(G29,[1]CMDATA!A:N,10,FALSE)-K29</f>
        <v>#N/A</v>
      </c>
      <c r="S29" s="38"/>
      <c r="T29" s="77">
        <v>0</v>
      </c>
      <c r="U29" s="10">
        <f t="shared" si="5"/>
        <v>0</v>
      </c>
      <c r="V29" s="8"/>
      <c r="W29" s="17"/>
      <c r="X29" s="77">
        <v>0</v>
      </c>
      <c r="Y29" s="14"/>
      <c r="Z29" s="14"/>
      <c r="AA29" s="15" t="e">
        <f t="shared" si="3"/>
        <v>#DIV/0!</v>
      </c>
      <c r="AB29" s="15" t="e">
        <f t="shared" si="6"/>
        <v>#DIV/0!</v>
      </c>
      <c r="AC29" s="31"/>
      <c r="AD29" s="55"/>
      <c r="AG29" s="83"/>
    </row>
    <row r="30" spans="1:33" x14ac:dyDescent="0.25">
      <c r="A30" s="108"/>
      <c r="B30" s="106"/>
      <c r="C30" s="50"/>
      <c r="D30" s="12"/>
      <c r="E30" s="8"/>
      <c r="F30" s="43"/>
      <c r="G30" s="8"/>
      <c r="H30" s="10">
        <v>0</v>
      </c>
      <c r="I30" s="21">
        <v>0</v>
      </c>
      <c r="J30" s="11" t="e">
        <f t="shared" si="0"/>
        <v>#DIV/0!</v>
      </c>
      <c r="K30" s="45">
        <f t="shared" si="7"/>
        <v>0</v>
      </c>
      <c r="L30" s="10"/>
      <c r="M30" s="10">
        <v>0</v>
      </c>
      <c r="N30" s="10">
        <v>0</v>
      </c>
      <c r="O30" s="11" t="e">
        <f t="shared" si="2"/>
        <v>#DIV/0!</v>
      </c>
      <c r="P30" s="47">
        <f t="shared" si="4"/>
        <v>0</v>
      </c>
      <c r="Q30" s="34"/>
      <c r="R30" s="38" t="e">
        <f>VLOOKUP(G30,[1]CMDATA!A:N,10,FALSE)-K30</f>
        <v>#N/A</v>
      </c>
      <c r="S30" s="38"/>
      <c r="T30" s="77">
        <v>0</v>
      </c>
      <c r="U30" s="10">
        <f t="shared" si="5"/>
        <v>0</v>
      </c>
      <c r="V30" s="8"/>
      <c r="W30" s="17"/>
      <c r="X30" s="77">
        <v>0</v>
      </c>
      <c r="Y30" s="64"/>
      <c r="Z30" s="14"/>
      <c r="AA30" s="15" t="e">
        <f t="shared" si="3"/>
        <v>#DIV/0!</v>
      </c>
      <c r="AB30" s="15" t="e">
        <f t="shared" si="6"/>
        <v>#DIV/0!</v>
      </c>
      <c r="AC30" s="31"/>
      <c r="AD30" s="55"/>
    </row>
    <row r="31" spans="1:33" x14ac:dyDescent="0.25">
      <c r="A31" s="141"/>
      <c r="B31" s="106"/>
      <c r="C31" s="50"/>
      <c r="D31" s="12"/>
      <c r="E31" s="8"/>
      <c r="F31" s="43"/>
      <c r="G31" s="8"/>
      <c r="H31" s="10">
        <v>0</v>
      </c>
      <c r="I31" s="21">
        <v>0</v>
      </c>
      <c r="J31" s="11" t="e">
        <f t="shared" si="0"/>
        <v>#DIV/0!</v>
      </c>
      <c r="K31" s="45">
        <f t="shared" si="7"/>
        <v>0</v>
      </c>
      <c r="L31" s="10"/>
      <c r="M31" s="10">
        <v>0</v>
      </c>
      <c r="N31" s="10">
        <v>0</v>
      </c>
      <c r="O31" s="11" t="e">
        <f t="shared" si="2"/>
        <v>#DIV/0!</v>
      </c>
      <c r="P31" s="47">
        <f t="shared" si="4"/>
        <v>0</v>
      </c>
      <c r="Q31" s="34"/>
      <c r="R31" s="38" t="e">
        <f>VLOOKUP(G31,[1]CMDATA!A:N,10,FALSE)-K31</f>
        <v>#N/A</v>
      </c>
      <c r="S31" s="38"/>
      <c r="T31" s="77">
        <v>0</v>
      </c>
      <c r="U31" s="10">
        <f t="shared" si="5"/>
        <v>0</v>
      </c>
      <c r="V31" s="8"/>
      <c r="W31" s="17"/>
      <c r="X31" s="77">
        <v>0</v>
      </c>
      <c r="Y31" s="64"/>
      <c r="Z31" s="14"/>
      <c r="AA31" s="15" t="e">
        <f t="shared" si="3"/>
        <v>#DIV/0!</v>
      </c>
      <c r="AB31" s="15" t="e">
        <f t="shared" si="6"/>
        <v>#DIV/0!</v>
      </c>
      <c r="AC31" s="31"/>
      <c r="AD31" s="55"/>
    </row>
    <row r="32" spans="1:33" x14ac:dyDescent="0.25">
      <c r="A32" s="108"/>
      <c r="B32" s="106"/>
      <c r="C32" s="50"/>
      <c r="D32" s="12"/>
      <c r="E32" s="8"/>
      <c r="F32" s="43"/>
      <c r="G32" s="8"/>
      <c r="H32" s="10">
        <v>0</v>
      </c>
      <c r="I32" s="21">
        <v>0</v>
      </c>
      <c r="J32" s="11" t="e">
        <f>I32/H32</f>
        <v>#DIV/0!</v>
      </c>
      <c r="K32" s="45">
        <f>H32+I32</f>
        <v>0</v>
      </c>
      <c r="L32" s="10"/>
      <c r="M32" s="10">
        <v>0</v>
      </c>
      <c r="N32" s="10">
        <v>0</v>
      </c>
      <c r="O32" s="11" t="e">
        <f>P32/K32</f>
        <v>#DIV/0!</v>
      </c>
      <c r="P32" s="47">
        <f>M32+N32</f>
        <v>0</v>
      </c>
      <c r="Q32" s="34"/>
      <c r="R32" s="38" t="e">
        <f>VLOOKUP(G32,[1]CMDATA!A:N,10,FALSE)-K32</f>
        <v>#N/A</v>
      </c>
      <c r="S32" s="38"/>
      <c r="T32" s="77">
        <v>0</v>
      </c>
      <c r="U32" s="10">
        <f>P32-T32</f>
        <v>0</v>
      </c>
      <c r="V32" s="8"/>
      <c r="W32" s="17"/>
      <c r="X32" s="77">
        <v>0</v>
      </c>
      <c r="Y32" s="64"/>
      <c r="Z32" s="14"/>
      <c r="AA32" s="15" t="e">
        <f>X32/K32</f>
        <v>#DIV/0!</v>
      </c>
      <c r="AB32" s="15" t="e">
        <f t="shared" si="6"/>
        <v>#DIV/0!</v>
      </c>
      <c r="AC32" s="31"/>
      <c r="AD32" s="55"/>
    </row>
    <row r="33" spans="1:30" x14ac:dyDescent="0.25">
      <c r="A33" s="139"/>
      <c r="B33" s="106"/>
      <c r="C33" s="50"/>
      <c r="D33" s="12"/>
      <c r="E33" s="8"/>
      <c r="F33" s="43"/>
      <c r="G33" s="8"/>
      <c r="H33" s="10">
        <v>0</v>
      </c>
      <c r="I33" s="21">
        <v>0</v>
      </c>
      <c r="J33" s="11" t="e">
        <f t="shared" si="0"/>
        <v>#DIV/0!</v>
      </c>
      <c r="K33" s="45">
        <f t="shared" si="7"/>
        <v>0</v>
      </c>
      <c r="L33" s="10"/>
      <c r="M33" s="10">
        <v>0</v>
      </c>
      <c r="N33" s="10">
        <v>0</v>
      </c>
      <c r="O33" s="11" t="e">
        <f t="shared" si="2"/>
        <v>#DIV/0!</v>
      </c>
      <c r="P33" s="47">
        <f t="shared" si="4"/>
        <v>0</v>
      </c>
      <c r="Q33" s="34"/>
      <c r="R33" s="38" t="e">
        <f>VLOOKUP(G33,[1]CMDATA!A:N,10,FALSE)-K33</f>
        <v>#N/A</v>
      </c>
      <c r="S33" s="38"/>
      <c r="T33" s="77">
        <v>0</v>
      </c>
      <c r="U33" s="10">
        <f t="shared" si="5"/>
        <v>0</v>
      </c>
      <c r="V33" s="8"/>
      <c r="W33" s="17"/>
      <c r="X33" s="77">
        <v>0</v>
      </c>
      <c r="Y33" s="14"/>
      <c r="Z33" s="14"/>
      <c r="AA33" s="15" t="e">
        <f t="shared" si="3"/>
        <v>#DIV/0!</v>
      </c>
      <c r="AB33" s="15" t="e">
        <f t="shared" si="6"/>
        <v>#DIV/0!</v>
      </c>
      <c r="AC33" s="31"/>
      <c r="AD33" s="55"/>
    </row>
    <row r="34" spans="1:30" x14ac:dyDescent="0.25">
      <c r="A34" s="139"/>
      <c r="B34" s="106"/>
      <c r="C34" s="50"/>
      <c r="D34" s="12"/>
      <c r="E34" s="8"/>
      <c r="F34" s="43"/>
      <c r="G34" s="8"/>
      <c r="H34" s="10">
        <v>0</v>
      </c>
      <c r="I34" s="21">
        <v>0</v>
      </c>
      <c r="J34" s="11" t="e">
        <f t="shared" si="0"/>
        <v>#DIV/0!</v>
      </c>
      <c r="K34" s="45">
        <f t="shared" si="7"/>
        <v>0</v>
      </c>
      <c r="L34" s="10"/>
      <c r="M34" s="10">
        <v>0</v>
      </c>
      <c r="N34" s="10">
        <v>0</v>
      </c>
      <c r="O34" s="11" t="e">
        <f t="shared" si="2"/>
        <v>#DIV/0!</v>
      </c>
      <c r="P34" s="47">
        <f t="shared" si="4"/>
        <v>0</v>
      </c>
      <c r="Q34" s="34"/>
      <c r="R34" s="38" t="e">
        <f>VLOOKUP(G34,[1]CMDATA!A:N,10,FALSE)-K34</f>
        <v>#N/A</v>
      </c>
      <c r="S34" s="38"/>
      <c r="T34" s="77">
        <v>0</v>
      </c>
      <c r="U34" s="10">
        <f t="shared" si="5"/>
        <v>0</v>
      </c>
      <c r="V34" s="8"/>
      <c r="W34" s="17"/>
      <c r="X34" s="77">
        <v>0</v>
      </c>
      <c r="Y34" s="14"/>
      <c r="Z34" s="14"/>
      <c r="AA34" s="15" t="e">
        <f t="shared" si="3"/>
        <v>#DIV/0!</v>
      </c>
      <c r="AB34" s="15" t="e">
        <f t="shared" si="6"/>
        <v>#DIV/0!</v>
      </c>
      <c r="AC34" s="31"/>
      <c r="AD34" s="55"/>
    </row>
    <row r="35" spans="1:30" x14ac:dyDescent="0.25">
      <c r="A35" s="108"/>
      <c r="B35" s="106"/>
      <c r="C35" s="50"/>
      <c r="D35" s="12"/>
      <c r="E35" s="8"/>
      <c r="F35" s="43"/>
      <c r="G35" s="8"/>
      <c r="H35" s="10">
        <v>0</v>
      </c>
      <c r="I35" s="21">
        <v>0</v>
      </c>
      <c r="J35" s="11" t="e">
        <f t="shared" si="0"/>
        <v>#DIV/0!</v>
      </c>
      <c r="K35" s="45">
        <f t="shared" si="7"/>
        <v>0</v>
      </c>
      <c r="L35" s="10"/>
      <c r="M35" s="10">
        <v>0</v>
      </c>
      <c r="N35" s="10">
        <v>0</v>
      </c>
      <c r="O35" s="11" t="e">
        <f t="shared" si="2"/>
        <v>#DIV/0!</v>
      </c>
      <c r="P35" s="47">
        <f t="shared" si="4"/>
        <v>0</v>
      </c>
      <c r="Q35" s="34"/>
      <c r="R35" s="38" t="e">
        <f>VLOOKUP(G35,[1]CMDATA!A:N,10,FALSE)-K35</f>
        <v>#N/A</v>
      </c>
      <c r="S35" s="38"/>
      <c r="T35" s="77">
        <v>0</v>
      </c>
      <c r="U35" s="10">
        <f t="shared" si="5"/>
        <v>0</v>
      </c>
      <c r="V35" s="8"/>
      <c r="W35" s="17"/>
      <c r="X35" s="77">
        <v>0</v>
      </c>
      <c r="Y35" s="105"/>
      <c r="Z35" s="14"/>
      <c r="AA35" s="15" t="e">
        <f t="shared" si="3"/>
        <v>#DIV/0!</v>
      </c>
      <c r="AB35" s="15" t="e">
        <f t="shared" si="6"/>
        <v>#DIV/0!</v>
      </c>
      <c r="AC35" s="31"/>
      <c r="AD35" s="55"/>
    </row>
    <row r="36" spans="1:30" x14ac:dyDescent="0.25">
      <c r="A36" s="108"/>
      <c r="B36" s="106"/>
      <c r="C36" s="50"/>
      <c r="D36" s="12"/>
      <c r="E36" s="8"/>
      <c r="F36" s="43"/>
      <c r="G36" s="8"/>
      <c r="H36" s="10">
        <v>0</v>
      </c>
      <c r="I36" s="21">
        <v>0</v>
      </c>
      <c r="J36" s="11" t="e">
        <f t="shared" si="0"/>
        <v>#DIV/0!</v>
      </c>
      <c r="K36" s="45">
        <f t="shared" si="7"/>
        <v>0</v>
      </c>
      <c r="L36" s="10"/>
      <c r="M36" s="10">
        <v>0</v>
      </c>
      <c r="N36" s="10">
        <v>0</v>
      </c>
      <c r="O36" s="11" t="e">
        <f t="shared" si="2"/>
        <v>#DIV/0!</v>
      </c>
      <c r="P36" s="47">
        <f t="shared" si="4"/>
        <v>0</v>
      </c>
      <c r="Q36" s="34"/>
      <c r="R36" s="38" t="e">
        <f>VLOOKUP(G36,[1]CMDATA!A:N,10,FALSE)-K36</f>
        <v>#N/A</v>
      </c>
      <c r="S36" s="38"/>
      <c r="T36" s="77">
        <v>0</v>
      </c>
      <c r="U36" s="10">
        <f t="shared" si="5"/>
        <v>0</v>
      </c>
      <c r="V36" s="8"/>
      <c r="W36" s="17"/>
      <c r="X36" s="77">
        <v>0</v>
      </c>
      <c r="Y36" s="67"/>
      <c r="Z36" s="14"/>
      <c r="AA36" s="15" t="e">
        <f t="shared" si="3"/>
        <v>#DIV/0!</v>
      </c>
      <c r="AB36" s="15" t="e">
        <f t="shared" si="6"/>
        <v>#DIV/0!</v>
      </c>
      <c r="AC36" s="31"/>
      <c r="AD36" s="55"/>
    </row>
    <row r="37" spans="1:30" x14ac:dyDescent="0.25">
      <c r="A37" s="140"/>
      <c r="B37" s="106"/>
      <c r="C37" s="50"/>
      <c r="D37" s="12"/>
      <c r="E37" s="8"/>
      <c r="F37" s="43"/>
      <c r="G37" s="8"/>
      <c r="H37" s="10">
        <v>0</v>
      </c>
      <c r="I37" s="21">
        <v>0</v>
      </c>
      <c r="J37" s="11" t="e">
        <f t="shared" si="0"/>
        <v>#DIV/0!</v>
      </c>
      <c r="K37" s="45">
        <f t="shared" si="7"/>
        <v>0</v>
      </c>
      <c r="L37" s="10"/>
      <c r="M37" s="10">
        <v>0</v>
      </c>
      <c r="N37" s="10">
        <v>0</v>
      </c>
      <c r="O37" s="11" t="e">
        <f t="shared" si="2"/>
        <v>#DIV/0!</v>
      </c>
      <c r="P37" s="47">
        <f t="shared" si="4"/>
        <v>0</v>
      </c>
      <c r="Q37" s="34"/>
      <c r="R37" s="38" t="e">
        <f>VLOOKUP(G37,[1]CMDATA!A:N,10,FALSE)-K37</f>
        <v>#N/A</v>
      </c>
      <c r="S37" s="38"/>
      <c r="T37" s="77">
        <v>0</v>
      </c>
      <c r="U37" s="10">
        <f t="shared" si="5"/>
        <v>0</v>
      </c>
      <c r="V37" s="8"/>
      <c r="W37" s="17"/>
      <c r="X37" s="77">
        <v>0</v>
      </c>
      <c r="Y37" s="67"/>
      <c r="Z37" s="14"/>
      <c r="AA37" s="15" t="e">
        <f t="shared" si="3"/>
        <v>#DIV/0!</v>
      </c>
      <c r="AB37" s="15" t="e">
        <f t="shared" si="6"/>
        <v>#DIV/0!</v>
      </c>
      <c r="AC37" s="31"/>
      <c r="AD37" s="55"/>
    </row>
    <row r="38" spans="1:30" x14ac:dyDescent="0.25">
      <c r="A38" s="108"/>
      <c r="B38" s="106"/>
      <c r="C38" s="50"/>
      <c r="D38" s="12"/>
      <c r="E38" s="8"/>
      <c r="F38" s="43"/>
      <c r="G38" s="8"/>
      <c r="H38" s="10">
        <v>0</v>
      </c>
      <c r="I38" s="21">
        <v>0</v>
      </c>
      <c r="J38" s="11" t="e">
        <f t="shared" si="0"/>
        <v>#DIV/0!</v>
      </c>
      <c r="K38" s="45">
        <f t="shared" si="7"/>
        <v>0</v>
      </c>
      <c r="L38" s="10"/>
      <c r="M38" s="10">
        <v>0</v>
      </c>
      <c r="N38" s="10">
        <v>0</v>
      </c>
      <c r="O38" s="11" t="e">
        <f t="shared" si="2"/>
        <v>#DIV/0!</v>
      </c>
      <c r="P38" s="47">
        <f t="shared" si="4"/>
        <v>0</v>
      </c>
      <c r="Q38" s="34"/>
      <c r="R38" s="38" t="e">
        <f>VLOOKUP(G38,[1]CMDATA!A:N,10,FALSE)-K38</f>
        <v>#N/A</v>
      </c>
      <c r="S38" s="38"/>
      <c r="T38" s="77">
        <v>0</v>
      </c>
      <c r="U38" s="10">
        <f t="shared" si="5"/>
        <v>0</v>
      </c>
      <c r="V38" s="8"/>
      <c r="W38" s="17"/>
      <c r="X38" s="77">
        <v>0</v>
      </c>
      <c r="Y38" s="67"/>
      <c r="Z38" s="14"/>
      <c r="AA38" s="15" t="e">
        <f t="shared" si="3"/>
        <v>#DIV/0!</v>
      </c>
      <c r="AB38" s="15" t="e">
        <f t="shared" si="6"/>
        <v>#DIV/0!</v>
      </c>
      <c r="AC38" s="31"/>
      <c r="AD38" s="55"/>
    </row>
    <row r="39" spans="1:30" x14ac:dyDescent="0.25">
      <c r="A39" s="141"/>
      <c r="B39" s="106"/>
      <c r="C39" s="50"/>
      <c r="D39" s="12"/>
      <c r="E39" s="8"/>
      <c r="F39" s="43"/>
      <c r="G39" s="8"/>
      <c r="H39" s="10">
        <v>0</v>
      </c>
      <c r="I39" s="21">
        <v>0</v>
      </c>
      <c r="J39" s="11" t="e">
        <f t="shared" si="0"/>
        <v>#DIV/0!</v>
      </c>
      <c r="K39" s="45">
        <f t="shared" si="7"/>
        <v>0</v>
      </c>
      <c r="L39" s="10"/>
      <c r="M39" s="10">
        <v>0</v>
      </c>
      <c r="N39" s="10">
        <v>0</v>
      </c>
      <c r="O39" s="11" t="e">
        <f t="shared" si="2"/>
        <v>#DIV/0!</v>
      </c>
      <c r="P39" s="47">
        <f t="shared" si="4"/>
        <v>0</v>
      </c>
      <c r="Q39" s="34"/>
      <c r="R39" s="38" t="e">
        <f>VLOOKUP(G39,[1]CMDATA!A:N,10,FALSE)-K39</f>
        <v>#N/A</v>
      </c>
      <c r="S39" s="38"/>
      <c r="T39" s="77">
        <v>0</v>
      </c>
      <c r="U39" s="10">
        <f t="shared" si="5"/>
        <v>0</v>
      </c>
      <c r="V39" s="8"/>
      <c r="W39" s="17"/>
      <c r="X39" s="77">
        <v>0</v>
      </c>
      <c r="Y39" s="67"/>
      <c r="Z39" s="104"/>
      <c r="AA39" s="15" t="e">
        <f t="shared" si="3"/>
        <v>#DIV/0!</v>
      </c>
      <c r="AB39" s="15" t="e">
        <f t="shared" si="6"/>
        <v>#DIV/0!</v>
      </c>
      <c r="AC39" s="149"/>
      <c r="AD39" s="55"/>
    </row>
    <row r="40" spans="1:30" x14ac:dyDescent="0.25">
      <c r="A40" s="140"/>
      <c r="B40" s="106"/>
      <c r="C40" s="50"/>
      <c r="D40" s="12"/>
      <c r="E40" s="8"/>
      <c r="F40" s="43"/>
      <c r="G40" s="8"/>
      <c r="H40" s="10">
        <v>0</v>
      </c>
      <c r="I40" s="21">
        <v>0</v>
      </c>
      <c r="J40" s="11" t="e">
        <f t="shared" si="0"/>
        <v>#DIV/0!</v>
      </c>
      <c r="K40" s="45">
        <f t="shared" si="7"/>
        <v>0</v>
      </c>
      <c r="L40" s="10"/>
      <c r="M40" s="10">
        <v>0</v>
      </c>
      <c r="N40" s="10">
        <v>0</v>
      </c>
      <c r="O40" s="11" t="e">
        <f t="shared" si="2"/>
        <v>#DIV/0!</v>
      </c>
      <c r="P40" s="47">
        <f t="shared" si="4"/>
        <v>0</v>
      </c>
      <c r="Q40" s="34"/>
      <c r="R40" s="38" t="e">
        <f>VLOOKUP(G40,[1]CMDATA!A:N,10,FALSE)-K40</f>
        <v>#N/A</v>
      </c>
      <c r="S40" s="38"/>
      <c r="T40" s="77">
        <v>0</v>
      </c>
      <c r="U40" s="10">
        <f t="shared" si="5"/>
        <v>0</v>
      </c>
      <c r="V40" s="8"/>
      <c r="W40" s="17"/>
      <c r="X40" s="77">
        <v>0</v>
      </c>
      <c r="Y40" s="64"/>
      <c r="Z40" s="14"/>
      <c r="AA40" s="15" t="e">
        <f t="shared" si="3"/>
        <v>#DIV/0!</v>
      </c>
      <c r="AB40" s="15" t="e">
        <f t="shared" si="6"/>
        <v>#DIV/0!</v>
      </c>
      <c r="AC40" s="149"/>
      <c r="AD40" s="55"/>
    </row>
    <row r="41" spans="1:30" x14ac:dyDescent="0.25">
      <c r="A41" s="140"/>
      <c r="B41" s="106"/>
      <c r="C41" s="50"/>
      <c r="D41" s="12"/>
      <c r="E41" s="43"/>
      <c r="F41" s="43"/>
      <c r="G41" s="8"/>
      <c r="H41" s="10">
        <v>0</v>
      </c>
      <c r="I41" s="21">
        <v>0</v>
      </c>
      <c r="J41" s="11" t="e">
        <f t="shared" si="0"/>
        <v>#DIV/0!</v>
      </c>
      <c r="K41" s="45">
        <f t="shared" si="7"/>
        <v>0</v>
      </c>
      <c r="L41" s="10"/>
      <c r="M41" s="10">
        <v>0</v>
      </c>
      <c r="N41" s="10">
        <v>0</v>
      </c>
      <c r="O41" s="11" t="e">
        <f t="shared" si="2"/>
        <v>#DIV/0!</v>
      </c>
      <c r="P41" s="47">
        <f t="shared" si="4"/>
        <v>0</v>
      </c>
      <c r="Q41" s="34"/>
      <c r="R41" s="38" t="e">
        <f>VLOOKUP(G41,[1]CMDATA!A:N,10,FALSE)-K41</f>
        <v>#N/A</v>
      </c>
      <c r="S41" s="38"/>
      <c r="T41" s="77">
        <v>0</v>
      </c>
      <c r="U41" s="10">
        <f t="shared" si="5"/>
        <v>0</v>
      </c>
      <c r="V41" s="8"/>
      <c r="W41" s="17"/>
      <c r="X41" s="77">
        <v>0</v>
      </c>
      <c r="Y41" s="64"/>
      <c r="Z41" s="14"/>
      <c r="AA41" s="15" t="e">
        <f t="shared" si="3"/>
        <v>#DIV/0!</v>
      </c>
      <c r="AB41" s="15" t="e">
        <f t="shared" si="6"/>
        <v>#DIV/0!</v>
      </c>
      <c r="AC41" s="31"/>
      <c r="AD41" s="55"/>
    </row>
    <row r="42" spans="1:30" x14ac:dyDescent="0.25">
      <c r="A42" s="140"/>
      <c r="B42" s="106"/>
      <c r="C42" s="50"/>
      <c r="D42" s="12"/>
      <c r="E42" s="8"/>
      <c r="F42" s="43"/>
      <c r="G42" s="8"/>
      <c r="H42" s="10">
        <v>0</v>
      </c>
      <c r="I42" s="21">
        <v>0</v>
      </c>
      <c r="J42" s="11" t="e">
        <f t="shared" si="0"/>
        <v>#DIV/0!</v>
      </c>
      <c r="K42" s="45">
        <f t="shared" si="7"/>
        <v>0</v>
      </c>
      <c r="L42" s="10"/>
      <c r="M42" s="10">
        <v>0</v>
      </c>
      <c r="N42" s="10">
        <v>0</v>
      </c>
      <c r="O42" s="11" t="e">
        <f t="shared" si="2"/>
        <v>#DIV/0!</v>
      </c>
      <c r="P42" s="47">
        <f t="shared" si="4"/>
        <v>0</v>
      </c>
      <c r="Q42" s="34"/>
      <c r="R42" s="38" t="e">
        <f>VLOOKUP(G42,[1]CMDATA!A:N,10,FALSE)-K42</f>
        <v>#N/A</v>
      </c>
      <c r="S42" s="38"/>
      <c r="T42" s="77">
        <v>0</v>
      </c>
      <c r="U42" s="10">
        <f t="shared" si="5"/>
        <v>0</v>
      </c>
      <c r="V42" s="8"/>
      <c r="W42" s="17"/>
      <c r="X42" s="77">
        <v>0</v>
      </c>
      <c r="Y42" s="14"/>
      <c r="Z42" s="14"/>
      <c r="AA42" s="15" t="e">
        <f t="shared" si="3"/>
        <v>#DIV/0!</v>
      </c>
      <c r="AB42" s="15" t="e">
        <f t="shared" si="6"/>
        <v>#DIV/0!</v>
      </c>
      <c r="AC42" s="31"/>
      <c r="AD42" s="55"/>
    </row>
    <row r="43" spans="1:30" x14ac:dyDescent="0.25">
      <c r="A43" s="108"/>
      <c r="B43" s="106"/>
      <c r="C43" s="50"/>
      <c r="D43" s="12"/>
      <c r="E43" s="8"/>
      <c r="F43" s="43"/>
      <c r="G43" s="8"/>
      <c r="H43" s="10">
        <v>0</v>
      </c>
      <c r="I43" s="21">
        <v>0</v>
      </c>
      <c r="J43" s="11" t="e">
        <f t="shared" si="0"/>
        <v>#DIV/0!</v>
      </c>
      <c r="K43" s="45">
        <f t="shared" si="7"/>
        <v>0</v>
      </c>
      <c r="L43" s="10"/>
      <c r="M43" s="10">
        <v>0</v>
      </c>
      <c r="N43" s="10">
        <v>0</v>
      </c>
      <c r="O43" s="11" t="e">
        <f t="shared" si="2"/>
        <v>#DIV/0!</v>
      </c>
      <c r="P43" s="47">
        <f t="shared" si="4"/>
        <v>0</v>
      </c>
      <c r="Q43" s="34"/>
      <c r="R43" s="38" t="e">
        <f>VLOOKUP(G43,[1]CMDATA!A:N,10,FALSE)-K43</f>
        <v>#N/A</v>
      </c>
      <c r="S43" s="38"/>
      <c r="T43" s="77">
        <v>0</v>
      </c>
      <c r="U43" s="10">
        <f t="shared" si="5"/>
        <v>0</v>
      </c>
      <c r="V43" s="8"/>
      <c r="W43" s="17"/>
      <c r="X43" s="77">
        <v>0</v>
      </c>
      <c r="Y43" s="64"/>
      <c r="Z43" s="14"/>
      <c r="AA43" s="15" t="e">
        <f t="shared" si="3"/>
        <v>#DIV/0!</v>
      </c>
      <c r="AB43" s="15" t="e">
        <f t="shared" si="6"/>
        <v>#DIV/0!</v>
      </c>
      <c r="AC43" s="31"/>
      <c r="AD43" s="55"/>
    </row>
    <row r="44" spans="1:30" x14ac:dyDescent="0.25">
      <c r="A44" s="108"/>
      <c r="B44" s="106"/>
      <c r="C44" s="50"/>
      <c r="D44" s="12"/>
      <c r="E44" s="43"/>
      <c r="F44" s="43"/>
      <c r="G44" s="8"/>
      <c r="H44" s="10">
        <v>0</v>
      </c>
      <c r="I44" s="21">
        <v>0</v>
      </c>
      <c r="J44" s="11" t="e">
        <f t="shared" si="0"/>
        <v>#DIV/0!</v>
      </c>
      <c r="K44" s="45">
        <f t="shared" si="7"/>
        <v>0</v>
      </c>
      <c r="L44" s="10"/>
      <c r="M44" s="10">
        <v>0</v>
      </c>
      <c r="N44" s="10">
        <v>0</v>
      </c>
      <c r="O44" s="11" t="e">
        <f t="shared" si="2"/>
        <v>#DIV/0!</v>
      </c>
      <c r="P44" s="47">
        <f t="shared" si="4"/>
        <v>0</v>
      </c>
      <c r="Q44" s="34"/>
      <c r="R44" s="38" t="e">
        <f>VLOOKUP(G44,[1]CMDATA!A:N,10,FALSE)-K44</f>
        <v>#N/A</v>
      </c>
      <c r="S44" s="38"/>
      <c r="T44" s="77">
        <v>0</v>
      </c>
      <c r="U44" s="10">
        <f t="shared" si="5"/>
        <v>0</v>
      </c>
      <c r="V44" s="8"/>
      <c r="W44" s="17"/>
      <c r="X44" s="77">
        <v>0</v>
      </c>
      <c r="Y44" s="64"/>
      <c r="Z44" s="14"/>
      <c r="AA44" s="15" t="e">
        <f t="shared" si="3"/>
        <v>#DIV/0!</v>
      </c>
      <c r="AB44" s="15" t="e">
        <f t="shared" si="6"/>
        <v>#DIV/0!</v>
      </c>
      <c r="AC44" s="31"/>
      <c r="AD44" s="55"/>
    </row>
    <row r="45" spans="1:30" x14ac:dyDescent="0.25">
      <c r="A45" s="140"/>
      <c r="B45" s="106"/>
      <c r="C45" s="50"/>
      <c r="D45" s="12"/>
      <c r="E45" s="8"/>
      <c r="F45" s="43"/>
      <c r="G45" s="8"/>
      <c r="H45" s="10">
        <v>0</v>
      </c>
      <c r="I45" s="21">
        <v>0</v>
      </c>
      <c r="J45" s="11" t="e">
        <f t="shared" si="0"/>
        <v>#DIV/0!</v>
      </c>
      <c r="K45" s="45">
        <f t="shared" si="7"/>
        <v>0</v>
      </c>
      <c r="L45" s="10"/>
      <c r="M45" s="10">
        <v>0</v>
      </c>
      <c r="N45" s="10">
        <v>0</v>
      </c>
      <c r="O45" s="11" t="e">
        <f t="shared" si="2"/>
        <v>#DIV/0!</v>
      </c>
      <c r="P45" s="47">
        <f t="shared" si="4"/>
        <v>0</v>
      </c>
      <c r="Q45" s="34"/>
      <c r="R45" s="38" t="e">
        <f>VLOOKUP(G45,[1]CMDATA!A:N,10,FALSE)-K45</f>
        <v>#N/A</v>
      </c>
      <c r="S45" s="38"/>
      <c r="T45" s="77">
        <v>0</v>
      </c>
      <c r="U45" s="10">
        <f t="shared" si="5"/>
        <v>0</v>
      </c>
      <c r="V45" s="8"/>
      <c r="W45" s="17"/>
      <c r="X45" s="77">
        <v>0</v>
      </c>
      <c r="Y45" s="64"/>
      <c r="Z45" s="14"/>
      <c r="AA45" s="15" t="e">
        <f t="shared" si="3"/>
        <v>#DIV/0!</v>
      </c>
      <c r="AB45" s="129" t="e">
        <f t="shared" si="6"/>
        <v>#DIV/0!</v>
      </c>
      <c r="AC45" s="31"/>
      <c r="AD45" s="55"/>
    </row>
    <row r="46" spans="1:30" x14ac:dyDescent="0.25">
      <c r="A46" s="141"/>
      <c r="B46" s="106"/>
      <c r="C46" s="50"/>
      <c r="D46" s="12"/>
      <c r="E46" s="43"/>
      <c r="F46" s="43"/>
      <c r="G46" s="8"/>
      <c r="H46" s="10">
        <v>0</v>
      </c>
      <c r="I46" s="21">
        <v>0</v>
      </c>
      <c r="J46" s="11" t="e">
        <f t="shared" si="0"/>
        <v>#DIV/0!</v>
      </c>
      <c r="K46" s="45">
        <f t="shared" si="7"/>
        <v>0</v>
      </c>
      <c r="L46" s="10"/>
      <c r="M46" s="10">
        <v>0</v>
      </c>
      <c r="N46" s="10">
        <v>0</v>
      </c>
      <c r="O46" s="11" t="e">
        <f t="shared" si="2"/>
        <v>#DIV/0!</v>
      </c>
      <c r="P46" s="47">
        <f t="shared" si="4"/>
        <v>0</v>
      </c>
      <c r="Q46" s="34"/>
      <c r="R46" s="38" t="e">
        <f>VLOOKUP(G46,[1]CMDATA!A:N,10,FALSE)-K46</f>
        <v>#N/A</v>
      </c>
      <c r="S46" s="38"/>
      <c r="T46" s="77">
        <v>0</v>
      </c>
      <c r="U46" s="10">
        <f t="shared" si="5"/>
        <v>0</v>
      </c>
      <c r="V46" s="8"/>
      <c r="W46" s="17"/>
      <c r="X46" s="77">
        <v>0</v>
      </c>
      <c r="Y46" s="64"/>
      <c r="Z46" s="14"/>
      <c r="AA46" s="15" t="e">
        <f t="shared" si="3"/>
        <v>#DIV/0!</v>
      </c>
      <c r="AB46" s="129" t="e">
        <f t="shared" si="6"/>
        <v>#DIV/0!</v>
      </c>
      <c r="AC46" s="31"/>
      <c r="AD46" s="57"/>
    </row>
    <row r="47" spans="1:30" x14ac:dyDescent="0.25">
      <c r="A47" s="139"/>
      <c r="B47" s="106"/>
      <c r="C47" s="50"/>
      <c r="D47" s="12"/>
      <c r="E47" s="8"/>
      <c r="F47" s="43"/>
      <c r="G47" s="8"/>
      <c r="H47" s="10">
        <v>0</v>
      </c>
      <c r="I47" s="21">
        <v>0</v>
      </c>
      <c r="J47" s="11" t="e">
        <f t="shared" si="0"/>
        <v>#DIV/0!</v>
      </c>
      <c r="K47" s="45">
        <f t="shared" si="7"/>
        <v>0</v>
      </c>
      <c r="L47" s="10"/>
      <c r="M47" s="10">
        <v>0</v>
      </c>
      <c r="N47" s="10">
        <v>0</v>
      </c>
      <c r="O47" s="11" t="e">
        <f t="shared" si="2"/>
        <v>#DIV/0!</v>
      </c>
      <c r="P47" s="47">
        <f t="shared" si="4"/>
        <v>0</v>
      </c>
      <c r="Q47" s="34"/>
      <c r="R47" s="38" t="e">
        <f>VLOOKUP(G47,[1]CMDATA!A:N,10,FALSE)-K47</f>
        <v>#N/A</v>
      </c>
      <c r="S47" s="38"/>
      <c r="T47" s="77">
        <v>0</v>
      </c>
      <c r="U47" s="10">
        <f t="shared" si="5"/>
        <v>0</v>
      </c>
      <c r="V47" s="8"/>
      <c r="W47" s="17"/>
      <c r="X47" s="77">
        <v>0</v>
      </c>
      <c r="Y47" s="14"/>
      <c r="Z47" s="14"/>
      <c r="AA47" s="15" t="e">
        <f t="shared" si="3"/>
        <v>#DIV/0!</v>
      </c>
      <c r="AB47" s="129" t="e">
        <f t="shared" si="6"/>
        <v>#DIV/0!</v>
      </c>
      <c r="AC47" s="149"/>
      <c r="AD47" s="55"/>
    </row>
    <row r="48" spans="1:30" x14ac:dyDescent="0.25">
      <c r="A48" s="108"/>
      <c r="B48" s="106"/>
      <c r="C48" s="50"/>
      <c r="D48" s="12"/>
      <c r="E48" s="43"/>
      <c r="F48" s="43"/>
      <c r="G48" s="8"/>
      <c r="H48" s="10">
        <v>0</v>
      </c>
      <c r="I48" s="21">
        <v>0</v>
      </c>
      <c r="J48" s="11" t="e">
        <f t="shared" si="0"/>
        <v>#DIV/0!</v>
      </c>
      <c r="K48" s="45">
        <f t="shared" si="7"/>
        <v>0</v>
      </c>
      <c r="L48" s="10"/>
      <c r="M48" s="10">
        <v>0</v>
      </c>
      <c r="N48" s="10">
        <v>0</v>
      </c>
      <c r="O48" s="11" t="e">
        <f t="shared" si="2"/>
        <v>#DIV/0!</v>
      </c>
      <c r="P48" s="47">
        <f t="shared" si="4"/>
        <v>0</v>
      </c>
      <c r="Q48" s="34"/>
      <c r="R48" s="38" t="e">
        <f>VLOOKUP(G48,[1]CMDATA!A:N,10,FALSE)-K48</f>
        <v>#N/A</v>
      </c>
      <c r="S48" s="38"/>
      <c r="T48" s="77">
        <v>0</v>
      </c>
      <c r="U48" s="10">
        <f t="shared" si="5"/>
        <v>0</v>
      </c>
      <c r="V48" s="8"/>
      <c r="W48" s="17"/>
      <c r="X48" s="77">
        <v>0</v>
      </c>
      <c r="Y48" s="64"/>
      <c r="Z48" s="14"/>
      <c r="AA48" s="15" t="e">
        <f t="shared" si="3"/>
        <v>#DIV/0!</v>
      </c>
      <c r="AB48" s="129" t="e">
        <f t="shared" si="6"/>
        <v>#DIV/0!</v>
      </c>
      <c r="AC48" s="31"/>
      <c r="AD48" s="55"/>
    </row>
    <row r="49" spans="1:30" x14ac:dyDescent="0.25">
      <c r="A49" s="139"/>
      <c r="B49" s="106"/>
      <c r="C49" s="50"/>
      <c r="D49" s="12"/>
      <c r="E49" s="8"/>
      <c r="F49" s="43"/>
      <c r="G49" s="8"/>
      <c r="H49" s="10">
        <v>0</v>
      </c>
      <c r="I49" s="21">
        <v>0</v>
      </c>
      <c r="J49" s="11" t="e">
        <f t="shared" si="0"/>
        <v>#DIV/0!</v>
      </c>
      <c r="K49" s="45">
        <f t="shared" si="7"/>
        <v>0</v>
      </c>
      <c r="L49" s="10"/>
      <c r="M49" s="10">
        <v>0</v>
      </c>
      <c r="N49" s="10">
        <v>0</v>
      </c>
      <c r="O49" s="11" t="e">
        <f t="shared" si="2"/>
        <v>#DIV/0!</v>
      </c>
      <c r="P49" s="47">
        <f t="shared" si="4"/>
        <v>0</v>
      </c>
      <c r="Q49" s="34"/>
      <c r="R49" s="38" t="e">
        <f>VLOOKUP(G49,[1]CMDATA!A:N,10,FALSE)-K49</f>
        <v>#N/A</v>
      </c>
      <c r="S49" s="38"/>
      <c r="T49" s="77">
        <v>0</v>
      </c>
      <c r="U49" s="10">
        <f t="shared" si="5"/>
        <v>0</v>
      </c>
      <c r="V49" s="8"/>
      <c r="W49" s="17"/>
      <c r="X49" s="77">
        <v>0</v>
      </c>
      <c r="Y49" s="14"/>
      <c r="Z49" s="14"/>
      <c r="AA49" s="15" t="e">
        <f t="shared" si="3"/>
        <v>#DIV/0!</v>
      </c>
      <c r="AB49" s="129" t="e">
        <f t="shared" si="6"/>
        <v>#DIV/0!</v>
      </c>
      <c r="AC49" s="31"/>
      <c r="AD49" s="55"/>
    </row>
    <row r="50" spans="1:30" x14ac:dyDescent="0.25">
      <c r="A50" s="108"/>
      <c r="B50" s="106"/>
      <c r="C50" s="50"/>
      <c r="D50" s="12"/>
      <c r="E50" s="8"/>
      <c r="F50" s="8"/>
      <c r="G50" s="8"/>
      <c r="H50" s="10">
        <v>0</v>
      </c>
      <c r="I50" s="21">
        <v>0</v>
      </c>
      <c r="J50" s="11" t="e">
        <f t="shared" ref="J50" si="8">I50/H50</f>
        <v>#DIV/0!</v>
      </c>
      <c r="K50" s="45">
        <f t="shared" ref="K50" si="9">H50+I50</f>
        <v>0</v>
      </c>
      <c r="L50" s="10"/>
      <c r="M50" s="10">
        <v>0</v>
      </c>
      <c r="N50" s="10">
        <v>0</v>
      </c>
      <c r="O50" s="11" t="e">
        <f t="shared" ref="O50" si="10">P50/K50</f>
        <v>#DIV/0!</v>
      </c>
      <c r="P50" s="47">
        <f t="shared" ref="P50" si="11">M50+N50</f>
        <v>0</v>
      </c>
      <c r="Q50" s="34"/>
      <c r="R50" s="38" t="e">
        <f>VLOOKUP(G50,[1]CMDATA!A:N,10,FALSE)-K50</f>
        <v>#N/A</v>
      </c>
      <c r="S50" s="38"/>
      <c r="T50" s="77">
        <v>0</v>
      </c>
      <c r="U50" s="10">
        <f t="shared" ref="U50" si="12">P50-T50</f>
        <v>0</v>
      </c>
      <c r="V50" s="8"/>
      <c r="W50" s="17"/>
      <c r="X50" s="77">
        <v>0</v>
      </c>
      <c r="Y50" s="64"/>
      <c r="Z50" s="14"/>
      <c r="AA50" s="15" t="e">
        <f t="shared" ref="AA50" si="13">X50/K50</f>
        <v>#DIV/0!</v>
      </c>
      <c r="AB50" s="129" t="e">
        <f t="shared" ref="AB50" si="14">IF(AA50=100%,"Y","N")</f>
        <v>#DIV/0!</v>
      </c>
      <c r="AC50" s="31"/>
      <c r="AD50" s="55"/>
    </row>
    <row r="51" spans="1:30" x14ac:dyDescent="0.25">
      <c r="A51" s="139"/>
      <c r="B51" s="106"/>
      <c r="C51" s="50"/>
      <c r="D51" s="12"/>
      <c r="E51" s="8"/>
      <c r="F51" s="8"/>
      <c r="G51" s="8"/>
      <c r="H51" s="10">
        <v>0</v>
      </c>
      <c r="I51" s="21">
        <v>0</v>
      </c>
      <c r="J51" s="11" t="e">
        <f t="shared" si="0"/>
        <v>#DIV/0!</v>
      </c>
      <c r="K51" s="45">
        <f t="shared" si="7"/>
        <v>0</v>
      </c>
      <c r="L51" s="10"/>
      <c r="M51" s="10">
        <v>0</v>
      </c>
      <c r="N51" s="10">
        <v>0</v>
      </c>
      <c r="O51" s="11" t="e">
        <f t="shared" si="2"/>
        <v>#DIV/0!</v>
      </c>
      <c r="P51" s="47">
        <f t="shared" si="4"/>
        <v>0</v>
      </c>
      <c r="Q51" s="34"/>
      <c r="R51" s="38" t="e">
        <f>VLOOKUP(G51,[1]CMDATA!A:N,10,FALSE)-K51</f>
        <v>#N/A</v>
      </c>
      <c r="S51" s="38"/>
      <c r="T51" s="77">
        <v>0</v>
      </c>
      <c r="U51" s="10">
        <f t="shared" si="5"/>
        <v>0</v>
      </c>
      <c r="V51" s="8"/>
      <c r="W51" s="17"/>
      <c r="X51" s="77">
        <v>0</v>
      </c>
      <c r="Y51" s="14"/>
      <c r="Z51" s="14"/>
      <c r="AA51" s="15" t="e">
        <f t="shared" si="3"/>
        <v>#DIV/0!</v>
      </c>
      <c r="AB51" s="129" t="e">
        <f t="shared" si="6"/>
        <v>#DIV/0!</v>
      </c>
      <c r="AC51" s="31"/>
      <c r="AD51" s="55"/>
    </row>
    <row r="52" spans="1:30" x14ac:dyDescent="0.25">
      <c r="A52" s="143"/>
      <c r="B52" s="106"/>
      <c r="C52" s="50"/>
      <c r="D52" s="12"/>
      <c r="E52" s="8"/>
      <c r="F52" s="8"/>
      <c r="G52" s="8"/>
      <c r="H52" s="10">
        <v>0</v>
      </c>
      <c r="I52" s="21">
        <v>0</v>
      </c>
      <c r="J52" s="11" t="e">
        <f t="shared" si="0"/>
        <v>#DIV/0!</v>
      </c>
      <c r="K52" s="45">
        <f t="shared" si="7"/>
        <v>0</v>
      </c>
      <c r="L52" s="10"/>
      <c r="M52" s="10">
        <v>0</v>
      </c>
      <c r="N52" s="10">
        <v>0</v>
      </c>
      <c r="O52" s="11" t="e">
        <f t="shared" si="2"/>
        <v>#DIV/0!</v>
      </c>
      <c r="P52" s="47">
        <f t="shared" si="4"/>
        <v>0</v>
      </c>
      <c r="Q52" s="34"/>
      <c r="R52" s="38" t="e">
        <f>VLOOKUP(G52,[1]CMDATA!A:N,10,FALSE)-K52</f>
        <v>#N/A</v>
      </c>
      <c r="S52" s="38"/>
      <c r="T52" s="77">
        <v>0</v>
      </c>
      <c r="U52" s="10">
        <f t="shared" si="5"/>
        <v>0</v>
      </c>
      <c r="V52" s="8"/>
      <c r="W52" s="17"/>
      <c r="X52" s="77">
        <v>0</v>
      </c>
      <c r="Y52" s="64"/>
      <c r="Z52" s="14"/>
      <c r="AA52" s="15" t="e">
        <f t="shared" si="3"/>
        <v>#DIV/0!</v>
      </c>
      <c r="AB52" s="129" t="e">
        <f t="shared" si="6"/>
        <v>#DIV/0!</v>
      </c>
      <c r="AC52" s="31"/>
      <c r="AD52" s="55"/>
    </row>
    <row r="53" spans="1:30" x14ac:dyDescent="0.25">
      <c r="A53" s="144"/>
      <c r="B53" s="106"/>
      <c r="C53" s="50"/>
      <c r="D53" s="12"/>
      <c r="E53" s="8"/>
      <c r="F53" s="8"/>
      <c r="G53" s="8"/>
      <c r="H53" s="10">
        <v>0</v>
      </c>
      <c r="I53" s="21">
        <v>0</v>
      </c>
      <c r="J53" s="11" t="e">
        <f t="shared" si="0"/>
        <v>#DIV/0!</v>
      </c>
      <c r="K53" s="45">
        <f t="shared" si="7"/>
        <v>0</v>
      </c>
      <c r="L53" s="10"/>
      <c r="M53" s="10">
        <v>0</v>
      </c>
      <c r="N53" s="10">
        <v>0</v>
      </c>
      <c r="O53" s="11" t="e">
        <f t="shared" si="2"/>
        <v>#DIV/0!</v>
      </c>
      <c r="P53" s="47">
        <f t="shared" si="4"/>
        <v>0</v>
      </c>
      <c r="Q53" s="34"/>
      <c r="R53" s="38" t="e">
        <f>VLOOKUP(G53,[1]CMDATA!A:N,10,FALSE)-K53</f>
        <v>#N/A</v>
      </c>
      <c r="S53" s="38"/>
      <c r="T53" s="77">
        <v>0</v>
      </c>
      <c r="U53" s="10">
        <f t="shared" si="5"/>
        <v>0</v>
      </c>
      <c r="V53" s="8"/>
      <c r="W53" s="17"/>
      <c r="X53" s="77">
        <v>0</v>
      </c>
      <c r="Y53" s="64"/>
      <c r="Z53" s="14"/>
      <c r="AA53" s="15" t="e">
        <f t="shared" si="3"/>
        <v>#DIV/0!</v>
      </c>
      <c r="AB53" s="129" t="e">
        <f t="shared" si="6"/>
        <v>#DIV/0!</v>
      </c>
      <c r="AC53" s="149"/>
      <c r="AD53" s="55"/>
    </row>
    <row r="54" spans="1:30" x14ac:dyDescent="0.25">
      <c r="A54" s="141"/>
      <c r="B54" s="106"/>
      <c r="C54" s="50"/>
      <c r="D54" s="12"/>
      <c r="E54" s="8"/>
      <c r="F54" s="8"/>
      <c r="G54" s="8"/>
      <c r="H54" s="10">
        <v>0</v>
      </c>
      <c r="I54" s="21">
        <v>0</v>
      </c>
      <c r="J54" s="11" t="e">
        <f t="shared" si="0"/>
        <v>#DIV/0!</v>
      </c>
      <c r="K54" s="45">
        <f t="shared" si="7"/>
        <v>0</v>
      </c>
      <c r="L54" s="10"/>
      <c r="M54" s="10">
        <v>0</v>
      </c>
      <c r="N54" s="10">
        <v>0</v>
      </c>
      <c r="O54" s="11" t="e">
        <f t="shared" si="2"/>
        <v>#DIV/0!</v>
      </c>
      <c r="P54" s="47">
        <f t="shared" si="4"/>
        <v>0</v>
      </c>
      <c r="Q54" s="34"/>
      <c r="R54" s="38" t="e">
        <f>VLOOKUP(G54,[1]CMDATA!A:N,10,FALSE)-K54</f>
        <v>#N/A</v>
      </c>
      <c r="S54" s="38"/>
      <c r="T54" s="77">
        <v>0</v>
      </c>
      <c r="U54" s="10">
        <f t="shared" si="5"/>
        <v>0</v>
      </c>
      <c r="V54" s="8"/>
      <c r="W54" s="17"/>
      <c r="X54" s="77">
        <v>0</v>
      </c>
      <c r="Y54" s="64"/>
      <c r="Z54" s="14"/>
      <c r="AA54" s="15" t="e">
        <f t="shared" si="3"/>
        <v>#DIV/0!</v>
      </c>
      <c r="AB54" s="129" t="e">
        <f t="shared" si="6"/>
        <v>#DIV/0!</v>
      </c>
      <c r="AC54" s="31"/>
      <c r="AD54" s="55"/>
    </row>
    <row r="55" spans="1:30" x14ac:dyDescent="0.25">
      <c r="A55" s="141"/>
      <c r="B55" s="106"/>
      <c r="C55" s="50"/>
      <c r="D55" s="12"/>
      <c r="E55" s="8"/>
      <c r="F55" s="8"/>
      <c r="G55" s="8"/>
      <c r="H55" s="10">
        <v>0</v>
      </c>
      <c r="I55" s="21">
        <v>0</v>
      </c>
      <c r="J55" s="11" t="e">
        <f t="shared" si="0"/>
        <v>#DIV/0!</v>
      </c>
      <c r="K55" s="45">
        <f>H55+I55</f>
        <v>0</v>
      </c>
      <c r="L55" s="10"/>
      <c r="M55" s="10">
        <v>0</v>
      </c>
      <c r="N55" s="10">
        <v>0</v>
      </c>
      <c r="O55" s="11" t="e">
        <f t="shared" si="2"/>
        <v>#DIV/0!</v>
      </c>
      <c r="P55" s="47">
        <f>M55+N55</f>
        <v>0</v>
      </c>
      <c r="Q55" s="34"/>
      <c r="R55" s="38" t="e">
        <f>VLOOKUP(G55,[1]CMDATA!A:N,10,FALSE)-K55</f>
        <v>#N/A</v>
      </c>
      <c r="S55" s="38"/>
      <c r="T55" s="77">
        <v>0</v>
      </c>
      <c r="U55" s="10">
        <f t="shared" si="5"/>
        <v>0</v>
      </c>
      <c r="V55" s="8"/>
      <c r="W55" s="17"/>
      <c r="X55" s="77">
        <v>0</v>
      </c>
      <c r="Y55" s="64"/>
      <c r="Z55" s="14"/>
      <c r="AA55" s="15" t="e">
        <f t="shared" si="3"/>
        <v>#DIV/0!</v>
      </c>
      <c r="AB55" s="129" t="e">
        <f t="shared" si="6"/>
        <v>#DIV/0!</v>
      </c>
      <c r="AC55" s="31"/>
      <c r="AD55" s="55"/>
    </row>
    <row r="56" spans="1:30" x14ac:dyDescent="0.25">
      <c r="A56" s="142"/>
      <c r="B56" s="106"/>
      <c r="C56" s="50"/>
      <c r="D56" s="12"/>
      <c r="E56" s="8"/>
      <c r="F56" s="8"/>
      <c r="G56" s="8"/>
      <c r="H56" s="10">
        <v>0</v>
      </c>
      <c r="I56" s="21">
        <v>0</v>
      </c>
      <c r="J56" s="11" t="e">
        <f t="shared" si="0"/>
        <v>#DIV/0!</v>
      </c>
      <c r="K56" s="45">
        <f t="shared" ref="K56:K57" si="15">H56+I56</f>
        <v>0</v>
      </c>
      <c r="L56" s="10"/>
      <c r="M56" s="10">
        <v>0</v>
      </c>
      <c r="N56" s="10">
        <v>0</v>
      </c>
      <c r="O56" s="11" t="e">
        <f t="shared" si="2"/>
        <v>#DIV/0!</v>
      </c>
      <c r="P56" s="47">
        <f t="shared" ref="P56:P57" si="16">M56+N56</f>
        <v>0</v>
      </c>
      <c r="Q56" s="34"/>
      <c r="R56" s="38" t="e">
        <f>VLOOKUP(G56,[1]CMDATA!A:N,10,FALSE)-K56</f>
        <v>#N/A</v>
      </c>
      <c r="S56" s="38"/>
      <c r="T56" s="77">
        <v>0</v>
      </c>
      <c r="U56" s="10">
        <f t="shared" si="5"/>
        <v>0</v>
      </c>
      <c r="V56" s="8"/>
      <c r="W56" s="17"/>
      <c r="X56" s="77">
        <v>0</v>
      </c>
      <c r="Y56" s="64"/>
      <c r="Z56" s="14"/>
      <c r="AA56" s="15" t="e">
        <f t="shared" si="3"/>
        <v>#DIV/0!</v>
      </c>
      <c r="AB56" s="129" t="e">
        <f t="shared" si="6"/>
        <v>#DIV/0!</v>
      </c>
      <c r="AC56" s="31"/>
      <c r="AD56" s="55"/>
    </row>
    <row r="57" spans="1:30" x14ac:dyDescent="0.25">
      <c r="A57" s="145"/>
      <c r="B57" s="131"/>
      <c r="C57" s="50"/>
      <c r="D57" s="109"/>
      <c r="E57" s="110"/>
      <c r="F57" s="110"/>
      <c r="G57" s="110"/>
      <c r="H57" s="10">
        <v>0</v>
      </c>
      <c r="I57" s="21">
        <v>0</v>
      </c>
      <c r="J57" s="112" t="e">
        <f t="shared" si="0"/>
        <v>#DIV/0!</v>
      </c>
      <c r="K57" s="113">
        <f t="shared" si="15"/>
        <v>0</v>
      </c>
      <c r="L57" s="111"/>
      <c r="M57" s="10">
        <v>0</v>
      </c>
      <c r="N57" s="10">
        <v>0</v>
      </c>
      <c r="O57" s="112" t="e">
        <f t="shared" si="2"/>
        <v>#DIV/0!</v>
      </c>
      <c r="P57" s="114">
        <f t="shared" si="16"/>
        <v>0</v>
      </c>
      <c r="Q57" s="115"/>
      <c r="R57" s="116" t="e">
        <f>VLOOKUP(G57,[1]CMDATA!A:N,10,FALSE)-K57</f>
        <v>#N/A</v>
      </c>
      <c r="S57" s="116"/>
      <c r="T57" s="77">
        <v>0</v>
      </c>
      <c r="U57" s="111">
        <f t="shared" si="5"/>
        <v>0</v>
      </c>
      <c r="V57" s="110"/>
      <c r="W57" s="117"/>
      <c r="X57" s="77">
        <v>0</v>
      </c>
      <c r="Y57" s="118"/>
      <c r="Z57" s="119"/>
      <c r="AA57" s="120" t="e">
        <f t="shared" si="3"/>
        <v>#DIV/0!</v>
      </c>
      <c r="AB57" s="129" t="e">
        <f t="shared" si="6"/>
        <v>#DIV/0!</v>
      </c>
      <c r="AC57" s="150"/>
      <c r="AD57" s="121"/>
    </row>
    <row r="58" spans="1:30" x14ac:dyDescent="0.25">
      <c r="A58" s="142"/>
      <c r="B58" s="106"/>
      <c r="C58" s="50"/>
      <c r="D58" s="12"/>
      <c r="E58" s="8"/>
      <c r="F58" s="8"/>
      <c r="G58" s="8"/>
      <c r="H58" s="10">
        <v>0</v>
      </c>
      <c r="I58" s="21">
        <v>0</v>
      </c>
      <c r="J58" s="11" t="e">
        <f t="shared" si="0"/>
        <v>#DIV/0!</v>
      </c>
      <c r="K58" s="45">
        <f t="shared" si="7"/>
        <v>0</v>
      </c>
      <c r="L58" s="10"/>
      <c r="M58" s="10">
        <v>0</v>
      </c>
      <c r="N58" s="10">
        <v>0</v>
      </c>
      <c r="O58" s="11" t="e">
        <f t="shared" si="2"/>
        <v>#DIV/0!</v>
      </c>
      <c r="P58" s="47">
        <f t="shared" si="4"/>
        <v>0</v>
      </c>
      <c r="Q58" s="34"/>
      <c r="R58" s="38" t="e">
        <f>VLOOKUP(G58,[1]CMDATA!A:N,10,FALSE)-K58</f>
        <v>#N/A</v>
      </c>
      <c r="S58" s="38"/>
      <c r="T58" s="77">
        <v>0</v>
      </c>
      <c r="U58" s="10">
        <f t="shared" si="5"/>
        <v>0</v>
      </c>
      <c r="V58" s="8"/>
      <c r="W58" s="17"/>
      <c r="X58" s="77">
        <v>0</v>
      </c>
      <c r="Y58" s="67"/>
      <c r="Z58" s="64"/>
      <c r="AA58" s="15" t="e">
        <f t="shared" si="3"/>
        <v>#DIV/0!</v>
      </c>
      <c r="AB58" s="129" t="e">
        <f t="shared" si="6"/>
        <v>#DIV/0!</v>
      </c>
      <c r="AC58" s="31"/>
      <c r="AD58" s="81"/>
    </row>
    <row r="59" spans="1:30" x14ac:dyDescent="0.25">
      <c r="A59" s="142"/>
      <c r="B59" s="106"/>
      <c r="C59" s="50"/>
      <c r="D59" s="12"/>
      <c r="E59" s="8"/>
      <c r="F59" s="8"/>
      <c r="G59" s="8"/>
      <c r="H59" s="10">
        <v>0</v>
      </c>
      <c r="I59" s="21">
        <v>0</v>
      </c>
      <c r="J59" s="11" t="e">
        <f t="shared" si="0"/>
        <v>#DIV/0!</v>
      </c>
      <c r="K59" s="45">
        <f t="shared" si="7"/>
        <v>0</v>
      </c>
      <c r="L59" s="10"/>
      <c r="M59" s="10">
        <v>0</v>
      </c>
      <c r="N59" s="10">
        <v>0</v>
      </c>
      <c r="O59" s="11" t="e">
        <f t="shared" si="2"/>
        <v>#DIV/0!</v>
      </c>
      <c r="P59" s="47">
        <f t="shared" si="4"/>
        <v>0</v>
      </c>
      <c r="Q59" s="34"/>
      <c r="R59" s="38" t="e">
        <f>VLOOKUP(G59,[1]CMDATA!A:N,10,FALSE)-K59</f>
        <v>#N/A</v>
      </c>
      <c r="S59" s="38"/>
      <c r="T59" s="77">
        <v>0</v>
      </c>
      <c r="U59" s="10">
        <f t="shared" si="5"/>
        <v>0</v>
      </c>
      <c r="V59" s="8"/>
      <c r="W59" s="17"/>
      <c r="X59" s="77">
        <v>0</v>
      </c>
      <c r="Y59" s="67"/>
      <c r="Z59" s="64"/>
      <c r="AA59" s="15" t="e">
        <f t="shared" si="3"/>
        <v>#DIV/0!</v>
      </c>
      <c r="AB59" s="129" t="e">
        <f t="shared" si="6"/>
        <v>#DIV/0!</v>
      </c>
      <c r="AC59" s="31"/>
      <c r="AD59" s="55"/>
    </row>
    <row r="60" spans="1:30" x14ac:dyDescent="0.25">
      <c r="A60" s="141"/>
      <c r="B60" s="106"/>
      <c r="C60" s="50"/>
      <c r="D60" s="12"/>
      <c r="E60" s="8"/>
      <c r="F60" s="8"/>
      <c r="G60" s="8"/>
      <c r="H60" s="10">
        <v>0</v>
      </c>
      <c r="I60" s="21">
        <v>0</v>
      </c>
      <c r="J60" s="11" t="e">
        <f t="shared" si="0"/>
        <v>#DIV/0!</v>
      </c>
      <c r="K60" s="45">
        <f t="shared" si="7"/>
        <v>0</v>
      </c>
      <c r="L60" s="10"/>
      <c r="M60" s="10">
        <v>0</v>
      </c>
      <c r="N60" s="10">
        <v>0</v>
      </c>
      <c r="O60" s="11" t="e">
        <f t="shared" si="2"/>
        <v>#DIV/0!</v>
      </c>
      <c r="P60" s="47">
        <f t="shared" si="4"/>
        <v>0</v>
      </c>
      <c r="Q60" s="34"/>
      <c r="R60" s="38" t="e">
        <f>VLOOKUP(G60,[1]CMDATA!A:N,10,FALSE)-K60</f>
        <v>#N/A</v>
      </c>
      <c r="S60" s="38"/>
      <c r="T60" s="77">
        <v>0</v>
      </c>
      <c r="U60" s="10">
        <f t="shared" si="5"/>
        <v>0</v>
      </c>
      <c r="V60" s="8"/>
      <c r="W60" s="17"/>
      <c r="X60" s="77">
        <v>0</v>
      </c>
      <c r="Y60" s="67"/>
      <c r="Z60" s="14"/>
      <c r="AA60" s="15" t="e">
        <f t="shared" si="3"/>
        <v>#DIV/0!</v>
      </c>
      <c r="AB60" s="129" t="e">
        <f t="shared" si="6"/>
        <v>#DIV/0!</v>
      </c>
      <c r="AC60" s="31"/>
      <c r="AD60" s="55"/>
    </row>
    <row r="61" spans="1:30" x14ac:dyDescent="0.25">
      <c r="A61" s="146"/>
      <c r="B61" s="106"/>
      <c r="C61" s="50"/>
      <c r="D61" s="12"/>
      <c r="E61" s="8"/>
      <c r="F61" s="8"/>
      <c r="G61" s="8"/>
      <c r="H61" s="10">
        <v>0</v>
      </c>
      <c r="I61" s="21">
        <v>0</v>
      </c>
      <c r="J61" s="11" t="e">
        <f t="shared" si="0"/>
        <v>#DIV/0!</v>
      </c>
      <c r="K61" s="45">
        <f t="shared" si="7"/>
        <v>0</v>
      </c>
      <c r="L61" s="10"/>
      <c r="M61" s="10">
        <v>0</v>
      </c>
      <c r="N61" s="10">
        <v>0</v>
      </c>
      <c r="O61" s="11" t="e">
        <f t="shared" si="2"/>
        <v>#DIV/0!</v>
      </c>
      <c r="P61" s="47">
        <f t="shared" si="4"/>
        <v>0</v>
      </c>
      <c r="Q61" s="34"/>
      <c r="R61" s="38" t="e">
        <f>VLOOKUP(G61,[1]CMDATA!A:N,10,FALSE)-K61</f>
        <v>#N/A</v>
      </c>
      <c r="S61" s="38"/>
      <c r="T61" s="77">
        <v>0</v>
      </c>
      <c r="U61" s="10">
        <f t="shared" si="5"/>
        <v>0</v>
      </c>
      <c r="V61" s="8"/>
      <c r="W61" s="17"/>
      <c r="X61" s="77">
        <v>0</v>
      </c>
      <c r="Y61" s="67"/>
      <c r="Z61" s="14"/>
      <c r="AA61" s="15" t="e">
        <f t="shared" si="3"/>
        <v>#DIV/0!</v>
      </c>
      <c r="AB61" s="129" t="e">
        <f t="shared" si="6"/>
        <v>#DIV/0!</v>
      </c>
      <c r="AC61" s="31"/>
      <c r="AD61" s="55"/>
    </row>
    <row r="62" spans="1:30" x14ac:dyDescent="0.25">
      <c r="A62" s="146"/>
      <c r="B62" s="106"/>
      <c r="C62" s="50"/>
      <c r="D62" s="12"/>
      <c r="E62" s="8"/>
      <c r="F62" s="8"/>
      <c r="G62" s="8"/>
      <c r="H62" s="10">
        <v>0</v>
      </c>
      <c r="I62" s="21">
        <v>0</v>
      </c>
      <c r="J62" s="11" t="e">
        <f t="shared" si="0"/>
        <v>#DIV/0!</v>
      </c>
      <c r="K62" s="45">
        <v>0</v>
      </c>
      <c r="L62" s="10"/>
      <c r="M62" s="10">
        <v>0</v>
      </c>
      <c r="N62" s="10">
        <v>0</v>
      </c>
      <c r="O62" s="11" t="e">
        <f t="shared" si="2"/>
        <v>#DIV/0!</v>
      </c>
      <c r="P62" s="47">
        <f t="shared" si="4"/>
        <v>0</v>
      </c>
      <c r="Q62" s="34"/>
      <c r="R62" s="38" t="e">
        <f>VLOOKUP(G62,[1]CMDATA!A:N,10,FALSE)-K62</f>
        <v>#N/A</v>
      </c>
      <c r="S62" s="38"/>
      <c r="T62" s="77">
        <v>0</v>
      </c>
      <c r="U62" s="10">
        <f t="shared" si="5"/>
        <v>0</v>
      </c>
      <c r="V62" s="8"/>
      <c r="W62" s="17"/>
      <c r="X62" s="77">
        <v>0</v>
      </c>
      <c r="Y62" s="14"/>
      <c r="Z62" s="14"/>
      <c r="AA62" s="15" t="e">
        <f t="shared" si="3"/>
        <v>#DIV/0!</v>
      </c>
      <c r="AB62" s="129" t="e">
        <f t="shared" si="6"/>
        <v>#DIV/0!</v>
      </c>
      <c r="AC62" s="31"/>
      <c r="AD62" s="55"/>
    </row>
    <row r="63" spans="1:30" s="4" customFormat="1" x14ac:dyDescent="0.25">
      <c r="A63" s="147"/>
      <c r="B63" s="103"/>
      <c r="C63" s="65"/>
      <c r="D63" s="65"/>
      <c r="H63" s="10">
        <v>0</v>
      </c>
      <c r="I63" s="21">
        <v>0</v>
      </c>
      <c r="J63" s="11" t="e">
        <f t="shared" si="0"/>
        <v>#DIV/0!</v>
      </c>
      <c r="K63" s="45">
        <f t="shared" si="7"/>
        <v>0</v>
      </c>
      <c r="M63" s="10">
        <v>0</v>
      </c>
      <c r="N63" s="10">
        <v>0</v>
      </c>
      <c r="O63" s="11" t="e">
        <f t="shared" si="2"/>
        <v>#DIV/0!</v>
      </c>
      <c r="P63" s="47">
        <f t="shared" si="4"/>
        <v>0</v>
      </c>
      <c r="R63" s="38" t="e">
        <f>VLOOKUP(G63,[1]CMDATA!A:N,10,FALSE)-K63</f>
        <v>#N/A</v>
      </c>
      <c r="T63" s="77">
        <v>0</v>
      </c>
      <c r="U63" s="10">
        <f t="shared" si="5"/>
        <v>0</v>
      </c>
      <c r="W63" s="80"/>
      <c r="X63" s="77">
        <v>0</v>
      </c>
      <c r="Y63" s="102"/>
      <c r="AA63" s="15" t="e">
        <f t="shared" si="3"/>
        <v>#DIV/0!</v>
      </c>
      <c r="AB63" s="129" t="e">
        <f t="shared" si="6"/>
        <v>#DIV/0!</v>
      </c>
      <c r="AC63" s="31"/>
      <c r="AD63" s="79"/>
    </row>
    <row r="64" spans="1:30" s="4" customFormat="1" x14ac:dyDescent="0.25">
      <c r="A64" s="142"/>
      <c r="B64" s="103"/>
      <c r="C64" s="65"/>
      <c r="D64" s="65"/>
      <c r="H64" s="10">
        <v>0</v>
      </c>
      <c r="I64" s="21">
        <v>0</v>
      </c>
      <c r="J64" s="11" t="e">
        <f t="shared" si="0"/>
        <v>#DIV/0!</v>
      </c>
      <c r="K64" s="45">
        <f t="shared" si="7"/>
        <v>0</v>
      </c>
      <c r="M64" s="10">
        <v>0</v>
      </c>
      <c r="N64" s="10">
        <v>0</v>
      </c>
      <c r="O64" s="11" t="e">
        <f t="shared" si="2"/>
        <v>#DIV/0!</v>
      </c>
      <c r="P64" s="47">
        <f t="shared" si="4"/>
        <v>0</v>
      </c>
      <c r="R64" s="38">
        <v>0</v>
      </c>
      <c r="T64" s="77">
        <v>0</v>
      </c>
      <c r="U64" s="10">
        <f t="shared" si="5"/>
        <v>0</v>
      </c>
      <c r="W64" s="80"/>
      <c r="X64" s="77">
        <v>0</v>
      </c>
      <c r="Y64" s="102"/>
      <c r="AA64" s="15" t="e">
        <f t="shared" si="3"/>
        <v>#DIV/0!</v>
      </c>
      <c r="AB64" s="129" t="e">
        <f t="shared" si="6"/>
        <v>#DIV/0!</v>
      </c>
      <c r="AC64" s="31"/>
      <c r="AD64" s="79"/>
    </row>
    <row r="65" spans="1:30" s="4" customFormat="1" x14ac:dyDescent="0.25">
      <c r="A65" s="142"/>
      <c r="B65" s="103"/>
      <c r="C65" s="65"/>
      <c r="D65" s="65"/>
      <c r="H65" s="10">
        <v>0</v>
      </c>
      <c r="I65" s="21">
        <v>0</v>
      </c>
      <c r="J65" s="11" t="e">
        <f t="shared" si="0"/>
        <v>#DIV/0!</v>
      </c>
      <c r="K65" s="45">
        <f t="shared" si="7"/>
        <v>0</v>
      </c>
      <c r="L65" s="4">
        <v>0</v>
      </c>
      <c r="M65" s="10">
        <v>0</v>
      </c>
      <c r="N65" s="10">
        <v>0</v>
      </c>
      <c r="O65" s="11" t="e">
        <f t="shared" si="2"/>
        <v>#DIV/0!</v>
      </c>
      <c r="P65" s="47">
        <f>M65+N65</f>
        <v>0</v>
      </c>
      <c r="R65" s="38">
        <v>0</v>
      </c>
      <c r="T65" s="77">
        <v>0</v>
      </c>
      <c r="U65" s="10">
        <f t="shared" si="5"/>
        <v>0</v>
      </c>
      <c r="W65" s="80"/>
      <c r="X65" s="77">
        <v>0</v>
      </c>
      <c r="Y65" s="102"/>
      <c r="AA65" s="15" t="e">
        <f t="shared" si="3"/>
        <v>#DIV/0!</v>
      </c>
      <c r="AB65" s="129" t="e">
        <f t="shared" si="6"/>
        <v>#DIV/0!</v>
      </c>
      <c r="AC65" s="31"/>
      <c r="AD65" s="79"/>
    </row>
    <row r="66" spans="1:30" s="4" customFormat="1" x14ac:dyDescent="0.25">
      <c r="A66" s="141"/>
      <c r="B66" s="103"/>
      <c r="C66" s="65"/>
      <c r="D66" s="65"/>
      <c r="H66" s="10">
        <v>0</v>
      </c>
      <c r="I66" s="21">
        <v>0</v>
      </c>
      <c r="J66" s="11" t="e">
        <f t="shared" si="0"/>
        <v>#DIV/0!</v>
      </c>
      <c r="K66" s="45">
        <f t="shared" si="7"/>
        <v>0</v>
      </c>
      <c r="M66" s="10">
        <v>0</v>
      </c>
      <c r="N66" s="10">
        <v>0</v>
      </c>
      <c r="O66" s="11" t="e">
        <f t="shared" si="2"/>
        <v>#DIV/0!</v>
      </c>
      <c r="P66" s="47">
        <f>M66+N66</f>
        <v>0</v>
      </c>
      <c r="R66" s="38">
        <v>0</v>
      </c>
      <c r="T66" s="77">
        <v>0</v>
      </c>
      <c r="U66" s="10">
        <f t="shared" si="5"/>
        <v>0</v>
      </c>
      <c r="W66" s="80"/>
      <c r="X66" s="77">
        <v>0</v>
      </c>
      <c r="Y66" s="102"/>
      <c r="AA66" s="15" t="e">
        <f t="shared" si="3"/>
        <v>#DIV/0!</v>
      </c>
      <c r="AB66" s="129" t="e">
        <f t="shared" si="6"/>
        <v>#DIV/0!</v>
      </c>
      <c r="AC66" s="31"/>
      <c r="AD66" s="82"/>
    </row>
    <row r="67" spans="1:30" x14ac:dyDescent="0.25">
      <c r="A67" s="141"/>
      <c r="B67" s="106"/>
      <c r="C67" s="50"/>
      <c r="D67" s="12"/>
      <c r="E67" s="8"/>
      <c r="F67" s="8"/>
      <c r="G67" s="8"/>
      <c r="H67" s="10">
        <v>0</v>
      </c>
      <c r="I67" s="21">
        <v>0</v>
      </c>
      <c r="J67" s="11" t="e">
        <f t="shared" si="0"/>
        <v>#DIV/0!</v>
      </c>
      <c r="K67" s="45">
        <f>H67+I67</f>
        <v>0</v>
      </c>
      <c r="L67" s="10"/>
      <c r="M67" s="10">
        <v>0</v>
      </c>
      <c r="N67" s="10">
        <v>0</v>
      </c>
      <c r="O67" s="11" t="e">
        <f t="shared" si="2"/>
        <v>#DIV/0!</v>
      </c>
      <c r="P67" s="47">
        <f t="shared" si="4"/>
        <v>0</v>
      </c>
      <c r="Q67" s="34"/>
      <c r="R67" s="38" t="e">
        <f>VLOOKUP(G67,[1]CMDATA!A:N,10,FALSE)-K67</f>
        <v>#N/A</v>
      </c>
      <c r="S67" s="38"/>
      <c r="T67" s="77">
        <v>0</v>
      </c>
      <c r="U67" s="10">
        <f t="shared" si="5"/>
        <v>0</v>
      </c>
      <c r="V67" s="8"/>
      <c r="W67" s="17"/>
      <c r="X67" s="77">
        <v>0</v>
      </c>
      <c r="Y67" s="64"/>
      <c r="Z67" s="14"/>
      <c r="AA67" s="15" t="e">
        <f t="shared" si="3"/>
        <v>#DIV/0!</v>
      </c>
      <c r="AB67" s="129" t="e">
        <f t="shared" si="6"/>
        <v>#DIV/0!</v>
      </c>
      <c r="AC67" s="31"/>
      <c r="AD67" s="55"/>
    </row>
    <row r="68" spans="1:30" x14ac:dyDescent="0.25">
      <c r="A68" s="142"/>
      <c r="B68" s="106"/>
      <c r="C68" s="50"/>
      <c r="D68" s="12"/>
      <c r="E68" s="8"/>
      <c r="F68" s="4"/>
      <c r="G68" s="8"/>
      <c r="H68" s="10">
        <v>0</v>
      </c>
      <c r="I68" s="21">
        <v>0</v>
      </c>
      <c r="J68" s="11" t="e">
        <f t="shared" si="0"/>
        <v>#DIV/0!</v>
      </c>
      <c r="K68" s="45">
        <f t="shared" ref="K68:K91" si="17">H68+I68</f>
        <v>0</v>
      </c>
      <c r="L68" s="10"/>
      <c r="M68" s="10">
        <v>0</v>
      </c>
      <c r="N68" s="10">
        <v>0</v>
      </c>
      <c r="O68" s="11" t="e">
        <f t="shared" si="2"/>
        <v>#DIV/0!</v>
      </c>
      <c r="P68" s="47">
        <f t="shared" si="4"/>
        <v>0</v>
      </c>
      <c r="Q68" s="34"/>
      <c r="R68" s="38" t="e">
        <f>VLOOKUP(G68,[1]CMDATA!A:N,10,FALSE)-K68</f>
        <v>#N/A</v>
      </c>
      <c r="S68" s="38"/>
      <c r="T68" s="77">
        <v>0</v>
      </c>
      <c r="U68" s="10">
        <f t="shared" si="5"/>
        <v>0</v>
      </c>
      <c r="V68" s="8"/>
      <c r="W68" s="17"/>
      <c r="X68" s="77">
        <v>0</v>
      </c>
      <c r="Y68" s="64"/>
      <c r="Z68" s="14"/>
      <c r="AA68" s="15" t="e">
        <f t="shared" si="3"/>
        <v>#DIV/0!</v>
      </c>
      <c r="AB68" s="129" t="e">
        <f t="shared" si="6"/>
        <v>#DIV/0!</v>
      </c>
      <c r="AC68" s="31"/>
      <c r="AD68" s="55"/>
    </row>
    <row r="69" spans="1:30" x14ac:dyDescent="0.25">
      <c r="A69" s="142"/>
      <c r="B69" s="106"/>
      <c r="C69" s="50"/>
      <c r="D69" s="12"/>
      <c r="E69" s="8"/>
      <c r="F69" s="4"/>
      <c r="G69" s="8"/>
      <c r="H69" s="10">
        <v>0</v>
      </c>
      <c r="I69" s="21">
        <v>0</v>
      </c>
      <c r="J69" s="11" t="e">
        <f t="shared" ref="J69:J91" si="18">I69/H69</f>
        <v>#DIV/0!</v>
      </c>
      <c r="K69" s="45">
        <f t="shared" si="17"/>
        <v>0</v>
      </c>
      <c r="L69" s="10"/>
      <c r="M69" s="10">
        <v>0</v>
      </c>
      <c r="N69" s="10">
        <v>0</v>
      </c>
      <c r="O69" s="11" t="e">
        <f t="shared" ref="O69:O91" si="19">P69/K69</f>
        <v>#DIV/0!</v>
      </c>
      <c r="P69" s="47">
        <f t="shared" si="4"/>
        <v>0</v>
      </c>
      <c r="Q69" s="34"/>
      <c r="R69" s="38" t="e">
        <f>VLOOKUP(G69,[1]CMDATA!A:N,10,FALSE)-K69</f>
        <v>#N/A</v>
      </c>
      <c r="S69" s="38"/>
      <c r="T69" s="77">
        <v>0</v>
      </c>
      <c r="U69" s="10">
        <f t="shared" si="5"/>
        <v>0</v>
      </c>
      <c r="V69" s="8"/>
      <c r="W69" s="17"/>
      <c r="X69" s="77">
        <v>0</v>
      </c>
      <c r="Y69" s="64"/>
      <c r="Z69" s="14"/>
      <c r="AA69" s="15" t="e">
        <f t="shared" ref="AA69:AA91" si="20">X69/K69</f>
        <v>#DIV/0!</v>
      </c>
      <c r="AB69" s="129" t="e">
        <f t="shared" si="6"/>
        <v>#DIV/0!</v>
      </c>
      <c r="AC69" s="31"/>
      <c r="AD69" s="55"/>
    </row>
    <row r="70" spans="1:30" x14ac:dyDescent="0.25">
      <c r="A70" s="142"/>
      <c r="B70" s="106"/>
      <c r="C70" s="50"/>
      <c r="D70" s="12"/>
      <c r="E70" s="8"/>
      <c r="F70" s="4"/>
      <c r="G70" s="8"/>
      <c r="H70" s="10">
        <v>0</v>
      </c>
      <c r="I70" s="21">
        <v>0</v>
      </c>
      <c r="J70" s="11" t="e">
        <f t="shared" si="18"/>
        <v>#DIV/0!</v>
      </c>
      <c r="K70" s="45">
        <f t="shared" si="17"/>
        <v>0</v>
      </c>
      <c r="L70" s="10"/>
      <c r="M70" s="10">
        <v>0</v>
      </c>
      <c r="N70" s="10">
        <v>0</v>
      </c>
      <c r="O70" s="11" t="e">
        <f t="shared" si="19"/>
        <v>#DIV/0!</v>
      </c>
      <c r="P70" s="47">
        <f t="shared" ref="P70:P91" si="21">M70+N70</f>
        <v>0</v>
      </c>
      <c r="Q70" s="34"/>
      <c r="R70" s="38" t="e">
        <f>VLOOKUP(G70,[1]CMDATA!A:N,10,FALSE)-K70</f>
        <v>#N/A</v>
      </c>
      <c r="S70" s="38"/>
      <c r="T70" s="77">
        <v>0</v>
      </c>
      <c r="U70" s="10">
        <f t="shared" ref="U70:U91" si="22">P70-T70</f>
        <v>0</v>
      </c>
      <c r="V70" s="8"/>
      <c r="W70" s="17"/>
      <c r="X70" s="77">
        <v>0</v>
      </c>
      <c r="Y70" s="64"/>
      <c r="Z70" s="14"/>
      <c r="AA70" s="15" t="e">
        <f t="shared" si="20"/>
        <v>#DIV/0!</v>
      </c>
      <c r="AB70" s="129" t="e">
        <f t="shared" si="6"/>
        <v>#DIV/0!</v>
      </c>
      <c r="AC70" s="31"/>
      <c r="AD70" s="55"/>
    </row>
    <row r="71" spans="1:30" x14ac:dyDescent="0.25">
      <c r="A71" s="142"/>
      <c r="B71" s="106"/>
      <c r="C71" s="50"/>
      <c r="D71" s="12"/>
      <c r="E71" s="8"/>
      <c r="F71" s="8"/>
      <c r="G71" s="8"/>
      <c r="H71" s="10">
        <v>0</v>
      </c>
      <c r="I71" s="21">
        <v>0</v>
      </c>
      <c r="J71" s="11" t="e">
        <f t="shared" si="18"/>
        <v>#DIV/0!</v>
      </c>
      <c r="K71" s="45">
        <f t="shared" si="17"/>
        <v>0</v>
      </c>
      <c r="L71" s="10"/>
      <c r="M71" s="10">
        <v>0</v>
      </c>
      <c r="N71" s="10">
        <v>0</v>
      </c>
      <c r="O71" s="11" t="e">
        <f t="shared" si="19"/>
        <v>#DIV/0!</v>
      </c>
      <c r="P71" s="47">
        <f t="shared" si="21"/>
        <v>0</v>
      </c>
      <c r="Q71" s="34"/>
      <c r="R71" s="38" t="e">
        <f>VLOOKUP(G71,[1]CMDATA!A:N,10,FALSE)-K71</f>
        <v>#N/A</v>
      </c>
      <c r="S71" s="38"/>
      <c r="T71" s="77">
        <v>0</v>
      </c>
      <c r="U71" s="10">
        <f t="shared" si="22"/>
        <v>0</v>
      </c>
      <c r="V71" s="8"/>
      <c r="W71" s="17"/>
      <c r="X71" s="77">
        <v>0</v>
      </c>
      <c r="Y71" s="64"/>
      <c r="Z71" s="14"/>
      <c r="AA71" s="15" t="e">
        <f t="shared" si="20"/>
        <v>#DIV/0!</v>
      </c>
      <c r="AB71" s="129" t="e">
        <f t="shared" si="6"/>
        <v>#DIV/0!</v>
      </c>
      <c r="AC71" s="31"/>
      <c r="AD71" s="55"/>
    </row>
    <row r="72" spans="1:30" x14ac:dyDescent="0.25">
      <c r="A72" s="142"/>
      <c r="B72" s="106"/>
      <c r="C72" s="50"/>
      <c r="D72" s="12"/>
      <c r="E72" s="8"/>
      <c r="F72" s="8"/>
      <c r="G72" s="8"/>
      <c r="H72" s="10">
        <v>0</v>
      </c>
      <c r="I72" s="21">
        <v>0</v>
      </c>
      <c r="J72" s="11" t="e">
        <f t="shared" si="18"/>
        <v>#DIV/0!</v>
      </c>
      <c r="K72" s="45">
        <f t="shared" si="17"/>
        <v>0</v>
      </c>
      <c r="L72" s="10"/>
      <c r="M72" s="10">
        <v>0</v>
      </c>
      <c r="N72" s="10">
        <v>0</v>
      </c>
      <c r="O72" s="11" t="e">
        <f t="shared" si="19"/>
        <v>#DIV/0!</v>
      </c>
      <c r="P72" s="47">
        <f t="shared" si="21"/>
        <v>0</v>
      </c>
      <c r="Q72" s="34"/>
      <c r="R72" s="38" t="e">
        <f>VLOOKUP(G72,[1]CMDATA!A:N,10,FALSE)-K72</f>
        <v>#N/A</v>
      </c>
      <c r="S72" s="38"/>
      <c r="T72" s="77">
        <v>0</v>
      </c>
      <c r="U72" s="10">
        <f t="shared" si="22"/>
        <v>0</v>
      </c>
      <c r="V72" s="8"/>
      <c r="W72" s="17"/>
      <c r="X72" s="77">
        <v>0</v>
      </c>
      <c r="Y72" s="64"/>
      <c r="Z72" s="14"/>
      <c r="AA72" s="15" t="e">
        <f t="shared" si="20"/>
        <v>#DIV/0!</v>
      </c>
      <c r="AB72" s="129" t="e">
        <f t="shared" si="6"/>
        <v>#DIV/0!</v>
      </c>
      <c r="AC72" s="31"/>
      <c r="AD72" s="55"/>
    </row>
    <row r="73" spans="1:30" x14ac:dyDescent="0.25">
      <c r="A73" s="142"/>
      <c r="B73" s="106"/>
      <c r="C73" s="50"/>
      <c r="D73" s="12"/>
      <c r="E73" s="8"/>
      <c r="F73" s="8"/>
      <c r="G73" s="8"/>
      <c r="H73" s="10">
        <v>0</v>
      </c>
      <c r="I73" s="21">
        <v>0</v>
      </c>
      <c r="J73" s="11" t="e">
        <f t="shared" si="18"/>
        <v>#DIV/0!</v>
      </c>
      <c r="K73" s="45">
        <f t="shared" si="17"/>
        <v>0</v>
      </c>
      <c r="L73" s="10"/>
      <c r="M73" s="10">
        <v>0</v>
      </c>
      <c r="N73" s="10">
        <v>0</v>
      </c>
      <c r="O73" s="11" t="e">
        <f t="shared" si="19"/>
        <v>#DIV/0!</v>
      </c>
      <c r="P73" s="47">
        <f t="shared" si="21"/>
        <v>0</v>
      </c>
      <c r="Q73" s="34"/>
      <c r="R73" s="38" t="e">
        <f>VLOOKUP(G73,[1]CMDATA!A:N,10,FALSE)-K73</f>
        <v>#N/A</v>
      </c>
      <c r="S73" s="38"/>
      <c r="T73" s="77">
        <v>0</v>
      </c>
      <c r="U73" s="10">
        <f t="shared" si="22"/>
        <v>0</v>
      </c>
      <c r="V73" s="8"/>
      <c r="W73" s="17"/>
      <c r="X73" s="77">
        <v>0</v>
      </c>
      <c r="Y73" s="64"/>
      <c r="Z73" s="14"/>
      <c r="AA73" s="15" t="e">
        <f t="shared" si="20"/>
        <v>#DIV/0!</v>
      </c>
      <c r="AB73" s="129" t="e">
        <f t="shared" si="6"/>
        <v>#DIV/0!</v>
      </c>
      <c r="AC73" s="31"/>
      <c r="AD73" s="55"/>
    </row>
    <row r="74" spans="1:30" x14ac:dyDescent="0.25">
      <c r="A74" s="141"/>
      <c r="B74" s="106"/>
      <c r="C74" s="50"/>
      <c r="D74" s="12"/>
      <c r="E74" s="8"/>
      <c r="F74" s="8"/>
      <c r="G74" s="8"/>
      <c r="H74" s="10">
        <v>0</v>
      </c>
      <c r="I74" s="21">
        <v>0</v>
      </c>
      <c r="J74" s="11" t="e">
        <f t="shared" si="18"/>
        <v>#DIV/0!</v>
      </c>
      <c r="K74" s="45">
        <f t="shared" si="17"/>
        <v>0</v>
      </c>
      <c r="L74" s="10"/>
      <c r="M74" s="10">
        <v>0</v>
      </c>
      <c r="N74" s="10">
        <v>0</v>
      </c>
      <c r="O74" s="11" t="e">
        <f t="shared" si="19"/>
        <v>#DIV/0!</v>
      </c>
      <c r="P74" s="47">
        <f t="shared" si="21"/>
        <v>0</v>
      </c>
      <c r="Q74" s="34"/>
      <c r="R74" s="38" t="e">
        <f>VLOOKUP(G74,[1]CMDATA!A:N,10,FALSE)-K74</f>
        <v>#N/A</v>
      </c>
      <c r="S74" s="38"/>
      <c r="T74" s="77">
        <v>0</v>
      </c>
      <c r="U74" s="10">
        <f t="shared" si="22"/>
        <v>0</v>
      </c>
      <c r="V74" s="8"/>
      <c r="W74" s="17"/>
      <c r="X74" s="77">
        <v>0</v>
      </c>
      <c r="Y74" s="64"/>
      <c r="Z74" s="14"/>
      <c r="AA74" s="15" t="e">
        <f t="shared" si="20"/>
        <v>#DIV/0!</v>
      </c>
      <c r="AB74" s="129" t="e">
        <f t="shared" si="6"/>
        <v>#DIV/0!</v>
      </c>
      <c r="AC74" s="31"/>
      <c r="AD74" s="55"/>
    </row>
    <row r="75" spans="1:30" ht="15.75" customHeight="1" x14ac:dyDescent="0.25">
      <c r="A75" s="142"/>
      <c r="B75" s="106"/>
      <c r="C75" s="50"/>
      <c r="D75" s="12"/>
      <c r="E75" s="8"/>
      <c r="F75" s="8"/>
      <c r="G75" s="8"/>
      <c r="H75" s="10">
        <v>0</v>
      </c>
      <c r="I75" s="21">
        <v>0</v>
      </c>
      <c r="J75" s="11" t="e">
        <f t="shared" si="18"/>
        <v>#DIV/0!</v>
      </c>
      <c r="K75" s="45">
        <f t="shared" si="17"/>
        <v>0</v>
      </c>
      <c r="L75" s="10"/>
      <c r="M75" s="10">
        <v>0</v>
      </c>
      <c r="N75" s="10">
        <v>0</v>
      </c>
      <c r="O75" s="11" t="e">
        <f t="shared" si="19"/>
        <v>#DIV/0!</v>
      </c>
      <c r="P75" s="47">
        <f t="shared" si="21"/>
        <v>0</v>
      </c>
      <c r="Q75" s="34"/>
      <c r="R75" s="38" t="e">
        <f>VLOOKUP(G75,[1]CMDATA!A:N,10,FALSE)-K75</f>
        <v>#N/A</v>
      </c>
      <c r="S75" s="38"/>
      <c r="T75" s="77">
        <v>0</v>
      </c>
      <c r="U75" s="10">
        <f t="shared" si="22"/>
        <v>0</v>
      </c>
      <c r="V75" s="8"/>
      <c r="W75" s="17"/>
      <c r="X75" s="77">
        <v>0</v>
      </c>
      <c r="Y75" s="64"/>
      <c r="Z75" s="14"/>
      <c r="AA75" s="15" t="e">
        <f t="shared" si="20"/>
        <v>#DIV/0!</v>
      </c>
      <c r="AB75" s="129" t="e">
        <f t="shared" si="6"/>
        <v>#DIV/0!</v>
      </c>
      <c r="AC75" s="149"/>
      <c r="AD75" s="55"/>
    </row>
    <row r="76" spans="1:30" x14ac:dyDescent="0.25">
      <c r="A76" s="142"/>
      <c r="B76" s="132"/>
      <c r="C76" s="12"/>
      <c r="D76" s="12"/>
      <c r="E76" s="8"/>
      <c r="F76" s="8"/>
      <c r="G76" s="8"/>
      <c r="H76" s="10">
        <v>0</v>
      </c>
      <c r="I76" s="21">
        <v>0</v>
      </c>
      <c r="J76" s="11" t="e">
        <f t="shared" ref="J76" si="23">I76/H76</f>
        <v>#DIV/0!</v>
      </c>
      <c r="K76" s="45">
        <f t="shared" ref="K76" si="24">H76+I76</f>
        <v>0</v>
      </c>
      <c r="L76" s="10"/>
      <c r="M76" s="10">
        <v>0</v>
      </c>
      <c r="N76" s="10">
        <v>0</v>
      </c>
      <c r="O76" s="11" t="e">
        <f t="shared" ref="O76" si="25">P76/K76</f>
        <v>#DIV/0!</v>
      </c>
      <c r="P76" s="47">
        <f t="shared" ref="P76" si="26">M76+N76</f>
        <v>0</v>
      </c>
      <c r="Q76" s="34"/>
      <c r="R76" s="38" t="e">
        <f>VLOOKUP(G76,[1]CMDATA!A:N,10,FALSE)-K76</f>
        <v>#N/A</v>
      </c>
      <c r="S76" s="38"/>
      <c r="T76" s="77">
        <v>0</v>
      </c>
      <c r="U76" s="10">
        <f t="shared" ref="U76" si="27">P76-T76</f>
        <v>0</v>
      </c>
      <c r="V76" s="8"/>
      <c r="W76" s="17"/>
      <c r="X76" s="77">
        <v>0</v>
      </c>
      <c r="Y76" s="64"/>
      <c r="Z76" s="14"/>
      <c r="AA76" s="15" t="e">
        <f t="shared" ref="AA76" si="28">X76/K76</f>
        <v>#DIV/0!</v>
      </c>
      <c r="AB76" s="129" t="e">
        <f t="shared" si="6"/>
        <v>#DIV/0!</v>
      </c>
      <c r="AC76" s="31"/>
      <c r="AD76" s="55"/>
    </row>
    <row r="77" spans="1:30" x14ac:dyDescent="0.25">
      <c r="A77" s="142"/>
      <c r="B77" s="106"/>
      <c r="C77" s="50"/>
      <c r="D77" s="12"/>
      <c r="E77" s="8"/>
      <c r="F77" s="8"/>
      <c r="G77" s="8"/>
      <c r="H77" s="10">
        <v>0</v>
      </c>
      <c r="I77" s="21">
        <v>0</v>
      </c>
      <c r="J77" s="11" t="e">
        <f t="shared" si="18"/>
        <v>#DIV/0!</v>
      </c>
      <c r="K77" s="45">
        <f t="shared" si="17"/>
        <v>0</v>
      </c>
      <c r="L77" s="10"/>
      <c r="M77" s="10">
        <v>0</v>
      </c>
      <c r="N77" s="10">
        <v>0</v>
      </c>
      <c r="O77" s="11" t="e">
        <f t="shared" si="19"/>
        <v>#DIV/0!</v>
      </c>
      <c r="P77" s="47">
        <f t="shared" si="21"/>
        <v>0</v>
      </c>
      <c r="Q77" s="34"/>
      <c r="R77" s="38" t="e">
        <f>VLOOKUP(G77,[1]CMDATA!A:N,10,FALSE)-K77</f>
        <v>#N/A</v>
      </c>
      <c r="S77" s="38"/>
      <c r="T77" s="77">
        <v>0</v>
      </c>
      <c r="U77" s="10">
        <f t="shared" si="22"/>
        <v>0</v>
      </c>
      <c r="V77" s="8"/>
      <c r="W77" s="17"/>
      <c r="X77" s="77">
        <v>0</v>
      </c>
      <c r="Y77" s="64"/>
      <c r="Z77" s="14"/>
      <c r="AA77" s="15" t="e">
        <f t="shared" si="20"/>
        <v>#DIV/0!</v>
      </c>
      <c r="AB77" s="129" t="e">
        <f t="shared" si="6"/>
        <v>#DIV/0!</v>
      </c>
      <c r="AC77" s="31"/>
      <c r="AD77" s="55"/>
    </row>
    <row r="78" spans="1:30" x14ac:dyDescent="0.25">
      <c r="A78" s="142"/>
      <c r="B78" s="106"/>
      <c r="C78" s="50"/>
      <c r="D78" s="12"/>
      <c r="E78" s="8"/>
      <c r="F78" s="8"/>
      <c r="G78" s="8"/>
      <c r="H78" s="10">
        <v>0</v>
      </c>
      <c r="I78" s="21">
        <v>0</v>
      </c>
      <c r="J78" s="11" t="e">
        <f t="shared" si="18"/>
        <v>#DIV/0!</v>
      </c>
      <c r="K78" s="45">
        <f t="shared" si="17"/>
        <v>0</v>
      </c>
      <c r="L78" s="10"/>
      <c r="M78" s="10">
        <v>0</v>
      </c>
      <c r="N78" s="10">
        <v>0</v>
      </c>
      <c r="O78" s="11" t="e">
        <f t="shared" si="19"/>
        <v>#DIV/0!</v>
      </c>
      <c r="P78" s="47">
        <f t="shared" si="21"/>
        <v>0</v>
      </c>
      <c r="Q78" s="34"/>
      <c r="R78" s="38" t="e">
        <f>VLOOKUP(G78,[1]CMDATA!A:N,10,FALSE)-K78</f>
        <v>#N/A</v>
      </c>
      <c r="S78" s="38"/>
      <c r="T78" s="77">
        <v>0</v>
      </c>
      <c r="U78" s="10">
        <f t="shared" si="22"/>
        <v>0</v>
      </c>
      <c r="V78" s="8"/>
      <c r="W78" s="17"/>
      <c r="X78" s="77">
        <v>0</v>
      </c>
      <c r="Y78" s="64"/>
      <c r="Z78" s="14"/>
      <c r="AA78" s="15" t="e">
        <f t="shared" si="20"/>
        <v>#DIV/0!</v>
      </c>
      <c r="AB78" s="129" t="e">
        <f t="shared" si="6"/>
        <v>#DIV/0!</v>
      </c>
      <c r="AC78" s="31"/>
      <c r="AD78" s="55"/>
    </row>
    <row r="79" spans="1:30" x14ac:dyDescent="0.25">
      <c r="A79" s="139"/>
      <c r="B79" s="132"/>
      <c r="C79" s="12"/>
      <c r="D79" s="12"/>
      <c r="E79" s="8"/>
      <c r="F79" s="8"/>
      <c r="G79" s="8"/>
      <c r="H79" s="10">
        <v>0</v>
      </c>
      <c r="I79" s="21">
        <v>0</v>
      </c>
      <c r="J79" s="11" t="e">
        <f t="shared" si="18"/>
        <v>#DIV/0!</v>
      </c>
      <c r="K79" s="45">
        <f t="shared" si="17"/>
        <v>0</v>
      </c>
      <c r="L79" s="10"/>
      <c r="M79" s="10">
        <v>0</v>
      </c>
      <c r="N79" s="10">
        <v>0</v>
      </c>
      <c r="O79" s="11" t="e">
        <f t="shared" si="19"/>
        <v>#DIV/0!</v>
      </c>
      <c r="P79" s="47">
        <f t="shared" si="21"/>
        <v>0</v>
      </c>
      <c r="Q79" s="34"/>
      <c r="R79" s="38" t="e">
        <f>VLOOKUP(G79,[1]CMDATA!A:N,10,FALSE)-K79</f>
        <v>#N/A</v>
      </c>
      <c r="S79" s="38"/>
      <c r="T79" s="77">
        <v>0</v>
      </c>
      <c r="U79" s="10">
        <f t="shared" si="22"/>
        <v>0</v>
      </c>
      <c r="V79" s="8"/>
      <c r="W79" s="8"/>
      <c r="X79" s="77">
        <v>0</v>
      </c>
      <c r="Y79" s="14"/>
      <c r="Z79" s="14"/>
      <c r="AA79" s="15" t="e">
        <f t="shared" si="20"/>
        <v>#DIV/0!</v>
      </c>
      <c r="AB79" s="129" t="e">
        <f t="shared" si="6"/>
        <v>#DIV/0!</v>
      </c>
      <c r="AC79" s="31"/>
      <c r="AD79" s="55"/>
    </row>
    <row r="80" spans="1:30" x14ac:dyDescent="0.25">
      <c r="A80" s="108"/>
      <c r="B80" s="132"/>
      <c r="C80" s="12"/>
      <c r="D80" s="12"/>
      <c r="E80" s="8"/>
      <c r="F80" s="8"/>
      <c r="G80" s="8"/>
      <c r="H80" s="10">
        <v>0</v>
      </c>
      <c r="I80" s="21">
        <v>0</v>
      </c>
      <c r="J80" s="11" t="e">
        <f t="shared" ref="J80:J81" si="29">I80/H80</f>
        <v>#DIV/0!</v>
      </c>
      <c r="K80" s="45">
        <f t="shared" ref="K80:K81" si="30">H80+I80</f>
        <v>0</v>
      </c>
      <c r="L80" s="10"/>
      <c r="M80" s="10">
        <v>0</v>
      </c>
      <c r="N80" s="10">
        <v>0</v>
      </c>
      <c r="O80" s="11" t="e">
        <f t="shared" ref="O80:O81" si="31">P80/K80</f>
        <v>#DIV/0!</v>
      </c>
      <c r="P80" s="47">
        <f t="shared" ref="P80:P81" si="32">M80+N80</f>
        <v>0</v>
      </c>
      <c r="Q80" s="34"/>
      <c r="R80" s="38" t="e">
        <f>VLOOKUP(G80,[1]CMDATA!A:N,10,FALSE)-K80</f>
        <v>#N/A</v>
      </c>
      <c r="S80" s="38"/>
      <c r="T80" s="77">
        <v>0</v>
      </c>
      <c r="U80" s="10">
        <f t="shared" ref="U80:U81" si="33">P80-T80</f>
        <v>0</v>
      </c>
      <c r="V80" s="8"/>
      <c r="W80" s="17"/>
      <c r="X80" s="77">
        <v>0</v>
      </c>
      <c r="Y80" s="64"/>
      <c r="Z80" s="14"/>
      <c r="AA80" s="15" t="e">
        <f t="shared" ref="AA80:AA81" si="34">X80/K80</f>
        <v>#DIV/0!</v>
      </c>
      <c r="AB80" s="129" t="e">
        <f t="shared" si="6"/>
        <v>#DIV/0!</v>
      </c>
      <c r="AC80" s="31"/>
      <c r="AD80" s="55"/>
    </row>
    <row r="81" spans="1:30" x14ac:dyDescent="0.25">
      <c r="A81" s="139"/>
      <c r="B81" s="132"/>
      <c r="C81" s="12"/>
      <c r="D81" s="12"/>
      <c r="E81" s="8"/>
      <c r="F81" s="8"/>
      <c r="G81" s="8"/>
      <c r="H81" s="10">
        <v>0</v>
      </c>
      <c r="I81" s="21">
        <v>0</v>
      </c>
      <c r="J81" s="11" t="e">
        <f t="shared" si="29"/>
        <v>#DIV/0!</v>
      </c>
      <c r="K81" s="45">
        <f t="shared" si="30"/>
        <v>0</v>
      </c>
      <c r="L81" s="10"/>
      <c r="M81" s="10">
        <v>0</v>
      </c>
      <c r="N81" s="10">
        <v>0</v>
      </c>
      <c r="O81" s="11" t="e">
        <f t="shared" si="31"/>
        <v>#DIV/0!</v>
      </c>
      <c r="P81" s="47">
        <f t="shared" si="32"/>
        <v>0</v>
      </c>
      <c r="Q81" s="34"/>
      <c r="R81" s="38" t="e">
        <f>VLOOKUP(G81,[1]CMDATA!A:N,10,FALSE)-K81</f>
        <v>#N/A</v>
      </c>
      <c r="S81" s="38"/>
      <c r="T81" s="77">
        <v>0</v>
      </c>
      <c r="U81" s="10">
        <f t="shared" si="33"/>
        <v>0</v>
      </c>
      <c r="V81" s="8"/>
      <c r="W81" s="8"/>
      <c r="X81" s="77">
        <v>0</v>
      </c>
      <c r="Y81" s="14"/>
      <c r="Z81" s="14"/>
      <c r="AA81" s="15" t="e">
        <f t="shared" si="34"/>
        <v>#DIV/0!</v>
      </c>
      <c r="AB81" s="129" t="e">
        <f t="shared" si="6"/>
        <v>#DIV/0!</v>
      </c>
      <c r="AC81" s="31"/>
      <c r="AD81" s="55"/>
    </row>
    <row r="82" spans="1:30" x14ac:dyDescent="0.25">
      <c r="A82" s="139"/>
      <c r="B82" s="132"/>
      <c r="C82" s="12"/>
      <c r="D82" s="12"/>
      <c r="E82" s="8"/>
      <c r="F82" s="8"/>
      <c r="G82" s="8"/>
      <c r="H82" s="10">
        <v>0</v>
      </c>
      <c r="I82" s="21">
        <v>0</v>
      </c>
      <c r="J82" s="11" t="e">
        <f t="shared" si="18"/>
        <v>#DIV/0!</v>
      </c>
      <c r="K82" s="45">
        <f t="shared" si="17"/>
        <v>0</v>
      </c>
      <c r="L82" s="10"/>
      <c r="M82" s="10">
        <v>0</v>
      </c>
      <c r="N82" s="10">
        <v>0</v>
      </c>
      <c r="O82" s="11" t="e">
        <f t="shared" si="19"/>
        <v>#DIV/0!</v>
      </c>
      <c r="P82" s="47">
        <f t="shared" si="21"/>
        <v>0</v>
      </c>
      <c r="Q82" s="34"/>
      <c r="R82" s="38" t="e">
        <f>VLOOKUP(G82,[1]CMDATA!A:N,10,FALSE)-K82</f>
        <v>#N/A</v>
      </c>
      <c r="S82" s="38"/>
      <c r="T82" s="77">
        <v>0</v>
      </c>
      <c r="U82" s="10">
        <f t="shared" si="22"/>
        <v>0</v>
      </c>
      <c r="V82" s="8"/>
      <c r="W82" s="8"/>
      <c r="X82" s="77">
        <v>0</v>
      </c>
      <c r="Y82" s="14"/>
      <c r="Z82" s="14"/>
      <c r="AA82" s="15" t="e">
        <f t="shared" si="20"/>
        <v>#DIV/0!</v>
      </c>
      <c r="AB82" s="129" t="e">
        <f t="shared" si="6"/>
        <v>#DIV/0!</v>
      </c>
      <c r="AC82" s="31"/>
      <c r="AD82" s="55"/>
    </row>
    <row r="83" spans="1:30" x14ac:dyDescent="0.25">
      <c r="A83" s="139"/>
      <c r="B83" s="132"/>
      <c r="C83" s="12"/>
      <c r="D83" s="12"/>
      <c r="E83" s="8"/>
      <c r="F83" s="8"/>
      <c r="G83" s="8"/>
      <c r="H83" s="10">
        <v>0</v>
      </c>
      <c r="I83" s="21">
        <v>0</v>
      </c>
      <c r="J83" s="11" t="e">
        <f t="shared" si="18"/>
        <v>#DIV/0!</v>
      </c>
      <c r="K83" s="45">
        <f t="shared" si="17"/>
        <v>0</v>
      </c>
      <c r="L83" s="10"/>
      <c r="M83" s="10">
        <v>0</v>
      </c>
      <c r="N83" s="10">
        <v>0</v>
      </c>
      <c r="O83" s="11" t="e">
        <f t="shared" si="19"/>
        <v>#DIV/0!</v>
      </c>
      <c r="P83" s="47">
        <f t="shared" si="21"/>
        <v>0</v>
      </c>
      <c r="Q83" s="34"/>
      <c r="R83" s="38" t="e">
        <f>VLOOKUP(G83,[1]CMDATA!A:N,10,FALSE)-K83</f>
        <v>#N/A</v>
      </c>
      <c r="S83" s="38"/>
      <c r="T83" s="77">
        <v>0</v>
      </c>
      <c r="U83" s="10">
        <f t="shared" si="22"/>
        <v>0</v>
      </c>
      <c r="V83" s="8"/>
      <c r="W83" s="8"/>
      <c r="X83" s="77">
        <v>0</v>
      </c>
      <c r="Y83" s="14"/>
      <c r="Z83" s="14"/>
      <c r="AA83" s="15" t="e">
        <f t="shared" si="20"/>
        <v>#DIV/0!</v>
      </c>
      <c r="AB83" s="129" t="e">
        <f t="shared" si="6"/>
        <v>#DIV/0!</v>
      </c>
      <c r="AC83" s="31"/>
      <c r="AD83" s="55"/>
    </row>
    <row r="84" spans="1:30" x14ac:dyDescent="0.25">
      <c r="A84" s="139"/>
      <c r="B84" s="132"/>
      <c r="C84" s="12"/>
      <c r="D84" s="12"/>
      <c r="E84" s="8"/>
      <c r="F84" s="8"/>
      <c r="G84" s="8"/>
      <c r="H84" s="10">
        <v>0</v>
      </c>
      <c r="I84" s="21">
        <v>0</v>
      </c>
      <c r="J84" s="11" t="e">
        <f t="shared" si="18"/>
        <v>#DIV/0!</v>
      </c>
      <c r="K84" s="45">
        <f t="shared" si="17"/>
        <v>0</v>
      </c>
      <c r="L84" s="10"/>
      <c r="M84" s="10">
        <v>0</v>
      </c>
      <c r="N84" s="10">
        <v>0</v>
      </c>
      <c r="O84" s="11" t="e">
        <f t="shared" si="19"/>
        <v>#DIV/0!</v>
      </c>
      <c r="P84" s="47">
        <f t="shared" si="21"/>
        <v>0</v>
      </c>
      <c r="Q84" s="34"/>
      <c r="R84" s="38" t="e">
        <f>VLOOKUP(G84,[1]CMDATA!A:N,10,FALSE)-K84</f>
        <v>#N/A</v>
      </c>
      <c r="S84" s="38"/>
      <c r="T84" s="77">
        <v>0</v>
      </c>
      <c r="U84" s="10">
        <f t="shared" si="22"/>
        <v>0</v>
      </c>
      <c r="V84" s="8"/>
      <c r="W84" s="8"/>
      <c r="X84" s="77">
        <v>0</v>
      </c>
      <c r="Y84" s="14"/>
      <c r="Z84" s="14"/>
      <c r="AA84" s="15" t="e">
        <f t="shared" si="20"/>
        <v>#DIV/0!</v>
      </c>
      <c r="AB84" s="129" t="e">
        <f t="shared" si="6"/>
        <v>#DIV/0!</v>
      </c>
      <c r="AC84" s="31"/>
      <c r="AD84" s="55"/>
    </row>
    <row r="85" spans="1:30" x14ac:dyDescent="0.25">
      <c r="A85" s="139"/>
      <c r="B85" s="132"/>
      <c r="C85" s="12"/>
      <c r="D85" s="12"/>
      <c r="E85" s="8"/>
      <c r="F85" s="8"/>
      <c r="G85" s="8"/>
      <c r="H85" s="10">
        <v>0</v>
      </c>
      <c r="I85" s="21">
        <v>0</v>
      </c>
      <c r="J85" s="11" t="e">
        <f t="shared" si="18"/>
        <v>#DIV/0!</v>
      </c>
      <c r="K85" s="45">
        <f t="shared" si="17"/>
        <v>0</v>
      </c>
      <c r="L85" s="10"/>
      <c r="M85" s="10">
        <v>0</v>
      </c>
      <c r="N85" s="10">
        <v>0</v>
      </c>
      <c r="O85" s="11" t="e">
        <f t="shared" si="19"/>
        <v>#DIV/0!</v>
      </c>
      <c r="P85" s="47">
        <f t="shared" si="21"/>
        <v>0</v>
      </c>
      <c r="Q85" s="34"/>
      <c r="R85" s="38" t="e">
        <f>VLOOKUP(G85,[1]CMDATA!A:N,10,FALSE)-K85</f>
        <v>#N/A</v>
      </c>
      <c r="S85" s="38"/>
      <c r="T85" s="77">
        <v>0</v>
      </c>
      <c r="U85" s="10">
        <f t="shared" si="22"/>
        <v>0</v>
      </c>
      <c r="V85" s="8"/>
      <c r="W85" s="8"/>
      <c r="X85" s="77">
        <v>0</v>
      </c>
      <c r="Y85" s="14"/>
      <c r="Z85" s="14"/>
      <c r="AA85" s="15" t="e">
        <f t="shared" si="20"/>
        <v>#DIV/0!</v>
      </c>
      <c r="AB85" s="129" t="e">
        <f t="shared" si="6"/>
        <v>#DIV/0!</v>
      </c>
      <c r="AC85" s="31"/>
      <c r="AD85" s="55"/>
    </row>
    <row r="86" spans="1:30" x14ac:dyDescent="0.25">
      <c r="A86" s="139"/>
      <c r="B86" s="132"/>
      <c r="C86" s="12"/>
      <c r="D86" s="12"/>
      <c r="E86" s="8"/>
      <c r="F86" s="8"/>
      <c r="G86" s="8"/>
      <c r="H86" s="10">
        <v>0</v>
      </c>
      <c r="I86" s="21">
        <v>0</v>
      </c>
      <c r="J86" s="11" t="e">
        <f t="shared" si="18"/>
        <v>#DIV/0!</v>
      </c>
      <c r="K86" s="45">
        <f t="shared" si="17"/>
        <v>0</v>
      </c>
      <c r="L86" s="10"/>
      <c r="M86" s="10">
        <v>0</v>
      </c>
      <c r="N86" s="10">
        <v>0</v>
      </c>
      <c r="O86" s="11" t="e">
        <f t="shared" si="19"/>
        <v>#DIV/0!</v>
      </c>
      <c r="P86" s="47">
        <f t="shared" si="21"/>
        <v>0</v>
      </c>
      <c r="Q86" s="34"/>
      <c r="R86" s="38" t="e">
        <f>VLOOKUP(G86,[1]CMDATA!A:N,10,FALSE)-K86</f>
        <v>#N/A</v>
      </c>
      <c r="S86" s="38"/>
      <c r="T86" s="77">
        <v>0</v>
      </c>
      <c r="U86" s="10">
        <f t="shared" si="22"/>
        <v>0</v>
      </c>
      <c r="V86" s="8"/>
      <c r="W86" s="8"/>
      <c r="X86" s="77">
        <v>0</v>
      </c>
      <c r="Y86" s="14"/>
      <c r="Z86" s="14"/>
      <c r="AA86" s="15" t="e">
        <f t="shared" si="20"/>
        <v>#DIV/0!</v>
      </c>
      <c r="AB86" s="129" t="e">
        <f t="shared" si="6"/>
        <v>#DIV/0!</v>
      </c>
      <c r="AC86" s="31"/>
      <c r="AD86" s="55"/>
    </row>
    <row r="87" spans="1:30" x14ac:dyDescent="0.25">
      <c r="A87" s="139"/>
      <c r="B87" s="132"/>
      <c r="C87" s="12"/>
      <c r="D87" s="12"/>
      <c r="E87" s="8"/>
      <c r="F87" s="8"/>
      <c r="G87" s="8"/>
      <c r="H87" s="10">
        <v>0</v>
      </c>
      <c r="I87" s="21">
        <v>0</v>
      </c>
      <c r="J87" s="11" t="e">
        <f t="shared" si="18"/>
        <v>#DIV/0!</v>
      </c>
      <c r="K87" s="45">
        <f t="shared" si="17"/>
        <v>0</v>
      </c>
      <c r="L87" s="10"/>
      <c r="M87" s="10">
        <v>0</v>
      </c>
      <c r="N87" s="10">
        <v>0</v>
      </c>
      <c r="O87" s="11" t="e">
        <f t="shared" si="19"/>
        <v>#DIV/0!</v>
      </c>
      <c r="P87" s="47">
        <f t="shared" si="21"/>
        <v>0</v>
      </c>
      <c r="Q87" s="34"/>
      <c r="R87" s="38" t="e">
        <f>VLOOKUP(G87,[1]CMDATA!A:N,10,FALSE)-K87</f>
        <v>#N/A</v>
      </c>
      <c r="S87" s="38"/>
      <c r="T87" s="77">
        <v>0</v>
      </c>
      <c r="U87" s="10">
        <f t="shared" si="22"/>
        <v>0</v>
      </c>
      <c r="V87" s="8"/>
      <c r="W87" s="8"/>
      <c r="X87" s="77">
        <v>0</v>
      </c>
      <c r="Y87" s="14"/>
      <c r="Z87" s="14"/>
      <c r="AA87" s="15" t="e">
        <f t="shared" si="20"/>
        <v>#DIV/0!</v>
      </c>
      <c r="AB87" s="129" t="e">
        <f t="shared" si="6"/>
        <v>#DIV/0!</v>
      </c>
      <c r="AC87" s="31"/>
      <c r="AD87" s="55"/>
    </row>
    <row r="88" spans="1:30" x14ac:dyDescent="0.25">
      <c r="A88" s="139"/>
      <c r="B88" s="132"/>
      <c r="C88" s="12"/>
      <c r="D88" s="12"/>
      <c r="E88" s="8"/>
      <c r="F88" s="8"/>
      <c r="G88" s="8"/>
      <c r="H88" s="10">
        <v>0</v>
      </c>
      <c r="I88" s="21">
        <v>0</v>
      </c>
      <c r="J88" s="11" t="e">
        <f t="shared" si="18"/>
        <v>#DIV/0!</v>
      </c>
      <c r="K88" s="45">
        <f t="shared" si="17"/>
        <v>0</v>
      </c>
      <c r="L88" s="10"/>
      <c r="M88" s="10">
        <v>0</v>
      </c>
      <c r="N88" s="10">
        <v>0</v>
      </c>
      <c r="O88" s="11" t="e">
        <f t="shared" si="19"/>
        <v>#DIV/0!</v>
      </c>
      <c r="P88" s="47">
        <f t="shared" si="21"/>
        <v>0</v>
      </c>
      <c r="Q88" s="34"/>
      <c r="R88" s="38" t="e">
        <f>VLOOKUP(G88,[1]CMDATA!A:N,10,FALSE)-K88</f>
        <v>#N/A</v>
      </c>
      <c r="S88" s="38"/>
      <c r="T88" s="77">
        <v>0</v>
      </c>
      <c r="U88" s="10">
        <f t="shared" si="22"/>
        <v>0</v>
      </c>
      <c r="V88" s="8"/>
      <c r="W88" s="8"/>
      <c r="X88" s="77">
        <v>0</v>
      </c>
      <c r="Y88" s="14"/>
      <c r="Z88" s="14"/>
      <c r="AA88" s="15" t="e">
        <f t="shared" si="20"/>
        <v>#DIV/0!</v>
      </c>
      <c r="AB88" s="129" t="e">
        <f t="shared" si="6"/>
        <v>#DIV/0!</v>
      </c>
      <c r="AC88" s="15"/>
      <c r="AD88" s="55"/>
    </row>
    <row r="89" spans="1:30" x14ac:dyDescent="0.25">
      <c r="A89" s="139"/>
      <c r="B89" s="132"/>
      <c r="C89" s="12"/>
      <c r="D89" s="12"/>
      <c r="E89" s="8"/>
      <c r="F89" s="8"/>
      <c r="G89" s="8"/>
      <c r="H89" s="10">
        <v>0</v>
      </c>
      <c r="I89" s="21">
        <v>0</v>
      </c>
      <c r="J89" s="11" t="e">
        <f t="shared" si="18"/>
        <v>#DIV/0!</v>
      </c>
      <c r="K89" s="45">
        <f t="shared" si="17"/>
        <v>0</v>
      </c>
      <c r="L89" s="10"/>
      <c r="M89" s="10">
        <v>0</v>
      </c>
      <c r="N89" s="10">
        <v>0</v>
      </c>
      <c r="O89" s="11" t="e">
        <f t="shared" si="19"/>
        <v>#DIV/0!</v>
      </c>
      <c r="P89" s="47">
        <f t="shared" si="21"/>
        <v>0</v>
      </c>
      <c r="Q89" s="34"/>
      <c r="R89" s="38" t="e">
        <f>VLOOKUP(G89,[1]CMDATA!A:N,10,FALSE)-K89</f>
        <v>#N/A</v>
      </c>
      <c r="S89" s="38"/>
      <c r="T89" s="77">
        <v>0</v>
      </c>
      <c r="U89" s="10">
        <f t="shared" si="22"/>
        <v>0</v>
      </c>
      <c r="V89" s="8"/>
      <c r="W89" s="8"/>
      <c r="X89" s="77">
        <v>0</v>
      </c>
      <c r="Y89" s="14"/>
      <c r="Z89" s="14"/>
      <c r="AA89" s="15" t="e">
        <f t="shared" si="20"/>
        <v>#DIV/0!</v>
      </c>
      <c r="AB89" s="129" t="e">
        <f t="shared" si="6"/>
        <v>#DIV/0!</v>
      </c>
      <c r="AC89" s="15"/>
      <c r="AD89" s="55"/>
    </row>
    <row r="90" spans="1:30" x14ac:dyDescent="0.25">
      <c r="A90" s="139"/>
      <c r="B90" s="132"/>
      <c r="C90" s="12"/>
      <c r="D90" s="12"/>
      <c r="E90" s="8"/>
      <c r="F90" s="8"/>
      <c r="G90" s="8"/>
      <c r="H90" s="10">
        <v>0</v>
      </c>
      <c r="I90" s="21">
        <v>0</v>
      </c>
      <c r="J90" s="11" t="e">
        <f t="shared" si="18"/>
        <v>#DIV/0!</v>
      </c>
      <c r="K90" s="45">
        <f t="shared" si="17"/>
        <v>0</v>
      </c>
      <c r="L90" s="10"/>
      <c r="M90" s="10">
        <v>0</v>
      </c>
      <c r="N90" s="10">
        <v>0</v>
      </c>
      <c r="O90" s="11" t="e">
        <f t="shared" si="19"/>
        <v>#DIV/0!</v>
      </c>
      <c r="P90" s="47">
        <f t="shared" si="21"/>
        <v>0</v>
      </c>
      <c r="Q90" s="34"/>
      <c r="R90" s="38" t="e">
        <f>VLOOKUP(G90,[1]CMDATA!A:N,10,FALSE)-K90</f>
        <v>#N/A</v>
      </c>
      <c r="S90" s="38"/>
      <c r="T90" s="77">
        <v>0</v>
      </c>
      <c r="U90" s="10">
        <f t="shared" si="22"/>
        <v>0</v>
      </c>
      <c r="V90" s="8"/>
      <c r="W90" s="8"/>
      <c r="X90" s="77">
        <v>0</v>
      </c>
      <c r="Y90" s="14"/>
      <c r="Z90" s="14"/>
      <c r="AA90" s="15" t="e">
        <f t="shared" si="20"/>
        <v>#DIV/0!</v>
      </c>
      <c r="AB90" s="129" t="e">
        <f t="shared" si="6"/>
        <v>#DIV/0!</v>
      </c>
      <c r="AC90" s="15"/>
      <c r="AD90" s="55"/>
    </row>
    <row r="91" spans="1:30" x14ac:dyDescent="0.25">
      <c r="A91" s="148"/>
      <c r="B91" s="134"/>
      <c r="C91" s="23"/>
      <c r="D91" s="23"/>
      <c r="E91" s="22"/>
      <c r="F91" s="22"/>
      <c r="G91" s="22"/>
      <c r="H91" s="10">
        <v>0</v>
      </c>
      <c r="I91" s="21">
        <v>0</v>
      </c>
      <c r="J91" s="11" t="e">
        <f t="shared" si="18"/>
        <v>#DIV/0!</v>
      </c>
      <c r="K91" s="45">
        <f t="shared" si="17"/>
        <v>0</v>
      </c>
      <c r="L91" s="24"/>
      <c r="M91" s="10">
        <v>0</v>
      </c>
      <c r="N91" s="10">
        <v>0</v>
      </c>
      <c r="O91" s="11" t="e">
        <f t="shared" si="19"/>
        <v>#DIV/0!</v>
      </c>
      <c r="P91" s="47">
        <f t="shared" si="21"/>
        <v>0</v>
      </c>
      <c r="Q91" s="35"/>
      <c r="R91" s="38" t="e">
        <f>VLOOKUP(G91,[1]CMDATA!A:N,10,FALSE)-K91</f>
        <v>#N/A</v>
      </c>
      <c r="S91" s="39"/>
      <c r="T91" s="77">
        <v>0</v>
      </c>
      <c r="U91" s="10">
        <f t="shared" si="22"/>
        <v>0</v>
      </c>
      <c r="V91" s="22"/>
      <c r="W91" s="22"/>
      <c r="X91" s="77">
        <v>0</v>
      </c>
      <c r="Y91" s="24"/>
      <c r="Z91" s="24"/>
      <c r="AA91" s="15" t="e">
        <f t="shared" si="20"/>
        <v>#DIV/0!</v>
      </c>
      <c r="AB91" s="15" t="e">
        <f t="shared" si="6"/>
        <v>#DIV/0!</v>
      </c>
      <c r="AC91" s="25"/>
      <c r="AD91" s="58"/>
    </row>
    <row r="92" spans="1:30" x14ac:dyDescent="0.25">
      <c r="A92" s="60"/>
      <c r="B92" s="52"/>
      <c r="C92" s="53"/>
      <c r="D92" s="52"/>
      <c r="E92" s="52"/>
      <c r="F92" s="52"/>
      <c r="G92" s="52"/>
      <c r="H92" s="30">
        <f>SUM(H4:H91)</f>
        <v>30000</v>
      </c>
      <c r="I92" s="27">
        <f>SUM(I4:I91)</f>
        <v>2000</v>
      </c>
      <c r="J92" s="28"/>
      <c r="K92" s="44">
        <f>SUM(K4:K91)</f>
        <v>32000</v>
      </c>
      <c r="L92" s="27"/>
      <c r="M92" s="30">
        <f t="shared" ref="M92:N92" si="35">SUM(M4:M91)</f>
        <v>5000</v>
      </c>
      <c r="N92" s="30">
        <f t="shared" si="35"/>
        <v>1000</v>
      </c>
      <c r="O92" s="28"/>
      <c r="P92" s="48">
        <f>SUM(P4:P91)</f>
        <v>6000</v>
      </c>
      <c r="Q92" s="36"/>
      <c r="R92" s="40" t="e">
        <f>SUM(R4:R91)</f>
        <v>#N/A</v>
      </c>
      <c r="S92" s="42"/>
      <c r="T92" s="78">
        <f>SUM(T4:T91)</f>
        <v>0</v>
      </c>
      <c r="U92" s="30">
        <f>SUM(U4:U91)</f>
        <v>6000</v>
      </c>
      <c r="V92" s="26"/>
      <c r="W92" s="26"/>
      <c r="X92" s="78">
        <f>SUM(X4:X91)</f>
        <v>0</v>
      </c>
      <c r="Y92" s="27"/>
      <c r="Z92" s="27"/>
      <c r="AA92" s="26"/>
      <c r="AB92" s="29"/>
      <c r="AC92" s="52"/>
      <c r="AD92" s="59"/>
    </row>
    <row r="93" spans="1:30" x14ac:dyDescent="0.25">
      <c r="E93" s="125"/>
      <c r="F93" s="125"/>
      <c r="H93" s="19"/>
      <c r="I93" s="19"/>
      <c r="J93" s="20"/>
      <c r="K93" s="19"/>
      <c r="L93" s="19"/>
      <c r="M93" s="19"/>
      <c r="N93" s="19"/>
      <c r="O93" s="20"/>
      <c r="P93" s="19"/>
      <c r="Q93" s="19"/>
      <c r="R93" s="19"/>
      <c r="S93" s="19"/>
      <c r="T93" s="19"/>
      <c r="U93" s="19"/>
      <c r="X93" s="19"/>
      <c r="Y93" s="61"/>
      <c r="Z93" s="19"/>
    </row>
    <row r="94" spans="1:30" x14ac:dyDescent="0.25">
      <c r="H94" s="19"/>
      <c r="I94" s="19"/>
      <c r="J94" s="20"/>
      <c r="K94" s="19"/>
      <c r="L94" s="19"/>
      <c r="M94" s="19"/>
      <c r="N94" s="19"/>
      <c r="O94" s="20"/>
      <c r="P94" s="19"/>
      <c r="Q94" s="19"/>
      <c r="R94" s="19"/>
      <c r="S94" s="19"/>
      <c r="T94" s="5"/>
      <c r="U94" s="19"/>
      <c r="X94" s="5"/>
      <c r="Y94" s="62"/>
      <c r="Z94" s="33"/>
    </row>
    <row r="95" spans="1:30" x14ac:dyDescent="0.25">
      <c r="H95" s="19"/>
      <c r="I95" s="19"/>
      <c r="J95" s="20"/>
      <c r="K95" s="19"/>
      <c r="L95" s="19"/>
      <c r="M95" s="19"/>
      <c r="N95" s="19"/>
      <c r="O95" s="20"/>
      <c r="P95" s="19"/>
      <c r="Q95" s="19"/>
      <c r="R95" s="19"/>
      <c r="S95" s="19"/>
      <c r="T95" s="19"/>
      <c r="U95" s="19"/>
      <c r="X95" s="19"/>
      <c r="Y95" s="61"/>
      <c r="Z95" s="19"/>
    </row>
    <row r="96" spans="1:30" x14ac:dyDescent="0.25">
      <c r="H96" s="19"/>
      <c r="I96" s="19"/>
      <c r="J96" s="20"/>
      <c r="K96" s="19"/>
      <c r="L96" s="19"/>
      <c r="M96" s="19"/>
      <c r="N96" s="19"/>
      <c r="O96" s="20"/>
      <c r="P96" s="19"/>
      <c r="Q96" s="19"/>
      <c r="R96" s="19"/>
      <c r="S96" s="19"/>
      <c r="T96" s="19"/>
      <c r="U96" s="19"/>
      <c r="X96" s="19"/>
      <c r="Y96" s="61"/>
      <c r="Z96" s="19"/>
    </row>
    <row r="97" spans="8:26" x14ac:dyDescent="0.25">
      <c r="H97" s="19"/>
      <c r="I97" s="19"/>
      <c r="J97" s="20"/>
      <c r="K97" s="19"/>
      <c r="L97" s="19"/>
      <c r="M97" s="19"/>
      <c r="N97" s="19"/>
      <c r="O97" s="20"/>
      <c r="P97" s="19"/>
      <c r="Q97" s="19"/>
      <c r="R97" s="19"/>
      <c r="S97" s="19"/>
      <c r="T97" s="19"/>
      <c r="U97" s="19"/>
      <c r="X97" s="19"/>
      <c r="Y97" s="61"/>
      <c r="Z97" s="19"/>
    </row>
    <row r="98" spans="8:26" x14ac:dyDescent="0.25">
      <c r="H98" s="19"/>
      <c r="I98" s="19"/>
      <c r="J98" s="20"/>
      <c r="K98" s="19"/>
      <c r="L98" s="19"/>
      <c r="M98" s="19"/>
      <c r="N98" s="19"/>
      <c r="O98" s="20"/>
      <c r="P98" s="19"/>
      <c r="Q98" s="19"/>
      <c r="R98" s="19"/>
      <c r="S98" s="19"/>
      <c r="T98" s="19"/>
      <c r="U98" s="19"/>
      <c r="X98" s="19"/>
      <c r="Y98" s="61"/>
      <c r="Z98" s="19"/>
    </row>
    <row r="99" spans="8:26" x14ac:dyDescent="0.25">
      <c r="H99" s="19"/>
      <c r="I99" s="19"/>
      <c r="J99" s="20"/>
      <c r="K99" s="19"/>
      <c r="L99" s="19"/>
      <c r="M99" s="19"/>
      <c r="N99" s="19"/>
      <c r="O99" s="20"/>
      <c r="P99" s="19"/>
      <c r="Q99" s="19"/>
      <c r="R99" s="19"/>
      <c r="S99" s="19"/>
      <c r="T99" s="19"/>
      <c r="U99" s="19"/>
      <c r="X99" s="19"/>
      <c r="Y99" s="61"/>
      <c r="Z99" s="19"/>
    </row>
    <row r="100" spans="8:26" x14ac:dyDescent="0.25">
      <c r="H100" s="19"/>
      <c r="I100" s="19"/>
      <c r="J100" s="20"/>
      <c r="K100" s="19"/>
      <c r="L100" s="19"/>
      <c r="M100" s="19"/>
      <c r="N100" s="19"/>
      <c r="O100" s="20"/>
      <c r="P100" s="19"/>
      <c r="Q100" s="19"/>
      <c r="R100" s="19"/>
      <c r="S100" s="19"/>
      <c r="T100" s="19"/>
      <c r="U100" s="19"/>
      <c r="X100" s="19"/>
      <c r="Y100" s="61"/>
      <c r="Z100" s="19"/>
    </row>
    <row r="101" spans="8:26" x14ac:dyDescent="0.25">
      <c r="H101" s="19"/>
      <c r="I101" s="19"/>
      <c r="J101" s="20"/>
      <c r="K101" s="19"/>
      <c r="L101" s="19"/>
      <c r="M101" s="19"/>
      <c r="N101" s="19"/>
      <c r="O101" s="20"/>
      <c r="P101" s="19"/>
      <c r="Q101" s="19"/>
      <c r="R101" s="19"/>
      <c r="S101" s="19"/>
      <c r="T101" s="19"/>
      <c r="U101" s="19"/>
      <c r="X101" s="19"/>
      <c r="Y101" s="61"/>
      <c r="Z101" s="19"/>
    </row>
    <row r="102" spans="8:26" x14ac:dyDescent="0.25">
      <c r="H102" s="19"/>
      <c r="I102" s="19"/>
      <c r="J102" s="20"/>
      <c r="K102" s="19"/>
      <c r="L102" s="19"/>
      <c r="M102" s="19"/>
      <c r="N102" s="19"/>
      <c r="O102" s="20"/>
      <c r="P102" s="19"/>
      <c r="Q102" s="19"/>
      <c r="R102" s="19"/>
      <c r="S102" s="19"/>
      <c r="T102" s="19"/>
      <c r="U102" s="19"/>
      <c r="X102" s="19"/>
      <c r="Y102" s="61"/>
      <c r="Z102" s="19"/>
    </row>
    <row r="103" spans="8:26" x14ac:dyDescent="0.25">
      <c r="H103" s="19"/>
      <c r="I103" s="19"/>
      <c r="J103" s="20"/>
      <c r="K103" s="19"/>
      <c r="L103" s="19"/>
      <c r="M103" s="19"/>
      <c r="N103" s="19"/>
      <c r="O103" s="20"/>
      <c r="P103" s="127"/>
      <c r="Q103" s="19"/>
      <c r="R103" s="19"/>
      <c r="S103" s="19"/>
      <c r="T103" s="19"/>
      <c r="U103" s="19"/>
      <c r="X103" s="19"/>
      <c r="Y103" s="61"/>
      <c r="Z103" s="19"/>
    </row>
    <row r="104" spans="8:26" x14ac:dyDescent="0.25">
      <c r="H104" s="19"/>
      <c r="I104" s="19"/>
      <c r="J104" s="20"/>
      <c r="K104" s="19"/>
      <c r="L104" s="19"/>
      <c r="M104" s="19"/>
      <c r="N104" s="19"/>
      <c r="O104" s="20"/>
      <c r="P104" s="19"/>
      <c r="Q104" s="19"/>
      <c r="R104" s="19"/>
      <c r="S104" s="19"/>
      <c r="T104" s="19"/>
      <c r="U104" s="19"/>
      <c r="X104" s="19"/>
      <c r="Y104" s="61"/>
      <c r="Z104" s="19"/>
    </row>
    <row r="105" spans="8:26" x14ac:dyDescent="0.25">
      <c r="H105" s="19"/>
      <c r="I105" s="19"/>
      <c r="J105" s="20"/>
      <c r="K105" s="19"/>
      <c r="L105" s="19"/>
      <c r="M105" s="19"/>
      <c r="N105" s="19"/>
      <c r="O105" s="20"/>
      <c r="P105" s="19"/>
      <c r="Q105" s="19"/>
      <c r="R105" s="19"/>
      <c r="S105" s="19"/>
      <c r="T105" s="19"/>
      <c r="U105" s="19"/>
      <c r="X105" s="19"/>
      <c r="Y105" s="61"/>
      <c r="Z105" s="19"/>
    </row>
    <row r="106" spans="8:26" x14ac:dyDescent="0.25">
      <c r="H106" s="19"/>
      <c r="I106" s="19"/>
      <c r="J106" s="20"/>
      <c r="K106" s="19"/>
      <c r="L106" s="19"/>
      <c r="M106" s="19"/>
      <c r="N106" s="19"/>
      <c r="O106" s="20"/>
      <c r="P106" s="19"/>
      <c r="Q106" s="19"/>
      <c r="R106" s="19"/>
      <c r="S106" s="19"/>
      <c r="T106" s="19"/>
      <c r="U106" s="19"/>
      <c r="X106" s="19"/>
      <c r="Y106" s="61"/>
      <c r="Z106" s="19"/>
    </row>
    <row r="107" spans="8:26" x14ac:dyDescent="0.25">
      <c r="H107" s="19"/>
      <c r="I107" s="19"/>
      <c r="J107" s="20"/>
      <c r="K107" s="19"/>
      <c r="L107" s="19"/>
      <c r="M107" s="19"/>
      <c r="N107" s="19"/>
      <c r="O107" s="20"/>
      <c r="P107" s="19"/>
      <c r="Q107" s="19"/>
      <c r="R107" s="19"/>
      <c r="S107" s="19"/>
      <c r="T107" s="19"/>
      <c r="U107" s="19"/>
      <c r="X107" s="19"/>
      <c r="Y107" s="61"/>
      <c r="Z107" s="19"/>
    </row>
    <row r="108" spans="8:26" x14ac:dyDescent="0.25">
      <c r="H108" s="19"/>
      <c r="I108" s="19"/>
      <c r="J108" s="20"/>
      <c r="K108" s="19"/>
      <c r="L108" s="19"/>
      <c r="M108" s="19"/>
      <c r="N108" s="19"/>
      <c r="O108" s="20"/>
      <c r="P108" s="19"/>
      <c r="Q108" s="19"/>
      <c r="R108" s="19"/>
      <c r="S108" s="19"/>
      <c r="T108" s="19"/>
      <c r="U108" s="19"/>
      <c r="X108" s="19"/>
      <c r="Y108" s="61"/>
      <c r="Z108" s="19"/>
    </row>
    <row r="109" spans="8:26" x14ac:dyDescent="0.25">
      <c r="H109" s="19"/>
      <c r="I109" s="19"/>
      <c r="J109" s="20"/>
      <c r="K109" s="19"/>
      <c r="L109" s="19"/>
      <c r="M109" s="19"/>
      <c r="N109" s="19"/>
      <c r="O109" s="20"/>
      <c r="P109" s="19"/>
      <c r="Q109" s="19"/>
      <c r="R109" s="19"/>
      <c r="S109" s="19"/>
      <c r="T109" s="19"/>
      <c r="U109" s="19"/>
      <c r="X109" s="19"/>
      <c r="Y109" s="61"/>
      <c r="Z109" s="19"/>
    </row>
    <row r="110" spans="8:26" x14ac:dyDescent="0.25">
      <c r="H110" s="19"/>
      <c r="I110" s="19"/>
      <c r="J110" s="20"/>
      <c r="K110" s="19"/>
      <c r="L110" s="19"/>
      <c r="M110" s="19"/>
      <c r="N110" s="19"/>
      <c r="O110" s="20"/>
      <c r="P110" s="19"/>
      <c r="Q110" s="19"/>
      <c r="R110" s="19"/>
      <c r="S110" s="19"/>
      <c r="T110" s="19"/>
      <c r="U110" s="19"/>
      <c r="X110" s="19"/>
      <c r="Y110" s="61"/>
      <c r="Z110" s="19"/>
    </row>
    <row r="111" spans="8:26" x14ac:dyDescent="0.25">
      <c r="H111" s="19"/>
      <c r="I111" s="19"/>
      <c r="J111" s="20"/>
      <c r="K111" s="19"/>
      <c r="L111" s="19"/>
      <c r="M111" s="19"/>
      <c r="N111" s="19"/>
      <c r="O111" s="20"/>
      <c r="P111" s="19"/>
      <c r="Q111" s="19"/>
      <c r="R111" s="19"/>
      <c r="S111" s="19"/>
      <c r="T111" s="19"/>
      <c r="U111" s="19"/>
      <c r="X111" s="19"/>
      <c r="Y111" s="61"/>
      <c r="Z111" s="19"/>
    </row>
    <row r="112" spans="8:26" x14ac:dyDescent="0.25">
      <c r="H112" s="19"/>
      <c r="I112" s="19"/>
      <c r="J112" s="20"/>
      <c r="K112" s="19"/>
      <c r="L112" s="19"/>
      <c r="M112" s="19"/>
      <c r="N112" s="19"/>
      <c r="O112" s="20"/>
      <c r="P112" s="19"/>
      <c r="Q112" s="19"/>
      <c r="R112" s="19"/>
      <c r="S112" s="19"/>
      <c r="T112" s="19"/>
      <c r="U112" s="19"/>
      <c r="X112" s="19"/>
      <c r="Y112" s="61"/>
      <c r="Z112" s="19"/>
    </row>
    <row r="113" spans="8:26" x14ac:dyDescent="0.25">
      <c r="H113" s="19"/>
      <c r="I113" s="19"/>
      <c r="J113" s="20"/>
      <c r="K113" s="19"/>
      <c r="L113" s="19"/>
      <c r="M113" s="19"/>
      <c r="N113" s="19"/>
      <c r="O113" s="20"/>
      <c r="P113" s="19"/>
      <c r="Q113" s="19"/>
      <c r="R113" s="19"/>
      <c r="S113" s="19"/>
      <c r="T113" s="19"/>
      <c r="U113" s="19"/>
      <c r="X113" s="19"/>
      <c r="Y113" s="61"/>
      <c r="Z113" s="19"/>
    </row>
    <row r="114" spans="8:26" x14ac:dyDescent="0.25">
      <c r="H114" s="19"/>
      <c r="I114" s="19"/>
      <c r="J114" s="20"/>
      <c r="K114" s="19"/>
      <c r="L114" s="19"/>
      <c r="M114" s="19"/>
      <c r="N114" s="19"/>
      <c r="O114" s="20"/>
      <c r="P114" s="19"/>
      <c r="Q114" s="19"/>
      <c r="R114" s="19"/>
      <c r="S114" s="19"/>
      <c r="T114" s="19"/>
      <c r="U114" s="19"/>
      <c r="X114" s="19"/>
      <c r="Y114" s="61"/>
      <c r="Z114" s="19"/>
    </row>
    <row r="115" spans="8:26" x14ac:dyDescent="0.25">
      <c r="H115" s="19"/>
      <c r="I115" s="19"/>
      <c r="J115" s="20"/>
      <c r="K115" s="19"/>
      <c r="L115" s="19"/>
      <c r="M115" s="19"/>
      <c r="N115" s="19"/>
      <c r="O115" s="20"/>
      <c r="P115" s="19"/>
      <c r="Q115" s="19"/>
      <c r="R115" s="19"/>
      <c r="S115" s="19"/>
      <c r="T115" s="19"/>
      <c r="U115" s="19"/>
      <c r="X115" s="19"/>
      <c r="Y115" s="61"/>
      <c r="Z115" s="19"/>
    </row>
    <row r="116" spans="8:26" x14ac:dyDescent="0.25">
      <c r="H116" s="19"/>
      <c r="I116" s="19"/>
      <c r="J116" s="20"/>
      <c r="K116" s="19"/>
      <c r="L116" s="19"/>
      <c r="M116" s="19"/>
      <c r="N116" s="19"/>
      <c r="O116" s="20"/>
      <c r="P116" s="19"/>
      <c r="Q116" s="19"/>
      <c r="R116" s="19"/>
      <c r="S116" s="19"/>
      <c r="T116" s="19"/>
      <c r="U116" s="19"/>
      <c r="X116" s="19"/>
      <c r="Y116" s="61"/>
      <c r="Z116" s="19"/>
    </row>
    <row r="117" spans="8:26" x14ac:dyDescent="0.25">
      <c r="H117" s="19"/>
      <c r="I117" s="19"/>
      <c r="J117" s="20"/>
      <c r="K117" s="19"/>
      <c r="L117" s="19"/>
      <c r="M117" s="19"/>
      <c r="N117" s="19"/>
      <c r="O117" s="20"/>
      <c r="P117" s="19"/>
      <c r="Q117" s="19"/>
      <c r="R117" s="19"/>
      <c r="S117" s="19"/>
      <c r="T117" s="19"/>
      <c r="U117" s="19"/>
      <c r="X117" s="19"/>
      <c r="Y117" s="61"/>
      <c r="Z117" s="19"/>
    </row>
    <row r="118" spans="8:26" x14ac:dyDescent="0.25">
      <c r="H118" s="19"/>
      <c r="I118" s="19"/>
      <c r="J118" s="20"/>
      <c r="K118" s="19"/>
      <c r="L118" s="19"/>
      <c r="M118" s="19"/>
      <c r="N118" s="19"/>
      <c r="O118" s="20"/>
      <c r="P118" s="19"/>
      <c r="Q118" s="19"/>
      <c r="R118" s="19"/>
      <c r="S118" s="19"/>
      <c r="T118" s="19"/>
      <c r="U118" s="19"/>
      <c r="X118" s="19"/>
      <c r="Y118" s="61"/>
      <c r="Z118" s="19"/>
    </row>
    <row r="119" spans="8:26" x14ac:dyDescent="0.25">
      <c r="H119" s="19"/>
      <c r="I119" s="19"/>
      <c r="J119" s="20"/>
      <c r="K119" s="19"/>
      <c r="L119" s="19"/>
      <c r="M119" s="19"/>
      <c r="N119" s="19"/>
      <c r="O119" s="20"/>
      <c r="P119" s="19"/>
      <c r="Q119" s="19"/>
      <c r="R119" s="19"/>
      <c r="S119" s="19"/>
      <c r="T119" s="19"/>
      <c r="U119" s="19"/>
      <c r="X119" s="19"/>
      <c r="Y119" s="61"/>
      <c r="Z119" s="19"/>
    </row>
    <row r="120" spans="8:26" x14ac:dyDescent="0.25">
      <c r="H120" s="19"/>
      <c r="I120" s="19"/>
      <c r="J120" s="20"/>
      <c r="K120" s="19"/>
      <c r="L120" s="19"/>
      <c r="M120" s="19"/>
      <c r="N120" s="19"/>
      <c r="O120" s="20"/>
      <c r="P120" s="19"/>
      <c r="Q120" s="19"/>
      <c r="R120" s="19"/>
      <c r="S120" s="19"/>
      <c r="T120" s="19"/>
      <c r="U120" s="19"/>
      <c r="X120" s="19"/>
      <c r="Y120" s="61"/>
      <c r="Z120" s="19"/>
    </row>
    <row r="121" spans="8:26" x14ac:dyDescent="0.25">
      <c r="H121" s="19"/>
      <c r="I121" s="19"/>
      <c r="J121" s="20"/>
      <c r="K121" s="19"/>
      <c r="L121" s="19"/>
      <c r="M121" s="19"/>
      <c r="N121" s="19"/>
      <c r="O121" s="20"/>
      <c r="P121" s="19"/>
      <c r="Q121" s="19"/>
      <c r="R121" s="19"/>
      <c r="S121" s="19"/>
      <c r="T121" s="19"/>
      <c r="U121" s="19"/>
      <c r="X121" s="19"/>
      <c r="Y121" s="61"/>
      <c r="Z121" s="19"/>
    </row>
    <row r="122" spans="8:26" x14ac:dyDescent="0.25">
      <c r="H122" s="19"/>
      <c r="I122" s="19"/>
      <c r="J122" s="20"/>
      <c r="K122" s="19"/>
      <c r="L122" s="19"/>
      <c r="M122" s="19"/>
      <c r="N122" s="19"/>
      <c r="O122" s="20"/>
      <c r="P122" s="19"/>
      <c r="Q122" s="19"/>
      <c r="R122" s="19"/>
      <c r="S122" s="19"/>
      <c r="T122" s="19"/>
      <c r="U122" s="19"/>
      <c r="X122" s="19"/>
      <c r="Y122" s="61"/>
      <c r="Z122" s="19"/>
    </row>
    <row r="123" spans="8:26" x14ac:dyDescent="0.25">
      <c r="H123" s="19"/>
      <c r="I123" s="19"/>
      <c r="J123" s="20"/>
      <c r="K123" s="19"/>
      <c r="L123" s="19"/>
      <c r="M123" s="19"/>
      <c r="N123" s="19"/>
      <c r="O123" s="20"/>
      <c r="P123" s="19"/>
      <c r="Q123" s="19"/>
      <c r="R123" s="19"/>
      <c r="S123" s="19"/>
      <c r="T123" s="19"/>
      <c r="U123" s="19"/>
      <c r="X123" s="19"/>
      <c r="Y123" s="61"/>
      <c r="Z123" s="19"/>
    </row>
    <row r="124" spans="8:26" x14ac:dyDescent="0.25">
      <c r="H124" s="19"/>
      <c r="I124" s="19"/>
      <c r="J124" s="20"/>
      <c r="K124" s="19"/>
      <c r="L124" s="19"/>
      <c r="M124" s="19"/>
      <c r="N124" s="19"/>
      <c r="O124" s="20"/>
      <c r="P124" s="19"/>
      <c r="Q124" s="19"/>
      <c r="R124" s="19"/>
      <c r="S124" s="19"/>
      <c r="T124" s="19"/>
      <c r="U124" s="19"/>
      <c r="X124" s="19"/>
      <c r="Y124" s="61"/>
      <c r="Z124" s="19"/>
    </row>
    <row r="125" spans="8:26" x14ac:dyDescent="0.25">
      <c r="H125" s="19"/>
      <c r="I125" s="19"/>
      <c r="J125" s="20"/>
      <c r="K125" s="19"/>
      <c r="L125" s="19"/>
      <c r="M125" s="19"/>
      <c r="N125" s="19"/>
      <c r="O125" s="20"/>
      <c r="P125" s="19"/>
      <c r="Q125" s="19"/>
      <c r="R125" s="19"/>
      <c r="S125" s="19"/>
      <c r="T125" s="19"/>
      <c r="U125" s="19"/>
      <c r="X125" s="19"/>
      <c r="Y125" s="61"/>
      <c r="Z125" s="19"/>
    </row>
    <row r="126" spans="8:26" x14ac:dyDescent="0.25">
      <c r="H126" s="19"/>
      <c r="I126" s="19"/>
      <c r="J126" s="20"/>
      <c r="K126" s="19"/>
      <c r="L126" s="19"/>
      <c r="M126" s="19"/>
      <c r="N126" s="19"/>
      <c r="O126" s="20"/>
      <c r="P126" s="19"/>
      <c r="Q126" s="19"/>
      <c r="R126" s="19"/>
      <c r="S126" s="19"/>
      <c r="T126" s="19"/>
      <c r="U126" s="19"/>
      <c r="X126" s="19"/>
      <c r="Y126" s="61"/>
      <c r="Z126" s="19"/>
    </row>
    <row r="127" spans="8:26" x14ac:dyDescent="0.25">
      <c r="H127" s="19"/>
      <c r="I127" s="19"/>
      <c r="J127" s="20"/>
      <c r="K127" s="19"/>
      <c r="L127" s="19"/>
      <c r="M127" s="19"/>
      <c r="N127" s="19"/>
      <c r="O127" s="20"/>
      <c r="P127" s="19"/>
      <c r="Q127" s="19"/>
      <c r="R127" s="19"/>
      <c r="S127" s="19"/>
      <c r="T127" s="19"/>
      <c r="U127" s="19"/>
      <c r="X127" s="19"/>
      <c r="Y127" s="61"/>
      <c r="Z127" s="19"/>
    </row>
  </sheetData>
  <autoFilter ref="A3:AF92" xr:uid="{8DCBFCA0-E1D3-4556-837F-A2CB1B42559E}"/>
  <mergeCells count="1">
    <mergeCell ref="A1:B1"/>
  </mergeCells>
  <phoneticPr fontId="3" type="noConversion"/>
  <conditionalFormatting sqref="J3:J91">
    <cfRule type="cellIs" dxfId="1" priority="1" operator="greaterThan">
      <formula>0.2</formula>
    </cfRule>
  </conditionalFormatting>
  <conditionalFormatting sqref="O3">
    <cfRule type="cellIs" dxfId="0" priority="3" operator="greaterThan">
      <formula>0.2</formula>
    </cfRule>
  </conditionalFormatting>
  <pageMargins left="0.7" right="0.7" top="0.75" bottom="0.75" header="0.3" footer="0.3"/>
  <pageSetup paperSize="9" scale="27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B4A067-2142-4492-81EC-FD616E747C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9E2B74-71C3-452A-B5E8-FAB8EF688843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C2C2543E-EE46-4174-8B26-779AE0580A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Numbers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2024-11-04T11:05:17Z</dcterms:created>
  <dcterms:modified xsi:type="dcterms:W3CDTF">2026-06-22T16:25:07Z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
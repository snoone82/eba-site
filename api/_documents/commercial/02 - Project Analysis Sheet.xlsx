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CANT EDIT PROTECTED/"/>
    </mc:Choice>
  </mc:AlternateContent>
  <xr:revisionPtr revIDLastSave="298" documentId="8_{9AF04BEA-BE68-4338-8F13-760832AB22C8}" xr6:coauthVersionLast="47" xr6:coauthVersionMax="47" xr10:uidLastSave="{72DDE9F2-DA3F-48AA-9E7C-4981DED6132F}"/>
  <bookViews>
    <workbookView xWindow="-120" yWindow="-120" windowWidth="51840" windowHeight="21120" xr2:uid="{00000000-000D-0000-FFFF-FFFF00000000}"/>
  </bookViews>
  <sheets>
    <sheet name="Summary" sheetId="8" r:id="rId1"/>
    <sheet name="Analysis" sheetId="1" r:id="rId2"/>
    <sheet name="Prelims" sheetId="3" r:id="rId3"/>
    <sheet name="NOTES" sheetId="9" r:id="rId4"/>
  </sheets>
  <definedNames>
    <definedName name="__123Graph_A" hidden="1">#REF!</definedName>
    <definedName name="__123Graph_B" hidden="1">#REF!</definedName>
    <definedName name="__123Graph_C" hidden="1">#REF!</definedName>
    <definedName name="__123Graph_X" hidden="1">#REF!</definedName>
    <definedName name="_1__123Graph_ACHART_2" hidden="1">#REF!</definedName>
    <definedName name="_2__123Graph_BCHART_2" hidden="1">#REF!</definedName>
    <definedName name="_3__123Graph_CCHART_2" hidden="1">#REF!</definedName>
    <definedName name="_4__123Graph_XCHART_2" hidden="1">#REF!</definedName>
    <definedName name="MJR">#REF!</definedName>
    <definedName name="Period">#REF!</definedName>
    <definedName name="_xlnm.Print_Area" localSheetId="1">Analysis!$A$1:$CR$135</definedName>
    <definedName name="_xlnm.Print_Area" localSheetId="0">Summary!$A$1:$H$52</definedName>
    <definedName name="_xlnm.Print_Titles" localSheetId="1">Analysis!$1:$9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54" i="1" l="1"/>
  <c r="CM54" i="1"/>
  <c r="N132" i="1"/>
  <c r="J99" i="1"/>
  <c r="K99" i="1" s="1"/>
  <c r="CR132" i="1"/>
  <c r="K106" i="1"/>
  <c r="V17" i="3"/>
  <c r="V16" i="3"/>
  <c r="V12" i="3"/>
  <c r="V9" i="3"/>
  <c r="CU132" i="1" l="1"/>
  <c r="CQ106" i="1" l="1"/>
  <c r="R12" i="3"/>
  <c r="T8" i="3"/>
  <c r="T17" i="3"/>
  <c r="S17" i="3"/>
  <c r="R17" i="3"/>
  <c r="Q17" i="3"/>
  <c r="P17" i="3"/>
  <c r="O17" i="3"/>
  <c r="N17" i="3"/>
  <c r="S8" i="3" l="1"/>
  <c r="R8" i="3"/>
  <c r="Q8" i="3"/>
  <c r="P8" i="3"/>
  <c r="O8" i="3"/>
  <c r="N8" i="3"/>
  <c r="R16" i="3"/>
  <c r="Q16" i="3"/>
  <c r="P16" i="3"/>
  <c r="O16" i="3"/>
  <c r="N16" i="3"/>
  <c r="Q12" i="3" l="1"/>
  <c r="P12" i="3"/>
  <c r="O12" i="3"/>
  <c r="N12" i="3"/>
  <c r="BL132" i="1"/>
  <c r="BL54" i="1"/>
  <c r="BL182" i="1" s="1"/>
  <c r="BV132" i="1"/>
  <c r="BV54" i="1"/>
  <c r="BW54" i="1"/>
  <c r="BW132" i="1"/>
  <c r="BJ54" i="1"/>
  <c r="BJ182" i="1" s="1"/>
  <c r="BJ132" i="1"/>
  <c r="BU54" i="1"/>
  <c r="BT54" i="1"/>
  <c r="A138" i="1"/>
  <c r="I138" i="1"/>
  <c r="A139" i="1"/>
  <c r="I139" i="1"/>
  <c r="A140" i="1"/>
  <c r="I140" i="1"/>
  <c r="A141" i="1"/>
  <c r="I141" i="1"/>
  <c r="A142" i="1"/>
  <c r="I142" i="1"/>
  <c r="A143" i="1"/>
  <c r="I143" i="1"/>
  <c r="A144" i="1"/>
  <c r="I144" i="1"/>
  <c r="A145" i="1"/>
  <c r="I145" i="1"/>
  <c r="A146" i="1"/>
  <c r="I146" i="1"/>
  <c r="A147" i="1"/>
  <c r="I147" i="1"/>
  <c r="CK54" i="1"/>
  <c r="CN132" i="1"/>
  <c r="CN54" i="1"/>
  <c r="CM132" i="1"/>
  <c r="CM182" i="1" s="1"/>
  <c r="L54" i="1"/>
  <c r="O132" i="1"/>
  <c r="J132" i="1"/>
  <c r="J100" i="1"/>
  <c r="A176" i="1"/>
  <c r="I176" i="1"/>
  <c r="A177" i="1"/>
  <c r="I177" i="1"/>
  <c r="A178" i="1"/>
  <c r="I178" i="1"/>
  <c r="A148" i="1"/>
  <c r="I148" i="1"/>
  <c r="A149" i="1"/>
  <c r="I149" i="1"/>
  <c r="A150" i="1"/>
  <c r="I150" i="1"/>
  <c r="A151" i="1"/>
  <c r="I151" i="1"/>
  <c r="A152" i="1"/>
  <c r="I152" i="1"/>
  <c r="A153" i="1"/>
  <c r="I153" i="1"/>
  <c r="A154" i="1"/>
  <c r="I154" i="1"/>
  <c r="A155" i="1"/>
  <c r="I155" i="1"/>
  <c r="A156" i="1"/>
  <c r="I156" i="1"/>
  <c r="A157" i="1"/>
  <c r="I157" i="1"/>
  <c r="A158" i="1"/>
  <c r="I158" i="1"/>
  <c r="A159" i="1"/>
  <c r="I159" i="1"/>
  <c r="A160" i="1"/>
  <c r="I160" i="1"/>
  <c r="A161" i="1"/>
  <c r="I161" i="1"/>
  <c r="A162" i="1"/>
  <c r="I162" i="1"/>
  <c r="A163" i="1"/>
  <c r="I163" i="1"/>
  <c r="A164" i="1"/>
  <c r="I164" i="1"/>
  <c r="A165" i="1"/>
  <c r="I165" i="1"/>
  <c r="A166" i="1"/>
  <c r="I166" i="1"/>
  <c r="A167" i="1"/>
  <c r="I167" i="1"/>
  <c r="A168" i="1"/>
  <c r="I168" i="1"/>
  <c r="A169" i="1"/>
  <c r="I169" i="1"/>
  <c r="A170" i="1"/>
  <c r="I170" i="1"/>
  <c r="A171" i="1"/>
  <c r="I171" i="1"/>
  <c r="A172" i="1"/>
  <c r="I172" i="1"/>
  <c r="A173" i="1"/>
  <c r="I173" i="1"/>
  <c r="A174" i="1"/>
  <c r="I174" i="1"/>
  <c r="A175" i="1"/>
  <c r="I175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59" i="1"/>
  <c r="A58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59" i="1"/>
  <c r="I58" i="1"/>
  <c r="K73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59" i="1"/>
  <c r="K58" i="1"/>
  <c r="CP54" i="1"/>
  <c r="CO54" i="1"/>
  <c r="CN182" i="1" l="1"/>
  <c r="BV182" i="1"/>
  <c r="BW182" i="1"/>
  <c r="BL102" i="1"/>
  <c r="BW102" i="1"/>
  <c r="BV102" i="1"/>
  <c r="BJ102" i="1"/>
  <c r="BX54" i="1"/>
  <c r="J54" i="1"/>
  <c r="CM102" i="1"/>
  <c r="CN102" i="1"/>
  <c r="K132" i="1"/>
  <c r="K100" i="1"/>
  <c r="C11" i="8"/>
  <c r="B12" i="8"/>
  <c r="B22" i="8" s="1"/>
  <c r="B31" i="8" s="1"/>
  <c r="F12" i="8"/>
  <c r="F22" i="8" s="1"/>
  <c r="F19" i="8"/>
  <c r="G24" i="8"/>
  <c r="G25" i="8"/>
  <c r="F27" i="8"/>
  <c r="F37" i="8"/>
  <c r="G35" i="8"/>
  <c r="G36" i="8"/>
  <c r="F47" i="8"/>
  <c r="F31" i="8" l="1"/>
  <c r="F48" i="8"/>
  <c r="F38" i="8"/>
  <c r="F39" i="8" s="1"/>
  <c r="CP132" i="1" l="1"/>
  <c r="CP182" i="1" s="1"/>
  <c r="CO132" i="1"/>
  <c r="CO182" i="1" s="1"/>
  <c r="CL132" i="1"/>
  <c r="CL182" i="1" s="1"/>
  <c r="CK132" i="1"/>
  <c r="CK182" i="1" s="1"/>
  <c r="CJ132" i="1"/>
  <c r="CI132" i="1"/>
  <c r="CH132" i="1"/>
  <c r="CG132" i="1"/>
  <c r="CF132" i="1"/>
  <c r="CE132" i="1"/>
  <c r="CD132" i="1"/>
  <c r="CC132" i="1"/>
  <c r="CB132" i="1"/>
  <c r="F192" i="1" l="1"/>
  <c r="D18" i="8" s="1"/>
  <c r="BX132" i="1" l="1"/>
  <c r="BX182" i="1" s="1"/>
  <c r="BU132" i="1"/>
  <c r="BU182" i="1" s="1"/>
  <c r="BX102" i="1"/>
  <c r="BU102" i="1"/>
  <c r="BT102" i="1"/>
  <c r="BY132" i="1"/>
  <c r="BT132" i="1"/>
  <c r="BT182" i="1" s="1"/>
  <c r="BS132" i="1"/>
  <c r="BR132" i="1"/>
  <c r="BQ132" i="1"/>
  <c r="BP132" i="1"/>
  <c r="BO132" i="1"/>
  <c r="BN132" i="1"/>
  <c r="BM132" i="1"/>
  <c r="BK132" i="1"/>
  <c r="BH132" i="1"/>
  <c r="BG132" i="1"/>
  <c r="BF132" i="1"/>
  <c r="BE132" i="1"/>
  <c r="BD132" i="1"/>
  <c r="BC132" i="1"/>
  <c r="BB132" i="1"/>
  <c r="BA132" i="1"/>
  <c r="AZ132" i="1"/>
  <c r="AY132" i="1"/>
  <c r="V8" i="3" l="1"/>
  <c r="CV132" i="1"/>
  <c r="V19" i="3" l="1"/>
  <c r="V18" i="3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R132" i="1"/>
  <c r="Q132" i="1"/>
  <c r="P132" i="1"/>
  <c r="M132" i="1"/>
  <c r="AV102" i="1"/>
  <c r="V10" i="3"/>
  <c r="CL102" i="1"/>
  <c r="CP102" i="1"/>
  <c r="BY54" i="1"/>
  <c r="BY182" i="1" s="1"/>
  <c r="BS54" i="1"/>
  <c r="BS182" i="1" s="1"/>
  <c r="CA54" i="1"/>
  <c r="CB54" i="1"/>
  <c r="CB182" i="1" s="1"/>
  <c r="CC54" i="1"/>
  <c r="CC182" i="1" s="1"/>
  <c r="CD54" i="1"/>
  <c r="CD182" i="1" s="1"/>
  <c r="CE54" i="1"/>
  <c r="CE182" i="1" s="1"/>
  <c r="CF54" i="1"/>
  <c r="CF182" i="1" s="1"/>
  <c r="CG54" i="1"/>
  <c r="CG182" i="1" s="1"/>
  <c r="CH54" i="1"/>
  <c r="CH182" i="1" s="1"/>
  <c r="CI54" i="1"/>
  <c r="CI182" i="1" s="1"/>
  <c r="CJ54" i="1"/>
  <c r="CJ182" i="1" s="1"/>
  <c r="AZ54" i="1"/>
  <c r="AZ182" i="1" s="1"/>
  <c r="BA54" i="1"/>
  <c r="BA182" i="1" s="1"/>
  <c r="BB54" i="1"/>
  <c r="BB182" i="1" s="1"/>
  <c r="BC54" i="1"/>
  <c r="BC182" i="1" s="1"/>
  <c r="BD54" i="1"/>
  <c r="BD182" i="1" s="1"/>
  <c r="BE54" i="1"/>
  <c r="BE182" i="1" s="1"/>
  <c r="BF54" i="1"/>
  <c r="BF182" i="1" s="1"/>
  <c r="BG54" i="1"/>
  <c r="BG182" i="1" s="1"/>
  <c r="BH54" i="1"/>
  <c r="BH182" i="1" s="1"/>
  <c r="BI54" i="1"/>
  <c r="BK54" i="1"/>
  <c r="BK182" i="1" s="1"/>
  <c r="BM54" i="1"/>
  <c r="BM182" i="1" s="1"/>
  <c r="BN54" i="1"/>
  <c r="BN182" i="1" s="1"/>
  <c r="BO54" i="1"/>
  <c r="BO182" i="1" s="1"/>
  <c r="BP54" i="1"/>
  <c r="BP182" i="1" s="1"/>
  <c r="BQ54" i="1"/>
  <c r="BQ182" i="1" s="1"/>
  <c r="BR54" i="1"/>
  <c r="BR182" i="1" s="1"/>
  <c r="AU54" i="1"/>
  <c r="AU182" i="1" s="1"/>
  <c r="AW54" i="1"/>
  <c r="AW182" i="1" s="1"/>
  <c r="AX54" i="1"/>
  <c r="AX182" i="1" s="1"/>
  <c r="AQ54" i="1"/>
  <c r="AQ182" i="1" s="1"/>
  <c r="AR54" i="1"/>
  <c r="AR182" i="1" s="1"/>
  <c r="AS54" i="1"/>
  <c r="AS182" i="1" s="1"/>
  <c r="AT54" i="1"/>
  <c r="AT182" i="1" s="1"/>
  <c r="AP54" i="1"/>
  <c r="AP182" i="1" s="1"/>
  <c r="AN54" i="1"/>
  <c r="AN182" i="1" s="1"/>
  <c r="AO54" i="1"/>
  <c r="AO182" i="1" s="1"/>
  <c r="AH54" i="1"/>
  <c r="AI54" i="1"/>
  <c r="AI182" i="1" s="1"/>
  <c r="AJ54" i="1"/>
  <c r="AJ182" i="1" s="1"/>
  <c r="AE54" i="1"/>
  <c r="AF54" i="1"/>
  <c r="AG54" i="1"/>
  <c r="AG182" i="1" s="1"/>
  <c r="Y54" i="1"/>
  <c r="Y182" i="1" s="1"/>
  <c r="Z54" i="1"/>
  <c r="Z182" i="1" s="1"/>
  <c r="AA54" i="1"/>
  <c r="U54" i="1"/>
  <c r="V54" i="1"/>
  <c r="W54" i="1"/>
  <c r="W182" i="1" s="1"/>
  <c r="R54" i="1"/>
  <c r="M54" i="1"/>
  <c r="N54" i="1"/>
  <c r="N182" i="1" s="1"/>
  <c r="O54" i="1"/>
  <c r="O182" i="1" s="1"/>
  <c r="P54" i="1"/>
  <c r="Q54" i="1"/>
  <c r="Q182" i="1" s="1"/>
  <c r="BI132" i="1"/>
  <c r="F190" i="1" s="1"/>
  <c r="D16" i="8" s="1"/>
  <c r="S132" i="1"/>
  <c r="T132" i="1"/>
  <c r="AF182" i="1" l="1"/>
  <c r="AE182" i="1"/>
  <c r="AV182" i="1"/>
  <c r="P182" i="1"/>
  <c r="R182" i="1"/>
  <c r="M182" i="1"/>
  <c r="AH182" i="1"/>
  <c r="BI182" i="1"/>
  <c r="V182" i="1"/>
  <c r="U182" i="1"/>
  <c r="AA182" i="1"/>
  <c r="BA102" i="1"/>
  <c r="V20" i="3"/>
  <c r="E190" i="1"/>
  <c r="C16" i="8" s="1"/>
  <c r="CE102" i="1"/>
  <c r="E189" i="1"/>
  <c r="C15" i="8" s="1"/>
  <c r="G190" i="1"/>
  <c r="E16" i="8" s="1"/>
  <c r="C190" i="1"/>
  <c r="CO102" i="1"/>
  <c r="E192" i="1"/>
  <c r="C18" i="8" s="1"/>
  <c r="E191" i="1"/>
  <c r="C17" i="8" s="1"/>
  <c r="BY102" i="1"/>
  <c r="BS102" i="1"/>
  <c r="Q102" i="1"/>
  <c r="P102" i="1"/>
  <c r="O102" i="1"/>
  <c r="N102" i="1"/>
  <c r="M102" i="1"/>
  <c r="R102" i="1"/>
  <c r="W102" i="1"/>
  <c r="V102" i="1"/>
  <c r="U102" i="1"/>
  <c r="AA102" i="1"/>
  <c r="Z102" i="1"/>
  <c r="Y102" i="1"/>
  <c r="AG102" i="1"/>
  <c r="AF102" i="1"/>
  <c r="AE102" i="1"/>
  <c r="AJ102" i="1"/>
  <c r="AI102" i="1"/>
  <c r="AH102" i="1"/>
  <c r="AO102" i="1"/>
  <c r="AN102" i="1"/>
  <c r="AP102" i="1"/>
  <c r="AT102" i="1"/>
  <c r="AS102" i="1"/>
  <c r="AR102" i="1"/>
  <c r="AQ102" i="1"/>
  <c r="AX102" i="1"/>
  <c r="AW102" i="1"/>
  <c r="AU102" i="1"/>
  <c r="BR102" i="1"/>
  <c r="BQ102" i="1"/>
  <c r="BP102" i="1"/>
  <c r="BO102" i="1"/>
  <c r="BN102" i="1"/>
  <c r="BM102" i="1"/>
  <c r="BK102" i="1"/>
  <c r="BI102" i="1"/>
  <c r="BH102" i="1"/>
  <c r="BG102" i="1"/>
  <c r="BF102" i="1"/>
  <c r="BE102" i="1"/>
  <c r="BD102" i="1"/>
  <c r="BC102" i="1"/>
  <c r="BB102" i="1"/>
  <c r="AZ102" i="1"/>
  <c r="CJ102" i="1"/>
  <c r="CI102" i="1"/>
  <c r="CH102" i="1"/>
  <c r="CG102" i="1"/>
  <c r="CF102" i="1"/>
  <c r="CD102" i="1"/>
  <c r="CC102" i="1"/>
  <c r="CB102" i="1"/>
  <c r="CA102" i="1"/>
  <c r="CK102" i="1"/>
  <c r="G188" i="1"/>
  <c r="E14" i="8" s="1"/>
  <c r="CV133" i="1"/>
  <c r="CT132" i="1"/>
  <c r="CU133" i="1"/>
  <c r="B34" i="8" l="1"/>
  <c r="B16" i="8"/>
  <c r="G16" i="8" s="1"/>
  <c r="E188" i="1"/>
  <c r="C14" i="8" s="1"/>
  <c r="B14" i="8" s="1"/>
  <c r="H190" i="1"/>
  <c r="C192" i="1" l="1" a="1"/>
  <c r="C192" i="1" s="1"/>
  <c r="G192" i="1"/>
  <c r="E18" i="8" s="1"/>
  <c r="B18" i="8" s="1"/>
  <c r="G18" i="8" s="1"/>
  <c r="G191" i="1"/>
  <c r="E17" i="8" s="1"/>
  <c r="B17" i="8" s="1"/>
  <c r="E194" i="1"/>
  <c r="C19" i="8"/>
  <c r="G34" i="8"/>
  <c r="H192" i="1" l="1"/>
  <c r="AK54" i="1"/>
  <c r="AK182" i="1" s="1"/>
  <c r="AD54" i="1"/>
  <c r="AD182" i="1" s="1"/>
  <c r="AC54" i="1"/>
  <c r="AC182" i="1" s="1"/>
  <c r="AB54" i="1"/>
  <c r="AB182" i="1" s="1"/>
  <c r="X54" i="1"/>
  <c r="X182" i="1" s="1"/>
  <c r="AL54" i="1"/>
  <c r="AL182" i="1" s="1"/>
  <c r="CR54" i="1"/>
  <c r="B33" i="8" s="1"/>
  <c r="BZ54" i="1"/>
  <c r="AY54" i="1"/>
  <c r="AY182" i="1" s="1"/>
  <c r="AM54" i="1"/>
  <c r="AM182" i="1" s="1"/>
  <c r="T54" i="1"/>
  <c r="T182" i="1" s="1"/>
  <c r="S54" i="1"/>
  <c r="S182" i="1" s="1"/>
  <c r="G33" i="8" l="1"/>
  <c r="B37" i="8"/>
  <c r="L102" i="1"/>
  <c r="S102" i="1"/>
  <c r="T102" i="1"/>
  <c r="AM102" i="1"/>
  <c r="AY102" i="1"/>
  <c r="BZ102" i="1"/>
  <c r="AL102" i="1"/>
  <c r="X102" i="1"/>
  <c r="AB102" i="1"/>
  <c r="AC102" i="1"/>
  <c r="AD102" i="1"/>
  <c r="AK102" i="1"/>
  <c r="G45" i="8" l="1"/>
  <c r="G44" i="8"/>
  <c r="G37" i="8"/>
  <c r="G46" i="8"/>
  <c r="G43" i="8"/>
  <c r="L132" i="1"/>
  <c r="L182" i="1" s="1"/>
  <c r="BZ132" i="1"/>
  <c r="BZ182" i="1" s="1"/>
  <c r="CA132" i="1"/>
  <c r="CA182" i="1" s="1"/>
  <c r="G47" i="8" l="1"/>
  <c r="G49" i="8"/>
  <c r="G50" i="8"/>
  <c r="G48" i="8"/>
  <c r="K54" i="1"/>
  <c r="K182" i="1" s="1"/>
  <c r="G189" i="1"/>
  <c r="E15" i="8" s="1"/>
  <c r="F189" i="1"/>
  <c r="D15" i="8" s="1"/>
  <c r="F191" i="1"/>
  <c r="D17" i="8" s="1"/>
  <c r="G17" i="8" s="1"/>
  <c r="C191" i="1"/>
  <c r="CQ54" i="1"/>
  <c r="CR55" i="1" s="1"/>
  <c r="C188" i="1"/>
  <c r="CQ132" i="1"/>
  <c r="E19" i="8" l="1"/>
  <c r="B15" i="8"/>
  <c r="G15" i="8" s="1"/>
  <c r="CR133" i="1"/>
  <c r="CR134" i="1" s="1"/>
  <c r="C189" i="1"/>
  <c r="H191" i="1"/>
  <c r="F188" i="1"/>
  <c r="D14" i="8" s="1"/>
  <c r="CQ182" i="1" l="1"/>
  <c r="D19" i="8"/>
  <c r="F194" i="1"/>
  <c r="H188" i="1"/>
  <c r="G194" i="1"/>
  <c r="B26" i="8" s="1"/>
  <c r="H189" i="1"/>
  <c r="CR56" i="1"/>
  <c r="G26" i="8" l="1"/>
  <c r="B27" i="8"/>
  <c r="G14" i="8"/>
  <c r="B19" i="8"/>
  <c r="B29" i="8" l="1"/>
  <c r="G19" i="8"/>
  <c r="B38" i="8"/>
  <c r="G51" i="8"/>
  <c r="G38" i="8" l="1"/>
  <c r="B39" i="8"/>
  <c r="G3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Nigel Greenwood</author>
    <author>tc={B1CA0F5E-9DD5-4241-8B29-221F6339C661}</author>
    <author>tc={271CCDBD-FD0F-4980-BAE5-9DFA32F665C2}</author>
    <author>Guy Grenville</author>
    <author>tc={EEF5167A-AD57-485D-9A73-E4D7F53F024A}</author>
    <author>tc={DA28235E-5BDA-4824-A772-F825B90F6E5F}</author>
    <author>tc={40ADDA99-0465-4E09-9ADD-2E65048CEF7B}</author>
    <author>tc={B4EF36F9-3650-436C-AC2C-C360C05E48C2}</author>
  </authors>
  <commentList>
    <comment ref="K7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Input Tender Labour rate here
</t>
        </r>
      </text>
    </comment>
    <comment ref="AZ115" authorId="1" shapeId="0" xr:uid="{B1CA0F5E-9DD5-4241-8B29-221F6339C661}">
      <text>
        <t>[Threaded comment]
Your version of Excel allows you to read this threaded comment; however, any edits to it will get removed if the file is opened in a newer version of Excel. Learn more: https://go.microsoft.com/fwlink/?linkid=870924
Comment:
    Canopy works?</t>
      </text>
    </comment>
    <comment ref="AZ117" authorId="2" shapeId="0" xr:uid="{271CCDBD-FD0F-4980-BAE5-9DFA32F665C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Canopy works?
Reply:
    Ryan, As discussed this sum has been allocated for canopy connection, supports &amp; Cleaning</t>
      </text>
    </comment>
    <comment ref="CD138" authorId="3" shapeId="0" xr:uid="{2D5E6761-2081-4E60-8CAC-9D95E8A64A20}">
      <text>
        <r>
          <rPr>
            <b/>
            <sz val="9"/>
            <color indexed="81"/>
            <rFont val="Tahoma"/>
            <family val="2"/>
          </rPr>
          <t>Guy Grenville:</t>
        </r>
        <r>
          <rPr>
            <sz val="9"/>
            <color indexed="81"/>
            <rFont val="Tahoma"/>
            <family val="2"/>
          </rPr>
          <t xml:space="preserve">
1 Visit per Month @ £450</t>
        </r>
      </text>
    </comment>
    <comment ref="CN138" authorId="3" shapeId="0" xr:uid="{0B2660E7-3B84-42A2-A562-F77C83011F8D}">
      <text>
        <r>
          <rPr>
            <b/>
            <sz val="9"/>
            <color indexed="81"/>
            <rFont val="Tahoma"/>
            <charset val="1"/>
          </rPr>
          <t>Guy Grenville:</t>
        </r>
        <r>
          <rPr>
            <sz val="9"/>
            <color indexed="81"/>
            <rFont val="Tahoma"/>
            <charset val="1"/>
          </rPr>
          <t xml:space="preserve">
Design Expenses</t>
        </r>
      </text>
    </comment>
    <comment ref="Q143" authorId="4" shapeId="0" xr:uid="{EEF5167A-AD57-485D-9A73-E4D7F53F024A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Poole Steam Control Valve Fisair 1899</t>
      </text>
    </comment>
    <comment ref="AI143" authorId="5" shapeId="0" xr:uid="{DA28235E-5BDA-4824-A772-F825B90F6E5F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/ Guess
Reply:
    Actual from DQD</t>
      </text>
    </comment>
    <comment ref="AM143" authorId="6" shapeId="0" xr:uid="{40ADDA99-0465-4E09-9ADD-2E65048CEF7B}">
      <text>
        <t>[Threaded comment]
Your version of Excel allows you to read this threaded comment; however, any edits to it will get removed if the file is opened in a newer version of Excel. Learn more: https://go.microsoft.com/fwlink/?linkid=870924
Comment:
    @Stuart Poole Split delivery cost Fisair</t>
      </text>
    </comment>
    <comment ref="BE144" authorId="7" shapeId="0" xr:uid="{B4EF36F9-3650-436C-AC2C-C360C05E48C2}">
      <text>
        <t>[Threaded comment]
Your version of Excel allows you to read this threaded comment; however, any edits to it will get removed if the file is opened in a newer version of Excel. Learn more: https://go.microsoft.com/fwlink/?linkid=870924
Comment:
    Omiited from FSM quote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<sst xmlns="http://schemas.openxmlformats.org/spreadsheetml/2006/main" count="214" uniqueCount="189">
  <si>
    <t>PROJECT ANALYSIS SHEET</t>
  </si>
  <si>
    <t>Project Number:</t>
  </si>
  <si>
    <t>Customer:</t>
  </si>
  <si>
    <t>Programme Dates</t>
  </si>
  <si>
    <t>Project Name:</t>
  </si>
  <si>
    <t>Contract</t>
  </si>
  <si>
    <t>Actual</t>
  </si>
  <si>
    <t>Date of Review:</t>
  </si>
  <si>
    <t>Start</t>
  </si>
  <si>
    <t>Reporting Period:</t>
  </si>
  <si>
    <t>Finish</t>
  </si>
  <si>
    <t>PM:</t>
  </si>
  <si>
    <t>Project % Complete (as at period end):</t>
  </si>
  <si>
    <t>Current Period</t>
  </si>
  <si>
    <t>Previous Period</t>
  </si>
  <si>
    <t xml:space="preserve">Movement in Period </t>
  </si>
  <si>
    <t>Final Forecast Costs (from Analysis)</t>
  </si>
  <si>
    <t>CTC / Contingency</t>
  </si>
  <si>
    <t>Reason for movement</t>
  </si>
  <si>
    <t>Vos</t>
  </si>
  <si>
    <t>Labour</t>
  </si>
  <si>
    <t xml:space="preserve">Materials </t>
  </si>
  <si>
    <t>Sub Con</t>
  </si>
  <si>
    <t>Prelims</t>
  </si>
  <si>
    <t>Staff</t>
  </si>
  <si>
    <t>Total Cost</t>
  </si>
  <si>
    <t>Notes on significant movements</t>
  </si>
  <si>
    <t>Total Actual Costs Incurred</t>
  </si>
  <si>
    <t>Outstanding Purchase Orders</t>
  </si>
  <si>
    <t>Costs To Complete (From Analysis)</t>
  </si>
  <si>
    <t>Check vs Forecast</t>
  </si>
  <si>
    <t xml:space="preserve">Sales &amp; Margin </t>
  </si>
  <si>
    <t>Order Value</t>
  </si>
  <si>
    <t>Variations</t>
  </si>
  <si>
    <t>Contra-charges</t>
  </si>
  <si>
    <t>MCD (where applicable)</t>
  </si>
  <si>
    <t>Total Order Value</t>
  </si>
  <si>
    <t>Final Profit</t>
  </si>
  <si>
    <t>Gross Margin %</t>
  </si>
  <si>
    <t>Dates</t>
  </si>
  <si>
    <t>£</t>
  </si>
  <si>
    <t>% of forecast</t>
  </si>
  <si>
    <t>Comments</t>
  </si>
  <si>
    <t>Latest Cumulative Application (Gross)</t>
  </si>
  <si>
    <t>Latest Cumulative Certification (Gross)</t>
  </si>
  <si>
    <t>Previous Cumulative Application (Gross)</t>
  </si>
  <si>
    <t>Previous Cumulative Certification (Gross)</t>
  </si>
  <si>
    <t>Applied in Period</t>
  </si>
  <si>
    <t>Certified in Period</t>
  </si>
  <si>
    <t>Current App v Progress</t>
  </si>
  <si>
    <t>Current Cert v Progress</t>
  </si>
  <si>
    <t>IP 02-04-02 Revision 2</t>
  </si>
  <si>
    <t>Cost to Date v Progress</t>
  </si>
  <si>
    <t>PROJECT:</t>
  </si>
  <si>
    <t>PROJECT N°:</t>
  </si>
  <si>
    <t>Materials</t>
  </si>
  <si>
    <t>Sub - Contract</t>
  </si>
  <si>
    <t>Summary</t>
  </si>
  <si>
    <t>Description of Work</t>
  </si>
  <si>
    <t>Hours</t>
  </si>
  <si>
    <t>Labour Total</t>
  </si>
  <si>
    <t>Chilled water Pipework &amp; Fittings</t>
  </si>
  <si>
    <t>Strip out</t>
  </si>
  <si>
    <t>Compressed air pipework &amp; materials</t>
  </si>
  <si>
    <t>H&amp;CWS pipework &amp; materials</t>
  </si>
  <si>
    <t>Condensate Recovery Unit</t>
  </si>
  <si>
    <t>Steam &amp; Condensate DB&amp;B's, Trapsets, PRV's etc.</t>
  </si>
  <si>
    <t>Steam &amp; Condensate pipework and fittings</t>
  </si>
  <si>
    <t>Jacket Heater Water MPHW?</t>
  </si>
  <si>
    <t>Valves</t>
  </si>
  <si>
    <t>Pressurisation (APS)</t>
  </si>
  <si>
    <t>Gauges,Cocks and Syphons</t>
  </si>
  <si>
    <t>Air Separator</t>
  </si>
  <si>
    <t>Hose Reel System</t>
  </si>
  <si>
    <t>Dosing Pot</t>
  </si>
  <si>
    <t>Buffer Vessel and Ancillaries</t>
  </si>
  <si>
    <t>above ground drainage</t>
  </si>
  <si>
    <t>Sanitaryware</t>
  </si>
  <si>
    <t>Stainless Steel Troughs</t>
  </si>
  <si>
    <t>Emergency Shower</t>
  </si>
  <si>
    <t>Gantries, Builderswork Fabric &amp; Flooring</t>
  </si>
  <si>
    <t>Air socks</t>
  </si>
  <si>
    <t>RO Water Treatment Inc install and Comm</t>
  </si>
  <si>
    <t>Unit Heaters</t>
  </si>
  <si>
    <t>Hot Purified Water (Valves not in Cost &amp; Sell)</t>
  </si>
  <si>
    <t>Radiators</t>
  </si>
  <si>
    <t>Grilles</t>
  </si>
  <si>
    <t>Attenuators</t>
  </si>
  <si>
    <t>AHUs</t>
  </si>
  <si>
    <t>AHU Commission</t>
  </si>
  <si>
    <t>Fans</t>
  </si>
  <si>
    <t>Penthouse Louvres</t>
  </si>
  <si>
    <t>Motorised damper and controls</t>
  </si>
  <si>
    <t>Canopies</t>
  </si>
  <si>
    <t>cooling coils</t>
  </si>
  <si>
    <t>Smoke Dampers &amp; Actuators</t>
  </si>
  <si>
    <t>Labelling</t>
  </si>
  <si>
    <t>Gas Boosters</t>
  </si>
  <si>
    <t>Room Heat recovery Ventilation units</t>
  </si>
  <si>
    <t>Expansion</t>
  </si>
  <si>
    <t>Ductwork Installation</t>
  </si>
  <si>
    <t>Stainless Ductwork</t>
  </si>
  <si>
    <t>Thermal Insulation</t>
  </si>
  <si>
    <t>Trace Heating</t>
  </si>
  <si>
    <t>Cranage &amp; Plant Positioning</t>
  </si>
  <si>
    <t>Temporary Power &amp; Lighting</t>
  </si>
  <si>
    <t>Strip Out</t>
  </si>
  <si>
    <t>De-gassing &amp; Strip-out  A/C units &amp; Condensors place into storage</t>
  </si>
  <si>
    <t>Wi/Fi</t>
  </si>
  <si>
    <t>Compressed Air inc Survey</t>
  </si>
  <si>
    <t>Control Panel &amp; Wiring</t>
  </si>
  <si>
    <t>Test, Commission, Handover</t>
  </si>
  <si>
    <t>Water treatment and chlorination</t>
  </si>
  <si>
    <t>Allowance for Glycol</t>
  </si>
  <si>
    <t>Surveys Isolations</t>
  </si>
  <si>
    <t>Sprinklers</t>
  </si>
  <si>
    <t>Site Cleaning</t>
  </si>
  <si>
    <t>Staff Training</t>
  </si>
  <si>
    <t>Pipework (Surepipe) Labour</t>
  </si>
  <si>
    <t>Site Meeting attendance PM</t>
  </si>
  <si>
    <t>Quantity Surveyor</t>
  </si>
  <si>
    <t>Access Equipment</t>
  </si>
  <si>
    <t>Asbestos Survey</t>
  </si>
  <si>
    <t>Health and Safety Mark Mallen</t>
  </si>
  <si>
    <t>Non Working Site Manager</t>
  </si>
  <si>
    <t>SM assistant</t>
  </si>
  <si>
    <t>consumables/First aid/PPE</t>
  </si>
  <si>
    <t>Craneage / Lift &amp; Shift</t>
  </si>
  <si>
    <t>Handover Documents,O+M and Drawings</t>
  </si>
  <si>
    <t>Site set up cabins/fencing/Signage</t>
  </si>
  <si>
    <t>Tools &amp; Equipment</t>
  </si>
  <si>
    <t>Waste Handling/Skips</t>
  </si>
  <si>
    <t>Design Costs</t>
  </si>
  <si>
    <t>PM Costs</t>
  </si>
  <si>
    <t>Coordination Costs</t>
  </si>
  <si>
    <t>Budget</t>
  </si>
  <si>
    <t xml:space="preserve">Submitted </t>
  </si>
  <si>
    <t>Agreed</t>
  </si>
  <si>
    <t>TENDER COSTS</t>
  </si>
  <si>
    <t>Profit</t>
  </si>
  <si>
    <t>% Profit</t>
  </si>
  <si>
    <t>Actual Costs</t>
  </si>
  <si>
    <t>Actual Order Values</t>
  </si>
  <si>
    <t>Gain / Loss</t>
  </si>
  <si>
    <t>Costs to Complete</t>
  </si>
  <si>
    <t>Projected Labour</t>
  </si>
  <si>
    <t>Projected Costs</t>
  </si>
  <si>
    <t>Projected Management</t>
  </si>
  <si>
    <t>CTC</t>
  </si>
  <si>
    <t>Check</t>
  </si>
  <si>
    <t>Through to Front Sheet</t>
  </si>
  <si>
    <t>Cabins and Stores</t>
  </si>
  <si>
    <t>53 weeks</t>
  </si>
  <si>
    <t>Additional 8 weeks @£120 per week</t>
  </si>
  <si>
    <t>Contract Period</t>
  </si>
  <si>
    <t>Deffered start</t>
  </si>
  <si>
    <t>Additional Prelims</t>
  </si>
  <si>
    <t>On Site Management costs</t>
  </si>
  <si>
    <t>Totals</t>
  </si>
  <si>
    <t>Site PM</t>
  </si>
  <si>
    <t>Accom &amp; Travel</t>
  </si>
  <si>
    <t>PM</t>
  </si>
  <si>
    <t>Craig</t>
  </si>
  <si>
    <t>Travel</t>
  </si>
  <si>
    <t>Acc</t>
  </si>
  <si>
    <t>VARIATION COSTS</t>
  </si>
  <si>
    <t>Craig on Hols - 2 weeks</t>
  </si>
  <si>
    <t>Contingency</t>
  </si>
  <si>
    <t>Variation Costs</t>
  </si>
  <si>
    <t>VARIATIONS 
(see live variation tracker in folder 15 on the system for status of the variations and instructions)</t>
  </si>
  <si>
    <t>Sam</t>
  </si>
  <si>
    <t>Matthew</t>
  </si>
  <si>
    <t>(salary, expenses, hotel)</t>
  </si>
  <si>
    <t xml:space="preserve">Tender Labour Rate: </t>
  </si>
  <si>
    <t xml:space="preserve">VO Labour Rate: </t>
  </si>
  <si>
    <t>Subby 1</t>
  </si>
  <si>
    <t>Subby 2</t>
  </si>
  <si>
    <t>Pipework Materials</t>
  </si>
  <si>
    <t>Pipework Management/Access/Site set up</t>
  </si>
  <si>
    <t xml:space="preserve">Electrical &amp; Fire alarm Installation </t>
  </si>
  <si>
    <t xml:space="preserve">Gantries, Builderswork Fabric &amp; Flooring </t>
  </si>
  <si>
    <t xml:space="preserve">BMS Wiring </t>
  </si>
  <si>
    <t xml:space="preserve">BMS / EMS </t>
  </si>
  <si>
    <t>Subby 3</t>
  </si>
  <si>
    <t>Subby 4</t>
  </si>
  <si>
    <t>Subby 5</t>
  </si>
  <si>
    <t>Subby 6</t>
  </si>
  <si>
    <t>Subby 7</t>
  </si>
  <si>
    <t>Subby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</si>
</sst>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_ ;[Red]\-#,##0\ "/>
    <numFmt numFmtId="166" formatCode="&quot;£&quot;#,##0"/>
    <numFmt numFmtId="167" formatCode="[$-F800]dddd\,\ mmmm\ dd\,\ yyyy"/>
    <numFmt numFmtId="168" formatCode="_-&quot;£&quot;* #,##0_-;\-&quot;£&quot;* #,##0_-;_-&quot;£&quot;* &quot;-&quot;??_-;_-@_-"/>
    <numFmt numFmtId="169" formatCode="_-* #,##0_-;\-* #,##0_-;_-* &quot;-&quot;??_-;_-@_-"/>
    <numFmt numFmtId="170" formatCode="0.0%"/>
    <numFmt numFmtId="171" formatCode="_(* #,##0_);_(* \(#,##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sz val="9"/>
      <color rgb="FFFFC000"/>
      <name val="Calibri"/>
      <family val="2"/>
      <scheme val="minor"/>
    </font>
    <font>
      <sz val="10"/>
      <color rgb="FFFFC000"/>
      <name val="Calibri"/>
      <family val="2"/>
      <scheme val="minor"/>
    </font>
    <font>
      <sz val="9"/>
      <color rgb="FFFFFF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9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491">
    <xf numFmtId="0" fontId="0" fillId="0" borderId="0" xfId="0"/>
    <xf numFmtId="0" fontId="9" fillId="10" borderId="18" xfId="0" applyFont="1" applyFill="1" applyBorder="1" applyAlignment="1" applyProtection="1">
      <alignment vertical="center"/>
      <protection locked="0"/>
    </xf>
    <xf numFmtId="0" fontId="6" fillId="0" borderId="0" xfId="0" applyFont="1"/>
    <xf numFmtId="9" fontId="0" fillId="0" borderId="0" xfId="0" applyNumberFormat="1"/>
    <xf numFmtId="44" fontId="0" fillId="0" borderId="0" xfId="0" applyNumberFormat="1"/>
    <xf numFmtId="0" fontId="0" fillId="0" borderId="30" xfId="0" applyBorder="1"/>
    <xf numFmtId="0" fontId="9" fillId="3" borderId="35" xfId="0" applyFont="1" applyFill="1" applyBorder="1" applyAlignment="1" applyProtection="1">
      <alignment vertical="center" wrapText="1"/>
      <protection locked="0"/>
    </xf>
    <xf numFmtId="0" fontId="9" fillId="3" borderId="36" xfId="0" applyFont="1" applyFill="1" applyBorder="1" applyAlignment="1" applyProtection="1">
      <alignment vertical="center" wrapText="1"/>
      <protection locked="0"/>
    </xf>
    <xf numFmtId="0" fontId="0" fillId="12" borderId="0" xfId="0" applyFill="1"/>
    <xf numFmtId="0" fontId="0" fillId="6" borderId="0" xfId="0" applyFill="1"/>
    <xf numFmtId="0" fontId="0" fillId="16" borderId="0" xfId="0" applyFill="1"/>
    <xf numFmtId="0" fontId="0" fillId="17" borderId="0" xfId="0" applyFill="1"/>
    <xf numFmtId="0" fontId="0" fillId="15" borderId="0" xfId="0" applyFill="1"/>
    <xf numFmtId="0" fontId="13" fillId="0" borderId="0" xfId="0" applyFont="1"/>
    <xf numFmtId="0" fontId="13" fillId="0" borderId="28" xfId="0" applyFont="1" applyBorder="1"/>
    <xf numFmtId="17" fontId="13" fillId="0" borderId="0" xfId="0" applyNumberFormat="1" applyFont="1"/>
    <xf numFmtId="0" fontId="13" fillId="0" borderId="29" xfId="0" applyFont="1" applyBorder="1"/>
    <xf numFmtId="44" fontId="13" fillId="0" borderId="0" xfId="0" applyNumberFormat="1" applyFont="1"/>
    <xf numFmtId="0" fontId="9" fillId="3" borderId="42" xfId="0" applyFont="1" applyFill="1" applyBorder="1" applyAlignment="1" applyProtection="1">
      <alignment vertical="center" wrapText="1"/>
      <protection locked="0"/>
    </xf>
    <xf numFmtId="0" fontId="14" fillId="11" borderId="0" xfId="0" applyFont="1" applyFill="1" applyAlignment="1" applyProtection="1">
      <alignment vertical="center"/>
      <protection locked="0"/>
    </xf>
    <xf numFmtId="0" fontId="14" fillId="11" borderId="12" xfId="0" applyFont="1" applyFill="1" applyBorder="1" applyAlignment="1" applyProtection="1">
      <alignment vertical="center"/>
      <protection locked="0"/>
    </xf>
    <xf numFmtId="168" fontId="4" fillId="14" borderId="44" xfId="8" applyNumberFormat="1" applyFill="1" applyBorder="1" applyAlignment="1">
      <alignment horizontal="center"/>
    </xf>
    <xf numFmtId="168" fontId="4" fillId="14" borderId="45" xfId="8" applyNumberFormat="1" applyFill="1" applyBorder="1" applyAlignment="1">
      <alignment horizontal="center"/>
    </xf>
    <xf numFmtId="168" fontId="4" fillId="14" borderId="46" xfId="8" applyNumberFormat="1" applyFill="1" applyBorder="1" applyAlignment="1">
      <alignment horizontal="center"/>
    </xf>
    <xf numFmtId="168" fontId="4" fillId="14" borderId="1" xfId="8" applyNumberFormat="1" applyFill="1" applyBorder="1" applyAlignment="1">
      <alignment horizontal="center"/>
    </xf>
    <xf numFmtId="168" fontId="4" fillId="0" borderId="44" xfId="8" applyNumberFormat="1" applyBorder="1" applyAlignment="1" applyProtection="1">
      <alignment horizontal="center"/>
      <protection locked="0"/>
    </xf>
    <xf numFmtId="0" fontId="23" fillId="0" borderId="44" xfId="8" applyFont="1" applyBorder="1" applyAlignment="1" applyProtection="1">
      <alignment wrapText="1"/>
      <protection locked="0"/>
    </xf>
    <xf numFmtId="168" fontId="4" fillId="0" borderId="45" xfId="8" applyNumberFormat="1" applyBorder="1" applyAlignment="1" applyProtection="1">
      <alignment horizontal="center"/>
      <protection locked="0"/>
    </xf>
    <xf numFmtId="0" fontId="23" fillId="0" borderId="45" xfId="8" applyFont="1" applyBorder="1" applyAlignment="1" applyProtection="1">
      <alignment wrapText="1"/>
      <protection locked="0"/>
    </xf>
    <xf numFmtId="0" fontId="23" fillId="0" borderId="45" xfId="8" applyFont="1" applyBorder="1" applyProtection="1">
      <protection locked="0"/>
    </xf>
    <xf numFmtId="168" fontId="4" fillId="0" borderId="46" xfId="8" applyNumberFormat="1" applyBorder="1" applyAlignment="1" applyProtection="1">
      <alignment horizontal="center"/>
      <protection locked="0"/>
    </xf>
    <xf numFmtId="168" fontId="18" fillId="0" borderId="51" xfId="8" applyNumberFormat="1" applyFont="1" applyBorder="1" applyProtection="1">
      <protection locked="0"/>
    </xf>
    <xf numFmtId="0" fontId="23" fillId="0" borderId="44" xfId="8" applyFont="1" applyBorder="1" applyProtection="1">
      <protection locked="0"/>
    </xf>
    <xf numFmtId="168" fontId="4" fillId="0" borderId="7" xfId="8" applyNumberFormat="1" applyBorder="1" applyAlignment="1" applyProtection="1">
      <alignment horizontal="center"/>
      <protection locked="0"/>
    </xf>
    <xf numFmtId="0" fontId="23" fillId="0" borderId="7" xfId="8" applyFont="1" applyBorder="1" applyProtection="1">
      <protection locked="0"/>
    </xf>
    <xf numFmtId="168" fontId="4" fillId="0" borderId="51" xfId="8" applyNumberFormat="1" applyBorder="1" applyProtection="1">
      <protection locked="0"/>
    </xf>
    <xf numFmtId="0" fontId="4" fillId="0" borderId="1" xfId="8" applyBorder="1" applyProtection="1">
      <protection locked="0"/>
    </xf>
    <xf numFmtId="0" fontId="23" fillId="0" borderId="53" xfId="8" applyFont="1" applyBorder="1" applyProtection="1">
      <protection locked="0"/>
    </xf>
    <xf numFmtId="0" fontId="23" fillId="0" borderId="50" xfId="8" applyFont="1" applyBorder="1" applyAlignment="1" applyProtection="1">
      <alignment wrapText="1"/>
      <protection locked="0"/>
    </xf>
    <xf numFmtId="168" fontId="4" fillId="0" borderId="56" xfId="8" applyNumberFormat="1" applyBorder="1" applyAlignment="1" applyProtection="1">
      <alignment horizontal="center"/>
      <protection locked="0"/>
    </xf>
    <xf numFmtId="0" fontId="23" fillId="0" borderId="50" xfId="8" applyFont="1" applyBorder="1" applyProtection="1">
      <protection locked="0"/>
    </xf>
    <xf numFmtId="44" fontId="23" fillId="0" borderId="6" xfId="8" applyNumberFormat="1" applyFont="1" applyBorder="1" applyProtection="1">
      <protection locked="0"/>
    </xf>
    <xf numFmtId="0" fontId="23" fillId="0" borderId="57" xfId="8" applyFont="1" applyBorder="1" applyProtection="1">
      <protection locked="0"/>
    </xf>
    <xf numFmtId="17" fontId="4" fillId="0" borderId="33" xfId="8" applyNumberFormat="1" applyBorder="1" applyAlignment="1" applyProtection="1">
      <alignment horizontal="center"/>
      <protection locked="0"/>
    </xf>
    <xf numFmtId="43" fontId="4" fillId="0" borderId="33" xfId="8" applyNumberFormat="1" applyBorder="1" applyAlignment="1" applyProtection="1">
      <alignment horizontal="center"/>
      <protection locked="0"/>
    </xf>
    <xf numFmtId="43" fontId="4" fillId="0" borderId="21" xfId="8" applyNumberFormat="1" applyBorder="1" applyAlignment="1" applyProtection="1">
      <alignment horizontal="center"/>
      <protection locked="0"/>
    </xf>
    <xf numFmtId="0" fontId="4" fillId="0" borderId="0" xfId="8"/>
    <xf numFmtId="16" fontId="4" fillId="0" borderId="33" xfId="8" applyNumberFormat="1" applyBorder="1" applyAlignment="1">
      <alignment horizontal="center"/>
    </xf>
    <xf numFmtId="44" fontId="4" fillId="0" borderId="0" xfId="8" applyNumberFormat="1" applyAlignment="1">
      <alignment horizontal="center"/>
    </xf>
    <xf numFmtId="43" fontId="4" fillId="0" borderId="33" xfId="8" applyNumberFormat="1" applyBorder="1" applyAlignment="1">
      <alignment horizontal="center"/>
    </xf>
    <xf numFmtId="0" fontId="4" fillId="11" borderId="0" xfId="8" applyFill="1"/>
    <xf numFmtId="16" fontId="4" fillId="0" borderId="48" xfId="8" applyNumberFormat="1" applyBorder="1" applyAlignment="1">
      <alignment horizontal="center"/>
    </xf>
    <xf numFmtId="43" fontId="4" fillId="0" borderId="21" xfId="8" applyNumberFormat="1" applyBorder="1" applyAlignment="1">
      <alignment horizontal="center"/>
    </xf>
    <xf numFmtId="0" fontId="18" fillId="0" borderId="0" xfId="8" applyFont="1" applyAlignment="1">
      <alignment horizontal="right"/>
    </xf>
    <xf numFmtId="16" fontId="4" fillId="0" borderId="0" xfId="8" applyNumberFormat="1" applyAlignment="1">
      <alignment horizontal="center"/>
    </xf>
    <xf numFmtId="44" fontId="4" fillId="0" borderId="48" xfId="8" applyNumberFormat="1" applyBorder="1" applyAlignment="1">
      <alignment horizontal="center"/>
    </xf>
    <xf numFmtId="0" fontId="25" fillId="0" borderId="14" xfId="8" applyFont="1" applyBorder="1" applyAlignment="1">
      <alignment horizontal="right"/>
    </xf>
    <xf numFmtId="10" fontId="26" fillId="0" borderId="1" xfId="8" applyNumberFormat="1" applyFont="1" applyBorder="1" applyAlignment="1">
      <alignment horizontal="center"/>
    </xf>
    <xf numFmtId="17" fontId="18" fillId="0" borderId="0" xfId="8" applyNumberFormat="1" applyFont="1" applyAlignment="1">
      <alignment vertical="center"/>
    </xf>
    <xf numFmtId="10" fontId="26" fillId="0" borderId="10" xfId="8" applyNumberFormat="1" applyFont="1" applyBorder="1" applyAlignment="1">
      <alignment horizontal="center"/>
    </xf>
    <xf numFmtId="0" fontId="4" fillId="0" borderId="15" xfId="8" applyBorder="1"/>
    <xf numFmtId="43" fontId="4" fillId="0" borderId="0" xfId="8" applyNumberFormat="1"/>
    <xf numFmtId="44" fontId="18" fillId="12" borderId="47" xfId="8" applyNumberFormat="1" applyFont="1" applyFill="1" applyBorder="1" applyAlignment="1">
      <alignment horizontal="center"/>
    </xf>
    <xf numFmtId="168" fontId="25" fillId="0" borderId="1" xfId="8" applyNumberFormat="1" applyFont="1" applyBorder="1" applyAlignment="1">
      <alignment horizontal="center"/>
    </xf>
    <xf numFmtId="168" fontId="25" fillId="0" borderId="10" xfId="8" applyNumberFormat="1" applyFont="1" applyBorder="1"/>
    <xf numFmtId="0" fontId="25" fillId="0" borderId="5" xfId="8" applyFont="1" applyBorder="1" applyAlignment="1">
      <alignment horizontal="right"/>
    </xf>
    <xf numFmtId="168" fontId="25" fillId="0" borderId="7" xfId="8" applyNumberFormat="1" applyFont="1" applyBorder="1" applyAlignment="1">
      <alignment horizontal="center"/>
    </xf>
    <xf numFmtId="168" fontId="25" fillId="0" borderId="6" xfId="8" applyNumberFormat="1" applyFont="1" applyBorder="1"/>
    <xf numFmtId="168" fontId="4" fillId="0" borderId="57" xfId="8" applyNumberFormat="1" applyBorder="1"/>
    <xf numFmtId="0" fontId="4" fillId="0" borderId="55" xfId="8" applyBorder="1" applyAlignment="1">
      <alignment horizontal="right"/>
    </xf>
    <xf numFmtId="168" fontId="4" fillId="0" borderId="50" xfId="8" applyNumberFormat="1" applyBorder="1"/>
    <xf numFmtId="0" fontId="4" fillId="0" borderId="54" xfId="8" applyBorder="1" applyAlignment="1">
      <alignment horizontal="right"/>
    </xf>
    <xf numFmtId="168" fontId="4" fillId="0" borderId="45" xfId="8" applyNumberFormat="1" applyBorder="1" applyAlignment="1">
      <alignment horizontal="center"/>
    </xf>
    <xf numFmtId="168" fontId="4" fillId="0" borderId="53" xfId="8" applyNumberFormat="1" applyBorder="1"/>
    <xf numFmtId="0" fontId="4" fillId="0" borderId="52" xfId="8" applyBorder="1" applyAlignment="1">
      <alignment horizontal="right"/>
    </xf>
    <xf numFmtId="44" fontId="4" fillId="11" borderId="0" xfId="8" applyNumberFormat="1" applyFill="1" applyAlignment="1">
      <alignment horizontal="center"/>
    </xf>
    <xf numFmtId="44" fontId="4" fillId="11" borderId="0" xfId="8" applyNumberFormat="1" applyFill="1"/>
    <xf numFmtId="0" fontId="18" fillId="20" borderId="1" xfId="8" applyFont="1" applyFill="1" applyBorder="1" applyAlignment="1">
      <alignment vertical="center"/>
    </xf>
    <xf numFmtId="44" fontId="4" fillId="11" borderId="1" xfId="8" applyNumberFormat="1" applyFill="1" applyBorder="1" applyAlignment="1">
      <alignment horizontal="center"/>
    </xf>
    <xf numFmtId="169" fontId="0" fillId="11" borderId="0" xfId="11" applyNumberFormat="1" applyFont="1" applyFill="1" applyProtection="1"/>
    <xf numFmtId="168" fontId="4" fillId="11" borderId="0" xfId="8" applyNumberFormat="1" applyFill="1"/>
    <xf numFmtId="168" fontId="18" fillId="0" borderId="1" xfId="8" applyNumberFormat="1" applyFont="1" applyBorder="1" applyAlignment="1">
      <alignment horizontal="center"/>
    </xf>
    <xf numFmtId="168" fontId="18" fillId="0" borderId="10" xfId="8" applyNumberFormat="1" applyFont="1" applyBorder="1" applyAlignment="1">
      <alignment horizontal="center"/>
    </xf>
    <xf numFmtId="0" fontId="4" fillId="0" borderId="45" xfId="8" applyBorder="1" applyAlignment="1">
      <alignment horizontal="right"/>
    </xf>
    <xf numFmtId="168" fontId="4" fillId="0" borderId="51" xfId="8" applyNumberFormat="1" applyBorder="1"/>
    <xf numFmtId="168" fontId="18" fillId="0" borderId="46" xfId="8" applyNumberFormat="1" applyFont="1" applyBorder="1"/>
    <xf numFmtId="0" fontId="18" fillId="11" borderId="0" xfId="8" applyFont="1" applyFill="1"/>
    <xf numFmtId="0" fontId="18" fillId="0" borderId="0" xfId="8" applyFont="1"/>
    <xf numFmtId="0" fontId="18" fillId="11" borderId="0" xfId="8" applyFont="1" applyFill="1" applyAlignment="1">
      <alignment wrapText="1"/>
    </xf>
    <xf numFmtId="17" fontId="18" fillId="11" borderId="0" xfId="8" applyNumberFormat="1" applyFont="1" applyFill="1" applyAlignment="1">
      <alignment horizontal="left"/>
    </xf>
    <xf numFmtId="168" fontId="4" fillId="0" borderId="46" xfId="8" applyNumberFormat="1" applyBorder="1"/>
    <xf numFmtId="0" fontId="4" fillId="0" borderId="46" xfId="8" applyBorder="1" applyAlignment="1">
      <alignment horizontal="right"/>
    </xf>
    <xf numFmtId="168" fontId="4" fillId="0" borderId="45" xfId="8" applyNumberFormat="1" applyBorder="1"/>
    <xf numFmtId="168" fontId="4" fillId="0" borderId="44" xfId="8" applyNumberFormat="1" applyBorder="1"/>
    <xf numFmtId="0" fontId="4" fillId="0" borderId="44" xfId="8" applyBorder="1" applyAlignment="1">
      <alignment horizontal="right"/>
    </xf>
    <xf numFmtId="168" fontId="4" fillId="0" borderId="44" xfId="8" applyNumberFormat="1" applyBorder="1" applyAlignment="1">
      <alignment horizontal="center"/>
    </xf>
    <xf numFmtId="0" fontId="4" fillId="11" borderId="0" xfId="8" applyFill="1" applyAlignment="1">
      <alignment horizontal="right" vertical="center"/>
    </xf>
    <xf numFmtId="9" fontId="4" fillId="0" borderId="0" xfId="10" applyAlignment="1" applyProtection="1">
      <alignment horizontal="left" vertical="center"/>
    </xf>
    <xf numFmtId="44" fontId="4" fillId="11" borderId="0" xfId="8" applyNumberFormat="1" applyFill="1" applyAlignment="1">
      <alignment horizontal="center" vertical="center"/>
    </xf>
    <xf numFmtId="0" fontId="4" fillId="11" borderId="0" xfId="8" applyFill="1" applyAlignment="1">
      <alignment vertical="center"/>
    </xf>
    <xf numFmtId="0" fontId="4" fillId="0" borderId="0" xfId="8" applyAlignment="1">
      <alignment vertical="center"/>
    </xf>
    <xf numFmtId="44" fontId="18" fillId="20" borderId="1" xfId="8" applyNumberFormat="1" applyFont="1" applyFill="1" applyBorder="1" applyAlignment="1">
      <alignment horizontal="center" vertical="center"/>
    </xf>
    <xf numFmtId="17" fontId="18" fillId="20" borderId="31" xfId="8" applyNumberFormat="1" applyFont="1" applyFill="1" applyBorder="1" applyAlignment="1">
      <alignment horizontal="center" vertical="center"/>
    </xf>
    <xf numFmtId="0" fontId="18" fillId="20" borderId="2" xfId="8" applyFont="1" applyFill="1" applyBorder="1" applyAlignment="1">
      <alignment horizontal="center" vertical="center"/>
    </xf>
    <xf numFmtId="44" fontId="4" fillId="0" borderId="0" xfId="8" applyNumberFormat="1" applyAlignment="1">
      <alignment horizontal="center" vertical="center"/>
    </xf>
    <xf numFmtId="44" fontId="22" fillId="11" borderId="0" xfId="8" applyNumberFormat="1" applyFont="1" applyFill="1" applyAlignment="1">
      <alignment horizontal="center" vertical="center"/>
    </xf>
    <xf numFmtId="44" fontId="18" fillId="11" borderId="0" xfId="8" applyNumberFormat="1" applyFont="1" applyFill="1" applyAlignment="1">
      <alignment horizontal="center" vertical="center"/>
    </xf>
    <xf numFmtId="0" fontId="21" fillId="11" borderId="0" xfId="8" applyFont="1" applyFill="1" applyAlignment="1">
      <alignment vertical="center"/>
    </xf>
    <xf numFmtId="0" fontId="7" fillId="11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9" fillId="11" borderId="0" xfId="0" applyFont="1" applyFill="1" applyProtection="1">
      <protection locked="0"/>
    </xf>
    <xf numFmtId="0" fontId="9" fillId="0" borderId="0" xfId="0" applyFont="1" applyProtection="1">
      <protection locked="0"/>
    </xf>
    <xf numFmtId="0" fontId="9" fillId="6" borderId="8" xfId="0" applyFont="1" applyFill="1" applyBorder="1" applyAlignment="1" applyProtection="1">
      <alignment horizontal="center" vertical="center" textRotation="90" wrapText="1"/>
      <protection locked="0"/>
    </xf>
    <xf numFmtId="0" fontId="9" fillId="6" borderId="3" xfId="0" applyFont="1" applyFill="1" applyBorder="1" applyAlignment="1" applyProtection="1">
      <alignment horizontal="center" vertical="center" textRotation="90" wrapText="1"/>
      <protection locked="0"/>
    </xf>
    <xf numFmtId="0" fontId="9" fillId="5" borderId="1" xfId="0" applyFont="1" applyFill="1" applyBorder="1" applyAlignment="1" applyProtection="1">
      <alignment horizontal="center" vertical="center" textRotation="90" wrapText="1"/>
      <protection locked="0"/>
    </xf>
    <xf numFmtId="0" fontId="9" fillId="5" borderId="1" xfId="2" applyNumberFormat="1" applyFont="1" applyFill="1" applyBorder="1" applyAlignment="1" applyProtection="1">
      <alignment horizontal="center" vertical="center" textRotation="90" wrapText="1"/>
      <protection locked="0"/>
    </xf>
    <xf numFmtId="0" fontId="9" fillId="11" borderId="0" xfId="0" applyFont="1" applyFill="1" applyAlignment="1" applyProtection="1">
      <alignment vertical="center" wrapText="1"/>
      <protection locked="0"/>
    </xf>
    <xf numFmtId="3" fontId="8" fillId="13" borderId="1" xfId="0" applyNumberFormat="1" applyFont="1" applyFill="1" applyBorder="1" applyAlignment="1" applyProtection="1">
      <alignment horizontal="center" vertical="center"/>
      <protection locked="0"/>
    </xf>
    <xf numFmtId="0" fontId="9" fillId="11" borderId="9" xfId="0" applyFont="1" applyFill="1" applyBorder="1" applyAlignment="1" applyProtection="1">
      <alignment horizontal="center" vertical="center" wrapText="1"/>
      <protection locked="0"/>
    </xf>
    <xf numFmtId="0" fontId="9" fillId="11" borderId="9" xfId="0" applyFont="1" applyFill="1" applyBorder="1" applyAlignment="1" applyProtection="1">
      <alignment vertical="center" wrapText="1"/>
      <protection locked="0"/>
    </xf>
    <xf numFmtId="0" fontId="9" fillId="11" borderId="15" xfId="0" applyFont="1" applyFill="1" applyBorder="1" applyAlignment="1" applyProtection="1">
      <alignment horizontal="center" vertical="center" textRotation="90" wrapText="1"/>
      <protection locked="0"/>
    </xf>
    <xf numFmtId="165" fontId="9" fillId="11" borderId="15" xfId="0" applyNumberFormat="1" applyFont="1" applyFill="1" applyBorder="1" applyAlignment="1" applyProtection="1">
      <alignment horizontal="center" vertical="center" textRotation="90" wrapText="1"/>
      <protection locked="0"/>
    </xf>
    <xf numFmtId="0" fontId="9" fillId="11" borderId="15" xfId="2" applyNumberFormat="1" applyFont="1" applyFill="1" applyBorder="1" applyAlignment="1" applyProtection="1">
      <alignment horizontal="center" vertical="center" textRotation="90" wrapText="1"/>
      <protection locked="0"/>
    </xf>
    <xf numFmtId="0" fontId="9" fillId="0" borderId="0" xfId="0" applyFont="1" applyAlignment="1" applyProtection="1">
      <alignment vertical="center" wrapText="1"/>
      <protection locked="0"/>
    </xf>
    <xf numFmtId="3" fontId="9" fillId="11" borderId="0" xfId="0" applyNumberFormat="1" applyFont="1" applyFill="1" applyAlignment="1" applyProtection="1">
      <alignment vertical="center"/>
      <protection locked="0"/>
    </xf>
    <xf numFmtId="3" fontId="9" fillId="0" borderId="0" xfId="0" applyNumberFormat="1" applyFont="1" applyAlignment="1" applyProtection="1">
      <alignment vertical="center"/>
      <protection locked="0"/>
    </xf>
    <xf numFmtId="3" fontId="8" fillId="11" borderId="15" xfId="0" applyNumberFormat="1" applyFont="1" applyFill="1" applyBorder="1" applyAlignment="1" applyProtection="1">
      <alignment vertical="center"/>
      <protection locked="0"/>
    </xf>
    <xf numFmtId="3" fontId="8" fillId="11" borderId="0" xfId="0" applyNumberFormat="1" applyFont="1" applyFill="1" applyAlignment="1" applyProtection="1">
      <alignment vertical="center"/>
      <protection locked="0"/>
    </xf>
    <xf numFmtId="3" fontId="8" fillId="0" borderId="0" xfId="0" applyNumberFormat="1" applyFont="1" applyAlignment="1" applyProtection="1">
      <alignment vertical="center"/>
      <protection locked="0"/>
    </xf>
    <xf numFmtId="0" fontId="9" fillId="11" borderId="0" xfId="0" applyFont="1" applyFill="1" applyAlignment="1" applyProtection="1">
      <alignment horizontal="center" vertical="center" wrapText="1"/>
      <protection locked="0"/>
    </xf>
    <xf numFmtId="3" fontId="8" fillId="11" borderId="15" xfId="0" applyNumberFormat="1" applyFont="1" applyFill="1" applyBorder="1" applyAlignment="1" applyProtection="1">
      <alignment horizontal="center" vertical="center"/>
      <protection locked="0"/>
    </xf>
    <xf numFmtId="3" fontId="9" fillId="2" borderId="1" xfId="0" applyNumberFormat="1" applyFont="1" applyFill="1" applyBorder="1" applyProtection="1">
      <protection locked="0"/>
    </xf>
    <xf numFmtId="0" fontId="9" fillId="11" borderId="0" xfId="0" applyFont="1" applyFill="1" applyAlignment="1" applyProtection="1">
      <alignment vertical="center"/>
      <protection locked="0"/>
    </xf>
    <xf numFmtId="3" fontId="8" fillId="11" borderId="0" xfId="0" applyNumberFormat="1" applyFont="1" applyFill="1" applyAlignment="1" applyProtection="1">
      <alignment horizontal="center" vertical="center"/>
      <protection locked="0"/>
    </xf>
    <xf numFmtId="0" fontId="9" fillId="2" borderId="1" xfId="0" applyFont="1" applyFill="1" applyBorder="1" applyProtection="1">
      <protection locked="0"/>
    </xf>
    <xf numFmtId="9" fontId="9" fillId="2" borderId="1" xfId="0" applyNumberFormat="1" applyFont="1" applyFill="1" applyBorder="1" applyProtection="1">
      <protection locked="0"/>
    </xf>
    <xf numFmtId="0" fontId="15" fillId="11" borderId="0" xfId="0" applyFont="1" applyFill="1" applyAlignment="1" applyProtection="1">
      <alignment horizontal="center" vertical="center" wrapText="1"/>
      <protection locked="0"/>
    </xf>
    <xf numFmtId="3" fontId="8" fillId="11" borderId="29" xfId="0" applyNumberFormat="1" applyFont="1" applyFill="1" applyBorder="1" applyAlignment="1" applyProtection="1">
      <alignment vertical="center"/>
      <protection locked="0"/>
    </xf>
    <xf numFmtId="6" fontId="8" fillId="11" borderId="1" xfId="0" applyNumberFormat="1" applyFont="1" applyFill="1" applyBorder="1" applyAlignment="1" applyProtection="1">
      <alignment vertical="center"/>
      <protection locked="0"/>
    </xf>
    <xf numFmtId="6" fontId="8" fillId="11" borderId="14" xfId="0" applyNumberFormat="1" applyFont="1" applyFill="1" applyBorder="1" applyAlignment="1" applyProtection="1">
      <alignment vertical="center"/>
      <protection locked="0"/>
    </xf>
    <xf numFmtId="6" fontId="8" fillId="11" borderId="28" xfId="0" applyNumberFormat="1" applyFont="1" applyFill="1" applyBorder="1" applyAlignment="1" applyProtection="1">
      <alignment vertical="center"/>
      <protection locked="0"/>
    </xf>
    <xf numFmtId="6" fontId="8" fillId="0" borderId="0" xfId="0" applyNumberFormat="1" applyFont="1" applyAlignment="1" applyProtection="1">
      <alignment vertical="center"/>
      <protection locked="0"/>
    </xf>
    <xf numFmtId="9" fontId="9" fillId="0" borderId="0" xfId="0" applyNumberFormat="1" applyFont="1" applyProtection="1">
      <protection locked="0"/>
    </xf>
    <xf numFmtId="3" fontId="9" fillId="3" borderId="13" xfId="0" applyNumberFormat="1" applyFont="1" applyFill="1" applyBorder="1" applyAlignment="1" applyProtection="1">
      <alignment horizontal="center" vertical="center"/>
      <protection locked="0"/>
    </xf>
    <xf numFmtId="3" fontId="9" fillId="13" borderId="24" xfId="0" applyNumberFormat="1" applyFont="1" applyFill="1" applyBorder="1" applyAlignment="1" applyProtection="1">
      <alignment vertical="center"/>
      <protection locked="0"/>
    </xf>
    <xf numFmtId="3" fontId="8" fillId="8" borderId="37" xfId="0" applyNumberFormat="1" applyFont="1" applyFill="1" applyBorder="1" applyAlignment="1" applyProtection="1">
      <alignment horizontal="right" vertical="center"/>
      <protection locked="0"/>
    </xf>
    <xf numFmtId="3" fontId="8" fillId="8" borderId="27" xfId="0" applyNumberFormat="1" applyFont="1" applyFill="1" applyBorder="1" applyAlignment="1" applyProtection="1">
      <alignment horizontal="right" vertical="center"/>
      <protection locked="0"/>
    </xf>
    <xf numFmtId="3" fontId="8" fillId="9" borderId="27" xfId="0" applyNumberFormat="1" applyFont="1" applyFill="1" applyBorder="1" applyAlignment="1" applyProtection="1">
      <alignment horizontal="right" vertical="center"/>
      <protection locked="0"/>
    </xf>
    <xf numFmtId="3" fontId="8" fillId="7" borderId="27" xfId="0" applyNumberFormat="1" applyFont="1" applyFill="1" applyBorder="1" applyAlignment="1" applyProtection="1">
      <alignment horizontal="right" vertical="center"/>
      <protection locked="0"/>
    </xf>
    <xf numFmtId="166" fontId="8" fillId="11" borderId="0" xfId="0" applyNumberFormat="1" applyFont="1" applyFill="1" applyAlignment="1" applyProtection="1">
      <alignment vertical="center"/>
      <protection locked="0"/>
    </xf>
    <xf numFmtId="166" fontId="8" fillId="13" borderId="23" xfId="0" applyNumberFormat="1" applyFont="1" applyFill="1" applyBorder="1" applyAlignment="1" applyProtection="1">
      <alignment vertical="center"/>
      <protection locked="0"/>
    </xf>
    <xf numFmtId="166" fontId="8" fillId="13" borderId="3" xfId="0" applyNumberFormat="1" applyFont="1" applyFill="1" applyBorder="1" applyAlignment="1" applyProtection="1">
      <alignment vertical="center"/>
      <protection locked="0"/>
    </xf>
    <xf numFmtId="3" fontId="8" fillId="0" borderId="19" xfId="0" applyNumberFormat="1" applyFont="1" applyBorder="1" applyAlignment="1" applyProtection="1">
      <alignment horizontal="right" vertical="center"/>
      <protection locked="0"/>
    </xf>
    <xf numFmtId="166" fontId="9" fillId="13" borderId="1" xfId="0" applyNumberFormat="1" applyFont="1" applyFill="1" applyBorder="1" applyProtection="1">
      <protection locked="0"/>
    </xf>
    <xf numFmtId="166" fontId="8" fillId="0" borderId="0" xfId="0" applyNumberFormat="1" applyFont="1" applyAlignment="1" applyProtection="1">
      <alignment vertical="center"/>
      <protection locked="0"/>
    </xf>
    <xf numFmtId="3" fontId="8" fillId="11" borderId="12" xfId="0" applyNumberFormat="1" applyFont="1" applyFill="1" applyBorder="1" applyAlignment="1" applyProtection="1">
      <alignment vertical="center"/>
      <protection locked="0"/>
    </xf>
    <xf numFmtId="0" fontId="9" fillId="13" borderId="2" xfId="0" applyFont="1" applyFill="1" applyBorder="1" applyProtection="1">
      <protection locked="0"/>
    </xf>
    <xf numFmtId="9" fontId="9" fillId="13" borderId="2" xfId="0" applyNumberFormat="1" applyFont="1" applyFill="1" applyBorder="1" applyProtection="1">
      <protection locked="0"/>
    </xf>
    <xf numFmtId="0" fontId="9" fillId="11" borderId="1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Protection="1">
      <protection locked="0"/>
    </xf>
    <xf numFmtId="0" fontId="13" fillId="11" borderId="0" xfId="0" applyFont="1" applyFill="1" applyAlignment="1" applyProtection="1">
      <alignment vertical="center" wrapText="1"/>
      <protection locked="0"/>
    </xf>
    <xf numFmtId="0" fontId="7" fillId="4" borderId="0" xfId="0" applyFont="1" applyFill="1" applyProtection="1">
      <protection locked="0"/>
    </xf>
    <xf numFmtId="44" fontId="18" fillId="12" borderId="1" xfId="8" applyNumberFormat="1" applyFont="1" applyFill="1" applyBorder="1" applyAlignment="1">
      <alignment horizontal="center" vertical="center"/>
    </xf>
    <xf numFmtId="17" fontId="16" fillId="0" borderId="1" xfId="8" applyNumberFormat="1" applyFont="1" applyBorder="1" applyAlignment="1" applyProtection="1">
      <alignment vertical="center"/>
      <protection locked="0"/>
    </xf>
    <xf numFmtId="0" fontId="4" fillId="12" borderId="1" xfId="8" applyFill="1" applyBorder="1" applyAlignment="1">
      <alignment horizontal="right" vertical="center"/>
    </xf>
    <xf numFmtId="17" fontId="4" fillId="0" borderId="1" xfId="8" applyNumberFormat="1" applyBorder="1" applyAlignment="1" applyProtection="1">
      <alignment horizontal="left" vertical="center"/>
      <protection locked="0"/>
    </xf>
    <xf numFmtId="9" fontId="4" fillId="0" borderId="1" xfId="10" applyFill="1" applyBorder="1" applyAlignment="1" applyProtection="1">
      <alignment horizontal="left" vertical="center"/>
      <protection locked="0"/>
    </xf>
    <xf numFmtId="17" fontId="16" fillId="0" borderId="2" xfId="8" applyNumberFormat="1" applyFont="1" applyBorder="1" applyAlignment="1" applyProtection="1">
      <alignment vertical="center"/>
      <protection locked="0"/>
    </xf>
    <xf numFmtId="44" fontId="18" fillId="11" borderId="1" xfId="8" applyNumberFormat="1" applyFont="1" applyFill="1" applyBorder="1" applyAlignment="1">
      <alignment horizontal="center" vertical="center"/>
    </xf>
    <xf numFmtId="0" fontId="18" fillId="20" borderId="47" xfId="8" applyFont="1" applyFill="1" applyBorder="1" applyAlignment="1">
      <alignment horizontal="center"/>
    </xf>
    <xf numFmtId="0" fontId="18" fillId="20" borderId="47" xfId="8" applyFont="1" applyFill="1" applyBorder="1"/>
    <xf numFmtId="10" fontId="0" fillId="0" borderId="33" xfId="10" applyNumberFormat="1" applyFont="1" applyBorder="1" applyAlignment="1" applyProtection="1">
      <alignment horizontal="center"/>
    </xf>
    <xf numFmtId="43" fontId="4" fillId="0" borderId="21" xfId="8" applyNumberFormat="1" applyBorder="1" applyProtection="1">
      <protection locked="0"/>
    </xf>
    <xf numFmtId="10" fontId="0" fillId="0" borderId="21" xfId="10" applyNumberFormat="1" applyFont="1" applyBorder="1" applyAlignment="1" applyProtection="1">
      <alignment horizontal="center"/>
    </xf>
    <xf numFmtId="170" fontId="0" fillId="0" borderId="21" xfId="9" applyNumberFormat="1" applyFont="1" applyBorder="1" applyAlignment="1" applyProtection="1">
      <alignment horizontal="center"/>
    </xf>
    <xf numFmtId="0" fontId="4" fillId="0" borderId="21" xfId="8" applyBorder="1" applyProtection="1">
      <protection locked="0"/>
    </xf>
    <xf numFmtId="0" fontId="4" fillId="0" borderId="21" xfId="8" applyBorder="1"/>
    <xf numFmtId="10" fontId="4" fillId="0" borderId="33" xfId="8" applyNumberFormat="1" applyBorder="1" applyAlignment="1">
      <alignment horizontal="center"/>
    </xf>
    <xf numFmtId="10" fontId="4" fillId="0" borderId="21" xfId="8" applyNumberFormat="1" applyBorder="1" applyAlignment="1">
      <alignment horizontal="center"/>
    </xf>
    <xf numFmtId="10" fontId="4" fillId="0" borderId="48" xfId="8" applyNumberFormat="1" applyBorder="1" applyAlignment="1">
      <alignment horizontal="center"/>
    </xf>
    <xf numFmtId="0" fontId="4" fillId="0" borderId="48" xfId="8" applyBorder="1"/>
    <xf numFmtId="0" fontId="18" fillId="0" borderId="47" xfId="8" applyFont="1" applyBorder="1" applyAlignment="1">
      <alignment horizontal="right"/>
    </xf>
    <xf numFmtId="0" fontId="18" fillId="0" borderId="21" xfId="8" applyFont="1" applyBorder="1" applyAlignment="1">
      <alignment horizontal="right"/>
    </xf>
    <xf numFmtId="0" fontId="18" fillId="0" borderId="48" xfId="8" applyFont="1" applyBorder="1" applyAlignment="1">
      <alignment horizontal="right"/>
    </xf>
    <xf numFmtId="3" fontId="8" fillId="11" borderId="25" xfId="0" applyNumberFormat="1" applyFont="1" applyFill="1" applyBorder="1" applyAlignment="1" applyProtection="1">
      <alignment vertical="center"/>
      <protection locked="0"/>
    </xf>
    <xf numFmtId="3" fontId="8" fillId="11" borderId="58" xfId="0" applyNumberFormat="1" applyFont="1" applyFill="1" applyBorder="1" applyAlignment="1" applyProtection="1">
      <alignment horizontal="right" vertical="center"/>
      <protection locked="0"/>
    </xf>
    <xf numFmtId="3" fontId="8" fillId="11" borderId="15" xfId="0" applyNumberFormat="1" applyFont="1" applyFill="1" applyBorder="1" applyAlignment="1" applyProtection="1">
      <alignment horizontal="right" vertical="center"/>
      <protection locked="0"/>
    </xf>
    <xf numFmtId="3" fontId="8" fillId="11" borderId="11" xfId="0" applyNumberFormat="1" applyFont="1" applyFill="1" applyBorder="1" applyAlignment="1" applyProtection="1">
      <alignment horizontal="right" vertical="center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vertical="center" wrapText="1"/>
      <protection locked="0"/>
    </xf>
    <xf numFmtId="6" fontId="7" fillId="0" borderId="0" xfId="0" applyNumberFormat="1" applyFont="1" applyProtection="1">
      <protection locked="0"/>
    </xf>
    <xf numFmtId="3" fontId="8" fillId="13" borderId="14" xfId="0" applyNumberFormat="1" applyFont="1" applyFill="1" applyBorder="1" applyAlignment="1" applyProtection="1">
      <alignment horizontal="center" vertical="center"/>
      <protection locked="0"/>
    </xf>
    <xf numFmtId="171" fontId="9" fillId="8" borderId="20" xfId="1" applyNumberFormat="1" applyFont="1" applyFill="1" applyBorder="1" applyAlignment="1" applyProtection="1">
      <alignment horizontal="right" vertical="center"/>
      <protection locked="0"/>
    </xf>
    <xf numFmtId="171" fontId="9" fillId="9" borderId="20" xfId="1" applyNumberFormat="1" applyFont="1" applyFill="1" applyBorder="1" applyAlignment="1" applyProtection="1">
      <alignment horizontal="right" vertical="center"/>
      <protection locked="0"/>
    </xf>
    <xf numFmtId="171" fontId="9" fillId="7" borderId="20" xfId="1" applyNumberFormat="1" applyFont="1" applyFill="1" applyBorder="1" applyAlignment="1" applyProtection="1">
      <alignment horizontal="right" vertical="center"/>
      <protection locked="0"/>
    </xf>
    <xf numFmtId="171" fontId="9" fillId="7" borderId="26" xfId="1" applyNumberFormat="1" applyFont="1" applyFill="1" applyBorder="1" applyAlignment="1" applyProtection="1">
      <alignment horizontal="right" vertical="center"/>
      <protection locked="0"/>
    </xf>
    <xf numFmtId="171" fontId="9" fillId="7" borderId="38" xfId="1" applyNumberFormat="1" applyFont="1" applyFill="1" applyBorder="1" applyAlignment="1" applyProtection="1">
      <alignment horizontal="right" vertical="center"/>
      <protection locked="0"/>
    </xf>
    <xf numFmtId="171" fontId="9" fillId="7" borderId="39" xfId="1" applyNumberFormat="1" applyFont="1" applyFill="1" applyBorder="1" applyAlignment="1" applyProtection="1">
      <alignment horizontal="right" vertical="center" wrapText="1"/>
      <protection locked="0"/>
    </xf>
    <xf numFmtId="171" fontId="9" fillId="7" borderId="39" xfId="1" applyNumberFormat="1" applyFont="1" applyFill="1" applyBorder="1" applyAlignment="1" applyProtection="1">
      <alignment horizontal="right" vertical="center"/>
      <protection locked="0"/>
    </xf>
    <xf numFmtId="171" fontId="8" fillId="3" borderId="59" xfId="1" applyNumberFormat="1" applyFont="1" applyFill="1" applyBorder="1" applyAlignment="1" applyProtection="1">
      <alignment vertical="center"/>
      <protection locked="0"/>
    </xf>
    <xf numFmtId="171" fontId="8" fillId="3" borderId="60" xfId="1" applyNumberFormat="1" applyFont="1" applyFill="1" applyBorder="1" applyAlignment="1" applyProtection="1">
      <alignment vertical="center"/>
      <protection locked="0"/>
    </xf>
    <xf numFmtId="171" fontId="8" fillId="3" borderId="61" xfId="1" applyNumberFormat="1" applyFont="1" applyFill="1" applyBorder="1" applyAlignment="1" applyProtection="1">
      <alignment vertical="center"/>
      <protection locked="0"/>
    </xf>
    <xf numFmtId="165" fontId="9" fillId="8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9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7" borderId="3" xfId="0" applyNumberFormat="1" applyFont="1" applyFill="1" applyBorder="1" applyAlignment="1" applyProtection="1">
      <alignment horizontal="center" vertical="center" wrapText="1"/>
      <protection locked="0"/>
    </xf>
    <xf numFmtId="165" fontId="9" fillId="7" borderId="4" xfId="0" applyNumberFormat="1" applyFont="1" applyFill="1" applyBorder="1" applyAlignment="1" applyProtection="1">
      <alignment horizontal="center" vertical="center" wrapText="1"/>
      <protection locked="0"/>
    </xf>
    <xf numFmtId="165" fontId="9" fillId="7" borderId="15" xfId="0" applyNumberFormat="1" applyFont="1" applyFill="1" applyBorder="1" applyAlignment="1" applyProtection="1">
      <alignment horizontal="center" vertical="center" wrapText="1"/>
      <protection locked="0"/>
    </xf>
    <xf numFmtId="171" fontId="9" fillId="8" borderId="62" xfId="1" applyNumberFormat="1" applyFont="1" applyFill="1" applyBorder="1" applyAlignment="1" applyProtection="1">
      <alignment vertical="center"/>
      <protection locked="0"/>
    </xf>
    <xf numFmtId="0" fontId="13" fillId="11" borderId="5" xfId="0" applyFont="1" applyFill="1" applyBorder="1" applyAlignment="1" applyProtection="1">
      <alignment vertical="center" wrapText="1"/>
      <protection locked="0"/>
    </xf>
    <xf numFmtId="171" fontId="8" fillId="6" borderId="37" xfId="1" applyNumberFormat="1" applyFont="1" applyFill="1" applyBorder="1" applyAlignment="1" applyProtection="1">
      <alignment horizontal="center" vertical="center"/>
      <protection locked="0"/>
    </xf>
    <xf numFmtId="171" fontId="8" fillId="6" borderId="27" xfId="1" applyNumberFormat="1" applyFont="1" applyFill="1" applyBorder="1" applyAlignment="1" applyProtection="1">
      <alignment vertical="center"/>
      <protection locked="0"/>
    </xf>
    <xf numFmtId="171" fontId="8" fillId="8" borderId="27" xfId="1" applyNumberFormat="1" applyFont="1" applyFill="1" applyBorder="1" applyAlignment="1" applyProtection="1">
      <alignment vertical="center"/>
      <protection locked="0"/>
    </xf>
    <xf numFmtId="171" fontId="8" fillId="9" borderId="27" xfId="1" applyNumberFormat="1" applyFont="1" applyFill="1" applyBorder="1" applyAlignment="1" applyProtection="1">
      <alignment vertical="center"/>
      <protection locked="0"/>
    </xf>
    <xf numFmtId="171" fontId="8" fillId="7" borderId="27" xfId="1" applyNumberFormat="1" applyFont="1" applyFill="1" applyBorder="1" applyAlignment="1" applyProtection="1">
      <alignment vertical="center"/>
      <protection locked="0"/>
    </xf>
    <xf numFmtId="171" fontId="8" fillId="7" borderId="12" xfId="1" applyNumberFormat="1" applyFont="1" applyFill="1" applyBorder="1" applyAlignment="1" applyProtection="1">
      <alignment vertical="center"/>
      <protection locked="0"/>
    </xf>
    <xf numFmtId="171" fontId="8" fillId="5" borderId="2" xfId="1" applyNumberFormat="1" applyFont="1" applyFill="1" applyBorder="1" applyAlignment="1" applyProtection="1">
      <alignment vertical="center"/>
      <protection locked="0"/>
    </xf>
    <xf numFmtId="0" fontId="9" fillId="2" borderId="20" xfId="0" applyFont="1" applyFill="1" applyBorder="1" applyProtection="1">
      <protection locked="0"/>
    </xf>
    <xf numFmtId="171" fontId="9" fillId="6" borderId="20" xfId="1" applyNumberFormat="1" applyFont="1" applyFill="1" applyBorder="1" applyAlignment="1" applyProtection="1">
      <alignment horizontal="center"/>
      <protection locked="0"/>
    </xf>
    <xf numFmtId="171" fontId="8" fillId="6" borderId="20" xfId="1" applyNumberFormat="1" applyFont="1" applyFill="1" applyBorder="1" applyAlignment="1" applyProtection="1">
      <alignment vertical="center"/>
      <protection locked="0"/>
    </xf>
    <xf numFmtId="171" fontId="9" fillId="8" borderId="20" xfId="1" applyNumberFormat="1" applyFont="1" applyFill="1" applyBorder="1" applyAlignment="1" applyProtection="1">
      <alignment vertical="center"/>
      <protection locked="0"/>
    </xf>
    <xf numFmtId="171" fontId="9" fillId="9" borderId="20" xfId="1" applyNumberFormat="1" applyFont="1" applyFill="1" applyBorder="1" applyAlignment="1" applyProtection="1">
      <alignment vertical="center"/>
      <protection locked="0"/>
    </xf>
    <xf numFmtId="171" fontId="9" fillId="7" borderId="20" xfId="1" applyNumberFormat="1" applyFont="1" applyFill="1" applyBorder="1" applyAlignment="1" applyProtection="1">
      <alignment vertical="center"/>
      <protection locked="0"/>
    </xf>
    <xf numFmtId="171" fontId="9" fillId="5" borderId="20" xfId="1" applyNumberFormat="1" applyFont="1" applyFill="1" applyBorder="1" applyAlignment="1" applyProtection="1">
      <alignment vertical="center"/>
      <protection locked="0"/>
    </xf>
    <xf numFmtId="0" fontId="9" fillId="2" borderId="62" xfId="0" applyFont="1" applyFill="1" applyBorder="1" applyProtection="1">
      <protection locked="0"/>
    </xf>
    <xf numFmtId="171" fontId="9" fillId="6" borderId="62" xfId="1" applyNumberFormat="1" applyFont="1" applyFill="1" applyBorder="1" applyAlignment="1" applyProtection="1">
      <alignment horizontal="center"/>
      <protection locked="0"/>
    </xf>
    <xf numFmtId="171" fontId="8" fillId="6" borderId="62" xfId="1" applyNumberFormat="1" applyFont="1" applyFill="1" applyBorder="1" applyAlignment="1" applyProtection="1">
      <alignment vertical="center"/>
      <protection locked="0"/>
    </xf>
    <xf numFmtId="171" fontId="9" fillId="9" borderId="62" xfId="1" applyNumberFormat="1" applyFont="1" applyFill="1" applyBorder="1" applyAlignment="1" applyProtection="1">
      <alignment vertical="center"/>
      <protection locked="0"/>
    </xf>
    <xf numFmtId="171" fontId="9" fillId="7" borderId="62" xfId="1" applyNumberFormat="1" applyFont="1" applyFill="1" applyBorder="1" applyAlignment="1" applyProtection="1">
      <alignment vertical="center"/>
      <protection locked="0"/>
    </xf>
    <xf numFmtId="171" fontId="8" fillId="7" borderId="62" xfId="1" applyNumberFormat="1" applyFont="1" applyFill="1" applyBorder="1" applyAlignment="1" applyProtection="1">
      <alignment vertical="center"/>
      <protection locked="0"/>
    </xf>
    <xf numFmtId="171" fontId="9" fillId="5" borderId="62" xfId="1" applyNumberFormat="1" applyFont="1" applyFill="1" applyBorder="1" applyAlignment="1" applyProtection="1">
      <alignment vertical="center"/>
      <protection locked="0"/>
    </xf>
    <xf numFmtId="171" fontId="9" fillId="5" borderId="64" xfId="1" applyNumberFormat="1" applyFont="1" applyFill="1" applyBorder="1" applyAlignment="1" applyProtection="1">
      <alignment vertical="center"/>
      <protection locked="0"/>
    </xf>
    <xf numFmtId="171" fontId="9" fillId="5" borderId="66" xfId="1" applyNumberFormat="1" applyFont="1" applyFill="1" applyBorder="1" applyAlignment="1" applyProtection="1">
      <protection locked="0"/>
    </xf>
    <xf numFmtId="3" fontId="9" fillId="2" borderId="67" xfId="0" applyNumberFormat="1" applyFont="1" applyFill="1" applyBorder="1" applyAlignment="1" applyProtection="1">
      <alignment horizontal="center" vertical="center"/>
      <protection locked="0"/>
    </xf>
    <xf numFmtId="0" fontId="9" fillId="2" borderId="68" xfId="0" applyFont="1" applyFill="1" applyBorder="1" applyProtection="1">
      <protection locked="0"/>
    </xf>
    <xf numFmtId="171" fontId="9" fillId="6" borderId="68" xfId="1" applyNumberFormat="1" applyFont="1" applyFill="1" applyBorder="1" applyAlignment="1" applyProtection="1">
      <alignment horizontal="center"/>
      <protection locked="0"/>
    </xf>
    <xf numFmtId="171" fontId="8" fillId="6" borderId="68" xfId="1" applyNumberFormat="1" applyFont="1" applyFill="1" applyBorder="1" applyAlignment="1" applyProtection="1">
      <alignment vertical="center"/>
      <protection locked="0"/>
    </xf>
    <xf numFmtId="171" fontId="9" fillId="8" borderId="68" xfId="1" applyNumberFormat="1" applyFont="1" applyFill="1" applyBorder="1" applyAlignment="1" applyProtection="1">
      <alignment vertical="center"/>
      <protection locked="0"/>
    </xf>
    <xf numFmtId="171" fontId="9" fillId="9" borderId="68" xfId="1" applyNumberFormat="1" applyFont="1" applyFill="1" applyBorder="1" applyAlignment="1" applyProtection="1">
      <alignment vertical="center"/>
      <protection locked="0"/>
    </xf>
    <xf numFmtId="171" fontId="9" fillId="7" borderId="68" xfId="1" applyNumberFormat="1" applyFont="1" applyFill="1" applyBorder="1" applyAlignment="1" applyProtection="1">
      <alignment vertical="center"/>
      <protection locked="0"/>
    </xf>
    <xf numFmtId="171" fontId="9" fillId="5" borderId="68" xfId="1" applyNumberFormat="1" applyFont="1" applyFill="1" applyBorder="1" applyAlignment="1" applyProtection="1">
      <alignment vertical="center"/>
      <protection locked="0"/>
    </xf>
    <xf numFmtId="171" fontId="9" fillId="5" borderId="69" xfId="1" applyNumberFormat="1" applyFont="1" applyFill="1" applyBorder="1" applyAlignment="1" applyProtection="1">
      <protection locked="0"/>
    </xf>
    <xf numFmtId="171" fontId="8" fillId="11" borderId="1" xfId="0" applyNumberFormat="1" applyFont="1" applyFill="1" applyBorder="1" applyAlignment="1" applyProtection="1">
      <alignment vertical="center"/>
      <protection locked="0"/>
    </xf>
    <xf numFmtId="171" fontId="8" fillId="7" borderId="20" xfId="1" applyNumberFormat="1" applyFont="1" applyFill="1" applyBorder="1" applyAlignment="1" applyProtection="1">
      <alignment vertical="center"/>
      <protection locked="0"/>
    </xf>
    <xf numFmtId="171" fontId="9" fillId="6" borderId="26" xfId="1" applyNumberFormat="1" applyFont="1" applyFill="1" applyBorder="1" applyAlignment="1" applyProtection="1">
      <alignment horizontal="center"/>
      <protection locked="0"/>
    </xf>
    <xf numFmtId="171" fontId="8" fillId="6" borderId="63" xfId="1" applyNumberFormat="1" applyFont="1" applyFill="1" applyBorder="1" applyAlignment="1" applyProtection="1">
      <alignment vertical="center"/>
      <protection locked="0"/>
    </xf>
    <xf numFmtId="171" fontId="9" fillId="9" borderId="62" xfId="1" applyNumberFormat="1" applyFont="1" applyFill="1" applyBorder="1" applyAlignment="1" applyProtection="1">
      <alignment horizontal="right" vertical="center"/>
      <protection locked="0"/>
    </xf>
    <xf numFmtId="171" fontId="8" fillId="6" borderId="65" xfId="1" applyNumberFormat="1" applyFont="1" applyFill="1" applyBorder="1" applyAlignment="1" applyProtection="1">
      <alignment vertical="center"/>
      <protection locked="0"/>
    </xf>
    <xf numFmtId="3" fontId="8" fillId="6" borderId="70" xfId="0" applyNumberFormat="1" applyFont="1" applyFill="1" applyBorder="1" applyAlignment="1" applyProtection="1">
      <alignment horizontal="right" vertical="center"/>
      <protection locked="0"/>
    </xf>
    <xf numFmtId="3" fontId="8" fillId="6" borderId="71" xfId="0" applyNumberFormat="1" applyFont="1" applyFill="1" applyBorder="1" applyAlignment="1" applyProtection="1">
      <alignment horizontal="right" vertical="center"/>
      <protection locked="0"/>
    </xf>
    <xf numFmtId="166" fontId="8" fillId="3" borderId="2" xfId="0" applyNumberFormat="1" applyFont="1" applyFill="1" applyBorder="1" applyAlignment="1" applyProtection="1">
      <alignment horizontal="right" vertical="center"/>
      <protection locked="0"/>
    </xf>
    <xf numFmtId="171" fontId="9" fillId="8" borderId="62" xfId="1" applyNumberFormat="1" applyFont="1" applyFill="1" applyBorder="1" applyAlignment="1" applyProtection="1">
      <alignment horizontal="right" vertical="center"/>
      <protection locked="0"/>
    </xf>
    <xf numFmtId="171" fontId="8" fillId="9" borderId="62" xfId="1" applyNumberFormat="1" applyFont="1" applyFill="1" applyBorder="1" applyAlignment="1" applyProtection="1">
      <alignment horizontal="right" vertical="center"/>
      <protection locked="0"/>
    </xf>
    <xf numFmtId="171" fontId="9" fillId="7" borderId="62" xfId="1" applyNumberFormat="1" applyFont="1" applyFill="1" applyBorder="1" applyAlignment="1" applyProtection="1">
      <alignment horizontal="right" vertical="center"/>
      <protection locked="0"/>
    </xf>
    <xf numFmtId="171" fontId="9" fillId="7" borderId="72" xfId="1" applyNumberFormat="1" applyFont="1" applyFill="1" applyBorder="1" applyAlignment="1" applyProtection="1">
      <alignment horizontal="right" vertical="center"/>
      <protection locked="0"/>
    </xf>
    <xf numFmtId="171" fontId="9" fillId="7" borderId="73" xfId="1" applyNumberFormat="1" applyFont="1" applyFill="1" applyBorder="1" applyAlignment="1" applyProtection="1">
      <alignment horizontal="right" vertical="center"/>
      <protection locked="0"/>
    </xf>
    <xf numFmtId="171" fontId="9" fillId="7" borderId="74" xfId="1" applyNumberFormat="1" applyFont="1" applyFill="1" applyBorder="1" applyAlignment="1" applyProtection="1">
      <alignment horizontal="right" vertical="center"/>
      <protection locked="0"/>
    </xf>
    <xf numFmtId="171" fontId="8" fillId="6" borderId="64" xfId="1" applyNumberFormat="1" applyFont="1" applyFill="1" applyBorder="1" applyAlignment="1" applyProtection="1">
      <alignment horizontal="right" vertical="center"/>
      <protection locked="0"/>
    </xf>
    <xf numFmtId="171" fontId="8" fillId="6" borderId="66" xfId="1" applyNumberFormat="1" applyFont="1" applyFill="1" applyBorder="1" applyAlignment="1" applyProtection="1">
      <alignment horizontal="right" vertical="center" wrapText="1"/>
      <protection locked="0"/>
    </xf>
    <xf numFmtId="171" fontId="8" fillId="6" borderId="66" xfId="1" applyNumberFormat="1" applyFont="1" applyFill="1" applyBorder="1" applyAlignment="1" applyProtection="1">
      <alignment horizontal="right" vertical="center"/>
      <protection locked="0"/>
    </xf>
    <xf numFmtId="171" fontId="9" fillId="8" borderId="27" xfId="1" applyNumberFormat="1" applyFont="1" applyFill="1" applyBorder="1" applyAlignment="1" applyProtection="1">
      <alignment horizontal="right" vertical="center"/>
      <protection locked="0"/>
    </xf>
    <xf numFmtId="171" fontId="9" fillId="9" borderId="27" xfId="1" applyNumberFormat="1" applyFont="1" applyFill="1" applyBorder="1" applyAlignment="1" applyProtection="1">
      <alignment horizontal="right" vertical="center"/>
      <protection locked="0"/>
    </xf>
    <xf numFmtId="171" fontId="9" fillId="7" borderId="27" xfId="1" applyNumberFormat="1" applyFont="1" applyFill="1" applyBorder="1" applyAlignment="1" applyProtection="1">
      <alignment horizontal="right" vertical="center"/>
      <protection locked="0"/>
    </xf>
    <xf numFmtId="171" fontId="9" fillId="7" borderId="75" xfId="1" applyNumberFormat="1" applyFont="1" applyFill="1" applyBorder="1" applyAlignment="1" applyProtection="1">
      <alignment horizontal="right" vertical="center"/>
      <protection locked="0"/>
    </xf>
    <xf numFmtId="171" fontId="9" fillId="7" borderId="76" xfId="1" applyNumberFormat="1" applyFont="1" applyFill="1" applyBorder="1" applyAlignment="1" applyProtection="1">
      <alignment horizontal="right" vertical="center"/>
      <protection locked="0"/>
    </xf>
    <xf numFmtId="171" fontId="9" fillId="7" borderId="77" xfId="1" applyNumberFormat="1" applyFont="1" applyFill="1" applyBorder="1" applyAlignment="1" applyProtection="1">
      <alignment horizontal="right" vertical="center"/>
      <protection locked="0"/>
    </xf>
    <xf numFmtId="171" fontId="8" fillId="6" borderId="69" xfId="1" applyNumberFormat="1" applyFont="1" applyFill="1" applyBorder="1" applyAlignment="1" applyProtection="1">
      <alignment horizontal="right" vertical="center"/>
      <protection locked="0"/>
    </xf>
    <xf numFmtId="171" fontId="9" fillId="8" borderId="78" xfId="1" applyNumberFormat="1" applyFont="1" applyFill="1" applyBorder="1" applyAlignment="1" applyProtection="1">
      <alignment horizontal="right" vertical="center"/>
      <protection locked="0"/>
    </xf>
    <xf numFmtId="171" fontId="9" fillId="8" borderId="79" xfId="1" applyNumberFormat="1" applyFont="1" applyFill="1" applyBorder="1" applyAlignment="1" applyProtection="1">
      <alignment horizontal="right" vertical="center"/>
      <protection locked="0"/>
    </xf>
    <xf numFmtId="171" fontId="9" fillId="8" borderId="37" xfId="1" applyNumberFormat="1" applyFont="1" applyFill="1" applyBorder="1" applyAlignment="1" applyProtection="1">
      <alignment horizontal="right" vertical="center"/>
      <protection locked="0"/>
    </xf>
    <xf numFmtId="171" fontId="9" fillId="6" borderId="63" xfId="1" applyNumberFormat="1" applyFont="1" applyFill="1" applyBorder="1" applyAlignment="1" applyProtection="1">
      <alignment horizontal="center"/>
      <protection locked="0"/>
    </xf>
    <xf numFmtId="171" fontId="8" fillId="6" borderId="64" xfId="1" applyNumberFormat="1" applyFont="1" applyFill="1" applyBorder="1" applyAlignment="1" applyProtection="1">
      <alignment vertical="center"/>
      <protection locked="0"/>
    </xf>
    <xf numFmtId="171" fontId="9" fillId="6" borderId="65" xfId="1" applyNumberFormat="1" applyFont="1" applyFill="1" applyBorder="1" applyAlignment="1" applyProtection="1">
      <alignment horizontal="center"/>
      <protection locked="0"/>
    </xf>
    <xf numFmtId="171" fontId="8" fillId="6" borderId="66" xfId="1" applyNumberFormat="1" applyFont="1" applyFill="1" applyBorder="1" applyAlignment="1" applyProtection="1">
      <alignment vertical="center"/>
      <protection locked="0"/>
    </xf>
    <xf numFmtId="171" fontId="9" fillId="6" borderId="67" xfId="1" applyNumberFormat="1" applyFont="1" applyFill="1" applyBorder="1" applyAlignment="1" applyProtection="1">
      <alignment horizontal="center"/>
      <protection locked="0"/>
    </xf>
    <xf numFmtId="171" fontId="8" fillId="6" borderId="69" xfId="1" applyNumberFormat="1" applyFont="1" applyFill="1" applyBorder="1" applyAlignment="1" applyProtection="1">
      <alignment vertical="center"/>
      <protection locked="0"/>
    </xf>
    <xf numFmtId="171" fontId="8" fillId="13" borderId="37" xfId="1" applyNumberFormat="1" applyFont="1" applyFill="1" applyBorder="1" applyAlignment="1" applyProtection="1">
      <alignment horizontal="center" vertical="center"/>
      <protection locked="0"/>
    </xf>
    <xf numFmtId="171" fontId="8" fillId="13" borderId="27" xfId="1" applyNumberFormat="1" applyFont="1" applyFill="1" applyBorder="1" applyAlignment="1" applyProtection="1">
      <alignment vertical="center"/>
      <protection locked="0"/>
    </xf>
    <xf numFmtId="171" fontId="9" fillId="5" borderId="66" xfId="1" applyNumberFormat="1" applyFont="1" applyFill="1" applyBorder="1" applyAlignment="1" applyProtection="1">
      <alignment vertical="center"/>
      <protection locked="0"/>
    </xf>
    <xf numFmtId="171" fontId="9" fillId="5" borderId="69" xfId="1" applyNumberFormat="1" applyFont="1" applyFill="1" applyBorder="1" applyAlignment="1" applyProtection="1">
      <alignment vertical="center"/>
      <protection locked="0"/>
    </xf>
    <xf numFmtId="0" fontId="9" fillId="12" borderId="20" xfId="0" applyFont="1" applyFill="1" applyBorder="1" applyProtection="1">
      <protection locked="0"/>
    </xf>
    <xf numFmtId="3" fontId="9" fillId="21" borderId="20" xfId="0" applyNumberFormat="1" applyFont="1" applyFill="1" applyBorder="1" applyAlignment="1" applyProtection="1">
      <alignment horizontal="center" vertical="center"/>
      <protection locked="0"/>
    </xf>
    <xf numFmtId="0" fontId="9" fillId="21" borderId="20" xfId="0" applyFont="1" applyFill="1" applyBorder="1" applyProtection="1">
      <protection locked="0"/>
    </xf>
    <xf numFmtId="3" fontId="9" fillId="21" borderId="70" xfId="0" applyNumberFormat="1" applyFont="1" applyFill="1" applyBorder="1" applyAlignment="1" applyProtection="1">
      <alignment horizontal="center" vertical="center"/>
      <protection locked="0"/>
    </xf>
    <xf numFmtId="3" fontId="9" fillId="12" borderId="63" xfId="0" applyNumberFormat="1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Protection="1">
      <protection locked="0"/>
    </xf>
    <xf numFmtId="3" fontId="9" fillId="12" borderId="65" xfId="0" applyNumberFormat="1" applyFont="1" applyFill="1" applyBorder="1" applyAlignment="1" applyProtection="1">
      <alignment horizontal="center"/>
      <protection locked="0"/>
    </xf>
    <xf numFmtId="0" fontId="9" fillId="12" borderId="67" xfId="0" applyFont="1" applyFill="1" applyBorder="1" applyAlignment="1" applyProtection="1">
      <alignment horizontal="center"/>
      <protection locked="0"/>
    </xf>
    <xf numFmtId="0" fontId="9" fillId="12" borderId="68" xfId="0" applyFont="1" applyFill="1" applyBorder="1" applyProtection="1">
      <protection locked="0"/>
    </xf>
    <xf numFmtId="0" fontId="9" fillId="5" borderId="20" xfId="0" applyFont="1" applyFill="1" applyBorder="1" applyProtection="1">
      <protection locked="0"/>
    </xf>
    <xf numFmtId="3" fontId="9" fillId="6" borderId="65" xfId="0" applyNumberFormat="1" applyFont="1" applyFill="1" applyBorder="1" applyAlignment="1" applyProtection="1">
      <alignment horizontal="center" vertical="center"/>
      <protection locked="0"/>
    </xf>
    <xf numFmtId="0" fontId="11" fillId="11" borderId="14" xfId="0" applyFont="1" applyFill="1" applyBorder="1" applyAlignment="1" applyProtection="1">
      <alignment horizontal="center" vertical="center"/>
      <protection locked="0"/>
    </xf>
    <xf numFmtId="4" fontId="9" fillId="6" borderId="20" xfId="1" applyNumberFormat="1" applyFont="1" applyFill="1" applyBorder="1" applyAlignment="1" applyProtection="1">
      <alignment horizontal="center"/>
      <protection locked="0"/>
    </xf>
    <xf numFmtId="3" fontId="9" fillId="6" borderId="63" xfId="0" applyNumberFormat="1" applyFont="1" applyFill="1" applyBorder="1" applyAlignment="1" applyProtection="1">
      <alignment horizontal="center" vertical="center"/>
      <protection locked="0"/>
    </xf>
    <xf numFmtId="165" fontId="27" fillId="8" borderId="3" xfId="0" applyNumberFormat="1" applyFont="1" applyFill="1" applyBorder="1" applyAlignment="1" applyProtection="1">
      <alignment horizontal="center" vertical="center" wrapText="1"/>
      <protection locked="0"/>
    </xf>
    <xf numFmtId="171" fontId="8" fillId="9" borderId="20" xfId="1" applyNumberFormat="1" applyFont="1" applyFill="1" applyBorder="1" applyAlignment="1" applyProtection="1">
      <alignment vertical="center"/>
      <protection locked="0"/>
    </xf>
    <xf numFmtId="3" fontId="8" fillId="0" borderId="58" xfId="0" applyNumberFormat="1" applyFont="1" applyBorder="1" applyAlignment="1" applyProtection="1">
      <alignment horizontal="right" vertical="center"/>
      <protection locked="0"/>
    </xf>
    <xf numFmtId="171" fontId="17" fillId="8" borderId="20" xfId="1" applyNumberFormat="1" applyFont="1" applyFill="1" applyBorder="1" applyAlignment="1" applyProtection="1">
      <alignment vertical="center"/>
      <protection locked="0"/>
    </xf>
    <xf numFmtId="171" fontId="27" fillId="8" borderId="20" xfId="1" applyNumberFormat="1" applyFont="1" applyFill="1" applyBorder="1" applyAlignment="1" applyProtection="1">
      <alignment vertical="center"/>
      <protection locked="0"/>
    </xf>
    <xf numFmtId="165" fontId="27" fillId="7" borderId="3" xfId="0" applyNumberFormat="1" applyFont="1" applyFill="1" applyBorder="1" applyAlignment="1" applyProtection="1">
      <alignment horizontal="center" vertical="center" wrapText="1"/>
      <protection locked="0"/>
    </xf>
    <xf numFmtId="165" fontId="27" fillId="9" borderId="3" xfId="0" applyNumberFormat="1" applyFont="1" applyFill="1" applyBorder="1" applyAlignment="1" applyProtection="1">
      <alignment horizontal="center" vertical="center" wrapText="1"/>
      <protection locked="0"/>
    </xf>
    <xf numFmtId="171" fontId="27" fillId="9" borderId="20" xfId="1" applyNumberFormat="1" applyFont="1" applyFill="1" applyBorder="1" applyAlignment="1" applyProtection="1">
      <alignment horizontal="right" vertical="center"/>
      <protection locked="0"/>
    </xf>
    <xf numFmtId="171" fontId="28" fillId="9" borderId="20" xfId="1" applyNumberFormat="1" applyFont="1" applyFill="1" applyBorder="1" applyAlignment="1" applyProtection="1">
      <alignment horizontal="right" vertical="center"/>
      <protection locked="0"/>
    </xf>
    <xf numFmtId="171" fontId="28" fillId="7" borderId="20" xfId="1" applyNumberFormat="1" applyFont="1" applyFill="1" applyBorder="1" applyAlignment="1" applyProtection="1">
      <alignment vertical="center"/>
      <protection locked="0"/>
    </xf>
    <xf numFmtId="171" fontId="28" fillId="9" borderId="20" xfId="1" applyNumberFormat="1" applyFont="1" applyFill="1" applyBorder="1" applyAlignment="1" applyProtection="1">
      <alignment vertical="center"/>
      <protection locked="0"/>
    </xf>
    <xf numFmtId="165" fontId="30" fillId="7" borderId="4" xfId="0" applyNumberFormat="1" applyFont="1" applyFill="1" applyBorder="1" applyAlignment="1" applyProtection="1">
      <alignment horizontal="center" vertical="center" wrapText="1"/>
      <protection locked="0"/>
    </xf>
    <xf numFmtId="171" fontId="30" fillId="7" borderId="62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71" fontId="30" fillId="9" borderId="20" xfId="1" applyNumberFormat="1" applyFont="1" applyFill="1" applyBorder="1" applyAlignment="1" applyProtection="1">
      <alignment horizontal="right" vertical="center"/>
      <protection locked="0"/>
    </xf>
    <xf numFmtId="0" fontId="14" fillId="22" borderId="12" xfId="0" applyFont="1" applyFill="1" applyBorder="1" applyAlignment="1" applyProtection="1">
      <alignment horizontal="center" vertical="center"/>
      <protection locked="0"/>
    </xf>
    <xf numFmtId="0" fontId="0" fillId="1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71" fontId="17" fillId="7" borderId="20" xfId="1" applyNumberFormat="1" applyFont="1" applyFill="1" applyBorder="1" applyAlignment="1" applyProtection="1">
      <alignment vertical="center"/>
      <protection locked="0"/>
    </xf>
    <xf numFmtId="171" fontId="17" fillId="9" borderId="20" xfId="1" applyNumberFormat="1" applyFont="1" applyFill="1" applyBorder="1" applyAlignment="1" applyProtection="1">
      <alignment horizontal="right" vertical="center"/>
      <protection locked="0"/>
    </xf>
    <xf numFmtId="0" fontId="17" fillId="3" borderId="42" xfId="0" applyFont="1" applyFill="1" applyBorder="1" applyAlignment="1" applyProtection="1">
      <alignment vertical="center" wrapText="1"/>
      <protection locked="0"/>
    </xf>
    <xf numFmtId="171" fontId="33" fillId="9" borderId="20" xfId="1" applyNumberFormat="1" applyFont="1" applyFill="1" applyBorder="1" applyAlignment="1" applyProtection="1">
      <alignment horizontal="right" vertical="center"/>
      <protection locked="0"/>
    </xf>
    <xf numFmtId="3" fontId="17" fillId="3" borderId="34" xfId="0" applyNumberFormat="1" applyFont="1" applyFill="1" applyBorder="1" applyAlignment="1" applyProtection="1">
      <alignment vertical="center"/>
      <protection locked="0"/>
    </xf>
    <xf numFmtId="166" fontId="8" fillId="13" borderId="10" xfId="0" applyNumberFormat="1" applyFont="1" applyFill="1" applyBorder="1" applyAlignment="1" applyProtection="1">
      <alignment vertical="center"/>
      <protection locked="0"/>
    </xf>
    <xf numFmtId="171" fontId="35" fillId="7" borderId="62" xfId="1" applyNumberFormat="1" applyFont="1" applyFill="1" applyBorder="1" applyAlignment="1" applyProtection="1">
      <alignment vertical="center"/>
      <protection locked="0"/>
    </xf>
    <xf numFmtId="171" fontId="9" fillId="13" borderId="20" xfId="1" applyNumberFormat="1" applyFont="1" applyFill="1" applyBorder="1" applyAlignment="1" applyProtection="1">
      <alignment vertical="center"/>
      <protection locked="0"/>
    </xf>
    <xf numFmtId="171" fontId="8" fillId="13" borderId="80" xfId="1" applyNumberFormat="1" applyFont="1" applyFill="1" applyBorder="1" applyAlignment="1" applyProtection="1">
      <alignment horizontal="right" vertical="center"/>
      <protection locked="0"/>
    </xf>
    <xf numFmtId="171" fontId="8" fillId="13" borderId="81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40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20" xfId="1" applyNumberFormat="1" applyFont="1" applyFill="1" applyBorder="1" applyAlignment="1" applyProtection="1">
      <alignment vertical="center"/>
      <protection locked="0"/>
    </xf>
    <xf numFmtId="171" fontId="8" fillId="13" borderId="82" xfId="1" applyNumberFormat="1" applyFont="1" applyFill="1" applyBorder="1" applyAlignment="1" applyProtection="1">
      <alignment vertical="center"/>
      <protection locked="0"/>
    </xf>
    <xf numFmtId="171" fontId="8" fillId="13" borderId="20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82" xfId="1" applyNumberFormat="1" applyFont="1" applyFill="1" applyBorder="1" applyAlignment="1" applyProtection="1">
      <alignment horizontal="right" vertical="center" wrapText="1"/>
      <protection locked="0"/>
    </xf>
    <xf numFmtId="171" fontId="8" fillId="13" borderId="24" xfId="1" applyNumberFormat="1" applyFont="1" applyFill="1" applyBorder="1" applyAlignment="1" applyProtection="1">
      <alignment vertical="center"/>
      <protection locked="0"/>
    </xf>
    <xf numFmtId="171" fontId="9" fillId="13" borderId="24" xfId="1" applyNumberFormat="1" applyFont="1" applyFill="1" applyBorder="1" applyAlignment="1" applyProtection="1">
      <alignment vertical="center"/>
      <protection locked="0"/>
    </xf>
    <xf numFmtId="171" fontId="9" fillId="13" borderId="43" xfId="1" applyNumberFormat="1" applyFont="1" applyFill="1" applyBorder="1" applyAlignment="1" applyProtection="1">
      <alignment vertical="center"/>
      <protection locked="0"/>
    </xf>
    <xf numFmtId="171" fontId="8" fillId="13" borderId="20" xfId="1" quotePrefix="1" applyNumberFormat="1" applyFont="1" applyFill="1" applyBorder="1" applyAlignment="1" applyProtection="1">
      <alignment horizontal="right" vertical="center"/>
      <protection locked="0"/>
    </xf>
    <xf numFmtId="171" fontId="8" fillId="13" borderId="26" xfId="1" applyNumberFormat="1" applyFont="1" applyFill="1" applyBorder="1" applyAlignment="1" applyProtection="1">
      <alignment vertical="center"/>
      <protection locked="0"/>
    </xf>
    <xf numFmtId="171" fontId="9" fillId="13" borderId="41" xfId="1" applyNumberFormat="1" applyFont="1" applyFill="1" applyBorder="1" applyAlignment="1" applyProtection="1">
      <alignment vertical="center"/>
      <protection locked="0"/>
    </xf>
    <xf numFmtId="171" fontId="9" fillId="13" borderId="22" xfId="1" applyNumberFormat="1" applyFont="1" applyFill="1" applyBorder="1" applyAlignment="1" applyProtection="1">
      <alignment vertical="center"/>
      <protection locked="0"/>
    </xf>
    <xf numFmtId="171" fontId="8" fillId="13" borderId="83" xfId="1" applyNumberFormat="1" applyFont="1" applyFill="1" applyBorder="1" applyAlignment="1" applyProtection="1">
      <alignment vertical="center"/>
      <protection locked="0"/>
    </xf>
    <xf numFmtId="0" fontId="36" fillId="0" borderId="0" xfId="0" applyFont="1"/>
    <xf numFmtId="0" fontId="36" fillId="0" borderId="0" xfId="0" applyFont="1" applyAlignment="1">
      <alignment horizontal="center"/>
    </xf>
    <xf numFmtId="0" fontId="9" fillId="13" borderId="42" xfId="0" applyFont="1" applyFill="1" applyBorder="1" applyAlignment="1" applyProtection="1">
      <alignment vertical="center" wrapText="1"/>
      <protection locked="0"/>
    </xf>
    <xf numFmtId="167" fontId="2" fillId="0" borderId="1" xfId="8" applyNumberFormat="1" applyFont="1" applyBorder="1" applyAlignment="1" applyProtection="1">
      <alignment horizontal="left" vertical="center"/>
      <protection locked="0"/>
    </xf>
    <xf numFmtId="0" fontId="9" fillId="7" borderId="9" xfId="0" applyFont="1" applyFill="1" applyBorder="1" applyAlignment="1" applyProtection="1">
      <alignment horizontal="center" vertical="center"/>
      <protection locked="0"/>
    </xf>
    <xf numFmtId="0" fontId="9" fillId="8" borderId="9" xfId="0" applyFont="1" applyFill="1" applyBorder="1" applyAlignment="1" applyProtection="1">
      <alignment horizontal="center" vertical="center"/>
      <protection locked="0"/>
    </xf>
    <xf numFmtId="0" fontId="9" fillId="9" borderId="9" xfId="0" applyFont="1" applyFill="1" applyBorder="1" applyAlignment="1" applyProtection="1">
      <alignment horizontal="center" vertical="center"/>
      <protection locked="0"/>
    </xf>
    <xf numFmtId="0" fontId="9" fillId="9" borderId="12" xfId="0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 applyProtection="1">
      <alignment horizontal="center" vertical="center"/>
      <protection locked="0"/>
    </xf>
    <xf numFmtId="0" fontId="9" fillId="5" borderId="10" xfId="0" applyFont="1" applyFill="1" applyBorder="1" applyAlignment="1" applyProtection="1">
      <alignment horizontal="center" vertical="center"/>
      <protection locked="0"/>
    </xf>
    <xf numFmtId="0" fontId="9" fillId="11" borderId="6" xfId="0" applyFont="1" applyFill="1" applyBorder="1" applyAlignment="1" applyProtection="1">
      <alignment vertical="center"/>
      <protection locked="0"/>
    </xf>
    <xf numFmtId="0" fontId="9" fillId="10" borderId="9" xfId="0" applyFont="1" applyFill="1" applyBorder="1" applyAlignment="1" applyProtection="1">
      <alignment vertical="center"/>
      <protection locked="0"/>
    </xf>
    <xf numFmtId="0" fontId="9" fillId="7" borderId="15" xfId="0" applyFont="1" applyFill="1" applyBorder="1" applyAlignment="1" applyProtection="1">
      <alignment horizontal="center" vertical="center"/>
      <protection locked="0"/>
    </xf>
    <xf numFmtId="0" fontId="8" fillId="6" borderId="9" xfId="0" applyFont="1" applyFill="1" applyBorder="1" applyAlignment="1" applyProtection="1">
      <alignment horizontal="right" vertical="center"/>
      <protection locked="0"/>
    </xf>
    <xf numFmtId="0" fontId="13" fillId="6" borderId="9" xfId="0" applyFont="1" applyFill="1" applyBorder="1" applyAlignment="1" applyProtection="1">
      <alignment vertical="center"/>
      <protection locked="0"/>
    </xf>
    <xf numFmtId="0" fontId="37" fillId="6" borderId="9" xfId="0" applyFont="1" applyFill="1" applyBorder="1" applyAlignment="1" applyProtection="1">
      <alignment horizontal="right" vertical="center"/>
      <protection locked="0"/>
    </xf>
    <xf numFmtId="0" fontId="1" fillId="0" borderId="1" xfId="8" applyFont="1" applyBorder="1" applyAlignment="1" applyProtection="1">
      <alignment horizontal="left" vertical="center"/>
      <protection locked="0"/>
    </xf>
    <xf numFmtId="44" fontId="1" fillId="0" borderId="1" xfId="8" applyNumberFormat="1" applyFont="1" applyBorder="1" applyAlignment="1" applyProtection="1">
      <alignment horizontal="left" vertical="center"/>
      <protection locked="0"/>
    </xf>
    <xf numFmtId="0" fontId="14" fillId="22" borderId="12" xfId="0" applyFont="1" applyFill="1" applyBorder="1" applyAlignment="1" applyProtection="1">
      <alignment vertical="center"/>
      <protection locked="0"/>
    </xf>
    <xf numFmtId="0" fontId="9" fillId="21" borderId="12" xfId="0" applyFont="1" applyFill="1" applyBorder="1" applyProtection="1">
      <protection locked="0"/>
    </xf>
    <xf numFmtId="171" fontId="9" fillId="6" borderId="83" xfId="1" applyNumberFormat="1" applyFont="1" applyFill="1" applyBorder="1" applyAlignment="1" applyProtection="1">
      <alignment horizontal="center"/>
      <protection locked="0"/>
    </xf>
    <xf numFmtId="171" fontId="8" fillId="6" borderId="86" xfId="1" applyNumberFormat="1" applyFont="1" applyFill="1" applyBorder="1" applyAlignment="1" applyProtection="1">
      <alignment vertical="center"/>
      <protection locked="0"/>
    </xf>
    <xf numFmtId="171" fontId="9" fillId="8" borderId="87" xfId="1" applyNumberFormat="1" applyFont="1" applyFill="1" applyBorder="1" applyAlignment="1" applyProtection="1">
      <alignment horizontal="right" vertical="center"/>
      <protection locked="0"/>
    </xf>
    <xf numFmtId="171" fontId="9" fillId="8" borderId="24" xfId="1" applyNumberFormat="1" applyFont="1" applyFill="1" applyBorder="1" applyAlignment="1" applyProtection="1">
      <alignment horizontal="right" vertical="center"/>
      <protection locked="0"/>
    </xf>
    <xf numFmtId="171" fontId="9" fillId="9" borderId="24" xfId="1" applyNumberFormat="1" applyFont="1" applyFill="1" applyBorder="1" applyAlignment="1" applyProtection="1">
      <alignment horizontal="right" vertical="center"/>
      <protection locked="0"/>
    </xf>
    <xf numFmtId="171" fontId="17" fillId="9" borderId="24" xfId="1" applyNumberFormat="1" applyFont="1" applyFill="1" applyBorder="1" applyAlignment="1" applyProtection="1">
      <alignment horizontal="right" vertical="center"/>
      <protection locked="0"/>
    </xf>
    <xf numFmtId="171" fontId="9" fillId="7" borderId="24" xfId="1" applyNumberFormat="1" applyFont="1" applyFill="1" applyBorder="1" applyAlignment="1" applyProtection="1">
      <alignment horizontal="right" vertical="center"/>
      <protection locked="0"/>
    </xf>
    <xf numFmtId="171" fontId="9" fillId="7" borderId="83" xfId="1" applyNumberFormat="1" applyFont="1" applyFill="1" applyBorder="1" applyAlignment="1" applyProtection="1">
      <alignment horizontal="right" vertical="center"/>
      <protection locked="0"/>
    </xf>
    <xf numFmtId="171" fontId="9" fillId="7" borderId="88" xfId="1" applyNumberFormat="1" applyFont="1" applyFill="1" applyBorder="1" applyAlignment="1" applyProtection="1">
      <alignment horizontal="right" vertical="center"/>
      <protection locked="0"/>
    </xf>
    <xf numFmtId="171" fontId="9" fillId="7" borderId="24" xfId="1" applyNumberFormat="1" applyFont="1" applyFill="1" applyBorder="1" applyAlignment="1" applyProtection="1">
      <alignment vertical="center"/>
      <protection locked="0"/>
    </xf>
    <xf numFmtId="3" fontId="9" fillId="2" borderId="2" xfId="0" applyNumberFormat="1" applyFont="1" applyFill="1" applyBorder="1" applyProtection="1">
      <protection locked="0"/>
    </xf>
    <xf numFmtId="171" fontId="9" fillId="6" borderId="23" xfId="1" applyNumberFormat="1" applyFont="1" applyFill="1" applyBorder="1" applyAlignment="1" applyProtection="1">
      <alignment horizontal="center"/>
      <protection locked="0"/>
    </xf>
    <xf numFmtId="171" fontId="9" fillId="6" borderId="89" xfId="1" applyNumberFormat="1" applyFont="1" applyFill="1" applyBorder="1" applyAlignment="1" applyProtection="1">
      <alignment horizontal="center"/>
      <protection locked="0"/>
    </xf>
    <xf numFmtId="171" fontId="9" fillId="6" borderId="90" xfId="1" applyNumberFormat="1" applyFont="1" applyFill="1" applyBorder="1" applyAlignment="1" applyProtection="1">
      <alignment horizontal="center"/>
      <protection locked="0"/>
    </xf>
    <xf numFmtId="171" fontId="9" fillId="6" borderId="91" xfId="1" applyNumberFormat="1" applyFont="1" applyFill="1" applyBorder="1" applyAlignment="1" applyProtection="1">
      <alignment horizontal="center"/>
      <protection locked="0"/>
    </xf>
    <xf numFmtId="171" fontId="9" fillId="6" borderId="9" xfId="1" applyNumberFormat="1" applyFont="1" applyFill="1" applyBorder="1" applyAlignment="1" applyProtection="1">
      <alignment horizontal="center"/>
      <protection locked="0"/>
    </xf>
    <xf numFmtId="171" fontId="8" fillId="5" borderId="1" xfId="1" applyNumberFormat="1" applyFont="1" applyFill="1" applyBorder="1" applyAlignment="1" applyProtection="1">
      <alignment vertical="center"/>
      <protection locked="0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3" fontId="7" fillId="4" borderId="0" xfId="0" applyNumberFormat="1" applyFont="1" applyFill="1" applyProtection="1">
      <protection locked="0"/>
    </xf>
    <xf numFmtId="171" fontId="7" fillId="0" borderId="0" xfId="0" applyNumberFormat="1" applyFont="1" applyProtection="1">
      <protection locked="0"/>
    </xf>
    <xf numFmtId="0" fontId="29" fillId="0" borderId="0" xfId="0" applyFont="1" applyProtection="1">
      <protection locked="0"/>
    </xf>
    <xf numFmtId="0" fontId="19" fillId="0" borderId="0" xfId="0" applyFont="1" applyAlignment="1" applyProtection="1">
      <alignment wrapText="1"/>
      <protection locked="0"/>
    </xf>
    <xf numFmtId="0" fontId="20" fillId="0" borderId="0" xfId="0" applyFont="1" applyAlignment="1" applyProtection="1">
      <alignment wrapText="1"/>
      <protection locked="0"/>
    </xf>
    <xf numFmtId="6" fontId="20" fillId="0" borderId="0" xfId="0" applyNumberFormat="1" applyFont="1" applyAlignment="1" applyProtection="1">
      <alignment wrapText="1"/>
      <protection locked="0"/>
    </xf>
    <xf numFmtId="6" fontId="19" fillId="0" borderId="0" xfId="0" applyNumberFormat="1" applyFont="1" applyAlignment="1" applyProtection="1">
      <alignment wrapText="1"/>
      <protection locked="0"/>
    </xf>
    <xf numFmtId="0" fontId="8" fillId="6" borderId="9" xfId="0" applyFont="1" applyFill="1" applyBorder="1" applyAlignment="1" applyProtection="1">
      <alignment horizontal="right" vertical="center"/>
      <protection locked="0" hidden="1"/>
    </xf>
    <xf numFmtId="0" fontId="9" fillId="11" borderId="9" xfId="0" applyFont="1" applyFill="1" applyBorder="1" applyAlignment="1" applyProtection="1">
      <alignment horizontal="center" vertical="center" wrapText="1"/>
      <protection locked="0" hidden="1"/>
    </xf>
    <xf numFmtId="3" fontId="9" fillId="6" borderId="78" xfId="0" applyNumberFormat="1" applyFont="1" applyFill="1" applyBorder="1" applyAlignment="1" applyProtection="1">
      <alignment horizontal="center" vertical="center"/>
      <protection locked="0" hidden="1"/>
    </xf>
    <xf numFmtId="3" fontId="9" fillId="6" borderId="79" xfId="0" applyNumberFormat="1" applyFont="1" applyFill="1" applyBorder="1" applyAlignment="1" applyProtection="1">
      <alignment horizontal="center" vertical="center"/>
      <protection locked="0" hidden="1"/>
    </xf>
    <xf numFmtId="3" fontId="9" fillId="2" borderId="85" xfId="0" applyNumberFormat="1" applyFont="1" applyFill="1" applyBorder="1" applyAlignment="1" applyProtection="1">
      <alignment horizontal="center" vertical="center"/>
      <protection locked="0" hidden="1"/>
    </xf>
    <xf numFmtId="3" fontId="8" fillId="11" borderId="0" xfId="0" applyNumberFormat="1" applyFont="1" applyFill="1" applyAlignment="1" applyProtection="1">
      <alignment vertical="center"/>
      <protection locked="0" hidden="1"/>
    </xf>
    <xf numFmtId="3" fontId="9" fillId="21" borderId="20" xfId="0" applyNumberFormat="1" applyFont="1" applyFill="1" applyBorder="1" applyAlignment="1" applyProtection="1">
      <alignment horizontal="center" vertical="center"/>
      <protection locked="0" hidden="1"/>
    </xf>
    <xf numFmtId="3" fontId="9" fillId="21" borderId="12" xfId="0" applyNumberFormat="1" applyFont="1" applyFill="1" applyBorder="1" applyAlignment="1" applyProtection="1">
      <alignment horizontal="center" vertical="center"/>
      <protection locked="0" hidden="1"/>
    </xf>
    <xf numFmtId="3" fontId="9" fillId="3" borderId="5" xfId="0" applyNumberFormat="1" applyFont="1" applyFill="1" applyBorder="1" applyAlignment="1" applyProtection="1">
      <alignment horizontal="center" vertical="center"/>
      <protection locked="0" hidden="1"/>
    </xf>
    <xf numFmtId="3" fontId="8" fillId="11" borderId="12" xfId="0" applyNumberFormat="1" applyFont="1" applyFill="1" applyBorder="1" applyAlignment="1" applyProtection="1">
      <alignment vertical="center"/>
      <protection locked="0" hidden="1"/>
    </xf>
    <xf numFmtId="0" fontId="9" fillId="11" borderId="15" xfId="0" applyFont="1" applyFill="1" applyBorder="1" applyAlignment="1" applyProtection="1">
      <alignment horizontal="center" vertical="center" wrapText="1"/>
      <protection locked="0" hidden="1"/>
    </xf>
    <xf numFmtId="0" fontId="7" fillId="0" borderId="0" xfId="0" applyFont="1" applyProtection="1">
      <protection locked="0" hidden="1"/>
    </xf>
    <xf numFmtId="3" fontId="9" fillId="12" borderId="78" xfId="0" applyNumberFormat="1" applyFont="1" applyFill="1" applyBorder="1" applyAlignment="1" applyProtection="1">
      <alignment horizontal="center"/>
      <protection locked="0" hidden="1"/>
    </xf>
    <xf numFmtId="3" fontId="9" fillId="12" borderId="79" xfId="0" applyNumberFormat="1" applyFont="1" applyFill="1" applyBorder="1" applyAlignment="1" applyProtection="1">
      <alignment horizontal="center"/>
      <protection locked="0" hidden="1"/>
    </xf>
    <xf numFmtId="0" fontId="9" fillId="12" borderId="85" xfId="0" applyFont="1" applyFill="1" applyBorder="1" applyAlignment="1" applyProtection="1">
      <alignment horizontal="center"/>
      <protection locked="0" hidden="1"/>
    </xf>
    <xf numFmtId="0" fontId="7" fillId="0" borderId="16" xfId="0" applyFont="1" applyBorder="1" applyProtection="1">
      <protection hidden="1"/>
    </xf>
    <xf numFmtId="0" fontId="10" fillId="0" borderId="15" xfId="0" applyFont="1" applyBorder="1" applyProtection="1">
      <protection hidden="1"/>
    </xf>
    <xf numFmtId="0" fontId="7" fillId="0" borderId="15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7" fillId="0" borderId="5" xfId="0" applyFont="1" applyBorder="1" applyProtection="1">
      <protection hidden="1"/>
    </xf>
    <xf numFmtId="0" fontId="10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7" fillId="0" borderId="6" xfId="0" applyFont="1" applyBorder="1" applyProtection="1">
      <protection hidden="1"/>
    </xf>
    <xf numFmtId="0" fontId="5" fillId="0" borderId="44" xfId="3" applyBorder="1" applyAlignment="1" applyProtection="1">
      <alignment horizontal="right"/>
      <protection hidden="1"/>
    </xf>
    <xf numFmtId="166" fontId="8" fillId="13" borderId="3" xfId="0" applyNumberFormat="1" applyFont="1" applyFill="1" applyBorder="1" applyAlignment="1" applyProtection="1">
      <alignment vertical="center"/>
      <protection hidden="1"/>
    </xf>
    <xf numFmtId="166" fontId="7" fillId="0" borderId="0" xfId="0" applyNumberFormat="1" applyFont="1" applyProtection="1">
      <protection hidden="1"/>
    </xf>
    <xf numFmtId="166" fontId="7" fillId="0" borderId="6" xfId="0" applyNumberFormat="1" applyFont="1" applyBorder="1" applyProtection="1">
      <protection hidden="1"/>
    </xf>
    <xf numFmtId="0" fontId="5" fillId="0" borderId="45" xfId="3" applyBorder="1" applyAlignment="1" applyProtection="1">
      <alignment horizontal="right"/>
      <protection hidden="1"/>
    </xf>
    <xf numFmtId="166" fontId="8" fillId="8" borderId="3" xfId="0" applyNumberFormat="1" applyFont="1" applyFill="1" applyBorder="1" applyAlignment="1" applyProtection="1">
      <alignment vertical="center"/>
      <protection hidden="1"/>
    </xf>
    <xf numFmtId="166" fontId="8" fillId="9" borderId="3" xfId="0" applyNumberFormat="1" applyFont="1" applyFill="1" applyBorder="1" applyAlignment="1" applyProtection="1">
      <alignment vertical="center"/>
      <protection hidden="1"/>
    </xf>
    <xf numFmtId="3" fontId="8" fillId="7" borderId="4" xfId="0" applyNumberFormat="1" applyFont="1" applyFill="1" applyBorder="1" applyAlignment="1" applyProtection="1">
      <alignment vertical="center"/>
      <protection hidden="1"/>
    </xf>
    <xf numFmtId="0" fontId="5" fillId="0" borderId="46" xfId="3" applyBorder="1" applyAlignment="1" applyProtection="1">
      <alignment horizontal="right"/>
      <protection hidden="1"/>
    </xf>
    <xf numFmtId="3" fontId="8" fillId="19" borderId="4" xfId="0" applyNumberFormat="1" applyFont="1" applyFill="1" applyBorder="1" applyAlignment="1" applyProtection="1">
      <alignment vertical="center"/>
      <protection hidden="1"/>
    </xf>
    <xf numFmtId="0" fontId="7" fillId="0" borderId="17" xfId="0" applyFont="1" applyBorder="1" applyProtection="1">
      <protection hidden="1"/>
    </xf>
    <xf numFmtId="0" fontId="10" fillId="0" borderId="12" xfId="0" applyFont="1" applyBorder="1" applyProtection="1">
      <protection hidden="1"/>
    </xf>
    <xf numFmtId="0" fontId="7" fillId="0" borderId="12" xfId="0" applyFont="1" applyBorder="1" applyProtection="1">
      <protection hidden="1"/>
    </xf>
    <xf numFmtId="3" fontId="7" fillId="0" borderId="12" xfId="0" applyNumberFormat="1" applyFont="1" applyBorder="1" applyProtection="1">
      <protection hidden="1"/>
    </xf>
    <xf numFmtId="4" fontId="7" fillId="0" borderId="12" xfId="0" applyNumberFormat="1" applyFont="1" applyBorder="1" applyProtection="1">
      <protection hidden="1"/>
    </xf>
    <xf numFmtId="0" fontId="7" fillId="0" borderId="25" xfId="0" applyFont="1" applyBorder="1" applyProtection="1">
      <protection hidden="1"/>
    </xf>
    <xf numFmtId="44" fontId="18" fillId="11" borderId="1" xfId="8" applyNumberFormat="1" applyFont="1" applyFill="1" applyBorder="1" applyAlignment="1">
      <alignment horizontal="center" vertical="center"/>
    </xf>
    <xf numFmtId="0" fontId="18" fillId="12" borderId="47" xfId="8" applyFont="1" applyFill="1" applyBorder="1" applyAlignment="1">
      <alignment horizontal="center" vertical="center"/>
    </xf>
    <xf numFmtId="0" fontId="18" fillId="12" borderId="48" xfId="8" applyFont="1" applyFill="1" applyBorder="1" applyAlignment="1">
      <alignment horizontal="center" vertical="center"/>
    </xf>
    <xf numFmtId="17" fontId="18" fillId="20" borderId="14" xfId="8" applyNumberFormat="1" applyFont="1" applyFill="1" applyBorder="1" applyAlignment="1">
      <alignment horizontal="center" vertical="center" wrapText="1"/>
    </xf>
    <xf numFmtId="17" fontId="18" fillId="20" borderId="9" xfId="8" applyNumberFormat="1" applyFont="1" applyFill="1" applyBorder="1" applyAlignment="1">
      <alignment horizontal="center" vertical="center" wrapText="1"/>
    </xf>
    <xf numFmtId="0" fontId="18" fillId="20" borderId="31" xfId="8" applyFont="1" applyFill="1" applyBorder="1" applyAlignment="1">
      <alignment horizontal="center" vertical="center"/>
    </xf>
    <xf numFmtId="0" fontId="18" fillId="20" borderId="7" xfId="8" applyFont="1" applyFill="1" applyBorder="1" applyAlignment="1">
      <alignment horizontal="center" vertical="center"/>
    </xf>
    <xf numFmtId="0" fontId="18" fillId="20" borderId="2" xfId="8" applyFont="1" applyFill="1" applyBorder="1" applyAlignment="1">
      <alignment horizontal="center" vertical="center"/>
    </xf>
    <xf numFmtId="0" fontId="18" fillId="20" borderId="47" xfId="8" applyFont="1" applyFill="1" applyBorder="1" applyAlignment="1">
      <alignment vertical="center"/>
    </xf>
    <xf numFmtId="0" fontId="4" fillId="20" borderId="48" xfId="8" applyFill="1" applyBorder="1" applyAlignment="1">
      <alignment vertical="center"/>
    </xf>
    <xf numFmtId="17" fontId="18" fillId="20" borderId="47" xfId="8" applyNumberFormat="1" applyFont="1" applyFill="1" applyBorder="1" applyAlignment="1">
      <alignment horizontal="center" vertical="center"/>
    </xf>
    <xf numFmtId="0" fontId="18" fillId="20" borderId="48" xfId="8" applyFont="1" applyFill="1" applyBorder="1" applyAlignment="1">
      <alignment horizontal="center" vertical="center"/>
    </xf>
    <xf numFmtId="0" fontId="18" fillId="20" borderId="31" xfId="8" applyFont="1" applyFill="1" applyBorder="1" applyAlignment="1">
      <alignment horizontal="center" vertical="center" wrapText="1"/>
    </xf>
    <xf numFmtId="0" fontId="18" fillId="20" borderId="2" xfId="8" applyFont="1" applyFill="1" applyBorder="1" applyAlignment="1">
      <alignment horizontal="center" vertical="center" wrapText="1"/>
    </xf>
    <xf numFmtId="17" fontId="18" fillId="12" borderId="31" xfId="8" applyNumberFormat="1" applyFont="1" applyFill="1" applyBorder="1" applyAlignment="1">
      <alignment horizontal="center" vertical="center"/>
    </xf>
    <xf numFmtId="17" fontId="18" fillId="12" borderId="2" xfId="8" applyNumberFormat="1" applyFont="1" applyFill="1" applyBorder="1" applyAlignment="1">
      <alignment horizontal="center" vertical="center"/>
    </xf>
    <xf numFmtId="0" fontId="18" fillId="12" borderId="32" xfId="8" applyFont="1" applyFill="1" applyBorder="1" applyAlignment="1">
      <alignment horizontal="center" vertical="center"/>
    </xf>
    <xf numFmtId="0" fontId="18" fillId="12" borderId="49" xfId="8" applyFont="1" applyFill="1" applyBorder="1" applyAlignment="1">
      <alignment horizontal="center" vertical="center"/>
    </xf>
    <xf numFmtId="0" fontId="18" fillId="20" borderId="34" xfId="8" applyFont="1" applyFill="1" applyBorder="1" applyAlignment="1">
      <alignment vertical="center"/>
    </xf>
    <xf numFmtId="0" fontId="4" fillId="20" borderId="36" xfId="8" applyFill="1" applyBorder="1" applyAlignment="1">
      <alignment vertical="center"/>
    </xf>
    <xf numFmtId="17" fontId="18" fillId="12" borderId="47" xfId="8" applyNumberFormat="1" applyFont="1" applyFill="1" applyBorder="1" applyAlignment="1">
      <alignment horizontal="center" vertical="center"/>
    </xf>
    <xf numFmtId="0" fontId="18" fillId="20" borderId="32" xfId="8" applyFont="1" applyFill="1" applyBorder="1" applyAlignment="1">
      <alignment horizontal="center" vertical="center"/>
    </xf>
    <xf numFmtId="0" fontId="18" fillId="20" borderId="49" xfId="8" applyFont="1" applyFill="1" applyBorder="1" applyAlignment="1">
      <alignment horizontal="center" vertical="center"/>
    </xf>
    <xf numFmtId="0" fontId="24" fillId="20" borderId="16" xfId="8" applyFont="1" applyFill="1" applyBorder="1" applyAlignment="1">
      <alignment vertical="center"/>
    </xf>
    <xf numFmtId="0" fontId="4" fillId="20" borderId="17" xfId="8" applyFill="1" applyBorder="1" applyAlignment="1">
      <alignment vertical="center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15" fillId="11" borderId="15" xfId="0" applyFont="1" applyFill="1" applyBorder="1" applyAlignment="1" applyProtection="1">
      <alignment horizontal="center" vertical="center" wrapText="1"/>
      <protection locked="0"/>
    </xf>
    <xf numFmtId="0" fontId="15" fillId="11" borderId="11" xfId="0" applyFont="1" applyFill="1" applyBorder="1" applyAlignment="1" applyProtection="1">
      <alignment horizontal="center" vertical="center" wrapText="1"/>
      <protection locked="0"/>
    </xf>
    <xf numFmtId="0" fontId="8" fillId="5" borderId="14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3" fontId="8" fillId="11" borderId="15" xfId="0" applyNumberFormat="1" applyFont="1" applyFill="1" applyBorder="1" applyAlignment="1" applyProtection="1">
      <alignment vertical="center"/>
      <protection locked="0"/>
    </xf>
    <xf numFmtId="3" fontId="8" fillId="11" borderId="0" xfId="0" applyNumberFormat="1" applyFont="1" applyFill="1" applyAlignment="1" applyProtection="1">
      <alignment vertical="center"/>
      <protection locked="0"/>
    </xf>
    <xf numFmtId="0" fontId="9" fillId="11" borderId="6" xfId="0" applyFont="1" applyFill="1" applyBorder="1" applyAlignment="1" applyProtection="1">
      <alignment vertical="center"/>
      <protection locked="0"/>
    </xf>
    <xf numFmtId="3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3" fontId="8" fillId="3" borderId="15" xfId="0" applyNumberFormat="1" applyFont="1" applyFill="1" applyBorder="1" applyAlignment="1" applyProtection="1">
      <alignment horizontal="center" vertical="center" wrapText="1"/>
      <protection locked="0"/>
    </xf>
    <xf numFmtId="3" fontId="8" fillId="3" borderId="15" xfId="0" applyNumberFormat="1" applyFont="1" applyFill="1" applyBorder="1" applyAlignment="1" applyProtection="1">
      <alignment horizontal="center" vertical="center"/>
      <protection locked="0"/>
    </xf>
    <xf numFmtId="0" fontId="11" fillId="11" borderId="14" xfId="0" applyFont="1" applyFill="1" applyBorder="1" applyAlignment="1" applyProtection="1">
      <alignment horizontal="center" vertical="center"/>
      <protection locked="0"/>
    </xf>
    <xf numFmtId="0" fontId="11" fillId="11" borderId="10" xfId="0" applyFont="1" applyFill="1" applyBorder="1" applyAlignment="1" applyProtection="1">
      <alignment horizontal="center" vertical="center"/>
      <protection locked="0"/>
    </xf>
    <xf numFmtId="0" fontId="8" fillId="12" borderId="16" xfId="0" applyFont="1" applyFill="1" applyBorder="1" applyAlignment="1" applyProtection="1">
      <alignment horizontal="center" vertical="center" wrapText="1"/>
      <protection locked="0"/>
    </xf>
    <xf numFmtId="0" fontId="8" fillId="12" borderId="15" xfId="0" applyFont="1" applyFill="1" applyBorder="1" applyAlignment="1" applyProtection="1">
      <alignment horizontal="center" vertical="center" wrapText="1"/>
      <protection locked="0"/>
    </xf>
    <xf numFmtId="0" fontId="8" fillId="21" borderId="16" xfId="0" applyFont="1" applyFill="1" applyBorder="1" applyAlignment="1" applyProtection="1">
      <alignment horizontal="center" vertical="center" wrapText="1"/>
      <protection locked="0"/>
    </xf>
    <xf numFmtId="0" fontId="8" fillId="21" borderId="15" xfId="0" applyFont="1" applyFill="1" applyBorder="1" applyAlignment="1" applyProtection="1">
      <alignment horizontal="center" vertical="center" wrapText="1"/>
      <protection locked="0"/>
    </xf>
    <xf numFmtId="0" fontId="11" fillId="11" borderId="16" xfId="0" applyFont="1" applyFill="1" applyBorder="1" applyAlignment="1" applyProtection="1">
      <alignment horizontal="center" vertical="center"/>
      <protection locked="0"/>
    </xf>
    <xf numFmtId="0" fontId="11" fillId="11" borderId="15" xfId="0" applyFont="1" applyFill="1" applyBorder="1" applyAlignment="1" applyProtection="1">
      <alignment horizontal="center" vertical="center"/>
      <protection locked="0"/>
    </xf>
    <xf numFmtId="0" fontId="11" fillId="11" borderId="5" xfId="0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 applyProtection="1">
      <alignment horizontal="center" vertical="center"/>
      <protection locked="0"/>
    </xf>
    <xf numFmtId="0" fontId="14" fillId="11" borderId="5" xfId="0" applyFont="1" applyFill="1" applyBorder="1" applyAlignment="1" applyProtection="1">
      <alignment horizontal="right" vertical="center"/>
      <protection locked="0"/>
    </xf>
    <xf numFmtId="0" fontId="14" fillId="11" borderId="0" xfId="0" applyFont="1" applyFill="1" applyAlignment="1" applyProtection="1">
      <alignment horizontal="right" vertical="center"/>
      <protection locked="0"/>
    </xf>
    <xf numFmtId="0" fontId="14" fillId="11" borderId="0" xfId="0" applyFont="1" applyFill="1" applyAlignment="1" applyProtection="1">
      <alignment horizontal="left" vertical="center"/>
      <protection locked="0"/>
    </xf>
    <xf numFmtId="0" fontId="14" fillId="11" borderId="17" xfId="0" applyFont="1" applyFill="1" applyBorder="1" applyAlignment="1" applyProtection="1">
      <alignment horizontal="right" vertical="center"/>
      <protection locked="0"/>
    </xf>
    <xf numFmtId="0" fontId="14" fillId="11" borderId="12" xfId="0" applyFont="1" applyFill="1" applyBorder="1" applyAlignment="1" applyProtection="1">
      <alignment horizontal="right" vertical="center"/>
      <protection locked="0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14" fillId="11" borderId="12" xfId="0" applyFont="1" applyFill="1" applyBorder="1" applyAlignment="1" applyProtection="1">
      <alignment horizontal="left" vertical="center"/>
      <protection locked="0"/>
    </xf>
    <xf numFmtId="0" fontId="9" fillId="7" borderId="14" xfId="0" applyFont="1" applyFill="1" applyBorder="1" applyAlignment="1" applyProtection="1">
      <alignment horizontal="center" vertical="center"/>
      <protection locked="0"/>
    </xf>
    <xf numFmtId="0" fontId="9" fillId="7" borderId="9" xfId="0" applyFont="1" applyFill="1" applyBorder="1" applyAlignment="1" applyProtection="1">
      <alignment horizontal="center" vertical="center"/>
      <protection locked="0"/>
    </xf>
    <xf numFmtId="0" fontId="9" fillId="7" borderId="10" xfId="0" applyFont="1" applyFill="1" applyBorder="1" applyAlignment="1" applyProtection="1">
      <alignment horizontal="center" vertical="center"/>
      <protection locked="0"/>
    </xf>
    <xf numFmtId="0" fontId="9" fillId="8" borderId="14" xfId="0" applyFont="1" applyFill="1" applyBorder="1" applyAlignment="1" applyProtection="1">
      <alignment horizontal="center" vertical="center"/>
      <protection locked="0"/>
    </xf>
    <xf numFmtId="0" fontId="9" fillId="8" borderId="9" xfId="0" applyFont="1" applyFill="1" applyBorder="1" applyAlignment="1" applyProtection="1">
      <alignment horizontal="center" vertical="center"/>
      <protection locked="0"/>
    </xf>
    <xf numFmtId="0" fontId="9" fillId="8" borderId="10" xfId="0" applyFont="1" applyFill="1" applyBorder="1" applyAlignment="1" applyProtection="1">
      <alignment horizontal="center" vertical="center"/>
      <protection locked="0"/>
    </xf>
    <xf numFmtId="0" fontId="9" fillId="9" borderId="14" xfId="0" applyFont="1" applyFill="1" applyBorder="1" applyAlignment="1" applyProtection="1">
      <alignment horizontal="center" vertical="center"/>
      <protection locked="0"/>
    </xf>
    <xf numFmtId="0" fontId="9" fillId="9" borderId="9" xfId="0" applyFont="1" applyFill="1" applyBorder="1" applyAlignment="1" applyProtection="1">
      <alignment horizontal="center" vertical="center"/>
      <protection locked="0"/>
    </xf>
    <xf numFmtId="0" fontId="9" fillId="9" borderId="12" xfId="0" applyFont="1" applyFill="1" applyBorder="1" applyAlignment="1" applyProtection="1">
      <alignment horizontal="center" vertical="center"/>
      <protection locked="0"/>
    </xf>
    <xf numFmtId="0" fontId="9" fillId="9" borderId="10" xfId="0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 applyProtection="1">
      <alignment horizontal="center" vertical="center"/>
      <protection locked="0"/>
    </xf>
    <xf numFmtId="0" fontId="9" fillId="5" borderId="10" xfId="0" applyFont="1" applyFill="1" applyBorder="1" applyAlignment="1" applyProtection="1">
      <alignment horizontal="center" vertical="center"/>
      <protection locked="0"/>
    </xf>
    <xf numFmtId="0" fontId="8" fillId="6" borderId="9" xfId="0" applyFont="1" applyFill="1" applyBorder="1" applyAlignment="1" applyProtection="1">
      <alignment horizontal="right" vertical="center"/>
      <protection locked="0"/>
    </xf>
    <xf numFmtId="0" fontId="8" fillId="6" borderId="84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</cellXfs>
  <cellStyles count="14">
    <cellStyle name="Comma" xfId="1" builtinId="3"/>
    <cellStyle name="Comma 6 2" xfId="6" xr:uid="{394F3679-25F0-4240-89E3-46BBA5E9D490}"/>
    <cellStyle name="Comma 6 2 2" xfId="11" xr:uid="{5B981F73-8AEF-4767-B425-A1B78BD25EA4}"/>
    <cellStyle name="Currency 2" xfId="13" xr:uid="{8C930E08-B855-4A9A-A483-30463ED69F4E}"/>
    <cellStyle name="Normal" xfId="0" builtinId="0"/>
    <cellStyle name="Normal 2" xfId="12" xr:uid="{E2A31FD6-C0A9-4F5F-AC3B-F91E5F0DBA0A}"/>
    <cellStyle name="Normal 9" xfId="3" xr:uid="{F940D1BB-A7E6-4FC3-BCCA-1D648538164B}"/>
    <cellStyle name="Normal 9 2 2" xfId="4" xr:uid="{B5FFBB08-F97A-4B61-B042-9DE3D8A55D2F}"/>
    <cellStyle name="Normal 9 2 2 2" xfId="8" xr:uid="{483F3F36-ABC8-4EA4-B50A-4FEF0B3F0EAE}"/>
    <cellStyle name="Per cent" xfId="2" builtinId="5"/>
    <cellStyle name="Percent 4 2" xfId="7" xr:uid="{9FC1930A-B777-423E-9FB1-C1622BFB3075}"/>
    <cellStyle name="Percent 4 2 2" xfId="9" xr:uid="{3A4ECBAC-C60F-44D2-B470-5BE4E8338A12}"/>
    <cellStyle name="Percent 5 2" xfId="5" xr:uid="{A32B4CC4-69AD-4BAD-A24F-26E65B624F78}"/>
    <cellStyle name="Percent 5 2 2" xfId="10" xr:uid="{A0617FC2-DDB8-4B41-A516-A0898062E154}"/>
  </cellStyles>
  <dxfs count="10">
    <dxf>
      <font>
        <color rgb="FF00B050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mruColors>
      <color rgb="FFCCFFCC"/>
      <color rgb="FFCCFFFF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678228</xdr:colOff>
      <xdr:row>1</xdr:row>
      <xdr:rowOff>138315</xdr:rowOff>
    </xdr:from>
    <xdr:ext cx="2496094" cy="624023"/>
    <xdr:pic>
      <xdr:nvPicPr>
        <xdr:cNvPr id="2" name="Picture 1">
          <a:extLst>
            <a:ext uri="{FF2B5EF4-FFF2-40B4-BE49-F238E27FC236}">
              <a16:creationId xmlns:a16="http://schemas.microsoft.com/office/drawing/2014/main" id="{91F2DE9C-2207-484C-BE3A-9243EA9A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77404" y="384844"/>
          <a:ext cx="2496094" cy="6240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</xdr:colOff>
      <xdr:row>0</xdr:row>
      <xdr:rowOff>116052</xdr:rowOff>
    </xdr:from>
    <xdr:to>
      <xdr:col>8</xdr:col>
      <xdr:colOff>1452562</xdr:colOff>
      <xdr:row>5</xdr:row>
      <xdr:rowOff>62473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76F21B-2529-4159-971F-D98D8A117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1437" y="116052"/>
          <a:ext cx="2166938" cy="5417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tuart Poole" id="{9B94B124-7E92-4D65-BC24-FAD2683F2BC4}" userId="Stuart.Poole@keyis.com" providerId="PeoplePicker"/>
  <person displayName="Ryan Jones" id="{49B3C52A-BFCF-46A0-A47E-2430FBD9EC61}" userId="S::ryan.jones@keyis.com::46a6f42b-5207-48ba-954a-497baf8b3708" providerId="AD"/>
  <person displayName="Craig Bullock" id="{749BA5C2-3EF0-4ED3-8DD1-B5E24F8141BF}" userId="S::Craig.bullock@keyis.com::bec05f80-c6d1-4486-bea6-4504b7170a99" providerId="AD"/>
  <person displayName="Craig Bullock" id="{D00A78C7-E729-4CEE-8776-AA34B2F552A9}" userId="S::craig.bullock@keyis.com::bec05f80-c6d1-4486-bea6-4504b7170a9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Z115" dT="2024-08-12T14:02:47.56" personId="{49B3C52A-BFCF-46A0-A47E-2430FBD9EC61}" id="{B1CA0F5E-9DD5-4241-8B29-221F6339C661}">
    <text>Canopy works?</text>
  </threadedComment>
  <threadedComment ref="AZ117" dT="2024-08-12T14:02:56.94" personId="{49B3C52A-BFCF-46A0-A47E-2430FBD9EC61}" id="{271CCDBD-FD0F-4980-BAE5-9DFA32F665C2}">
    <text>Canopy works?</text>
  </threadedComment>
  <threadedComment ref="AZ117" dT="2024-08-12T15:36:45.17" personId="{D00A78C7-E729-4CEE-8776-AA34B2F552A9}" id="{3A61DD88-BC27-46C8-A44D-15DEED559823}" parentId="{271CCDBD-FD0F-4980-BAE5-9DFA32F665C2}">
    <text>Ryan, As discussed this sum has been allocated for canopy connection, supports &amp; Cleaning</text>
  </threadedComment>
  <threadedComment ref="Q143" dT="2024-08-27T10:12:31.47" personId="{749BA5C2-3EF0-4ED3-8DD1-B5E24F8141BF}" id="{EEF5167A-AD57-485D-9A73-E4D7F53F024A}">
    <text>@Stuart Poole Steam Control Valve Fisair 1899</text>
    <mentions>
      <mention mentionpersonId="{9B94B124-7E92-4D65-BC24-FAD2683F2BC4}" mentionId="{55FF1EC1-4390-4E55-B7D8-417A2C133C37}" startIndex="0" length="13"/>
    </mentions>
  </threadedComment>
  <threadedComment ref="AI143" dT="2024-02-16T13:48:46.09" personId="{749BA5C2-3EF0-4ED3-8DD1-B5E24F8141BF}" id="{DA28235E-5BDA-4824-A772-F825B90F6E5F}">
    <text>Budget / Guess</text>
  </threadedComment>
  <threadedComment ref="AI143" dT="2024-03-18T10:03:02.76" personId="{749BA5C2-3EF0-4ED3-8DD1-B5E24F8141BF}" id="{393D9191-BC58-452C-9752-90569A15E2E1}" parentId="{DA28235E-5BDA-4824-A772-F825B90F6E5F}">
    <text>Actual from DQD</text>
  </threadedComment>
  <threadedComment ref="AM143" dT="2024-08-27T10:15:28.05" personId="{749BA5C2-3EF0-4ED3-8DD1-B5E24F8141BF}" id="{40ADDA99-0465-4E09-9ADD-2E65048CEF7B}">
    <text>@Stuart Poole Split delivery cost Fisair</text>
    <mentions>
      <mention mentionpersonId="{9B94B124-7E92-4D65-BC24-FAD2683F2BC4}" mentionId="{6C2D5A48-55F6-49CC-92A6-0B5CAEF3DA8D}" startIndex="0" length="13"/>
    </mentions>
  </threadedComment>
  <threadedComment ref="BE144" dT="2024-03-18T10:08:03.39" personId="{749BA5C2-3EF0-4ED3-8DD1-B5E24F8141BF}" id="{B4EF36F9-3650-436C-AC2C-C360C05E48C2}">
    <text>Omiited from FSM quote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8ED5-129F-47D1-9DB9-6996CF308783}">
  <sheetPr>
    <tabColor rgb="FF92D050"/>
    <pageSetUpPr fitToPage="1"/>
  </sheetPr>
  <dimension ref="A1:R51"/>
  <sheetViews>
    <sheetView tabSelected="1" zoomScale="85" zoomScaleNormal="85" zoomScaleSheetLayoutView="100" workbookViewId="0">
      <selection activeCell="M24" sqref="M24"/>
    </sheetView>
  </sheetViews>
  <sheetFormatPr defaultColWidth="9.42578125" defaultRowHeight="15" x14ac:dyDescent="0.25"/>
  <cols>
    <col min="1" max="1" width="34.5703125" style="46" customWidth="1"/>
    <col min="2" max="2" width="20.5703125" style="48" customWidth="1"/>
    <col min="3" max="3" width="11.42578125" style="48" bestFit="1" customWidth="1"/>
    <col min="4" max="4" width="10.42578125" style="48" customWidth="1"/>
    <col min="5" max="5" width="11.5703125" style="48" customWidth="1"/>
    <col min="6" max="6" width="22.42578125" style="48" customWidth="1"/>
    <col min="7" max="7" width="25.5703125" style="46" customWidth="1"/>
    <col min="8" max="8" width="44.5703125" style="46" customWidth="1"/>
    <col min="9" max="10" width="1.42578125" style="50" customWidth="1"/>
    <col min="11" max="11" width="14.5703125" style="50" customWidth="1"/>
    <col min="12" max="12" width="12.42578125" style="50" customWidth="1"/>
    <col min="13" max="13" width="10" style="50" bestFit="1" customWidth="1"/>
    <col min="14" max="18" width="9.42578125" style="50"/>
    <col min="19" max="16384" width="9.42578125" style="46"/>
  </cols>
  <sheetData>
    <row r="1" spans="1:18" s="100" customFormat="1" ht="20.100000000000001" customHeight="1" x14ac:dyDescent="0.2">
      <c r="A1" s="107" t="s">
        <v>0</v>
      </c>
      <c r="B1" s="98"/>
      <c r="C1" s="98"/>
      <c r="D1" s="98"/>
      <c r="E1" s="98"/>
      <c r="F1" s="98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</row>
    <row r="2" spans="1:18" s="100" customFormat="1" ht="19.5" thickBot="1" x14ac:dyDescent="0.25">
      <c r="A2" s="107"/>
      <c r="B2" s="98"/>
      <c r="C2" s="98"/>
      <c r="D2" s="98"/>
      <c r="E2" s="98"/>
      <c r="F2" s="98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</row>
    <row r="3" spans="1:18" s="100" customFormat="1" ht="20.100000000000001" customHeight="1" thickBot="1" x14ac:dyDescent="0.25">
      <c r="A3" s="165" t="s">
        <v>1</v>
      </c>
      <c r="B3" s="352"/>
      <c r="C3" s="98"/>
      <c r="D3" s="105"/>
      <c r="E3" s="106"/>
      <c r="F3" s="106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</row>
    <row r="4" spans="1:18" s="100" customFormat="1" ht="20.100000000000001" customHeight="1" thickBot="1" x14ac:dyDescent="0.25">
      <c r="A4" s="165" t="s">
        <v>2</v>
      </c>
      <c r="B4" s="352"/>
      <c r="C4" s="98"/>
      <c r="D4" s="105"/>
      <c r="E4" s="420" t="s">
        <v>3</v>
      </c>
      <c r="F4" s="420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</row>
    <row r="5" spans="1:18" s="100" customFormat="1" ht="20.100000000000001" customHeight="1" thickBot="1" x14ac:dyDescent="0.25">
      <c r="A5" s="165" t="s">
        <v>4</v>
      </c>
      <c r="B5" s="352"/>
      <c r="C5" s="98"/>
      <c r="D5" s="105"/>
      <c r="E5" s="169" t="s">
        <v>5</v>
      </c>
      <c r="F5" s="169" t="s">
        <v>6</v>
      </c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</row>
    <row r="6" spans="1:18" s="100" customFormat="1" ht="20.100000000000001" customHeight="1" thickBot="1" x14ac:dyDescent="0.25">
      <c r="A6" s="165" t="s">
        <v>7</v>
      </c>
      <c r="B6" s="339"/>
      <c r="C6" s="98"/>
      <c r="D6" s="163" t="s">
        <v>8</v>
      </c>
      <c r="E6" s="168"/>
      <c r="F6" s="168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spans="1:18" s="100" customFormat="1" ht="19.350000000000001" customHeight="1" thickBot="1" x14ac:dyDescent="0.25">
      <c r="A7" s="165" t="s">
        <v>9</v>
      </c>
      <c r="B7" s="166"/>
      <c r="C7" s="98"/>
      <c r="D7" s="163" t="s">
        <v>10</v>
      </c>
      <c r="E7" s="164"/>
      <c r="F7" s="164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</row>
    <row r="8" spans="1:18" s="100" customFormat="1" ht="20.100000000000001" customHeight="1" thickBot="1" x14ac:dyDescent="0.25">
      <c r="A8" s="165" t="s">
        <v>11</v>
      </c>
      <c r="B8" s="353"/>
      <c r="C8" s="98"/>
      <c r="D8" s="98"/>
      <c r="F8" s="98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</row>
    <row r="9" spans="1:18" s="100" customFormat="1" ht="20.100000000000001" customHeight="1" thickBot="1" x14ac:dyDescent="0.25">
      <c r="A9" s="165" t="s">
        <v>12</v>
      </c>
      <c r="B9" s="167"/>
      <c r="C9" s="98"/>
      <c r="D9" s="98"/>
      <c r="E9" s="98"/>
      <c r="F9" s="104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</row>
    <row r="10" spans="1:18" s="100" customFormat="1" ht="20.100000000000001" customHeight="1" thickBot="1" x14ac:dyDescent="0.25">
      <c r="A10" s="96"/>
      <c r="B10" s="97"/>
      <c r="C10" s="98"/>
      <c r="D10" s="98"/>
      <c r="E10" s="98"/>
      <c r="F10" s="98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</row>
    <row r="11" spans="1:18" ht="20.100000000000001" customHeight="1" thickBot="1" x14ac:dyDescent="0.3">
      <c r="A11" s="50"/>
      <c r="B11" s="101" t="s">
        <v>13</v>
      </c>
      <c r="C11" s="423">
        <f>B7</f>
        <v>0</v>
      </c>
      <c r="D11" s="424"/>
      <c r="E11" s="424"/>
      <c r="F11" s="101" t="s">
        <v>14</v>
      </c>
      <c r="G11" s="425" t="s">
        <v>15</v>
      </c>
      <c r="H11" s="50"/>
    </row>
    <row r="12" spans="1:18" x14ac:dyDescent="0.25">
      <c r="A12" s="428" t="s">
        <v>16</v>
      </c>
      <c r="B12" s="430">
        <f>B7</f>
        <v>0</v>
      </c>
      <c r="C12" s="102"/>
      <c r="D12" s="102"/>
      <c r="E12" s="432" t="s">
        <v>17</v>
      </c>
      <c r="F12" s="434">
        <f>B7-30</f>
        <v>-30</v>
      </c>
      <c r="G12" s="426"/>
      <c r="H12" s="436" t="s">
        <v>18</v>
      </c>
    </row>
    <row r="13" spans="1:18" s="87" customFormat="1" ht="15.75" thickBot="1" x14ac:dyDescent="0.3">
      <c r="A13" s="429"/>
      <c r="B13" s="431"/>
      <c r="C13" s="103" t="s">
        <v>6</v>
      </c>
      <c r="D13" s="103" t="s">
        <v>19</v>
      </c>
      <c r="E13" s="433"/>
      <c r="F13" s="435"/>
      <c r="G13" s="427"/>
      <c r="H13" s="437"/>
      <c r="I13" s="86"/>
      <c r="J13" s="86"/>
      <c r="K13" s="86"/>
      <c r="L13" s="86"/>
      <c r="M13" s="86"/>
      <c r="N13" s="86"/>
      <c r="O13" s="86"/>
      <c r="P13" s="86"/>
      <c r="Q13" s="86"/>
      <c r="R13" s="86"/>
    </row>
    <row r="14" spans="1:18" x14ac:dyDescent="0.25">
      <c r="A14" s="94" t="s">
        <v>20</v>
      </c>
      <c r="B14" s="95">
        <f>C14+E14</f>
        <v>0</v>
      </c>
      <c r="C14" s="21">
        <f>Analysis!$E$188</f>
        <v>0</v>
      </c>
      <c r="D14" s="21">
        <f>Analysis!$F$188</f>
        <v>0</v>
      </c>
      <c r="E14" s="21">
        <f>Analysis!$G$188</f>
        <v>0</v>
      </c>
      <c r="F14" s="25"/>
      <c r="G14" s="93">
        <f t="shared" ref="G14:G19" si="0">B14-F14</f>
        <v>0</v>
      </c>
      <c r="H14" s="26"/>
    </row>
    <row r="15" spans="1:18" x14ac:dyDescent="0.25">
      <c r="A15" s="83" t="s">
        <v>21</v>
      </c>
      <c r="B15" s="72">
        <f>C15+E15</f>
        <v>0</v>
      </c>
      <c r="C15" s="22">
        <f>Analysis!$E$189</f>
        <v>0</v>
      </c>
      <c r="D15" s="22">
        <f>Analysis!$F$189</f>
        <v>0</v>
      </c>
      <c r="E15" s="22">
        <f>Analysis!$G$189</f>
        <v>0</v>
      </c>
      <c r="F15" s="27"/>
      <c r="G15" s="92">
        <f t="shared" si="0"/>
        <v>0</v>
      </c>
      <c r="H15" s="28"/>
    </row>
    <row r="16" spans="1:18" x14ac:dyDescent="0.25">
      <c r="A16" s="83" t="s">
        <v>22</v>
      </c>
      <c r="B16" s="72">
        <f>C16+E16</f>
        <v>0</v>
      </c>
      <c r="C16" s="22">
        <f>Analysis!$E$190</f>
        <v>0</v>
      </c>
      <c r="D16" s="22">
        <f>Analysis!$F$190</f>
        <v>0</v>
      </c>
      <c r="E16" s="22">
        <f>Analysis!$G$190</f>
        <v>0</v>
      </c>
      <c r="F16" s="27"/>
      <c r="G16" s="92">
        <f t="shared" si="0"/>
        <v>0</v>
      </c>
      <c r="H16" s="28"/>
    </row>
    <row r="17" spans="1:18" x14ac:dyDescent="0.25">
      <c r="A17" s="83" t="s">
        <v>23</v>
      </c>
      <c r="B17" s="72">
        <f>C17+E17</f>
        <v>0</v>
      </c>
      <c r="C17" s="22">
        <f>Analysis!$E$191</f>
        <v>0</v>
      </c>
      <c r="D17" s="22">
        <f>Analysis!$F$191</f>
        <v>0</v>
      </c>
      <c r="E17" s="22">
        <f>Analysis!$G$191</f>
        <v>0</v>
      </c>
      <c r="F17" s="27"/>
      <c r="G17" s="92">
        <f t="shared" si="0"/>
        <v>0</v>
      </c>
      <c r="H17" s="29"/>
    </row>
    <row r="18" spans="1:18" ht="15.75" thickBot="1" x14ac:dyDescent="0.3">
      <c r="A18" s="91" t="s">
        <v>24</v>
      </c>
      <c r="B18" s="72">
        <f>C18+E18</f>
        <v>0</v>
      </c>
      <c r="C18" s="23">
        <f>Analysis!$E$192</f>
        <v>0</v>
      </c>
      <c r="D18" s="23">
        <f>Analysis!$F$192</f>
        <v>0</v>
      </c>
      <c r="E18" s="23">
        <f>Analysis!$G$192</f>
        <v>0</v>
      </c>
      <c r="F18" s="30"/>
      <c r="G18" s="90">
        <f t="shared" si="0"/>
        <v>0</v>
      </c>
      <c r="H18" s="28"/>
    </row>
    <row r="19" spans="1:18" ht="15.75" thickBot="1" x14ac:dyDescent="0.3">
      <c r="A19" s="60"/>
      <c r="B19" s="81">
        <f>SUM(B14:B18)</f>
        <v>0</v>
      </c>
      <c r="C19" s="24">
        <f>SUM(C14:C18)</f>
        <v>0</v>
      </c>
      <c r="D19" s="24">
        <f>SUM(D14:D18)</f>
        <v>0</v>
      </c>
      <c r="E19" s="24">
        <f>SUM(E14:E18)</f>
        <v>0</v>
      </c>
      <c r="F19" s="81">
        <f>SUM(F14:F18)</f>
        <v>0</v>
      </c>
      <c r="G19" s="85">
        <f t="shared" si="0"/>
        <v>0</v>
      </c>
      <c r="H19" s="60"/>
      <c r="J19" s="80"/>
    </row>
    <row r="20" spans="1:18" x14ac:dyDescent="0.25">
      <c r="A20" s="50"/>
      <c r="B20" s="75"/>
      <c r="C20" s="75"/>
      <c r="D20" s="75"/>
      <c r="E20" s="75"/>
      <c r="F20" s="75"/>
      <c r="G20" s="50"/>
      <c r="H20" s="80"/>
      <c r="J20" s="80"/>
    </row>
    <row r="21" spans="1:18" ht="15.75" thickBot="1" x14ac:dyDescent="0.3">
      <c r="B21" s="75"/>
      <c r="C21" s="75"/>
      <c r="D21" s="75"/>
      <c r="E21" s="75"/>
      <c r="F21" s="75"/>
      <c r="G21" s="75"/>
      <c r="H21" s="75"/>
    </row>
    <row r="22" spans="1:18" x14ac:dyDescent="0.25">
      <c r="A22" s="438" t="s">
        <v>25</v>
      </c>
      <c r="B22" s="440">
        <f>B12</f>
        <v>0</v>
      </c>
      <c r="C22" s="58"/>
      <c r="D22" s="58"/>
      <c r="E22" s="58"/>
      <c r="F22" s="440">
        <f>F12</f>
        <v>-30</v>
      </c>
      <c r="G22" s="441" t="s">
        <v>15</v>
      </c>
      <c r="H22" s="421" t="s">
        <v>26</v>
      </c>
    </row>
    <row r="23" spans="1:18" s="87" customFormat="1" ht="15.75" thickBot="1" x14ac:dyDescent="0.3">
      <c r="A23" s="439"/>
      <c r="B23" s="422"/>
      <c r="C23" s="58"/>
      <c r="D23" s="58"/>
      <c r="E23" s="58"/>
      <c r="F23" s="422"/>
      <c r="G23" s="442"/>
      <c r="H23" s="422"/>
      <c r="I23" s="86"/>
      <c r="K23" s="88"/>
      <c r="L23" s="89"/>
      <c r="M23" s="86"/>
      <c r="P23" s="86"/>
      <c r="Q23" s="86"/>
      <c r="R23" s="86"/>
    </row>
    <row r="24" spans="1:18" x14ac:dyDescent="0.25">
      <c r="A24" s="83" t="s">
        <v>27</v>
      </c>
      <c r="B24" s="31"/>
      <c r="C24" s="58"/>
      <c r="D24" s="58"/>
      <c r="E24" s="58"/>
      <c r="F24" s="25"/>
      <c r="G24" s="70">
        <f>B24-F24</f>
        <v>0</v>
      </c>
      <c r="H24" s="32"/>
      <c r="K24" s="80"/>
      <c r="L24" s="80"/>
    </row>
    <row r="25" spans="1:18" x14ac:dyDescent="0.25">
      <c r="A25" s="83" t="s">
        <v>28</v>
      </c>
      <c r="B25" s="31"/>
      <c r="C25" s="58"/>
      <c r="D25" s="58"/>
      <c r="E25" s="58"/>
      <c r="F25" s="33"/>
      <c r="G25" s="70">
        <f>B25-F25</f>
        <v>0</v>
      </c>
      <c r="H25" s="34"/>
      <c r="K25" s="80"/>
      <c r="L25" s="80"/>
    </row>
    <row r="26" spans="1:18" ht="15.75" thickBot="1" x14ac:dyDescent="0.3">
      <c r="A26" s="83" t="s">
        <v>29</v>
      </c>
      <c r="B26" s="84">
        <f>Analysis!$G$194</f>
        <v>0</v>
      </c>
      <c r="C26" s="58"/>
      <c r="D26" s="58"/>
      <c r="E26" s="58"/>
      <c r="F26" s="35"/>
      <c r="G26" s="70">
        <f>B26-F26</f>
        <v>0</v>
      </c>
      <c r="H26" s="34"/>
      <c r="K26" s="80"/>
      <c r="L26" s="80"/>
    </row>
    <row r="27" spans="1:18" ht="15.75" thickBot="1" x14ac:dyDescent="0.3">
      <c r="A27" s="60"/>
      <c r="B27" s="81">
        <f>SUM(B24:B26)</f>
        <v>0</v>
      </c>
      <c r="C27" s="58"/>
      <c r="D27" s="58"/>
      <c r="E27" s="58"/>
      <c r="F27" s="81">
        <f>SUM(F24:F26)</f>
        <v>0</v>
      </c>
      <c r="G27" s="82" t="s">
        <v>27</v>
      </c>
      <c r="H27" s="36"/>
      <c r="K27" s="80"/>
      <c r="L27" s="80"/>
    </row>
    <row r="28" spans="1:18" ht="15.75" thickBot="1" x14ac:dyDescent="0.3">
      <c r="A28" s="50"/>
      <c r="B28" s="75"/>
      <c r="C28" s="58"/>
      <c r="D28" s="58"/>
      <c r="E28" s="58"/>
      <c r="F28" s="75"/>
      <c r="G28" s="76"/>
      <c r="H28" s="50"/>
    </row>
    <row r="29" spans="1:18" ht="15.75" thickBot="1" x14ac:dyDescent="0.3">
      <c r="A29" s="77" t="s">
        <v>30</v>
      </c>
      <c r="B29" s="78">
        <f>B19-B27</f>
        <v>0</v>
      </c>
      <c r="C29" s="58"/>
      <c r="D29" s="58"/>
      <c r="E29" s="58"/>
      <c r="F29" s="75"/>
      <c r="G29" s="76"/>
      <c r="H29" s="50"/>
    </row>
    <row r="30" spans="1:18" ht="15.75" thickBot="1" x14ac:dyDescent="0.3">
      <c r="A30" s="50"/>
      <c r="B30" s="75"/>
      <c r="C30" s="58"/>
      <c r="D30" s="58"/>
      <c r="E30" s="58"/>
      <c r="F30" s="75"/>
      <c r="G30" s="50"/>
      <c r="H30" s="50"/>
    </row>
    <row r="31" spans="1:18" x14ac:dyDescent="0.25">
      <c r="A31" s="443" t="s">
        <v>31</v>
      </c>
      <c r="B31" s="440">
        <f>B22</f>
        <v>0</v>
      </c>
      <c r="C31" s="58"/>
      <c r="D31" s="58"/>
      <c r="E31" s="58"/>
      <c r="F31" s="440">
        <f>F12</f>
        <v>-30</v>
      </c>
      <c r="G31" s="441" t="s">
        <v>15</v>
      </c>
      <c r="H31" s="436" t="s">
        <v>26</v>
      </c>
    </row>
    <row r="32" spans="1:18" ht="15.6" customHeight="1" thickBot="1" x14ac:dyDescent="0.3">
      <c r="A32" s="444"/>
      <c r="B32" s="422"/>
      <c r="C32" s="58"/>
      <c r="D32" s="58"/>
      <c r="E32" s="58"/>
      <c r="F32" s="422"/>
      <c r="G32" s="442"/>
      <c r="H32" s="437"/>
      <c r="I32" s="79"/>
      <c r="J32" s="79"/>
    </row>
    <row r="33" spans="1:8" x14ac:dyDescent="0.25">
      <c r="A33" s="74" t="s">
        <v>32</v>
      </c>
      <c r="B33" s="25">
        <f>Analysis!CR54</f>
        <v>0</v>
      </c>
      <c r="C33" s="58"/>
      <c r="D33" s="58"/>
      <c r="E33" s="58"/>
      <c r="F33" s="25"/>
      <c r="G33" s="73">
        <f t="shared" ref="G33:G39" si="1">B33-F33</f>
        <v>0</v>
      </c>
      <c r="H33" s="37"/>
    </row>
    <row r="34" spans="1:8" s="50" customFormat="1" x14ac:dyDescent="0.25">
      <c r="A34" s="71" t="s">
        <v>33</v>
      </c>
      <c r="B34" s="72">
        <f>SUM(Analysis!CT133:CV133)</f>
        <v>0</v>
      </c>
      <c r="C34" s="58"/>
      <c r="D34" s="58"/>
      <c r="E34" s="58"/>
      <c r="F34" s="27">
        <v>0</v>
      </c>
      <c r="G34" s="70">
        <f t="shared" si="1"/>
        <v>0</v>
      </c>
      <c r="H34" s="38"/>
    </row>
    <row r="35" spans="1:8" s="50" customFormat="1" x14ac:dyDescent="0.25">
      <c r="A35" s="71" t="s">
        <v>34</v>
      </c>
      <c r="B35" s="27">
        <v>0</v>
      </c>
      <c r="C35" s="58"/>
      <c r="D35" s="58"/>
      <c r="E35" s="58"/>
      <c r="F35" s="27">
        <v>0</v>
      </c>
      <c r="G35" s="70">
        <f t="shared" si="1"/>
        <v>0</v>
      </c>
      <c r="H35" s="28"/>
    </row>
    <row r="36" spans="1:8" s="50" customFormat="1" ht="15.75" thickBot="1" x14ac:dyDescent="0.3">
      <c r="A36" s="69" t="s">
        <v>35</v>
      </c>
      <c r="B36" s="39">
        <v>0</v>
      </c>
      <c r="C36" s="58"/>
      <c r="D36" s="58"/>
      <c r="E36" s="58"/>
      <c r="F36" s="39">
        <v>0</v>
      </c>
      <c r="G36" s="68">
        <f t="shared" si="1"/>
        <v>0</v>
      </c>
      <c r="H36" s="40"/>
    </row>
    <row r="37" spans="1:8" s="50" customFormat="1" ht="15.75" thickBot="1" x14ac:dyDescent="0.3">
      <c r="A37" s="56" t="s">
        <v>36</v>
      </c>
      <c r="B37" s="63">
        <f>SUM(B33:B36)</f>
        <v>0</v>
      </c>
      <c r="C37" s="58"/>
      <c r="D37" s="58"/>
      <c r="E37" s="58"/>
      <c r="F37" s="63">
        <f>SUM(F33:F36)</f>
        <v>0</v>
      </c>
      <c r="G37" s="64">
        <f t="shared" si="1"/>
        <v>0</v>
      </c>
      <c r="H37" s="41"/>
    </row>
    <row r="38" spans="1:8" s="50" customFormat="1" ht="15.75" thickBot="1" x14ac:dyDescent="0.3">
      <c r="A38" s="65" t="s">
        <v>37</v>
      </c>
      <c r="B38" s="66">
        <f>B37-B19</f>
        <v>0</v>
      </c>
      <c r="C38" s="58"/>
      <c r="D38" s="58"/>
      <c r="E38" s="58"/>
      <c r="F38" s="66">
        <f>F37-F19</f>
        <v>0</v>
      </c>
      <c r="G38" s="67">
        <f t="shared" si="1"/>
        <v>0</v>
      </c>
      <c r="H38" s="42"/>
    </row>
    <row r="39" spans="1:8" s="50" customFormat="1" ht="15.75" thickBot="1" x14ac:dyDescent="0.3">
      <c r="A39" s="56" t="s">
        <v>38</v>
      </c>
      <c r="B39" s="57" t="e">
        <f>SUM(B38/B37)</f>
        <v>#DIV/0!</v>
      </c>
      <c r="C39" s="58"/>
      <c r="D39" s="58"/>
      <c r="E39" s="58"/>
      <c r="F39" s="57" t="e">
        <f>SUM(F38/F37)</f>
        <v>#DIV/0!</v>
      </c>
      <c r="G39" s="59" t="e">
        <f t="shared" si="1"/>
        <v>#DIV/0!</v>
      </c>
      <c r="H39" s="60"/>
    </row>
    <row r="40" spans="1:8" s="50" customFormat="1" x14ac:dyDescent="0.25">
      <c r="A40" s="46"/>
      <c r="B40" s="48"/>
      <c r="C40" s="48"/>
      <c r="D40" s="48"/>
      <c r="E40" s="48"/>
      <c r="F40" s="48"/>
      <c r="G40" s="46"/>
      <c r="H40" s="61"/>
    </row>
    <row r="41" spans="1:8" s="50" customFormat="1" ht="15.75" thickBot="1" x14ac:dyDescent="0.3">
      <c r="A41" s="46"/>
      <c r="B41" s="48"/>
      <c r="C41" s="48"/>
      <c r="D41" s="48"/>
      <c r="E41" s="48"/>
      <c r="F41" s="48"/>
      <c r="G41" s="46"/>
      <c r="H41" s="46"/>
    </row>
    <row r="42" spans="1:8" s="50" customFormat="1" ht="15.75" thickBot="1" x14ac:dyDescent="0.3">
      <c r="A42" s="46"/>
      <c r="B42" s="62" t="s">
        <v>39</v>
      </c>
      <c r="C42" s="48"/>
      <c r="D42" s="48"/>
      <c r="E42" s="48"/>
      <c r="F42" s="62" t="s">
        <v>40</v>
      </c>
      <c r="G42" s="170" t="s">
        <v>41</v>
      </c>
      <c r="H42" s="171" t="s">
        <v>42</v>
      </c>
    </row>
    <row r="43" spans="1:8" s="50" customFormat="1" x14ac:dyDescent="0.25">
      <c r="A43" s="182" t="s">
        <v>43</v>
      </c>
      <c r="B43" s="43"/>
      <c r="C43" s="48"/>
      <c r="D43" s="48"/>
      <c r="E43" s="48"/>
      <c r="F43" s="44">
        <v>25</v>
      </c>
      <c r="G43" s="172" t="e">
        <f>F43/B37</f>
        <v>#DIV/0!</v>
      </c>
      <c r="H43" s="173"/>
    </row>
    <row r="44" spans="1:8" s="50" customFormat="1" x14ac:dyDescent="0.25">
      <c r="A44" s="183" t="s">
        <v>44</v>
      </c>
      <c r="B44" s="43"/>
      <c r="C44" s="48"/>
      <c r="D44" s="48"/>
      <c r="E44" s="48"/>
      <c r="F44" s="45">
        <v>20</v>
      </c>
      <c r="G44" s="174" t="e">
        <f>F44/B37</f>
        <v>#DIV/0!</v>
      </c>
      <c r="H44" s="173"/>
    </row>
    <row r="45" spans="1:8" s="50" customFormat="1" x14ac:dyDescent="0.25">
      <c r="A45" s="183" t="s">
        <v>45</v>
      </c>
      <c r="B45" s="43"/>
      <c r="C45" s="48"/>
      <c r="D45" s="48"/>
      <c r="E45" s="48"/>
      <c r="F45" s="44">
        <v>15</v>
      </c>
      <c r="G45" s="175" t="e">
        <f>F45/B37</f>
        <v>#DIV/0!</v>
      </c>
      <c r="H45" s="176"/>
    </row>
    <row r="46" spans="1:8" s="50" customFormat="1" ht="15.75" thickBot="1" x14ac:dyDescent="0.3">
      <c r="A46" s="184" t="s">
        <v>46</v>
      </c>
      <c r="B46" s="43"/>
      <c r="C46" s="48"/>
      <c r="D46" s="48"/>
      <c r="E46" s="48"/>
      <c r="F46" s="45">
        <v>10</v>
      </c>
      <c r="G46" s="175" t="e">
        <f>F46/B37</f>
        <v>#DIV/0!</v>
      </c>
      <c r="H46" s="173"/>
    </row>
    <row r="47" spans="1:8" s="50" customFormat="1" x14ac:dyDescent="0.25">
      <c r="A47" s="46"/>
      <c r="B47" s="47" t="s">
        <v>47</v>
      </c>
      <c r="C47" s="48"/>
      <c r="D47" s="48"/>
      <c r="E47" s="48"/>
      <c r="F47" s="49">
        <f>F43-F45</f>
        <v>10</v>
      </c>
      <c r="G47" s="175" t="e">
        <f>G43-G45</f>
        <v>#DIV/0!</v>
      </c>
      <c r="H47" s="177"/>
    </row>
    <row r="48" spans="1:8" s="50" customFormat="1" ht="15.75" thickBot="1" x14ac:dyDescent="0.3">
      <c r="A48" s="46"/>
      <c r="B48" s="51" t="s">
        <v>48</v>
      </c>
      <c r="C48" s="48"/>
      <c r="D48" s="48"/>
      <c r="E48" s="48"/>
      <c r="F48" s="52">
        <f>F44-F46</f>
        <v>10</v>
      </c>
      <c r="G48" s="175" t="e">
        <f>G44-G46</f>
        <v>#DIV/0!</v>
      </c>
      <c r="H48" s="177"/>
    </row>
    <row r="49" spans="1:8" s="50" customFormat="1" x14ac:dyDescent="0.25">
      <c r="A49" s="53"/>
      <c r="B49" s="54"/>
      <c r="C49" s="54"/>
      <c r="D49" s="54"/>
      <c r="E49" s="54"/>
      <c r="F49" s="49" t="s">
        <v>49</v>
      </c>
      <c r="G49" s="178" t="e">
        <f>G43-B9</f>
        <v>#DIV/0!</v>
      </c>
      <c r="H49" s="177"/>
    </row>
    <row r="50" spans="1:8" s="50" customFormat="1" x14ac:dyDescent="0.25">
      <c r="B50" s="48"/>
      <c r="C50" s="48"/>
      <c r="D50" s="48"/>
      <c r="E50" s="48"/>
      <c r="F50" s="52" t="s">
        <v>50</v>
      </c>
      <c r="G50" s="179" t="e">
        <f>G44-B9</f>
        <v>#DIV/0!</v>
      </c>
      <c r="H50" s="177"/>
    </row>
    <row r="51" spans="1:8" s="50" customFormat="1" ht="15.75" thickBot="1" x14ac:dyDescent="0.3">
      <c r="A51" s="50" t="s">
        <v>51</v>
      </c>
      <c r="B51" s="54"/>
      <c r="C51" s="54"/>
      <c r="D51" s="54"/>
      <c r="E51" s="54"/>
      <c r="F51" s="55" t="s">
        <v>52</v>
      </c>
      <c r="G51" s="180" t="e">
        <f>(B27/B19)-B9</f>
        <v>#DIV/0!</v>
      </c>
      <c r="H51" s="181"/>
    </row>
  </sheetData>
  <sheetProtection algorithmName="SHA-512" hashValue="XAwq4MNsx4BuDsnKrptlzXrGOF4ly0O3HJfZvv3DiB+qAAnWdNDXenZ9t9w4mAzpwEVarPk9ntgXno5RgTBG2Q==" saltValue="qTpGrCQz8FuKQamtlJuCsQ==" spinCount="100000" sheet="1" objects="1" scenarios="1"/>
  <mergeCells count="18">
    <mergeCell ref="A31:A32"/>
    <mergeCell ref="B31:B32"/>
    <mergeCell ref="F31:F32"/>
    <mergeCell ref="G31:G32"/>
    <mergeCell ref="H31:H32"/>
    <mergeCell ref="E4:F4"/>
    <mergeCell ref="H22:H23"/>
    <mergeCell ref="C11:E11"/>
    <mergeCell ref="G11:G13"/>
    <mergeCell ref="A12:A13"/>
    <mergeCell ref="B12:B13"/>
    <mergeCell ref="E12:E13"/>
    <mergeCell ref="F12:F13"/>
    <mergeCell ref="H12:H13"/>
    <mergeCell ref="A22:A23"/>
    <mergeCell ref="B22:B23"/>
    <mergeCell ref="F22:F23"/>
    <mergeCell ref="G22:G23"/>
  </mergeCells>
  <conditionalFormatting sqref="F47:F48">
    <cfRule type="cellIs" dxfId="9" priority="5" operator="lessThan">
      <formula>0</formula>
    </cfRule>
  </conditionalFormatting>
  <conditionalFormatting sqref="F33:G37 B34:B37">
    <cfRule type="cellIs" dxfId="8" priority="6" operator="lessThan">
      <formula>0</formula>
    </cfRule>
  </conditionalFormatting>
  <conditionalFormatting sqref="G14:G19">
    <cfRule type="cellIs" dxfId="7" priority="9" operator="greaterThan">
      <formula>0</formula>
    </cfRule>
    <cfRule type="cellIs" dxfId="6" priority="10" operator="lessThan">
      <formula>0</formula>
    </cfRule>
  </conditionalFormatting>
  <conditionalFormatting sqref="G24:G26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G38:G39">
    <cfRule type="cellIs" dxfId="3" priority="7" operator="greaterThan">
      <formula>0</formula>
    </cfRule>
    <cfRule type="cellIs" dxfId="2" priority="8" operator="lessThan">
      <formula>0</formula>
    </cfRule>
  </conditionalFormatting>
  <conditionalFormatting sqref="G49:G50">
    <cfRule type="cellIs" dxfId="1" priority="4" operator="lessThan">
      <formula>0</formula>
    </cfRule>
  </conditionalFormatting>
  <conditionalFormatting sqref="G51">
    <cfRule type="cellIs" dxfId="0" priority="3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9" orientation="landscape" r:id="rId1"/>
  <ignoredErrors>
    <ignoredError sqref="B12:B13 B3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  <pageSetUpPr fitToPage="1"/>
  </sheetPr>
  <dimension ref="A1:CZ194"/>
  <sheetViews>
    <sheetView zoomScale="80" zoomScaleNormal="80" zoomScaleSheetLayoutView="85" workbookViewId="0">
      <pane xSplit="9" ySplit="10" topLeftCell="J11" activePane="bottomRight" state="frozen"/>
      <selection pane="topRight"/>
      <selection pane="bottomLeft"/>
      <selection pane="bottomRight" activeCell="CS2" sqref="A2:XFD6"/>
    </sheetView>
  </sheetViews>
  <sheetFormatPr defaultColWidth="9.42578125" defaultRowHeight="12.75" customHeight="1" outlineLevelRow="1" x14ac:dyDescent="0.2"/>
  <cols>
    <col min="1" max="1" width="11.7109375" style="109" customWidth="1"/>
    <col min="2" max="2" width="11.7109375" style="392" hidden="1" customWidth="1"/>
    <col min="3" max="3" width="14.5703125" style="392" hidden="1" customWidth="1"/>
    <col min="4" max="8" width="11.7109375" style="392" hidden="1" customWidth="1"/>
    <col min="9" max="9" width="34.42578125" style="109" customWidth="1"/>
    <col min="10" max="10" width="11.7109375" style="160" customWidth="1"/>
    <col min="11" max="66" width="11.7109375" style="109" customWidth="1"/>
    <col min="67" max="67" width="13.7109375" style="109" customWidth="1"/>
    <col min="68" max="94" width="11.7109375" style="109" customWidth="1"/>
    <col min="95" max="95" width="14.42578125" style="109" customWidth="1"/>
    <col min="96" max="96" width="17.42578125" style="109" customWidth="1"/>
    <col min="97" max="97" width="1.5703125" style="109" customWidth="1"/>
    <col min="98" max="98" width="12.5703125" style="109" customWidth="1"/>
    <col min="99" max="99" width="11.5703125" style="109" customWidth="1"/>
    <col min="100" max="100" width="15.42578125" style="109" customWidth="1"/>
    <col min="101" max="101" width="8.42578125" style="109" customWidth="1"/>
    <col min="102" max="103" width="7.5703125" style="109" customWidth="1"/>
    <col min="104" max="104" width="8.5703125" style="109" bestFit="1" customWidth="1"/>
    <col min="105" max="105" width="9.42578125" style="109"/>
    <col min="106" max="106" width="11.42578125" style="109" customWidth="1"/>
    <col min="107" max="16384" width="9.42578125" style="109"/>
  </cols>
  <sheetData>
    <row r="1" spans="1:100" ht="9" customHeight="1" x14ac:dyDescent="0.2">
      <c r="A1" s="463" t="s">
        <v>0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  <c r="AK1" s="464"/>
      <c r="AL1" s="464"/>
      <c r="AM1" s="464"/>
      <c r="AN1" s="464"/>
      <c r="AO1" s="464"/>
      <c r="AP1" s="464"/>
      <c r="AQ1" s="464"/>
      <c r="AR1" s="464"/>
      <c r="AS1" s="464"/>
      <c r="AT1" s="464"/>
      <c r="AU1" s="464"/>
      <c r="AV1" s="464"/>
      <c r="AW1" s="464"/>
      <c r="AX1" s="464"/>
      <c r="AY1" s="464"/>
      <c r="AZ1" s="464"/>
      <c r="BA1" s="464"/>
      <c r="BB1" s="464"/>
      <c r="BC1" s="464"/>
      <c r="BD1" s="464"/>
      <c r="BE1" s="464"/>
      <c r="BF1" s="464"/>
      <c r="BG1" s="464"/>
      <c r="BH1" s="464"/>
      <c r="BI1" s="464"/>
      <c r="BJ1" s="464"/>
      <c r="BK1" s="464"/>
      <c r="BL1" s="464"/>
      <c r="BM1" s="464"/>
      <c r="BN1" s="464"/>
      <c r="BO1" s="464"/>
      <c r="BP1" s="464"/>
      <c r="BQ1" s="464"/>
      <c r="BR1" s="464"/>
      <c r="BS1" s="464"/>
      <c r="BT1" s="464"/>
      <c r="BU1" s="464"/>
      <c r="BV1" s="464"/>
      <c r="BW1" s="464"/>
      <c r="BX1" s="464"/>
      <c r="BY1" s="464"/>
      <c r="BZ1" s="464"/>
      <c r="CA1" s="464"/>
      <c r="CB1" s="464"/>
      <c r="CC1" s="464"/>
      <c r="CD1" s="464"/>
      <c r="CE1" s="464"/>
      <c r="CF1" s="464"/>
      <c r="CG1" s="464"/>
      <c r="CH1" s="464"/>
      <c r="CI1" s="464"/>
      <c r="CJ1" s="464"/>
      <c r="CK1" s="464"/>
      <c r="CL1" s="464"/>
      <c r="CM1" s="464"/>
      <c r="CN1" s="464"/>
      <c r="CO1" s="464"/>
      <c r="CP1" s="464"/>
      <c r="CQ1" s="464"/>
      <c r="CR1" s="464"/>
      <c r="CS1" s="108"/>
    </row>
    <row r="2" spans="1:100" ht="9" customHeight="1" x14ac:dyDescent="0.2">
      <c r="A2" s="465"/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  <c r="AJ2" s="466"/>
      <c r="AK2" s="466"/>
      <c r="AL2" s="466"/>
      <c r="AM2" s="466"/>
      <c r="AN2" s="466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466"/>
      <c r="BC2" s="466"/>
      <c r="BD2" s="466"/>
      <c r="BE2" s="466"/>
      <c r="BF2" s="466"/>
      <c r="BG2" s="466"/>
      <c r="BH2" s="466"/>
      <c r="BI2" s="466"/>
      <c r="BJ2" s="466"/>
      <c r="BK2" s="466"/>
      <c r="BL2" s="466"/>
      <c r="BM2" s="466"/>
      <c r="BN2" s="466"/>
      <c r="BO2" s="466"/>
      <c r="BP2" s="466"/>
      <c r="BQ2" s="466"/>
      <c r="BR2" s="466"/>
      <c r="BS2" s="466"/>
      <c r="BT2" s="466"/>
      <c r="BU2" s="466"/>
      <c r="BV2" s="466"/>
      <c r="BW2" s="466"/>
      <c r="BX2" s="466"/>
      <c r="BY2" s="466"/>
      <c r="BZ2" s="466"/>
      <c r="CA2" s="466"/>
      <c r="CB2" s="466"/>
      <c r="CC2" s="466"/>
      <c r="CD2" s="466"/>
      <c r="CE2" s="466"/>
      <c r="CF2" s="466"/>
      <c r="CG2" s="466"/>
      <c r="CH2" s="466"/>
      <c r="CI2" s="466"/>
      <c r="CJ2" s="466"/>
      <c r="CK2" s="466"/>
      <c r="CL2" s="466"/>
      <c r="CM2" s="466"/>
      <c r="CN2" s="466"/>
      <c r="CO2" s="466"/>
      <c r="CP2" s="466"/>
      <c r="CQ2" s="466"/>
      <c r="CR2" s="466"/>
      <c r="CS2" s="108"/>
    </row>
    <row r="3" spans="1:100" ht="9" customHeight="1" x14ac:dyDescent="0.2">
      <c r="A3" s="467" t="s">
        <v>53</v>
      </c>
      <c r="B3" s="468"/>
      <c r="C3" s="468"/>
      <c r="D3" s="468"/>
      <c r="E3" s="468"/>
      <c r="F3" s="468"/>
      <c r="G3" s="468"/>
      <c r="H3" s="468"/>
      <c r="I3" s="468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  <c r="Z3" s="469"/>
      <c r="AA3" s="469"/>
      <c r="AB3" s="469"/>
      <c r="AC3" s="469"/>
      <c r="AD3" s="469"/>
      <c r="AE3" s="469"/>
      <c r="AF3" s="469"/>
      <c r="AG3" s="469"/>
      <c r="AH3" s="469"/>
      <c r="AI3" s="469"/>
      <c r="AJ3" s="469"/>
      <c r="AK3" s="469"/>
      <c r="AL3" s="469"/>
      <c r="AM3" s="469"/>
      <c r="AN3" s="469"/>
      <c r="AO3" s="469"/>
      <c r="AP3" s="469"/>
      <c r="AQ3" s="469"/>
      <c r="AR3" s="469"/>
      <c r="AS3" s="469"/>
      <c r="AT3" s="469"/>
      <c r="AU3" s="469"/>
      <c r="AV3" s="469"/>
      <c r="AW3" s="469"/>
      <c r="AX3" s="469"/>
      <c r="AY3" s="469"/>
      <c r="AZ3" s="469"/>
      <c r="BA3" s="469"/>
      <c r="BB3" s="469"/>
      <c r="BC3" s="469"/>
      <c r="BD3" s="469"/>
      <c r="BE3" s="469"/>
      <c r="BF3" s="469"/>
      <c r="BG3" s="469"/>
      <c r="BH3" s="469"/>
      <c r="BI3" s="469"/>
      <c r="BJ3" s="469"/>
      <c r="BK3" s="469"/>
      <c r="BL3" s="469"/>
      <c r="BM3" s="469"/>
      <c r="BN3" s="469"/>
      <c r="BO3" s="469"/>
      <c r="BP3" s="469"/>
      <c r="BQ3" s="469"/>
      <c r="BR3" s="469"/>
      <c r="BS3" s="469"/>
      <c r="BT3" s="469"/>
      <c r="BU3" s="469"/>
      <c r="BV3" s="469"/>
      <c r="BW3" s="469"/>
      <c r="BX3" s="469"/>
      <c r="BY3" s="469"/>
      <c r="BZ3" s="469"/>
      <c r="CA3" s="469"/>
      <c r="CB3" s="469"/>
      <c r="CC3" s="469"/>
      <c r="CD3" s="469"/>
      <c r="CE3" s="469"/>
      <c r="CF3" s="469"/>
      <c r="CG3" s="469"/>
      <c r="CH3" s="469"/>
      <c r="CI3" s="469"/>
      <c r="CJ3" s="469"/>
      <c r="CK3" s="469"/>
      <c r="CL3" s="469"/>
      <c r="CM3" s="469"/>
      <c r="CN3" s="469"/>
      <c r="CO3" s="469"/>
      <c r="CP3" s="469"/>
      <c r="CQ3" s="469"/>
      <c r="CR3" s="469"/>
      <c r="CS3" s="108"/>
    </row>
    <row r="4" spans="1:100" ht="9" customHeight="1" x14ac:dyDescent="0.2">
      <c r="A4" s="467"/>
      <c r="B4" s="468"/>
      <c r="C4" s="468"/>
      <c r="D4" s="468"/>
      <c r="E4" s="468"/>
      <c r="F4" s="468"/>
      <c r="G4" s="468"/>
      <c r="H4" s="468"/>
      <c r="I4" s="468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  <c r="AJ4" s="469"/>
      <c r="AK4" s="469"/>
      <c r="AL4" s="469"/>
      <c r="AM4" s="469"/>
      <c r="AN4" s="469"/>
      <c r="AO4" s="469"/>
      <c r="AP4" s="469"/>
      <c r="AQ4" s="469"/>
      <c r="AR4" s="469"/>
      <c r="AS4" s="469"/>
      <c r="AT4" s="469"/>
      <c r="AU4" s="469"/>
      <c r="AV4" s="469"/>
      <c r="AW4" s="469"/>
      <c r="AX4" s="469"/>
      <c r="AY4" s="469"/>
      <c r="AZ4" s="469"/>
      <c r="BA4" s="469"/>
      <c r="BB4" s="469"/>
      <c r="BC4" s="469"/>
      <c r="BD4" s="469"/>
      <c r="BE4" s="469"/>
      <c r="BF4" s="469"/>
      <c r="BG4" s="469"/>
      <c r="BH4" s="469"/>
      <c r="BI4" s="469"/>
      <c r="BJ4" s="469"/>
      <c r="BK4" s="469"/>
      <c r="BL4" s="469"/>
      <c r="BM4" s="469"/>
      <c r="BN4" s="469"/>
      <c r="BO4" s="469"/>
      <c r="BP4" s="469"/>
      <c r="BQ4" s="469"/>
      <c r="BR4" s="469"/>
      <c r="BS4" s="469"/>
      <c r="BT4" s="469"/>
      <c r="BU4" s="469"/>
      <c r="BV4" s="469"/>
      <c r="BW4" s="469"/>
      <c r="BX4" s="469"/>
      <c r="BY4" s="469"/>
      <c r="BZ4" s="469"/>
      <c r="CA4" s="469"/>
      <c r="CB4" s="469"/>
      <c r="CC4" s="469"/>
      <c r="CD4" s="469"/>
      <c r="CE4" s="469"/>
      <c r="CF4" s="469"/>
      <c r="CG4" s="469"/>
      <c r="CH4" s="469"/>
      <c r="CI4" s="469"/>
      <c r="CJ4" s="469"/>
      <c r="CK4" s="469"/>
      <c r="CL4" s="469"/>
      <c r="CM4" s="469"/>
      <c r="CN4" s="469"/>
      <c r="CO4" s="469"/>
      <c r="CP4" s="469"/>
      <c r="CQ4" s="469"/>
      <c r="CR4" s="469"/>
      <c r="CS4" s="108"/>
    </row>
    <row r="5" spans="1:100" ht="9" customHeight="1" x14ac:dyDescent="0.2">
      <c r="A5" s="467" t="s">
        <v>54</v>
      </c>
      <c r="B5" s="468"/>
      <c r="C5" s="468"/>
      <c r="D5" s="468"/>
      <c r="E5" s="468"/>
      <c r="F5" s="468"/>
      <c r="G5" s="468"/>
      <c r="H5" s="468"/>
      <c r="I5" s="468"/>
      <c r="J5" s="46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08"/>
    </row>
    <row r="6" spans="1:100" ht="19.5" customHeight="1" thickBot="1" x14ac:dyDescent="0.25">
      <c r="A6" s="470"/>
      <c r="B6" s="471"/>
      <c r="C6" s="471"/>
      <c r="D6" s="471"/>
      <c r="E6" s="471"/>
      <c r="F6" s="471"/>
      <c r="G6" s="471"/>
      <c r="H6" s="471"/>
      <c r="I6" s="471"/>
      <c r="J6" s="475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309" t="s">
        <v>175</v>
      </c>
      <c r="AZ6" s="354"/>
      <c r="BA6" s="309" t="s">
        <v>176</v>
      </c>
      <c r="BB6" s="354"/>
      <c r="BC6" s="354"/>
      <c r="BD6" s="309"/>
      <c r="BE6" s="309"/>
      <c r="BF6" s="309"/>
      <c r="BG6" s="309"/>
      <c r="BH6" s="309"/>
      <c r="BI6" s="309" t="s">
        <v>183</v>
      </c>
      <c r="BJ6" s="309" t="s">
        <v>184</v>
      </c>
      <c r="BK6" s="309"/>
      <c r="BL6" s="309" t="s">
        <v>185</v>
      </c>
      <c r="BM6" s="309"/>
      <c r="BN6" s="354"/>
      <c r="BO6" s="309" t="s">
        <v>186</v>
      </c>
      <c r="BP6" s="354"/>
      <c r="BQ6" s="309"/>
      <c r="BR6" s="309" t="s">
        <v>187</v>
      </c>
      <c r="BS6" s="309"/>
      <c r="BT6" s="309"/>
      <c r="BU6" s="309"/>
      <c r="BV6" s="309"/>
      <c r="BW6" s="309"/>
      <c r="BX6" s="309" t="s">
        <v>188</v>
      </c>
      <c r="BY6" s="309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108"/>
    </row>
    <row r="7" spans="1:100" s="111" customFormat="1" thickBot="1" x14ac:dyDescent="0.25">
      <c r="A7" s="488" t="s">
        <v>173</v>
      </c>
      <c r="B7" s="488"/>
      <c r="C7" s="488"/>
      <c r="D7" s="488"/>
      <c r="E7" s="488"/>
      <c r="F7" s="488"/>
      <c r="G7" s="488"/>
      <c r="H7" s="488"/>
      <c r="I7" s="488"/>
      <c r="J7" s="489"/>
      <c r="K7" s="1"/>
      <c r="L7" s="479" t="s">
        <v>55</v>
      </c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480"/>
      <c r="X7" s="480"/>
      <c r="Y7" s="480"/>
      <c r="Z7" s="480"/>
      <c r="AA7" s="480"/>
      <c r="AB7" s="480"/>
      <c r="AC7" s="480"/>
      <c r="AD7" s="480"/>
      <c r="AE7" s="480"/>
      <c r="AF7" s="480"/>
      <c r="AG7" s="480"/>
      <c r="AH7" s="480"/>
      <c r="AI7" s="480"/>
      <c r="AJ7" s="480"/>
      <c r="AK7" s="480"/>
      <c r="AL7" s="480"/>
      <c r="AM7" s="480"/>
      <c r="AN7" s="480"/>
      <c r="AO7" s="480"/>
      <c r="AP7" s="480"/>
      <c r="AQ7" s="480"/>
      <c r="AR7" s="480"/>
      <c r="AS7" s="480"/>
      <c r="AT7" s="480"/>
      <c r="AU7" s="480"/>
      <c r="AV7" s="480"/>
      <c r="AW7" s="480"/>
      <c r="AX7" s="481"/>
      <c r="AY7" s="482" t="s">
        <v>56</v>
      </c>
      <c r="AZ7" s="483"/>
      <c r="BA7" s="483"/>
      <c r="BB7" s="483"/>
      <c r="BC7" s="483"/>
      <c r="BD7" s="483"/>
      <c r="BE7" s="483"/>
      <c r="BF7" s="483"/>
      <c r="BG7" s="483"/>
      <c r="BH7" s="483"/>
      <c r="BI7" s="483"/>
      <c r="BJ7" s="483"/>
      <c r="BK7" s="483"/>
      <c r="BL7" s="483"/>
      <c r="BM7" s="483"/>
      <c r="BN7" s="483"/>
      <c r="BO7" s="483"/>
      <c r="BP7" s="483"/>
      <c r="BQ7" s="483"/>
      <c r="BR7" s="483"/>
      <c r="BS7" s="483"/>
      <c r="BT7" s="483"/>
      <c r="BU7" s="483"/>
      <c r="BV7" s="484"/>
      <c r="BW7" s="484"/>
      <c r="BX7" s="484"/>
      <c r="BY7" s="485"/>
      <c r="BZ7" s="476" t="s">
        <v>23</v>
      </c>
      <c r="CA7" s="477"/>
      <c r="CB7" s="477"/>
      <c r="CC7" s="477"/>
      <c r="CD7" s="477"/>
      <c r="CE7" s="477"/>
      <c r="CF7" s="477"/>
      <c r="CG7" s="477"/>
      <c r="CH7" s="477"/>
      <c r="CI7" s="477"/>
      <c r="CJ7" s="477"/>
      <c r="CK7" s="477"/>
      <c r="CL7" s="477"/>
      <c r="CM7" s="477"/>
      <c r="CN7" s="477"/>
      <c r="CO7" s="477"/>
      <c r="CP7" s="478"/>
      <c r="CQ7" s="486" t="s">
        <v>57</v>
      </c>
      <c r="CR7" s="487"/>
      <c r="CS7" s="110"/>
    </row>
    <row r="8" spans="1:100" s="111" customFormat="1" ht="13.5" thickBot="1" x14ac:dyDescent="0.25">
      <c r="A8" s="349"/>
      <c r="B8" s="381"/>
      <c r="C8" s="381"/>
      <c r="D8" s="381"/>
      <c r="E8" s="381"/>
      <c r="F8" s="381"/>
      <c r="G8" s="381"/>
      <c r="H8" s="381"/>
      <c r="I8" s="350"/>
      <c r="J8" s="351" t="s">
        <v>174</v>
      </c>
      <c r="K8" s="347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1"/>
      <c r="AM8" s="341"/>
      <c r="AN8" s="341"/>
      <c r="AO8" s="341"/>
      <c r="AP8" s="341"/>
      <c r="AQ8" s="341"/>
      <c r="AR8" s="341"/>
      <c r="AS8" s="341"/>
      <c r="AT8" s="341"/>
      <c r="AU8" s="341"/>
      <c r="AV8" s="341"/>
      <c r="AW8" s="341"/>
      <c r="AX8" s="341"/>
      <c r="AY8" s="342"/>
      <c r="AZ8" s="342"/>
      <c r="BA8" s="342"/>
      <c r="BB8" s="342"/>
      <c r="BC8" s="342"/>
      <c r="BD8" s="342"/>
      <c r="BE8" s="342"/>
      <c r="BF8" s="342"/>
      <c r="BG8" s="342"/>
      <c r="BH8" s="342"/>
      <c r="BI8" s="342"/>
      <c r="BJ8" s="342"/>
      <c r="BK8" s="342"/>
      <c r="BL8" s="342"/>
      <c r="BM8" s="342"/>
      <c r="BN8" s="342"/>
      <c r="BO8" s="342"/>
      <c r="BP8" s="342"/>
      <c r="BQ8" s="342"/>
      <c r="BR8" s="342"/>
      <c r="BS8" s="342"/>
      <c r="BT8" s="342"/>
      <c r="BU8" s="342"/>
      <c r="BV8" s="343"/>
      <c r="BW8" s="343"/>
      <c r="BX8" s="343"/>
      <c r="BY8" s="342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340"/>
      <c r="CO8" s="340"/>
      <c r="CP8" s="348"/>
      <c r="CQ8" s="344"/>
      <c r="CR8" s="345"/>
      <c r="CS8" s="110"/>
    </row>
    <row r="9" spans="1:100" s="123" customFormat="1" ht="53.45" customHeight="1" thickBot="1" x14ac:dyDescent="0.25">
      <c r="A9" s="472" t="s">
        <v>58</v>
      </c>
      <c r="B9" s="473"/>
      <c r="C9" s="473"/>
      <c r="D9" s="473"/>
      <c r="E9" s="473"/>
      <c r="F9" s="473"/>
      <c r="G9" s="473"/>
      <c r="H9" s="473"/>
      <c r="I9" s="474"/>
      <c r="J9" s="112" t="s">
        <v>59</v>
      </c>
      <c r="K9" s="113" t="s">
        <v>60</v>
      </c>
      <c r="L9" s="203" t="s">
        <v>61</v>
      </c>
      <c r="M9" s="203" t="s">
        <v>62</v>
      </c>
      <c r="N9" s="203" t="s">
        <v>63</v>
      </c>
      <c r="O9" s="203" t="s">
        <v>64</v>
      </c>
      <c r="P9" s="203" t="s">
        <v>65</v>
      </c>
      <c r="Q9" s="203" t="s">
        <v>66</v>
      </c>
      <c r="R9" s="203" t="s">
        <v>67</v>
      </c>
      <c r="S9" s="203" t="s">
        <v>68</v>
      </c>
      <c r="T9" s="203" t="s">
        <v>69</v>
      </c>
      <c r="U9" s="203" t="s">
        <v>70</v>
      </c>
      <c r="V9" s="203" t="s">
        <v>71</v>
      </c>
      <c r="W9" s="203" t="s">
        <v>72</v>
      </c>
      <c r="X9" s="203" t="s">
        <v>73</v>
      </c>
      <c r="Y9" s="203" t="s">
        <v>74</v>
      </c>
      <c r="Z9" s="203" t="s">
        <v>75</v>
      </c>
      <c r="AA9" s="203" t="s">
        <v>76</v>
      </c>
      <c r="AB9" s="203" t="s">
        <v>77</v>
      </c>
      <c r="AC9" s="203" t="s">
        <v>78</v>
      </c>
      <c r="AD9" s="203" t="s">
        <v>79</v>
      </c>
      <c r="AE9" s="203" t="s">
        <v>80</v>
      </c>
      <c r="AF9" s="203" t="s">
        <v>81</v>
      </c>
      <c r="AG9" s="203" t="s">
        <v>82</v>
      </c>
      <c r="AH9" s="203" t="s">
        <v>83</v>
      </c>
      <c r="AI9" s="294" t="s">
        <v>84</v>
      </c>
      <c r="AJ9" s="203" t="s">
        <v>85</v>
      </c>
      <c r="AK9" s="203" t="s">
        <v>86</v>
      </c>
      <c r="AL9" s="203" t="s">
        <v>87</v>
      </c>
      <c r="AM9" s="203" t="s">
        <v>88</v>
      </c>
      <c r="AN9" s="203" t="s">
        <v>89</v>
      </c>
      <c r="AO9" s="203" t="s">
        <v>90</v>
      </c>
      <c r="AP9" s="203" t="s">
        <v>91</v>
      </c>
      <c r="AQ9" s="203" t="s">
        <v>92</v>
      </c>
      <c r="AR9" s="203" t="s">
        <v>93</v>
      </c>
      <c r="AS9" s="203" t="s">
        <v>94</v>
      </c>
      <c r="AT9" s="203" t="s">
        <v>95</v>
      </c>
      <c r="AU9" s="203" t="s">
        <v>96</v>
      </c>
      <c r="AV9" s="203" t="s">
        <v>97</v>
      </c>
      <c r="AW9" s="203" t="s">
        <v>98</v>
      </c>
      <c r="AX9" s="294" t="s">
        <v>99</v>
      </c>
      <c r="AY9" s="204" t="s">
        <v>100</v>
      </c>
      <c r="AZ9" s="204" t="s">
        <v>101</v>
      </c>
      <c r="BA9" s="204" t="s">
        <v>102</v>
      </c>
      <c r="BB9" s="204" t="s">
        <v>103</v>
      </c>
      <c r="BC9" s="204" t="s">
        <v>104</v>
      </c>
      <c r="BD9" s="204" t="s">
        <v>105</v>
      </c>
      <c r="BE9" s="204" t="s">
        <v>106</v>
      </c>
      <c r="BF9" s="300" t="s">
        <v>107</v>
      </c>
      <c r="BG9" s="204" t="s">
        <v>108</v>
      </c>
      <c r="BH9" s="204" t="s">
        <v>109</v>
      </c>
      <c r="BI9" s="204" t="s">
        <v>182</v>
      </c>
      <c r="BJ9" s="204" t="s">
        <v>181</v>
      </c>
      <c r="BK9" s="204" t="s">
        <v>110</v>
      </c>
      <c r="BL9" s="204" t="s">
        <v>111</v>
      </c>
      <c r="BM9" s="300" t="s">
        <v>112</v>
      </c>
      <c r="BN9" s="204" t="s">
        <v>113</v>
      </c>
      <c r="BO9" s="204" t="s">
        <v>180</v>
      </c>
      <c r="BP9" s="204" t="s">
        <v>114</v>
      </c>
      <c r="BQ9" s="204" t="s">
        <v>95</v>
      </c>
      <c r="BR9" s="204" t="s">
        <v>115</v>
      </c>
      <c r="BS9" s="204" t="s">
        <v>116</v>
      </c>
      <c r="BT9" s="204" t="s">
        <v>76</v>
      </c>
      <c r="BU9" s="204" t="s">
        <v>117</v>
      </c>
      <c r="BV9" s="204" t="s">
        <v>118</v>
      </c>
      <c r="BW9" s="204" t="s">
        <v>177</v>
      </c>
      <c r="BX9" s="204" t="s">
        <v>178</v>
      </c>
      <c r="BY9" s="204" t="s">
        <v>179</v>
      </c>
      <c r="BZ9" s="205" t="s">
        <v>119</v>
      </c>
      <c r="CA9" s="205" t="s">
        <v>120</v>
      </c>
      <c r="CB9" s="206" t="s">
        <v>121</v>
      </c>
      <c r="CC9" s="206" t="s">
        <v>122</v>
      </c>
      <c r="CD9" s="206" t="s">
        <v>123</v>
      </c>
      <c r="CE9" s="305" t="s">
        <v>124</v>
      </c>
      <c r="CF9" s="305" t="s">
        <v>125</v>
      </c>
      <c r="CG9" s="206" t="s">
        <v>126</v>
      </c>
      <c r="CH9" s="206" t="s">
        <v>127</v>
      </c>
      <c r="CI9" s="206" t="s">
        <v>128</v>
      </c>
      <c r="CJ9" s="206" t="s">
        <v>117</v>
      </c>
      <c r="CK9" s="206" t="s">
        <v>129</v>
      </c>
      <c r="CL9" s="206" t="s">
        <v>130</v>
      </c>
      <c r="CM9" s="206" t="s">
        <v>131</v>
      </c>
      <c r="CN9" s="206" t="s">
        <v>132</v>
      </c>
      <c r="CO9" s="299" t="s">
        <v>133</v>
      </c>
      <c r="CP9" s="207" t="s">
        <v>134</v>
      </c>
      <c r="CQ9" s="114" t="s">
        <v>25</v>
      </c>
      <c r="CR9" s="115" t="s">
        <v>32</v>
      </c>
      <c r="CS9" s="116"/>
      <c r="CT9" s="192" t="s">
        <v>135</v>
      </c>
      <c r="CU9" s="117" t="s">
        <v>136</v>
      </c>
      <c r="CV9" s="117" t="s">
        <v>137</v>
      </c>
    </row>
    <row r="10" spans="1:100" s="123" customFormat="1" ht="12" customHeight="1" thickBot="1" x14ac:dyDescent="0.25">
      <c r="A10" s="118"/>
      <c r="B10" s="382"/>
      <c r="C10" s="382"/>
      <c r="D10" s="382"/>
      <c r="E10" s="382"/>
      <c r="F10" s="382"/>
      <c r="G10" s="382"/>
      <c r="H10" s="382"/>
      <c r="I10" s="119"/>
      <c r="J10" s="120"/>
      <c r="K10" s="120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0"/>
      <c r="CR10" s="122"/>
      <c r="CS10" s="116"/>
    </row>
    <row r="11" spans="1:100" s="123" customFormat="1" ht="12" customHeight="1" outlineLevel="1" thickBot="1" x14ac:dyDescent="0.25">
      <c r="A11" s="448" t="s">
        <v>138</v>
      </c>
      <c r="B11" s="449"/>
      <c r="C11" s="449"/>
      <c r="D11" s="449"/>
      <c r="E11" s="449"/>
      <c r="F11" s="449"/>
      <c r="G11" s="449"/>
      <c r="H11" s="449"/>
      <c r="I11" s="450"/>
      <c r="J11" s="209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16"/>
    </row>
    <row r="12" spans="1:100" s="125" customFormat="1" ht="12" outlineLevel="1" x14ac:dyDescent="0.2">
      <c r="A12" s="293">
        <v>1</v>
      </c>
      <c r="B12" s="383"/>
      <c r="C12" s="383"/>
      <c r="D12" s="383"/>
      <c r="E12" s="383"/>
      <c r="F12" s="383"/>
      <c r="G12" s="383"/>
      <c r="H12" s="383"/>
      <c r="I12" s="224"/>
      <c r="J12" s="225"/>
      <c r="K12" s="226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8"/>
      <c r="AX12" s="208"/>
      <c r="AY12" s="227"/>
      <c r="AZ12" s="227"/>
      <c r="BA12" s="227"/>
      <c r="BB12" s="227"/>
      <c r="BC12" s="227"/>
      <c r="BD12" s="227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  <c r="BO12" s="227"/>
      <c r="BP12" s="227"/>
      <c r="BQ12" s="227"/>
      <c r="BR12" s="227"/>
      <c r="BS12" s="227"/>
      <c r="BT12" s="227"/>
      <c r="BU12" s="227"/>
      <c r="BV12" s="227"/>
      <c r="BW12" s="227"/>
      <c r="BX12" s="227"/>
      <c r="BY12" s="227"/>
      <c r="BZ12" s="228"/>
      <c r="CA12" s="228"/>
      <c r="CB12" s="228"/>
      <c r="CC12" s="228"/>
      <c r="CD12" s="228"/>
      <c r="CE12" s="228"/>
      <c r="CF12" s="228"/>
      <c r="CG12" s="228"/>
      <c r="CH12" s="228"/>
      <c r="CI12" s="228"/>
      <c r="CJ12" s="228"/>
      <c r="CK12" s="228"/>
      <c r="CL12" s="228"/>
      <c r="CM12" s="228"/>
      <c r="CN12" s="229"/>
      <c r="CO12" s="229"/>
      <c r="CP12" s="229"/>
      <c r="CQ12" s="230"/>
      <c r="CR12" s="231"/>
      <c r="CS12" s="124"/>
    </row>
    <row r="13" spans="1:100" s="125" customFormat="1" ht="12" outlineLevel="1" x14ac:dyDescent="0.2">
      <c r="A13" s="290">
        <v>2</v>
      </c>
      <c r="B13" s="384"/>
      <c r="C13" s="384"/>
      <c r="D13" s="384"/>
      <c r="E13" s="384"/>
      <c r="F13" s="384"/>
      <c r="G13" s="384"/>
      <c r="H13" s="384"/>
      <c r="I13" s="289"/>
      <c r="J13" s="218"/>
      <c r="K13" s="219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1"/>
      <c r="AZ13" s="221"/>
      <c r="BA13" s="221"/>
      <c r="BB13" s="221"/>
      <c r="BC13" s="221"/>
      <c r="BD13" s="194"/>
      <c r="BE13" s="194"/>
      <c r="BF13" s="194"/>
      <c r="BG13" s="194"/>
      <c r="BH13" s="194"/>
      <c r="BI13" s="194"/>
      <c r="BJ13" s="194"/>
      <c r="BK13" s="194"/>
      <c r="BL13" s="194"/>
      <c r="BM13" s="194"/>
      <c r="BN13" s="194"/>
      <c r="BO13" s="194"/>
      <c r="BP13" s="194"/>
      <c r="BQ13" s="194"/>
      <c r="BR13" s="194"/>
      <c r="BS13" s="194"/>
      <c r="BT13" s="194"/>
      <c r="BU13" s="194"/>
      <c r="BV13" s="194"/>
      <c r="BW13" s="194"/>
      <c r="BX13" s="194"/>
      <c r="BY13" s="221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3"/>
      <c r="CR13" s="232"/>
      <c r="CS13" s="124"/>
    </row>
    <row r="14" spans="1:100" s="125" customFormat="1" ht="12" outlineLevel="1" x14ac:dyDescent="0.2">
      <c r="A14" s="290">
        <v>3</v>
      </c>
      <c r="B14" s="384"/>
      <c r="C14" s="384"/>
      <c r="D14" s="384"/>
      <c r="E14" s="384"/>
      <c r="F14" s="384"/>
      <c r="G14" s="384"/>
      <c r="H14" s="384"/>
      <c r="I14" s="217"/>
      <c r="J14" s="218"/>
      <c r="K14" s="219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1"/>
      <c r="AZ14" s="221"/>
      <c r="BA14" s="221"/>
      <c r="BB14" s="221"/>
      <c r="BC14" s="221"/>
      <c r="BD14" s="194"/>
      <c r="BE14" s="194"/>
      <c r="BF14" s="194"/>
      <c r="BG14" s="194"/>
      <c r="BH14" s="194"/>
      <c r="BI14" s="194"/>
      <c r="BJ14" s="194"/>
      <c r="BK14" s="194"/>
      <c r="BL14" s="194"/>
      <c r="BM14" s="194"/>
      <c r="BN14" s="194"/>
      <c r="BO14" s="194"/>
      <c r="BP14" s="194"/>
      <c r="BQ14" s="194"/>
      <c r="BR14" s="194"/>
      <c r="BS14" s="194"/>
      <c r="BT14" s="194"/>
      <c r="BU14" s="194"/>
      <c r="BV14" s="194"/>
      <c r="BW14" s="194"/>
      <c r="BX14" s="194"/>
      <c r="BY14" s="221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3"/>
      <c r="CR14" s="232"/>
      <c r="CS14" s="124"/>
    </row>
    <row r="15" spans="1:100" s="125" customFormat="1" ht="12" outlineLevel="1" x14ac:dyDescent="0.2">
      <c r="A15" s="290">
        <v>4</v>
      </c>
      <c r="B15" s="384"/>
      <c r="C15" s="384"/>
      <c r="D15" s="384"/>
      <c r="E15" s="384"/>
      <c r="F15" s="384"/>
      <c r="G15" s="384"/>
      <c r="H15" s="384"/>
      <c r="I15" s="217"/>
      <c r="J15" s="218"/>
      <c r="K15" s="219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1"/>
      <c r="AZ15" s="221"/>
      <c r="BA15" s="221"/>
      <c r="BB15" s="221"/>
      <c r="BC15" s="221"/>
      <c r="BD15" s="194"/>
      <c r="BE15" s="194"/>
      <c r="BF15" s="194"/>
      <c r="BG15" s="194"/>
      <c r="BH15" s="194"/>
      <c r="BI15" s="194"/>
      <c r="BJ15" s="194"/>
      <c r="BK15" s="194"/>
      <c r="BL15" s="194"/>
      <c r="BM15" s="194"/>
      <c r="BN15" s="194"/>
      <c r="BO15" s="194"/>
      <c r="BP15" s="194"/>
      <c r="BQ15" s="194"/>
      <c r="BR15" s="194"/>
      <c r="BS15" s="194"/>
      <c r="BT15" s="194"/>
      <c r="BU15" s="194"/>
      <c r="BV15" s="194"/>
      <c r="BW15" s="194"/>
      <c r="BX15" s="194"/>
      <c r="BY15" s="221"/>
      <c r="BZ15" s="222"/>
      <c r="CA15" s="222"/>
      <c r="CB15" s="222"/>
      <c r="CC15" s="222"/>
      <c r="CD15" s="222"/>
      <c r="CE15" s="222"/>
      <c r="CF15" s="222"/>
      <c r="CG15" s="222"/>
      <c r="CH15" s="222"/>
      <c r="CI15" s="222"/>
      <c r="CJ15" s="222"/>
      <c r="CK15" s="222"/>
      <c r="CL15" s="222"/>
      <c r="CM15" s="222"/>
      <c r="CN15" s="222"/>
      <c r="CO15" s="222"/>
      <c r="CP15" s="222"/>
      <c r="CQ15" s="223"/>
      <c r="CR15" s="232"/>
      <c r="CS15" s="124"/>
    </row>
    <row r="16" spans="1:100" s="125" customFormat="1" ht="12" outlineLevel="1" x14ac:dyDescent="0.2">
      <c r="A16" s="290">
        <v>5</v>
      </c>
      <c r="B16" s="384"/>
      <c r="C16" s="384"/>
      <c r="D16" s="384"/>
      <c r="E16" s="384"/>
      <c r="F16" s="384"/>
      <c r="G16" s="384"/>
      <c r="H16" s="384"/>
      <c r="I16" s="217"/>
      <c r="J16" s="218"/>
      <c r="K16" s="219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1"/>
      <c r="AZ16" s="221"/>
      <c r="BA16" s="221"/>
      <c r="BB16" s="221"/>
      <c r="BC16" s="221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221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222"/>
      <c r="CO16" s="222"/>
      <c r="CP16" s="222"/>
      <c r="CQ16" s="223"/>
      <c r="CR16" s="232"/>
      <c r="CS16" s="124"/>
    </row>
    <row r="17" spans="1:97" s="125" customFormat="1" ht="12.6" customHeight="1" outlineLevel="1" x14ac:dyDescent="0.2">
      <c r="A17" s="290">
        <v>6</v>
      </c>
      <c r="B17" s="384"/>
      <c r="C17" s="384"/>
      <c r="D17" s="384"/>
      <c r="E17" s="384"/>
      <c r="F17" s="384"/>
      <c r="G17" s="384"/>
      <c r="H17" s="384"/>
      <c r="I17" s="217"/>
      <c r="J17" s="292"/>
      <c r="K17" s="219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1"/>
      <c r="AZ17" s="221"/>
      <c r="BA17" s="221"/>
      <c r="BB17" s="221"/>
      <c r="BC17" s="221"/>
      <c r="BD17" s="194"/>
      <c r="BE17" s="194"/>
      <c r="BF17" s="194"/>
      <c r="BG17" s="194"/>
      <c r="BH17" s="194"/>
      <c r="BI17" s="194"/>
      <c r="BJ17" s="194"/>
      <c r="BK17" s="194"/>
      <c r="BL17" s="194"/>
      <c r="BM17" s="194"/>
      <c r="BN17" s="194"/>
      <c r="BO17" s="194"/>
      <c r="BP17" s="194"/>
      <c r="BQ17" s="194"/>
      <c r="BR17" s="194"/>
      <c r="BS17" s="194"/>
      <c r="BT17" s="194"/>
      <c r="BU17" s="194"/>
      <c r="BV17" s="194"/>
      <c r="BW17" s="194"/>
      <c r="BX17" s="194"/>
      <c r="BY17" s="221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3"/>
      <c r="CR17" s="232"/>
      <c r="CS17" s="124"/>
    </row>
    <row r="18" spans="1:97" s="125" customFormat="1" ht="12" outlineLevel="1" x14ac:dyDescent="0.2">
      <c r="A18" s="290">
        <v>7</v>
      </c>
      <c r="B18" s="384"/>
      <c r="C18" s="384"/>
      <c r="D18" s="384"/>
      <c r="E18" s="384"/>
      <c r="F18" s="384"/>
      <c r="G18" s="384"/>
      <c r="H18" s="384"/>
      <c r="I18" s="217"/>
      <c r="J18" s="292"/>
      <c r="K18" s="219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1"/>
      <c r="AZ18" s="221"/>
      <c r="BA18" s="221"/>
      <c r="BB18" s="221"/>
      <c r="BC18" s="221"/>
      <c r="BD18" s="194"/>
      <c r="BE18" s="194"/>
      <c r="BF18" s="194"/>
      <c r="BG18" s="194"/>
      <c r="BH18" s="194"/>
      <c r="BI18" s="194"/>
      <c r="BJ18" s="194"/>
      <c r="BK18" s="194"/>
      <c r="BL18" s="194"/>
      <c r="BM18" s="194"/>
      <c r="BN18" s="194"/>
      <c r="BO18" s="194"/>
      <c r="BP18" s="194"/>
      <c r="BQ18" s="194"/>
      <c r="BR18" s="194"/>
      <c r="BS18" s="194"/>
      <c r="BT18" s="194"/>
      <c r="BU18" s="194"/>
      <c r="BV18" s="194"/>
      <c r="BW18" s="194"/>
      <c r="BX18" s="194"/>
      <c r="BY18" s="221"/>
      <c r="BZ18" s="222"/>
      <c r="CA18" s="222"/>
      <c r="CB18" s="222"/>
      <c r="CC18" s="222"/>
      <c r="CD18" s="222"/>
      <c r="CE18" s="222"/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3"/>
      <c r="CR18" s="232"/>
      <c r="CS18" s="124"/>
    </row>
    <row r="19" spans="1:97" s="125" customFormat="1" ht="12" outlineLevel="1" x14ac:dyDescent="0.2">
      <c r="A19" s="290">
        <v>8</v>
      </c>
      <c r="B19" s="384"/>
      <c r="C19" s="384"/>
      <c r="D19" s="384"/>
      <c r="E19" s="384"/>
      <c r="F19" s="384"/>
      <c r="G19" s="384"/>
      <c r="H19" s="384"/>
      <c r="I19" s="217"/>
      <c r="J19" s="292"/>
      <c r="K19" s="219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1"/>
      <c r="BJ19" s="221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2"/>
      <c r="CA19" s="222"/>
      <c r="CB19" s="222"/>
      <c r="CC19" s="222"/>
      <c r="CD19" s="222"/>
      <c r="CE19" s="222"/>
      <c r="CF19" s="222"/>
      <c r="CG19" s="222"/>
      <c r="CH19" s="222"/>
      <c r="CI19" s="222"/>
      <c r="CJ19" s="222"/>
      <c r="CK19" s="222"/>
      <c r="CL19" s="222"/>
      <c r="CM19" s="222"/>
      <c r="CN19" s="222"/>
      <c r="CO19" s="222"/>
      <c r="CP19" s="222"/>
      <c r="CQ19" s="223"/>
      <c r="CR19" s="232"/>
      <c r="CS19" s="124"/>
    </row>
    <row r="20" spans="1:97" s="125" customFormat="1" ht="12" outlineLevel="1" x14ac:dyDescent="0.2">
      <c r="A20" s="290">
        <v>9</v>
      </c>
      <c r="B20" s="384"/>
      <c r="C20" s="384"/>
      <c r="D20" s="384"/>
      <c r="E20" s="384"/>
      <c r="F20" s="384"/>
      <c r="G20" s="384"/>
      <c r="H20" s="384"/>
      <c r="I20" s="217"/>
      <c r="J20" s="292"/>
      <c r="K20" s="219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1"/>
      <c r="BJ20" s="221"/>
      <c r="BK20" s="221"/>
      <c r="BL20" s="221"/>
      <c r="BM20" s="221"/>
      <c r="BN20" s="221"/>
      <c r="BO20" s="221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2"/>
      <c r="CA20" s="222"/>
      <c r="CB20" s="222"/>
      <c r="CC20" s="222"/>
      <c r="CD20" s="222"/>
      <c r="CE20" s="222"/>
      <c r="CF20" s="222"/>
      <c r="CG20" s="222"/>
      <c r="CH20" s="222"/>
      <c r="CI20" s="222"/>
      <c r="CJ20" s="222"/>
      <c r="CK20" s="222"/>
      <c r="CL20" s="222"/>
      <c r="CM20" s="222"/>
      <c r="CN20" s="222"/>
      <c r="CO20" s="222"/>
      <c r="CP20" s="222"/>
      <c r="CQ20" s="223"/>
      <c r="CR20" s="232"/>
      <c r="CS20" s="124"/>
    </row>
    <row r="21" spans="1:97" s="125" customFormat="1" ht="12" outlineLevel="1" x14ac:dyDescent="0.2">
      <c r="A21" s="290">
        <v>10</v>
      </c>
      <c r="B21" s="384"/>
      <c r="C21" s="384"/>
      <c r="D21" s="384"/>
      <c r="E21" s="384"/>
      <c r="F21" s="384"/>
      <c r="G21" s="384"/>
      <c r="H21" s="384"/>
      <c r="I21" s="217"/>
      <c r="J21" s="218"/>
      <c r="K21" s="219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1"/>
      <c r="AZ21" s="221"/>
      <c r="BA21" s="221"/>
      <c r="BB21" s="221"/>
      <c r="BC21" s="221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4"/>
      <c r="BQ21" s="194"/>
      <c r="BR21" s="194"/>
      <c r="BS21" s="194"/>
      <c r="BT21" s="194"/>
      <c r="BU21" s="194"/>
      <c r="BV21" s="194"/>
      <c r="BW21" s="194"/>
      <c r="BX21" s="194"/>
      <c r="BY21" s="221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3"/>
      <c r="CR21" s="232"/>
      <c r="CS21" s="124"/>
    </row>
    <row r="22" spans="1:97" s="125" customFormat="1" ht="12" outlineLevel="1" x14ac:dyDescent="0.2">
      <c r="A22" s="290">
        <v>11</v>
      </c>
      <c r="B22" s="384"/>
      <c r="C22" s="384"/>
      <c r="D22" s="384"/>
      <c r="E22" s="384"/>
      <c r="F22" s="384"/>
      <c r="G22" s="384"/>
      <c r="H22" s="384"/>
      <c r="I22" s="217"/>
      <c r="J22" s="218"/>
      <c r="K22" s="219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1"/>
      <c r="AZ22" s="221"/>
      <c r="BA22" s="221"/>
      <c r="BB22" s="221"/>
      <c r="BC22" s="221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P22" s="194"/>
      <c r="BQ22" s="194"/>
      <c r="BR22" s="194"/>
      <c r="BS22" s="194"/>
      <c r="BT22" s="194"/>
      <c r="BU22" s="194"/>
      <c r="BV22" s="194"/>
      <c r="BW22" s="194"/>
      <c r="BX22" s="194"/>
      <c r="BY22" s="221"/>
      <c r="BZ22" s="222"/>
      <c r="CA22" s="222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3"/>
      <c r="CR22" s="232"/>
      <c r="CS22" s="124"/>
    </row>
    <row r="23" spans="1:97" s="125" customFormat="1" ht="12" outlineLevel="1" x14ac:dyDescent="0.2">
      <c r="A23" s="290">
        <v>12</v>
      </c>
      <c r="B23" s="384"/>
      <c r="C23" s="384"/>
      <c r="D23" s="384"/>
      <c r="E23" s="384"/>
      <c r="F23" s="384"/>
      <c r="G23" s="384"/>
      <c r="H23" s="384"/>
      <c r="I23" s="217"/>
      <c r="J23" s="218"/>
      <c r="K23" s="219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1"/>
      <c r="AZ23" s="221"/>
      <c r="BA23" s="221"/>
      <c r="BB23" s="221"/>
      <c r="BC23" s="221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P23" s="194"/>
      <c r="BQ23" s="194"/>
      <c r="BR23" s="194"/>
      <c r="BS23" s="194"/>
      <c r="BT23" s="194"/>
      <c r="BU23" s="194"/>
      <c r="BV23" s="194"/>
      <c r="BW23" s="194"/>
      <c r="BX23" s="194"/>
      <c r="BY23" s="221"/>
      <c r="BZ23" s="222"/>
      <c r="CA23" s="222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3"/>
      <c r="CR23" s="232"/>
      <c r="CS23" s="124"/>
    </row>
    <row r="24" spans="1:97" s="125" customFormat="1" ht="12" outlineLevel="1" x14ac:dyDescent="0.2">
      <c r="A24" s="290">
        <v>13</v>
      </c>
      <c r="B24" s="384"/>
      <c r="C24" s="384"/>
      <c r="D24" s="384"/>
      <c r="E24" s="384"/>
      <c r="F24" s="384"/>
      <c r="G24" s="384"/>
      <c r="H24" s="384"/>
      <c r="I24" s="217"/>
      <c r="J24" s="218"/>
      <c r="K24" s="219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1"/>
      <c r="AZ24" s="221"/>
      <c r="BA24" s="221"/>
      <c r="BB24" s="221"/>
      <c r="BC24" s="221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221"/>
      <c r="BZ24" s="222"/>
      <c r="CA24" s="222"/>
      <c r="CB24" s="222"/>
      <c r="CC24" s="222"/>
      <c r="CD24" s="222"/>
      <c r="CE24" s="222"/>
      <c r="CF24" s="222"/>
      <c r="CG24" s="222"/>
      <c r="CH24" s="222"/>
      <c r="CI24" s="222"/>
      <c r="CJ24" s="222"/>
      <c r="CK24" s="222"/>
      <c r="CL24" s="222"/>
      <c r="CM24" s="222"/>
      <c r="CN24" s="222"/>
      <c r="CO24" s="222"/>
      <c r="CP24" s="222"/>
      <c r="CQ24" s="223"/>
      <c r="CR24" s="232"/>
      <c r="CS24" s="124"/>
    </row>
    <row r="25" spans="1:97" s="125" customFormat="1" ht="12" outlineLevel="1" x14ac:dyDescent="0.2">
      <c r="A25" s="290">
        <v>14</v>
      </c>
      <c r="B25" s="384"/>
      <c r="C25" s="384"/>
      <c r="D25" s="384"/>
      <c r="E25" s="384"/>
      <c r="F25" s="384"/>
      <c r="G25" s="384"/>
      <c r="H25" s="384"/>
      <c r="I25" s="217"/>
      <c r="J25" s="218"/>
      <c r="K25" s="219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1"/>
      <c r="AZ25" s="221"/>
      <c r="BA25" s="221"/>
      <c r="BB25" s="221"/>
      <c r="BC25" s="221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P25" s="194"/>
      <c r="BQ25" s="194"/>
      <c r="BR25" s="194"/>
      <c r="BS25" s="194"/>
      <c r="BT25" s="194"/>
      <c r="BU25" s="194"/>
      <c r="BV25" s="194"/>
      <c r="BW25" s="194"/>
      <c r="BX25" s="194"/>
      <c r="BY25" s="221"/>
      <c r="BZ25" s="222"/>
      <c r="CA25" s="222"/>
      <c r="CB25" s="222"/>
      <c r="CC25" s="222"/>
      <c r="CD25" s="222"/>
      <c r="CE25" s="222"/>
      <c r="CF25" s="222"/>
      <c r="CG25" s="222"/>
      <c r="CH25" s="222"/>
      <c r="CI25" s="222"/>
      <c r="CJ25" s="222"/>
      <c r="CK25" s="222"/>
      <c r="CL25" s="222"/>
      <c r="CM25" s="222"/>
      <c r="CN25" s="222"/>
      <c r="CO25" s="222"/>
      <c r="CP25" s="222"/>
      <c r="CQ25" s="223"/>
      <c r="CR25" s="232"/>
      <c r="CS25" s="124"/>
    </row>
    <row r="26" spans="1:97" s="125" customFormat="1" ht="12" outlineLevel="1" x14ac:dyDescent="0.2">
      <c r="A26" s="290">
        <v>15</v>
      </c>
      <c r="B26" s="384"/>
      <c r="C26" s="384"/>
      <c r="D26" s="384"/>
      <c r="E26" s="384"/>
      <c r="F26" s="384"/>
      <c r="G26" s="384"/>
      <c r="H26" s="384"/>
      <c r="I26" s="217"/>
      <c r="J26" s="218"/>
      <c r="K26" s="219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1"/>
      <c r="AZ26" s="221"/>
      <c r="BA26" s="221"/>
      <c r="BB26" s="221"/>
      <c r="BC26" s="221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P26" s="194"/>
      <c r="BQ26" s="194"/>
      <c r="BR26" s="194"/>
      <c r="BS26" s="194"/>
      <c r="BT26" s="194"/>
      <c r="BU26" s="194"/>
      <c r="BV26" s="194"/>
      <c r="BW26" s="194"/>
      <c r="BX26" s="194"/>
      <c r="BY26" s="221"/>
      <c r="BZ26" s="222"/>
      <c r="CA26" s="222"/>
      <c r="CB26" s="222"/>
      <c r="CC26" s="222"/>
      <c r="CD26" s="222"/>
      <c r="CE26" s="222"/>
      <c r="CF26" s="222"/>
      <c r="CG26" s="222"/>
      <c r="CH26" s="222"/>
      <c r="CI26" s="222"/>
      <c r="CJ26" s="222"/>
      <c r="CK26" s="222"/>
      <c r="CL26" s="222"/>
      <c r="CM26" s="222"/>
      <c r="CN26" s="222"/>
      <c r="CO26" s="222"/>
      <c r="CP26" s="222"/>
      <c r="CQ26" s="223"/>
      <c r="CR26" s="232"/>
      <c r="CS26" s="124"/>
    </row>
    <row r="27" spans="1:97" s="125" customFormat="1" ht="12" outlineLevel="1" x14ac:dyDescent="0.2">
      <c r="A27" s="290">
        <v>16</v>
      </c>
      <c r="B27" s="384"/>
      <c r="C27" s="384"/>
      <c r="D27" s="384"/>
      <c r="E27" s="384"/>
      <c r="F27" s="384"/>
      <c r="G27" s="384"/>
      <c r="H27" s="384"/>
      <c r="I27" s="217"/>
      <c r="J27" s="218"/>
      <c r="K27" s="219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1"/>
      <c r="AZ27" s="221"/>
      <c r="BA27" s="221"/>
      <c r="BB27" s="221"/>
      <c r="BC27" s="221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4"/>
      <c r="BQ27" s="194"/>
      <c r="BR27" s="194"/>
      <c r="BS27" s="194"/>
      <c r="BT27" s="194"/>
      <c r="BU27" s="194"/>
      <c r="BV27" s="194"/>
      <c r="BW27" s="194"/>
      <c r="BX27" s="194"/>
      <c r="BY27" s="221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3"/>
      <c r="CR27" s="232"/>
      <c r="CS27" s="124"/>
    </row>
    <row r="28" spans="1:97" s="125" customFormat="1" ht="12" outlineLevel="1" x14ac:dyDescent="0.2">
      <c r="A28" s="290">
        <v>17</v>
      </c>
      <c r="B28" s="384"/>
      <c r="C28" s="384"/>
      <c r="D28" s="384"/>
      <c r="E28" s="384"/>
      <c r="F28" s="384"/>
      <c r="G28" s="384"/>
      <c r="H28" s="384"/>
      <c r="I28" s="217"/>
      <c r="J28" s="218"/>
      <c r="K28" s="219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1"/>
      <c r="BJ28" s="221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2"/>
      <c r="CA28" s="222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3"/>
      <c r="CR28" s="232"/>
      <c r="CS28" s="124"/>
    </row>
    <row r="29" spans="1:97" s="125" customFormat="1" ht="12" outlineLevel="1" x14ac:dyDescent="0.2">
      <c r="A29" s="290">
        <v>18</v>
      </c>
      <c r="B29" s="384"/>
      <c r="C29" s="384"/>
      <c r="D29" s="384"/>
      <c r="E29" s="384"/>
      <c r="F29" s="384"/>
      <c r="G29" s="384"/>
      <c r="H29" s="384"/>
      <c r="I29" s="217"/>
      <c r="J29" s="218"/>
      <c r="K29" s="219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1"/>
      <c r="BJ29" s="221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3"/>
      <c r="CR29" s="232"/>
      <c r="CS29" s="124"/>
    </row>
    <row r="30" spans="1:97" s="125" customFormat="1" ht="12" outlineLevel="1" x14ac:dyDescent="0.2">
      <c r="A30" s="290">
        <v>19</v>
      </c>
      <c r="B30" s="384"/>
      <c r="C30" s="384"/>
      <c r="D30" s="384"/>
      <c r="E30" s="384"/>
      <c r="F30" s="384"/>
      <c r="G30" s="384"/>
      <c r="H30" s="384"/>
      <c r="I30" s="217"/>
      <c r="J30" s="218"/>
      <c r="K30" s="219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1"/>
      <c r="BJ30" s="221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3"/>
      <c r="CR30" s="232"/>
      <c r="CS30" s="124"/>
    </row>
    <row r="31" spans="1:97" s="125" customFormat="1" ht="12" outlineLevel="1" x14ac:dyDescent="0.2">
      <c r="A31" s="290">
        <v>20</v>
      </c>
      <c r="B31" s="384"/>
      <c r="C31" s="384"/>
      <c r="D31" s="384"/>
      <c r="E31" s="384"/>
      <c r="F31" s="384"/>
      <c r="G31" s="384"/>
      <c r="H31" s="384"/>
      <c r="I31" s="217"/>
      <c r="J31" s="218"/>
      <c r="K31" s="219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1"/>
      <c r="BJ31" s="221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2"/>
      <c r="CA31" s="222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3"/>
      <c r="CR31" s="232"/>
      <c r="CS31" s="124"/>
    </row>
    <row r="32" spans="1:97" s="125" customFormat="1" ht="12" outlineLevel="1" x14ac:dyDescent="0.2">
      <c r="A32" s="290">
        <v>21</v>
      </c>
      <c r="B32" s="384"/>
      <c r="C32" s="384"/>
      <c r="D32" s="384"/>
      <c r="E32" s="384"/>
      <c r="F32" s="384"/>
      <c r="G32" s="384"/>
      <c r="H32" s="384"/>
      <c r="I32" s="217"/>
      <c r="J32" s="218"/>
      <c r="K32" s="219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1"/>
      <c r="BJ32" s="221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3"/>
      <c r="CR32" s="232"/>
      <c r="CS32" s="124"/>
    </row>
    <row r="33" spans="1:97" s="125" customFormat="1" ht="12" outlineLevel="1" x14ac:dyDescent="0.2">
      <c r="A33" s="290">
        <v>22</v>
      </c>
      <c r="B33" s="384"/>
      <c r="C33" s="384"/>
      <c r="D33" s="384"/>
      <c r="E33" s="384"/>
      <c r="F33" s="384"/>
      <c r="G33" s="384"/>
      <c r="H33" s="384"/>
      <c r="I33" s="217"/>
      <c r="J33" s="218"/>
      <c r="K33" s="219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1"/>
      <c r="BJ33" s="221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2"/>
      <c r="CA33" s="222"/>
      <c r="CB33" s="222"/>
      <c r="CC33" s="222"/>
      <c r="CD33" s="222"/>
      <c r="CE33" s="222"/>
      <c r="CF33" s="222"/>
      <c r="CG33" s="222"/>
      <c r="CH33" s="222"/>
      <c r="CI33" s="222"/>
      <c r="CJ33" s="222"/>
      <c r="CK33" s="222"/>
      <c r="CL33" s="222"/>
      <c r="CM33" s="222"/>
      <c r="CN33" s="222"/>
      <c r="CO33" s="222"/>
      <c r="CP33" s="222"/>
      <c r="CQ33" s="223"/>
      <c r="CR33" s="232"/>
      <c r="CS33" s="124"/>
    </row>
    <row r="34" spans="1:97" s="125" customFormat="1" ht="12" outlineLevel="1" x14ac:dyDescent="0.2">
      <c r="A34" s="290">
        <v>23</v>
      </c>
      <c r="B34" s="384"/>
      <c r="C34" s="384"/>
      <c r="D34" s="384"/>
      <c r="E34" s="384"/>
      <c r="F34" s="384"/>
      <c r="G34" s="384"/>
      <c r="H34" s="384"/>
      <c r="I34" s="217"/>
      <c r="J34" s="218"/>
      <c r="K34" s="219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1"/>
      <c r="BJ34" s="221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2"/>
      <c r="CA34" s="222"/>
      <c r="CB34" s="222"/>
      <c r="CC34" s="222"/>
      <c r="CD34" s="222"/>
      <c r="CE34" s="222"/>
      <c r="CF34" s="222"/>
      <c r="CG34" s="222"/>
      <c r="CH34" s="222"/>
      <c r="CI34" s="222"/>
      <c r="CJ34" s="222"/>
      <c r="CK34" s="222"/>
      <c r="CL34" s="222"/>
      <c r="CM34" s="222"/>
      <c r="CN34" s="222"/>
      <c r="CO34" s="222"/>
      <c r="CP34" s="222"/>
      <c r="CQ34" s="223"/>
      <c r="CR34" s="232"/>
      <c r="CS34" s="124"/>
    </row>
    <row r="35" spans="1:97" s="125" customFormat="1" ht="12" outlineLevel="1" x14ac:dyDescent="0.2">
      <c r="A35" s="290">
        <v>24</v>
      </c>
      <c r="B35" s="384"/>
      <c r="C35" s="384"/>
      <c r="D35" s="384"/>
      <c r="E35" s="384"/>
      <c r="F35" s="384"/>
      <c r="G35" s="384"/>
      <c r="H35" s="384"/>
      <c r="I35" s="217"/>
      <c r="J35" s="218"/>
      <c r="K35" s="219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2"/>
      <c r="CA35" s="222"/>
      <c r="CB35" s="222"/>
      <c r="CC35" s="222"/>
      <c r="CD35" s="222"/>
      <c r="CE35" s="222"/>
      <c r="CF35" s="222"/>
      <c r="CG35" s="222"/>
      <c r="CH35" s="222"/>
      <c r="CI35" s="222"/>
      <c r="CJ35" s="222"/>
      <c r="CK35" s="222"/>
      <c r="CL35" s="222"/>
      <c r="CM35" s="222"/>
      <c r="CN35" s="222"/>
      <c r="CO35" s="222"/>
      <c r="CP35" s="222"/>
      <c r="CQ35" s="223"/>
      <c r="CR35" s="232"/>
      <c r="CS35" s="124"/>
    </row>
    <row r="36" spans="1:97" s="125" customFormat="1" ht="12" outlineLevel="1" x14ac:dyDescent="0.2">
      <c r="A36" s="290">
        <v>25</v>
      </c>
      <c r="B36" s="384"/>
      <c r="C36" s="384"/>
      <c r="D36" s="384"/>
      <c r="E36" s="384"/>
      <c r="F36" s="384"/>
      <c r="G36" s="384"/>
      <c r="H36" s="384"/>
      <c r="I36" s="217"/>
      <c r="J36" s="218"/>
      <c r="K36" s="219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2"/>
      <c r="CA36" s="222"/>
      <c r="CB36" s="222"/>
      <c r="CC36" s="222"/>
      <c r="CD36" s="222"/>
      <c r="CE36" s="222"/>
      <c r="CF36" s="222"/>
      <c r="CG36" s="222"/>
      <c r="CH36" s="222"/>
      <c r="CI36" s="222"/>
      <c r="CJ36" s="222"/>
      <c r="CK36" s="222"/>
      <c r="CL36" s="222"/>
      <c r="CM36" s="222"/>
      <c r="CN36" s="222"/>
      <c r="CO36" s="222"/>
      <c r="CP36" s="222"/>
      <c r="CQ36" s="223"/>
      <c r="CR36" s="232"/>
      <c r="CS36" s="124"/>
    </row>
    <row r="37" spans="1:97" s="125" customFormat="1" ht="12" outlineLevel="1" x14ac:dyDescent="0.2">
      <c r="A37" s="290">
        <v>26</v>
      </c>
      <c r="B37" s="384"/>
      <c r="C37" s="384"/>
      <c r="D37" s="384"/>
      <c r="E37" s="384"/>
      <c r="F37" s="384"/>
      <c r="G37" s="384"/>
      <c r="H37" s="384"/>
      <c r="I37" s="217"/>
      <c r="J37" s="218"/>
      <c r="K37" s="219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2"/>
      <c r="CA37" s="222"/>
      <c r="CB37" s="222"/>
      <c r="CC37" s="222"/>
      <c r="CD37" s="222"/>
      <c r="CE37" s="222"/>
      <c r="CF37" s="222"/>
      <c r="CG37" s="222"/>
      <c r="CH37" s="222"/>
      <c r="CI37" s="222"/>
      <c r="CJ37" s="222"/>
      <c r="CK37" s="222"/>
      <c r="CL37" s="222"/>
      <c r="CM37" s="222"/>
      <c r="CN37" s="222"/>
      <c r="CO37" s="222"/>
      <c r="CP37" s="222"/>
      <c r="CQ37" s="223"/>
      <c r="CR37" s="232"/>
      <c r="CS37" s="124"/>
    </row>
    <row r="38" spans="1:97" s="125" customFormat="1" ht="12" outlineLevel="1" x14ac:dyDescent="0.2">
      <c r="A38" s="290">
        <v>27</v>
      </c>
      <c r="B38" s="384"/>
      <c r="C38" s="384"/>
      <c r="D38" s="384"/>
      <c r="E38" s="384"/>
      <c r="F38" s="384"/>
      <c r="G38" s="384"/>
      <c r="H38" s="384"/>
      <c r="I38" s="217"/>
      <c r="J38" s="218"/>
      <c r="K38" s="219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2"/>
      <c r="CA38" s="222"/>
      <c r="CB38" s="222"/>
      <c r="CC38" s="222"/>
      <c r="CD38" s="222"/>
      <c r="CE38" s="222"/>
      <c r="CF38" s="222"/>
      <c r="CG38" s="222"/>
      <c r="CH38" s="222"/>
      <c r="CI38" s="222"/>
      <c r="CJ38" s="222"/>
      <c r="CK38" s="222"/>
      <c r="CL38" s="222"/>
      <c r="CM38" s="222"/>
      <c r="CN38" s="222"/>
      <c r="CO38" s="222"/>
      <c r="CP38" s="222"/>
      <c r="CQ38" s="223"/>
      <c r="CR38" s="232"/>
      <c r="CS38" s="124"/>
    </row>
    <row r="39" spans="1:97" s="125" customFormat="1" ht="12" outlineLevel="1" x14ac:dyDescent="0.2">
      <c r="A39" s="290">
        <v>28</v>
      </c>
      <c r="B39" s="384"/>
      <c r="C39" s="384"/>
      <c r="D39" s="384"/>
      <c r="E39" s="384"/>
      <c r="F39" s="384"/>
      <c r="G39" s="384"/>
      <c r="H39" s="384"/>
      <c r="I39" s="217"/>
      <c r="J39" s="218"/>
      <c r="K39" s="219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2"/>
      <c r="CA39" s="222"/>
      <c r="CB39" s="222"/>
      <c r="CC39" s="222"/>
      <c r="CD39" s="222"/>
      <c r="CE39" s="222"/>
      <c r="CF39" s="222"/>
      <c r="CG39" s="222"/>
      <c r="CH39" s="222"/>
      <c r="CI39" s="222"/>
      <c r="CJ39" s="222"/>
      <c r="CK39" s="222"/>
      <c r="CL39" s="222"/>
      <c r="CM39" s="222"/>
      <c r="CN39" s="222"/>
      <c r="CO39" s="222"/>
      <c r="CP39" s="222"/>
      <c r="CQ39" s="223"/>
      <c r="CR39" s="232"/>
      <c r="CS39" s="124"/>
    </row>
    <row r="40" spans="1:97" s="125" customFormat="1" ht="12" outlineLevel="1" x14ac:dyDescent="0.2">
      <c r="A40" s="290">
        <v>29</v>
      </c>
      <c r="B40" s="384"/>
      <c r="C40" s="384"/>
      <c r="D40" s="384"/>
      <c r="E40" s="384"/>
      <c r="F40" s="384"/>
      <c r="G40" s="384"/>
      <c r="H40" s="384"/>
      <c r="I40" s="217"/>
      <c r="J40" s="218"/>
      <c r="K40" s="219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2"/>
      <c r="CA40" s="222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3"/>
      <c r="CR40" s="232"/>
      <c r="CS40" s="124"/>
    </row>
    <row r="41" spans="1:97" s="125" customFormat="1" ht="12" outlineLevel="1" x14ac:dyDescent="0.2">
      <c r="A41" s="290">
        <v>30</v>
      </c>
      <c r="B41" s="384"/>
      <c r="C41" s="384"/>
      <c r="D41" s="384"/>
      <c r="E41" s="384"/>
      <c r="F41" s="384"/>
      <c r="G41" s="384"/>
      <c r="H41" s="384"/>
      <c r="I41" s="217"/>
      <c r="J41" s="218"/>
      <c r="K41" s="219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1"/>
      <c r="BJ41" s="221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2"/>
      <c r="CA41" s="222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3"/>
      <c r="CR41" s="232"/>
      <c r="CS41" s="124"/>
    </row>
    <row r="42" spans="1:97" s="125" customFormat="1" ht="12" outlineLevel="1" x14ac:dyDescent="0.2">
      <c r="A42" s="290">
        <v>31</v>
      </c>
      <c r="B42" s="384"/>
      <c r="C42" s="384"/>
      <c r="D42" s="384"/>
      <c r="E42" s="384"/>
      <c r="F42" s="384"/>
      <c r="G42" s="384"/>
      <c r="H42" s="384"/>
      <c r="I42" s="217"/>
      <c r="J42" s="218"/>
      <c r="K42" s="219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1"/>
      <c r="BJ42" s="221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2"/>
      <c r="CA42" s="222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3"/>
      <c r="CR42" s="232"/>
      <c r="CS42" s="124"/>
    </row>
    <row r="43" spans="1:97" s="125" customFormat="1" ht="12" outlineLevel="1" x14ac:dyDescent="0.2">
      <c r="A43" s="290">
        <v>32</v>
      </c>
      <c r="B43" s="384"/>
      <c r="C43" s="384"/>
      <c r="D43" s="384"/>
      <c r="E43" s="384"/>
      <c r="F43" s="384"/>
      <c r="G43" s="384"/>
      <c r="H43" s="384"/>
      <c r="I43" s="217"/>
      <c r="J43" s="218"/>
      <c r="K43" s="219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1"/>
      <c r="BJ43" s="221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2"/>
      <c r="CA43" s="222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3"/>
      <c r="CR43" s="232"/>
      <c r="CS43" s="124"/>
    </row>
    <row r="44" spans="1:97" s="125" customFormat="1" ht="12" outlineLevel="1" x14ac:dyDescent="0.2">
      <c r="A44" s="290">
        <v>33</v>
      </c>
      <c r="B44" s="384"/>
      <c r="C44" s="384"/>
      <c r="D44" s="384"/>
      <c r="E44" s="384"/>
      <c r="F44" s="384"/>
      <c r="G44" s="384"/>
      <c r="H44" s="384"/>
      <c r="I44" s="217"/>
      <c r="J44" s="218"/>
      <c r="K44" s="219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1"/>
      <c r="BJ44" s="221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2"/>
      <c r="CA44" s="222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3"/>
      <c r="CR44" s="232"/>
      <c r="CS44" s="124"/>
    </row>
    <row r="45" spans="1:97" s="125" customFormat="1" ht="12" outlineLevel="1" x14ac:dyDescent="0.2">
      <c r="A45" s="290">
        <v>34</v>
      </c>
      <c r="B45" s="384"/>
      <c r="C45" s="384"/>
      <c r="D45" s="384"/>
      <c r="E45" s="384"/>
      <c r="F45" s="384"/>
      <c r="G45" s="384"/>
      <c r="H45" s="384"/>
      <c r="I45" s="217"/>
      <c r="J45" s="218"/>
      <c r="K45" s="219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1"/>
      <c r="BJ45" s="221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2"/>
      <c r="CA45" s="222"/>
      <c r="CB45" s="222"/>
      <c r="CC45" s="222"/>
      <c r="CD45" s="222"/>
      <c r="CE45" s="222"/>
      <c r="CF45" s="222"/>
      <c r="CG45" s="222"/>
      <c r="CH45" s="222"/>
      <c r="CI45" s="222"/>
      <c r="CJ45" s="222"/>
      <c r="CK45" s="222"/>
      <c r="CL45" s="222"/>
      <c r="CM45" s="222"/>
      <c r="CN45" s="222"/>
      <c r="CO45" s="222"/>
      <c r="CP45" s="222"/>
      <c r="CQ45" s="223"/>
      <c r="CR45" s="232"/>
      <c r="CS45" s="124"/>
    </row>
    <row r="46" spans="1:97" s="125" customFormat="1" ht="12" outlineLevel="1" x14ac:dyDescent="0.2">
      <c r="A46" s="290">
        <v>35</v>
      </c>
      <c r="B46" s="384"/>
      <c r="C46" s="384"/>
      <c r="D46" s="384"/>
      <c r="E46" s="384"/>
      <c r="F46" s="384"/>
      <c r="G46" s="384"/>
      <c r="H46" s="384"/>
      <c r="I46" s="217"/>
      <c r="J46" s="218"/>
      <c r="K46" s="219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1"/>
      <c r="BJ46" s="221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2"/>
      <c r="CA46" s="222"/>
      <c r="CB46" s="222"/>
      <c r="CC46" s="222"/>
      <c r="CD46" s="222"/>
      <c r="CE46" s="222"/>
      <c r="CF46" s="222"/>
      <c r="CG46" s="222"/>
      <c r="CH46" s="222"/>
      <c r="CI46" s="222"/>
      <c r="CJ46" s="222"/>
      <c r="CK46" s="222"/>
      <c r="CL46" s="222"/>
      <c r="CM46" s="222"/>
      <c r="CN46" s="222"/>
      <c r="CO46" s="222"/>
      <c r="CP46" s="222"/>
      <c r="CQ46" s="223"/>
      <c r="CR46" s="232"/>
      <c r="CS46" s="124"/>
    </row>
    <row r="47" spans="1:97" s="125" customFormat="1" ht="12" outlineLevel="1" x14ac:dyDescent="0.2">
      <c r="A47" s="290">
        <v>36</v>
      </c>
      <c r="B47" s="384"/>
      <c r="C47" s="384"/>
      <c r="D47" s="384"/>
      <c r="E47" s="384"/>
      <c r="F47" s="384"/>
      <c r="G47" s="384"/>
      <c r="H47" s="384"/>
      <c r="I47" s="217"/>
      <c r="J47" s="218"/>
      <c r="K47" s="219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1"/>
      <c r="BJ47" s="221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2"/>
      <c r="CA47" s="222"/>
      <c r="CB47" s="222"/>
      <c r="CC47" s="222"/>
      <c r="CD47" s="222"/>
      <c r="CE47" s="222"/>
      <c r="CF47" s="222"/>
      <c r="CG47" s="222"/>
      <c r="CH47" s="222"/>
      <c r="CI47" s="222"/>
      <c r="CJ47" s="222"/>
      <c r="CK47" s="222"/>
      <c r="CL47" s="222"/>
      <c r="CM47" s="222"/>
      <c r="CN47" s="222"/>
      <c r="CO47" s="222"/>
      <c r="CP47" s="222"/>
      <c r="CQ47" s="223"/>
      <c r="CR47" s="232"/>
      <c r="CS47" s="124"/>
    </row>
    <row r="48" spans="1:97" s="125" customFormat="1" ht="12" outlineLevel="1" x14ac:dyDescent="0.2">
      <c r="A48" s="290">
        <v>37</v>
      </c>
      <c r="B48" s="384"/>
      <c r="C48" s="384"/>
      <c r="D48" s="384"/>
      <c r="E48" s="384"/>
      <c r="F48" s="384"/>
      <c r="G48" s="384"/>
      <c r="H48" s="384"/>
      <c r="I48" s="217"/>
      <c r="J48" s="218"/>
      <c r="K48" s="219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20"/>
      <c r="AY48" s="221"/>
      <c r="AZ48" s="221"/>
      <c r="BA48" s="221"/>
      <c r="BB48" s="221"/>
      <c r="BC48" s="221"/>
      <c r="BD48" s="221"/>
      <c r="BE48" s="221"/>
      <c r="BF48" s="221"/>
      <c r="BG48" s="221"/>
      <c r="BH48" s="221"/>
      <c r="BI48" s="221"/>
      <c r="BJ48" s="221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2"/>
      <c r="CA48" s="222"/>
      <c r="CB48" s="222"/>
      <c r="CC48" s="222"/>
      <c r="CD48" s="222"/>
      <c r="CE48" s="222"/>
      <c r="CF48" s="222"/>
      <c r="CG48" s="222"/>
      <c r="CH48" s="222"/>
      <c r="CI48" s="222"/>
      <c r="CJ48" s="222"/>
      <c r="CK48" s="222"/>
      <c r="CL48" s="222"/>
      <c r="CM48" s="222"/>
      <c r="CN48" s="222"/>
      <c r="CO48" s="222"/>
      <c r="CP48" s="222"/>
      <c r="CQ48" s="223"/>
      <c r="CR48" s="232"/>
      <c r="CS48" s="124"/>
    </row>
    <row r="49" spans="1:97" s="125" customFormat="1" ht="12" outlineLevel="1" x14ac:dyDescent="0.2">
      <c r="A49" s="290">
        <v>38</v>
      </c>
      <c r="B49" s="384"/>
      <c r="C49" s="384"/>
      <c r="D49" s="384"/>
      <c r="E49" s="384"/>
      <c r="F49" s="384"/>
      <c r="G49" s="384"/>
      <c r="H49" s="384"/>
      <c r="I49" s="217"/>
      <c r="J49" s="218"/>
      <c r="K49" s="219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0"/>
      <c r="AJ49" s="220"/>
      <c r="AK49" s="220"/>
      <c r="AL49" s="220"/>
      <c r="AM49" s="220"/>
      <c r="AN49" s="220"/>
      <c r="AO49" s="220"/>
      <c r="AP49" s="220"/>
      <c r="AQ49" s="220"/>
      <c r="AR49" s="220"/>
      <c r="AS49" s="220"/>
      <c r="AT49" s="220"/>
      <c r="AU49" s="220"/>
      <c r="AV49" s="220"/>
      <c r="AW49" s="220"/>
      <c r="AX49" s="220"/>
      <c r="AY49" s="221"/>
      <c r="AZ49" s="221"/>
      <c r="BA49" s="221"/>
      <c r="BB49" s="221"/>
      <c r="BC49" s="221"/>
      <c r="BD49" s="221"/>
      <c r="BE49" s="221"/>
      <c r="BF49" s="221"/>
      <c r="BG49" s="221"/>
      <c r="BH49" s="221"/>
      <c r="BI49" s="221"/>
      <c r="BJ49" s="221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2"/>
      <c r="CA49" s="222"/>
      <c r="CB49" s="222"/>
      <c r="CC49" s="222"/>
      <c r="CD49" s="222"/>
      <c r="CE49" s="222"/>
      <c r="CF49" s="222"/>
      <c r="CG49" s="222"/>
      <c r="CH49" s="222"/>
      <c r="CI49" s="222"/>
      <c r="CJ49" s="222"/>
      <c r="CK49" s="222"/>
      <c r="CL49" s="222"/>
      <c r="CM49" s="222"/>
      <c r="CN49" s="222"/>
      <c r="CO49" s="222"/>
      <c r="CP49" s="222"/>
      <c r="CQ49" s="223"/>
      <c r="CR49" s="232"/>
      <c r="CS49" s="124"/>
    </row>
    <row r="50" spans="1:97" s="125" customFormat="1" ht="12" outlineLevel="1" x14ac:dyDescent="0.2">
      <c r="A50" s="290">
        <v>39</v>
      </c>
      <c r="B50" s="384"/>
      <c r="C50" s="384"/>
      <c r="D50" s="384"/>
      <c r="E50" s="384"/>
      <c r="F50" s="384"/>
      <c r="G50" s="384"/>
      <c r="H50" s="384"/>
      <c r="I50" s="217"/>
      <c r="J50" s="218"/>
      <c r="K50" s="219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0"/>
      <c r="AX50" s="220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2"/>
      <c r="CA50" s="222"/>
      <c r="CB50" s="222"/>
      <c r="CC50" s="222"/>
      <c r="CD50" s="222"/>
      <c r="CE50" s="222"/>
      <c r="CF50" s="222"/>
      <c r="CG50" s="222"/>
      <c r="CH50" s="222"/>
      <c r="CI50" s="222"/>
      <c r="CJ50" s="222"/>
      <c r="CK50" s="222"/>
      <c r="CL50" s="222"/>
      <c r="CM50" s="222"/>
      <c r="CN50" s="222"/>
      <c r="CO50" s="222"/>
      <c r="CP50" s="222"/>
      <c r="CQ50" s="223"/>
      <c r="CR50" s="232"/>
      <c r="CS50" s="124"/>
    </row>
    <row r="51" spans="1:97" s="125" customFormat="1" ht="12" outlineLevel="1" x14ac:dyDescent="0.2">
      <c r="A51" s="290">
        <v>40</v>
      </c>
      <c r="B51" s="384"/>
      <c r="C51" s="384"/>
      <c r="D51" s="384"/>
      <c r="E51" s="384"/>
      <c r="F51" s="384"/>
      <c r="G51" s="384"/>
      <c r="H51" s="384"/>
      <c r="I51" s="217"/>
      <c r="J51" s="218"/>
      <c r="K51" s="219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20"/>
      <c r="AS51" s="220"/>
      <c r="AT51" s="220"/>
      <c r="AU51" s="220"/>
      <c r="AV51" s="220"/>
      <c r="AW51" s="220"/>
      <c r="AX51" s="220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2"/>
      <c r="CA51" s="222"/>
      <c r="CB51" s="222"/>
      <c r="CC51" s="222"/>
      <c r="CD51" s="222"/>
      <c r="CE51" s="222"/>
      <c r="CF51" s="222"/>
      <c r="CG51" s="222"/>
      <c r="CH51" s="222"/>
      <c r="CI51" s="222"/>
      <c r="CJ51" s="222"/>
      <c r="CK51" s="222"/>
      <c r="CL51" s="222"/>
      <c r="CM51" s="222"/>
      <c r="CN51" s="222"/>
      <c r="CO51" s="222"/>
      <c r="CP51" s="222"/>
      <c r="CQ51" s="223"/>
      <c r="CR51" s="232"/>
      <c r="CS51" s="124"/>
    </row>
    <row r="52" spans="1:97" s="125" customFormat="1" ht="12" outlineLevel="1" x14ac:dyDescent="0.2">
      <c r="A52" s="290"/>
      <c r="B52" s="384"/>
      <c r="C52" s="384"/>
      <c r="D52" s="384"/>
      <c r="E52" s="384"/>
      <c r="F52" s="384"/>
      <c r="G52" s="384"/>
      <c r="H52" s="384"/>
      <c r="I52" s="217"/>
      <c r="J52" s="218"/>
      <c r="K52" s="219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0"/>
      <c r="AX52" s="220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2"/>
      <c r="CA52" s="222"/>
      <c r="CB52" s="222"/>
      <c r="CC52" s="222"/>
      <c r="CD52" s="222"/>
      <c r="CE52" s="222"/>
      <c r="CF52" s="222"/>
      <c r="CG52" s="222"/>
      <c r="CH52" s="222"/>
      <c r="CI52" s="222"/>
      <c r="CJ52" s="222"/>
      <c r="CK52" s="222"/>
      <c r="CL52" s="222"/>
      <c r="CM52" s="222"/>
      <c r="CN52" s="222"/>
      <c r="CO52" s="222"/>
      <c r="CP52" s="222"/>
      <c r="CQ52" s="223"/>
      <c r="CR52" s="232"/>
      <c r="CS52" s="124"/>
    </row>
    <row r="53" spans="1:97" s="125" customFormat="1" outlineLevel="1" thickBot="1" x14ac:dyDescent="0.25">
      <c r="A53" s="233"/>
      <c r="B53" s="385"/>
      <c r="C53" s="385"/>
      <c r="D53" s="385"/>
      <c r="E53" s="385"/>
      <c r="F53" s="385"/>
      <c r="G53" s="385"/>
      <c r="H53" s="385"/>
      <c r="I53" s="234"/>
      <c r="J53" s="235"/>
      <c r="K53" s="236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8"/>
      <c r="AZ53" s="238"/>
      <c r="BA53" s="238"/>
      <c r="BB53" s="238"/>
      <c r="BC53" s="238"/>
      <c r="BD53" s="238"/>
      <c r="BE53" s="238"/>
      <c r="BF53" s="238"/>
      <c r="BG53" s="238"/>
      <c r="BH53" s="238"/>
      <c r="BI53" s="238"/>
      <c r="BJ53" s="238"/>
      <c r="BK53" s="238"/>
      <c r="BL53" s="238"/>
      <c r="BM53" s="238"/>
      <c r="BN53" s="238"/>
      <c r="BO53" s="238"/>
      <c r="BP53" s="238"/>
      <c r="BQ53" s="238"/>
      <c r="BR53" s="238"/>
      <c r="BS53" s="238"/>
      <c r="BT53" s="238"/>
      <c r="BU53" s="238"/>
      <c r="BV53" s="238"/>
      <c r="BW53" s="238"/>
      <c r="BX53" s="238"/>
      <c r="BY53" s="238"/>
      <c r="BZ53" s="239"/>
      <c r="CA53" s="239"/>
      <c r="CB53" s="239"/>
      <c r="CC53" s="239"/>
      <c r="CD53" s="239"/>
      <c r="CE53" s="239"/>
      <c r="CF53" s="239"/>
      <c r="CG53" s="239"/>
      <c r="CH53" s="239"/>
      <c r="CI53" s="239"/>
      <c r="CJ53" s="239"/>
      <c r="CK53" s="239"/>
      <c r="CL53" s="239"/>
      <c r="CM53" s="239"/>
      <c r="CN53" s="239"/>
      <c r="CO53" s="239"/>
      <c r="CP53" s="239"/>
      <c r="CQ53" s="240"/>
      <c r="CR53" s="241"/>
      <c r="CS53" s="124"/>
    </row>
    <row r="54" spans="1:97" s="128" customFormat="1" outlineLevel="1" thickBot="1" x14ac:dyDescent="0.25">
      <c r="A54" s="452"/>
      <c r="B54" s="452"/>
      <c r="C54" s="452"/>
      <c r="D54" s="452"/>
      <c r="E54" s="452"/>
      <c r="F54" s="452"/>
      <c r="G54" s="452"/>
      <c r="H54" s="452"/>
      <c r="I54" s="453"/>
      <c r="J54" s="210">
        <f>SUM(J12:J53)</f>
        <v>0</v>
      </c>
      <c r="K54" s="211">
        <f>SUM(K12:K53)</f>
        <v>0</v>
      </c>
      <c r="L54" s="212">
        <f>SUM(L12:L53)</f>
        <v>0</v>
      </c>
      <c r="M54" s="212">
        <f t="shared" ref="M54:AU54" si="0">SUM(M12:M53)</f>
        <v>0</v>
      </c>
      <c r="N54" s="212">
        <f t="shared" si="0"/>
        <v>0</v>
      </c>
      <c r="O54" s="212">
        <f t="shared" si="0"/>
        <v>0</v>
      </c>
      <c r="P54" s="212">
        <f t="shared" si="0"/>
        <v>0</v>
      </c>
      <c r="Q54" s="212">
        <f t="shared" si="0"/>
        <v>0</v>
      </c>
      <c r="R54" s="212">
        <f t="shared" si="0"/>
        <v>0</v>
      </c>
      <c r="S54" s="212">
        <f t="shared" si="0"/>
        <v>0</v>
      </c>
      <c r="T54" s="212">
        <f t="shared" si="0"/>
        <v>0</v>
      </c>
      <c r="U54" s="212">
        <f t="shared" si="0"/>
        <v>0</v>
      </c>
      <c r="V54" s="212">
        <f t="shared" si="0"/>
        <v>0</v>
      </c>
      <c r="W54" s="212">
        <f t="shared" si="0"/>
        <v>0</v>
      </c>
      <c r="X54" s="212">
        <f t="shared" si="0"/>
        <v>0</v>
      </c>
      <c r="Y54" s="212">
        <f t="shared" si="0"/>
        <v>0</v>
      </c>
      <c r="Z54" s="212">
        <f t="shared" si="0"/>
        <v>0</v>
      </c>
      <c r="AA54" s="212">
        <f t="shared" si="0"/>
        <v>0</v>
      </c>
      <c r="AB54" s="212">
        <f t="shared" si="0"/>
        <v>0</v>
      </c>
      <c r="AC54" s="212">
        <f t="shared" si="0"/>
        <v>0</v>
      </c>
      <c r="AD54" s="212">
        <f t="shared" si="0"/>
        <v>0</v>
      </c>
      <c r="AE54" s="212">
        <f t="shared" si="0"/>
        <v>0</v>
      </c>
      <c r="AF54" s="212">
        <f t="shared" si="0"/>
        <v>0</v>
      </c>
      <c r="AG54" s="212">
        <f t="shared" si="0"/>
        <v>0</v>
      </c>
      <c r="AH54" s="212">
        <f t="shared" si="0"/>
        <v>0</v>
      </c>
      <c r="AI54" s="212">
        <f t="shared" si="0"/>
        <v>0</v>
      </c>
      <c r="AJ54" s="212">
        <f t="shared" si="0"/>
        <v>0</v>
      </c>
      <c r="AK54" s="212">
        <f t="shared" si="0"/>
        <v>0</v>
      </c>
      <c r="AL54" s="212">
        <f t="shared" si="0"/>
        <v>0</v>
      </c>
      <c r="AM54" s="212">
        <f t="shared" si="0"/>
        <v>0</v>
      </c>
      <c r="AN54" s="212">
        <f t="shared" si="0"/>
        <v>0</v>
      </c>
      <c r="AO54" s="212">
        <f t="shared" si="0"/>
        <v>0</v>
      </c>
      <c r="AP54" s="212">
        <f t="shared" si="0"/>
        <v>0</v>
      </c>
      <c r="AQ54" s="212">
        <f t="shared" si="0"/>
        <v>0</v>
      </c>
      <c r="AR54" s="212">
        <f t="shared" si="0"/>
        <v>0</v>
      </c>
      <c r="AS54" s="212">
        <f t="shared" si="0"/>
        <v>0</v>
      </c>
      <c r="AT54" s="212">
        <f t="shared" si="0"/>
        <v>0</v>
      </c>
      <c r="AU54" s="212">
        <f t="shared" si="0"/>
        <v>0</v>
      </c>
      <c r="AV54" s="212"/>
      <c r="AW54" s="212">
        <f t="shared" ref="AW54:BX54" si="1">SUM(AW12:AW53)</f>
        <v>0</v>
      </c>
      <c r="AX54" s="212">
        <f t="shared" si="1"/>
        <v>0</v>
      </c>
      <c r="AY54" s="213">
        <f t="shared" si="1"/>
        <v>0</v>
      </c>
      <c r="AZ54" s="213">
        <f t="shared" si="1"/>
        <v>0</v>
      </c>
      <c r="BA54" s="213">
        <f t="shared" si="1"/>
        <v>0</v>
      </c>
      <c r="BB54" s="213">
        <f t="shared" si="1"/>
        <v>0</v>
      </c>
      <c r="BC54" s="213">
        <f t="shared" si="1"/>
        <v>0</v>
      </c>
      <c r="BD54" s="213">
        <f t="shared" si="1"/>
        <v>0</v>
      </c>
      <c r="BE54" s="213">
        <f t="shared" si="1"/>
        <v>0</v>
      </c>
      <c r="BF54" s="213">
        <f t="shared" si="1"/>
        <v>0</v>
      </c>
      <c r="BG54" s="213">
        <f t="shared" si="1"/>
        <v>0</v>
      </c>
      <c r="BH54" s="213">
        <f t="shared" si="1"/>
        <v>0</v>
      </c>
      <c r="BI54" s="213">
        <f t="shared" si="1"/>
        <v>0</v>
      </c>
      <c r="BJ54" s="213">
        <f t="shared" si="1"/>
        <v>0</v>
      </c>
      <c r="BK54" s="213">
        <f t="shared" si="1"/>
        <v>0</v>
      </c>
      <c r="BL54" s="213">
        <f t="shared" ref="BL54" si="2">SUM(BL12:BL53)</f>
        <v>0</v>
      </c>
      <c r="BM54" s="213">
        <f t="shared" si="1"/>
        <v>0</v>
      </c>
      <c r="BN54" s="213">
        <f t="shared" si="1"/>
        <v>0</v>
      </c>
      <c r="BO54" s="213">
        <f t="shared" si="1"/>
        <v>0</v>
      </c>
      <c r="BP54" s="213">
        <f t="shared" si="1"/>
        <v>0</v>
      </c>
      <c r="BQ54" s="213">
        <f t="shared" si="1"/>
        <v>0</v>
      </c>
      <c r="BR54" s="213">
        <f t="shared" si="1"/>
        <v>0</v>
      </c>
      <c r="BS54" s="213">
        <f t="shared" si="1"/>
        <v>0</v>
      </c>
      <c r="BT54" s="213">
        <f t="shared" si="1"/>
        <v>0</v>
      </c>
      <c r="BU54" s="213">
        <f t="shared" si="1"/>
        <v>0</v>
      </c>
      <c r="BV54" s="213">
        <f t="shared" ref="BV54" si="3">SUM(BV12:BV53)</f>
        <v>0</v>
      </c>
      <c r="BW54" s="213">
        <f t="shared" si="1"/>
        <v>0</v>
      </c>
      <c r="BX54" s="213">
        <f t="shared" si="1"/>
        <v>0</v>
      </c>
      <c r="BY54" s="213">
        <f t="shared" ref="BY54:CJ54" si="4">SUM(BY12:BY53)</f>
        <v>0</v>
      </c>
      <c r="BZ54" s="214">
        <f t="shared" si="4"/>
        <v>0</v>
      </c>
      <c r="CA54" s="214">
        <f t="shared" si="4"/>
        <v>0</v>
      </c>
      <c r="CB54" s="214">
        <f t="shared" si="4"/>
        <v>0</v>
      </c>
      <c r="CC54" s="214">
        <f t="shared" si="4"/>
        <v>0</v>
      </c>
      <c r="CD54" s="214">
        <f t="shared" si="4"/>
        <v>0</v>
      </c>
      <c r="CE54" s="214">
        <f t="shared" si="4"/>
        <v>0</v>
      </c>
      <c r="CF54" s="214">
        <f t="shared" si="4"/>
        <v>0</v>
      </c>
      <c r="CG54" s="214">
        <f t="shared" si="4"/>
        <v>0</v>
      </c>
      <c r="CH54" s="214">
        <f t="shared" si="4"/>
        <v>0</v>
      </c>
      <c r="CI54" s="214">
        <f t="shared" si="4"/>
        <v>0</v>
      </c>
      <c r="CJ54" s="214">
        <f t="shared" si="4"/>
        <v>0</v>
      </c>
      <c r="CK54" s="214">
        <f t="shared" ref="CK54:CP54" si="5">SUM(CK12:CK53)</f>
        <v>0</v>
      </c>
      <c r="CL54" s="214">
        <f>SUM(CL12:CL53)</f>
        <v>0</v>
      </c>
      <c r="CM54" s="214">
        <f>SUM(CM12:CM53)</f>
        <v>0</v>
      </c>
      <c r="CN54" s="214">
        <f t="shared" ref="CN54" si="6">SUM(CN12:CN53)</f>
        <v>0</v>
      </c>
      <c r="CO54" s="214">
        <f t="shared" si="5"/>
        <v>0</v>
      </c>
      <c r="CP54" s="215">
        <f t="shared" si="5"/>
        <v>0</v>
      </c>
      <c r="CQ54" s="216">
        <f>SUM(CQ12:CQ53)</f>
        <v>0</v>
      </c>
      <c r="CR54" s="216">
        <f>SUM(CR12:CR53)</f>
        <v>0</v>
      </c>
      <c r="CS54" s="127"/>
    </row>
    <row r="55" spans="1:97" s="128" customFormat="1" ht="12.75" customHeight="1" outlineLevel="1" thickBot="1" x14ac:dyDescent="0.25">
      <c r="A55" s="127"/>
      <c r="B55" s="386"/>
      <c r="C55" s="386"/>
      <c r="D55" s="386"/>
      <c r="E55" s="386"/>
      <c r="F55" s="386"/>
      <c r="G55" s="386"/>
      <c r="H55" s="386"/>
      <c r="I55" s="129"/>
      <c r="J55" s="130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  <c r="CL55" s="126"/>
      <c r="CM55" s="126"/>
      <c r="CN55" s="126"/>
      <c r="CO55" s="126"/>
      <c r="CP55" s="126"/>
      <c r="CQ55" s="131" t="s">
        <v>139</v>
      </c>
      <c r="CR55" s="131">
        <f>CR54-CQ54</f>
        <v>0</v>
      </c>
      <c r="CS55" s="127"/>
    </row>
    <row r="56" spans="1:97" s="128" customFormat="1" ht="2.25" customHeight="1" thickBot="1" x14ac:dyDescent="0.25">
      <c r="A56" s="127"/>
      <c r="B56" s="386"/>
      <c r="C56" s="386"/>
      <c r="D56" s="386"/>
      <c r="E56" s="386"/>
      <c r="F56" s="386"/>
      <c r="G56" s="386"/>
      <c r="H56" s="386"/>
      <c r="I56" s="132"/>
      <c r="J56" s="133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  <c r="BE56" s="12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CB56" s="127"/>
      <c r="CC56" s="127"/>
      <c r="CD56" s="127"/>
      <c r="CE56" s="127"/>
      <c r="CF56" s="127"/>
      <c r="CG56" s="127"/>
      <c r="CH56" s="127"/>
      <c r="CI56" s="127"/>
      <c r="CJ56" s="127"/>
      <c r="CK56" s="127"/>
      <c r="CL56" s="127"/>
      <c r="CM56" s="127"/>
      <c r="CN56" s="127"/>
      <c r="CO56" s="127"/>
      <c r="CP56" s="127"/>
      <c r="CQ56" s="134" t="s">
        <v>140</v>
      </c>
      <c r="CR56" s="135">
        <f>IF(CR55=0,0,CR55/CR54)</f>
        <v>0</v>
      </c>
      <c r="CS56" s="127"/>
    </row>
    <row r="57" spans="1:97" s="128" customFormat="1" ht="29.25" customHeight="1" outlineLevel="1" thickBot="1" x14ac:dyDescent="0.25">
      <c r="A57" s="461" t="s">
        <v>141</v>
      </c>
      <c r="B57" s="462"/>
      <c r="C57" s="462"/>
      <c r="D57" s="462"/>
      <c r="E57" s="462"/>
      <c r="F57" s="462"/>
      <c r="G57" s="462"/>
      <c r="H57" s="462"/>
      <c r="I57" s="462"/>
      <c r="J57" s="445" t="s">
        <v>141</v>
      </c>
      <c r="K57" s="447"/>
      <c r="L57" s="445" t="s">
        <v>142</v>
      </c>
      <c r="M57" s="446"/>
      <c r="N57" s="446"/>
      <c r="O57" s="446"/>
      <c r="P57" s="446"/>
      <c r="Q57" s="446"/>
      <c r="R57" s="446"/>
      <c r="S57" s="446"/>
      <c r="T57" s="446"/>
      <c r="U57" s="446"/>
      <c r="V57" s="446"/>
      <c r="W57" s="446"/>
      <c r="X57" s="446"/>
      <c r="Y57" s="446"/>
      <c r="Z57" s="446"/>
      <c r="AA57" s="446"/>
      <c r="AB57" s="446"/>
      <c r="AC57" s="446"/>
      <c r="AD57" s="446"/>
      <c r="AE57" s="446"/>
      <c r="AF57" s="446"/>
      <c r="AG57" s="446"/>
      <c r="AH57" s="446"/>
      <c r="AI57" s="446"/>
      <c r="AJ57" s="446"/>
      <c r="AK57" s="446"/>
      <c r="AL57" s="446"/>
      <c r="AM57" s="446"/>
      <c r="AN57" s="446"/>
      <c r="AO57" s="446"/>
      <c r="AP57" s="446"/>
      <c r="AQ57" s="446"/>
      <c r="AR57" s="446"/>
      <c r="AS57" s="446"/>
      <c r="AT57" s="446"/>
      <c r="AU57" s="446"/>
      <c r="AV57" s="446"/>
      <c r="AW57" s="446"/>
      <c r="AX57" s="446"/>
      <c r="AY57" s="446"/>
      <c r="AZ57" s="446"/>
      <c r="BA57" s="446"/>
      <c r="BB57" s="446"/>
      <c r="BC57" s="446"/>
      <c r="BD57" s="446"/>
      <c r="BE57" s="446"/>
      <c r="BF57" s="446"/>
      <c r="BG57" s="446"/>
      <c r="BH57" s="446"/>
      <c r="BI57" s="446"/>
      <c r="BJ57" s="446"/>
      <c r="BK57" s="446"/>
      <c r="BL57" s="446"/>
      <c r="BM57" s="446"/>
      <c r="BN57" s="446"/>
      <c r="BO57" s="446"/>
      <c r="BP57" s="446"/>
      <c r="BQ57" s="446"/>
      <c r="BR57" s="446"/>
      <c r="BS57" s="446"/>
      <c r="BT57" s="446"/>
      <c r="BU57" s="446"/>
      <c r="BV57" s="446"/>
      <c r="BW57" s="446"/>
      <c r="BX57" s="446"/>
      <c r="BY57" s="447"/>
      <c r="BZ57" s="445" t="s">
        <v>141</v>
      </c>
      <c r="CA57" s="446"/>
      <c r="CB57" s="446"/>
      <c r="CC57" s="446"/>
      <c r="CD57" s="446"/>
      <c r="CE57" s="446"/>
      <c r="CF57" s="446"/>
      <c r="CG57" s="446"/>
      <c r="CH57" s="446"/>
      <c r="CI57" s="446"/>
      <c r="CJ57" s="446"/>
      <c r="CK57" s="447"/>
      <c r="CL57" s="136"/>
      <c r="CM57" s="136"/>
      <c r="CN57" s="136"/>
      <c r="CO57" s="136"/>
      <c r="CP57" s="136"/>
      <c r="CQ57" s="161"/>
      <c r="CR57" s="161"/>
      <c r="CS57" s="127"/>
    </row>
    <row r="58" spans="1:97" s="128" customFormat="1" ht="12.75" customHeight="1" outlineLevel="1" x14ac:dyDescent="0.2">
      <c r="A58" s="281">
        <f t="shared" ref="A58:I77" si="7">A12</f>
        <v>1</v>
      </c>
      <c r="B58" s="387"/>
      <c r="C58" s="387"/>
      <c r="D58" s="387"/>
      <c r="E58" s="387"/>
      <c r="F58" s="387"/>
      <c r="G58" s="387"/>
      <c r="H58" s="387"/>
      <c r="I58" s="282">
        <f t="shared" si="7"/>
        <v>0</v>
      </c>
      <c r="J58" s="244"/>
      <c r="K58" s="245">
        <f>SUM(J58*$K$7)</f>
        <v>0</v>
      </c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27"/>
      <c r="AZ58" s="227"/>
      <c r="BA58" s="227"/>
      <c r="BB58" s="227"/>
      <c r="BC58" s="227"/>
      <c r="BD58" s="227"/>
      <c r="BE58" s="227"/>
      <c r="BF58" s="227"/>
      <c r="BG58" s="227"/>
      <c r="BH58" s="227"/>
      <c r="BI58" s="227"/>
      <c r="BJ58" s="227"/>
      <c r="BK58" s="227"/>
      <c r="BL58" s="227"/>
      <c r="BM58" s="227"/>
      <c r="BN58" s="227"/>
      <c r="BO58" s="227"/>
      <c r="BP58" s="227"/>
      <c r="BQ58" s="227"/>
      <c r="BR58" s="227"/>
      <c r="BS58" s="227"/>
      <c r="BT58" s="246"/>
      <c r="BU58" s="246"/>
      <c r="BV58" s="246"/>
      <c r="BW58" s="246"/>
      <c r="BX58" s="246"/>
      <c r="BY58" s="227"/>
      <c r="BZ58" s="228"/>
      <c r="CA58" s="228"/>
      <c r="CB58" s="228"/>
      <c r="CC58" s="228"/>
      <c r="CD58" s="228"/>
      <c r="CE58" s="228"/>
      <c r="CF58" s="228"/>
      <c r="CG58" s="228"/>
      <c r="CH58" s="228"/>
      <c r="CI58" s="228"/>
      <c r="CJ58" s="228"/>
      <c r="CK58" s="228"/>
      <c r="CL58" s="229"/>
      <c r="CM58" s="229"/>
      <c r="CN58" s="229"/>
      <c r="CO58" s="229"/>
      <c r="CP58" s="229"/>
      <c r="CQ58" s="230"/>
    </row>
    <row r="59" spans="1:97" s="128" customFormat="1" ht="12.75" customHeight="1" outlineLevel="1" x14ac:dyDescent="0.2">
      <c r="A59" s="281">
        <f t="shared" si="7"/>
        <v>2</v>
      </c>
      <c r="B59" s="387"/>
      <c r="C59" s="387"/>
      <c r="D59" s="387"/>
      <c r="E59" s="387"/>
      <c r="F59" s="387"/>
      <c r="G59" s="387"/>
      <c r="H59" s="387"/>
      <c r="I59" s="282">
        <f t="shared" si="7"/>
        <v>0</v>
      </c>
      <c r="J59" s="244"/>
      <c r="K59" s="247">
        <f t="shared" ref="K59:K98" si="8">SUM(J59*$K$7)</f>
        <v>0</v>
      </c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  <c r="AM59" s="220"/>
      <c r="AN59" s="220"/>
      <c r="AO59" s="220"/>
      <c r="AP59" s="220"/>
      <c r="AQ59" s="220"/>
      <c r="AR59" s="220"/>
      <c r="AS59" s="220"/>
      <c r="AT59" s="220"/>
      <c r="AU59" s="220"/>
      <c r="AV59" s="220"/>
      <c r="AW59" s="220"/>
      <c r="AX59" s="220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  <c r="BM59" s="221"/>
      <c r="BN59" s="221"/>
      <c r="BO59" s="221"/>
      <c r="BP59" s="221"/>
      <c r="BQ59" s="221"/>
      <c r="BR59" s="221"/>
      <c r="BS59" s="221"/>
      <c r="BT59" s="221"/>
      <c r="BU59" s="221"/>
      <c r="BV59" s="221"/>
      <c r="BW59" s="221"/>
      <c r="BX59" s="221"/>
      <c r="BY59" s="221"/>
      <c r="BZ59" s="222"/>
      <c r="CA59" s="222"/>
      <c r="CB59" s="222"/>
      <c r="CC59" s="313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3"/>
    </row>
    <row r="60" spans="1:97" s="128" customFormat="1" ht="12.75" customHeight="1" outlineLevel="1" x14ac:dyDescent="0.2">
      <c r="A60" s="281">
        <f t="shared" si="7"/>
        <v>3</v>
      </c>
      <c r="B60" s="387"/>
      <c r="C60" s="387"/>
      <c r="D60" s="387"/>
      <c r="E60" s="387"/>
      <c r="F60" s="387"/>
      <c r="G60" s="387"/>
      <c r="H60" s="387"/>
      <c r="I60" s="282">
        <f t="shared" si="7"/>
        <v>0</v>
      </c>
      <c r="J60" s="244"/>
      <c r="K60" s="247">
        <f t="shared" si="8"/>
        <v>0</v>
      </c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  <c r="AM60" s="220"/>
      <c r="AN60" s="220"/>
      <c r="AO60" s="220"/>
      <c r="AP60" s="220"/>
      <c r="AQ60" s="220"/>
      <c r="AR60" s="220"/>
      <c r="AS60" s="220"/>
      <c r="AT60" s="220"/>
      <c r="AU60" s="220"/>
      <c r="AV60" s="220"/>
      <c r="AW60" s="220"/>
      <c r="AX60" s="220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  <c r="BS60" s="221"/>
      <c r="BT60" s="221"/>
      <c r="BU60" s="221"/>
      <c r="BV60" s="221"/>
      <c r="BW60" s="221"/>
      <c r="BX60" s="221"/>
      <c r="BY60" s="221"/>
      <c r="BZ60" s="222"/>
      <c r="CA60" s="222"/>
      <c r="CB60" s="222"/>
      <c r="CC60" s="222"/>
      <c r="CD60" s="222"/>
      <c r="CE60" s="222"/>
      <c r="CF60" s="222"/>
      <c r="CG60" s="222"/>
      <c r="CH60" s="222"/>
      <c r="CI60" s="222"/>
      <c r="CJ60" s="222"/>
      <c r="CK60" s="222"/>
      <c r="CL60" s="222"/>
      <c r="CM60" s="222"/>
      <c r="CN60" s="222"/>
      <c r="CO60" s="222"/>
      <c r="CP60" s="222"/>
      <c r="CQ60" s="223"/>
    </row>
    <row r="61" spans="1:97" s="128" customFormat="1" ht="12.75" customHeight="1" outlineLevel="1" x14ac:dyDescent="0.2">
      <c r="A61" s="281">
        <f t="shared" si="7"/>
        <v>4</v>
      </c>
      <c r="B61" s="387"/>
      <c r="C61" s="387"/>
      <c r="D61" s="387"/>
      <c r="E61" s="387"/>
      <c r="F61" s="387"/>
      <c r="G61" s="387"/>
      <c r="H61" s="387"/>
      <c r="I61" s="282">
        <f t="shared" si="7"/>
        <v>0</v>
      </c>
      <c r="J61" s="244"/>
      <c r="K61" s="247">
        <f t="shared" si="8"/>
        <v>0</v>
      </c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  <c r="AM61" s="220"/>
      <c r="AN61" s="220"/>
      <c r="AO61" s="220"/>
      <c r="AP61" s="220"/>
      <c r="AQ61" s="220"/>
      <c r="AR61" s="220"/>
      <c r="AS61" s="220"/>
      <c r="AT61" s="220"/>
      <c r="AU61" s="220"/>
      <c r="AV61" s="220"/>
      <c r="AW61" s="220"/>
      <c r="AX61" s="220"/>
      <c r="AY61" s="221"/>
      <c r="AZ61" s="221"/>
      <c r="BA61" s="221"/>
      <c r="BB61" s="221"/>
      <c r="BC61" s="221"/>
      <c r="BD61" s="221"/>
      <c r="BE61" s="221"/>
      <c r="BF61" s="221"/>
      <c r="BG61" s="221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2"/>
      <c r="CA61" s="222"/>
      <c r="CB61" s="222"/>
      <c r="CC61" s="222"/>
      <c r="CD61" s="222"/>
      <c r="CE61" s="222"/>
      <c r="CF61" s="222"/>
      <c r="CG61" s="222"/>
      <c r="CH61" s="222"/>
      <c r="CI61" s="222"/>
      <c r="CJ61" s="222"/>
      <c r="CK61" s="222"/>
      <c r="CL61" s="222"/>
      <c r="CM61" s="222"/>
      <c r="CN61" s="222"/>
      <c r="CO61" s="222"/>
      <c r="CP61" s="222"/>
      <c r="CQ61" s="223"/>
    </row>
    <row r="62" spans="1:97" s="128" customFormat="1" ht="12.75" customHeight="1" outlineLevel="1" x14ac:dyDescent="0.2">
      <c r="A62" s="281">
        <f t="shared" si="7"/>
        <v>5</v>
      </c>
      <c r="B62" s="387"/>
      <c r="C62" s="387"/>
      <c r="D62" s="387"/>
      <c r="E62" s="387"/>
      <c r="F62" s="387"/>
      <c r="G62" s="387"/>
      <c r="H62" s="387"/>
      <c r="I62" s="282">
        <f t="shared" si="7"/>
        <v>0</v>
      </c>
      <c r="J62" s="244"/>
      <c r="K62" s="247">
        <f t="shared" si="8"/>
        <v>0</v>
      </c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  <c r="AM62" s="220"/>
      <c r="AN62" s="220"/>
      <c r="AO62" s="220"/>
      <c r="AP62" s="220"/>
      <c r="AQ62" s="220"/>
      <c r="AR62" s="220"/>
      <c r="AS62" s="220"/>
      <c r="AT62" s="220"/>
      <c r="AU62" s="220"/>
      <c r="AV62" s="220"/>
      <c r="AW62" s="220"/>
      <c r="AX62" s="220"/>
      <c r="AY62" s="221"/>
      <c r="AZ62" s="221"/>
      <c r="BA62" s="221"/>
      <c r="BB62" s="221"/>
      <c r="BC62" s="221"/>
      <c r="BD62" s="221"/>
      <c r="BE62" s="221"/>
      <c r="BF62" s="221"/>
      <c r="BG62" s="221"/>
      <c r="BH62" s="221"/>
      <c r="BI62" s="221"/>
      <c r="BJ62" s="221"/>
      <c r="BK62" s="221"/>
      <c r="BL62" s="221"/>
      <c r="BM62" s="221"/>
      <c r="BN62" s="221"/>
      <c r="BO62" s="221"/>
      <c r="BP62" s="221"/>
      <c r="BQ62" s="221"/>
      <c r="BR62" s="221"/>
      <c r="BS62" s="221"/>
      <c r="BT62" s="221"/>
      <c r="BU62" s="221"/>
      <c r="BV62" s="221"/>
      <c r="BW62" s="221"/>
      <c r="BX62" s="221"/>
      <c r="BY62" s="221"/>
      <c r="BZ62" s="222"/>
      <c r="CA62" s="222"/>
      <c r="CB62" s="222"/>
      <c r="CC62" s="222"/>
      <c r="CD62" s="222"/>
      <c r="CE62" s="222"/>
      <c r="CF62" s="222"/>
      <c r="CG62" s="222"/>
      <c r="CH62" s="222"/>
      <c r="CI62" s="222"/>
      <c r="CJ62" s="222"/>
      <c r="CK62" s="222"/>
      <c r="CL62" s="222"/>
      <c r="CM62" s="222"/>
      <c r="CN62" s="222"/>
      <c r="CO62" s="222"/>
      <c r="CP62" s="222"/>
      <c r="CQ62" s="223"/>
    </row>
    <row r="63" spans="1:97" s="128" customFormat="1" ht="12.75" customHeight="1" outlineLevel="1" x14ac:dyDescent="0.2">
      <c r="A63" s="281">
        <f t="shared" si="7"/>
        <v>6</v>
      </c>
      <c r="B63" s="387"/>
      <c r="C63" s="387"/>
      <c r="D63" s="387"/>
      <c r="E63" s="387"/>
      <c r="F63" s="387"/>
      <c r="G63" s="387"/>
      <c r="H63" s="387"/>
      <c r="I63" s="282">
        <f t="shared" si="7"/>
        <v>0</v>
      </c>
      <c r="J63" s="244"/>
      <c r="K63" s="247">
        <f t="shared" si="8"/>
        <v>0</v>
      </c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0"/>
      <c r="AP63" s="220"/>
      <c r="AQ63" s="220"/>
      <c r="AR63" s="220"/>
      <c r="AS63" s="220"/>
      <c r="AT63" s="220"/>
      <c r="AU63" s="220"/>
      <c r="AV63" s="220"/>
      <c r="AW63" s="220"/>
      <c r="AX63" s="220"/>
      <c r="AY63" s="221"/>
      <c r="AZ63" s="221"/>
      <c r="BA63" s="221"/>
      <c r="BB63" s="221"/>
      <c r="BC63" s="221"/>
      <c r="BD63" s="221"/>
      <c r="BE63" s="221"/>
      <c r="BF63" s="221"/>
      <c r="BG63" s="221"/>
      <c r="BH63" s="221"/>
      <c r="BI63" s="221"/>
      <c r="BJ63" s="221"/>
      <c r="BK63" s="221"/>
      <c r="BL63" s="221"/>
      <c r="BM63" s="221"/>
      <c r="BN63" s="221"/>
      <c r="BO63" s="221"/>
      <c r="BP63" s="221"/>
      <c r="BQ63" s="221"/>
      <c r="BR63" s="221"/>
      <c r="BS63" s="221"/>
      <c r="BT63" s="221"/>
      <c r="BU63" s="221"/>
      <c r="BV63" s="221"/>
      <c r="BW63" s="221"/>
      <c r="BX63" s="221"/>
      <c r="BY63" s="221"/>
      <c r="BZ63" s="222"/>
      <c r="CA63" s="222"/>
      <c r="CB63" s="222"/>
      <c r="CC63" s="222"/>
      <c r="CD63" s="222"/>
      <c r="CE63" s="222"/>
      <c r="CF63" s="222"/>
      <c r="CG63" s="222"/>
      <c r="CH63" s="222"/>
      <c r="CI63" s="222"/>
      <c r="CJ63" s="222"/>
      <c r="CK63" s="222"/>
      <c r="CL63" s="222"/>
      <c r="CM63" s="222"/>
      <c r="CN63" s="222"/>
      <c r="CO63" s="222"/>
      <c r="CP63" s="222"/>
      <c r="CQ63" s="223"/>
    </row>
    <row r="64" spans="1:97" s="128" customFormat="1" ht="12.75" customHeight="1" outlineLevel="1" x14ac:dyDescent="0.2">
      <c r="A64" s="281">
        <f t="shared" si="7"/>
        <v>7</v>
      </c>
      <c r="B64" s="387"/>
      <c r="C64" s="387"/>
      <c r="D64" s="387"/>
      <c r="E64" s="387"/>
      <c r="F64" s="387"/>
      <c r="G64" s="387"/>
      <c r="H64" s="387"/>
      <c r="I64" s="282">
        <f t="shared" si="7"/>
        <v>0</v>
      </c>
      <c r="J64" s="244"/>
      <c r="K64" s="247">
        <f t="shared" si="8"/>
        <v>0</v>
      </c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1"/>
      <c r="AZ64" s="221"/>
      <c r="BA64" s="221"/>
      <c r="BB64" s="221"/>
      <c r="BC64" s="221"/>
      <c r="BD64" s="221"/>
      <c r="BE64" s="295"/>
      <c r="BF64" s="221"/>
      <c r="BG64" s="221"/>
      <c r="BH64" s="221"/>
      <c r="BI64" s="221"/>
      <c r="BJ64" s="221"/>
      <c r="BK64" s="221"/>
      <c r="BL64" s="221"/>
      <c r="BM64" s="221"/>
      <c r="BN64" s="221"/>
      <c r="BO64" s="221"/>
      <c r="BP64" s="221"/>
      <c r="BQ64" s="221"/>
      <c r="BR64" s="221"/>
      <c r="BS64" s="221"/>
      <c r="BT64" s="221"/>
      <c r="BU64" s="221"/>
      <c r="BV64" s="221"/>
      <c r="BW64" s="221"/>
      <c r="BX64" s="221"/>
      <c r="BY64" s="221"/>
      <c r="BZ64" s="222"/>
      <c r="CA64" s="222"/>
      <c r="CB64" s="222"/>
      <c r="CC64" s="222"/>
      <c r="CD64" s="222"/>
      <c r="CE64" s="222"/>
      <c r="CF64" s="222"/>
      <c r="CG64" s="222"/>
      <c r="CH64" s="222"/>
      <c r="CI64" s="222"/>
      <c r="CJ64" s="222"/>
      <c r="CK64" s="222"/>
      <c r="CL64" s="222"/>
      <c r="CM64" s="222"/>
      <c r="CN64" s="222"/>
      <c r="CO64" s="222"/>
      <c r="CP64" s="222"/>
      <c r="CQ64" s="223"/>
    </row>
    <row r="65" spans="1:95" s="128" customFormat="1" ht="12.75" customHeight="1" outlineLevel="1" x14ac:dyDescent="0.2">
      <c r="A65" s="281">
        <f t="shared" si="7"/>
        <v>8</v>
      </c>
      <c r="B65" s="387"/>
      <c r="C65" s="387"/>
      <c r="D65" s="387"/>
      <c r="E65" s="387"/>
      <c r="F65" s="387"/>
      <c r="G65" s="387"/>
      <c r="H65" s="387"/>
      <c r="I65" s="282">
        <f t="shared" si="7"/>
        <v>0</v>
      </c>
      <c r="J65" s="244"/>
      <c r="K65" s="247">
        <f t="shared" si="8"/>
        <v>0</v>
      </c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  <c r="AM65" s="220"/>
      <c r="AN65" s="220"/>
      <c r="AO65" s="220"/>
      <c r="AP65" s="220"/>
      <c r="AQ65" s="220"/>
      <c r="AR65" s="220"/>
      <c r="AS65" s="220"/>
      <c r="AT65" s="220"/>
      <c r="AU65" s="220"/>
      <c r="AV65" s="220"/>
      <c r="AW65" s="220"/>
      <c r="AX65" s="220"/>
      <c r="AY65" s="221"/>
      <c r="AZ65" s="221"/>
      <c r="BA65" s="221"/>
      <c r="BB65" s="221"/>
      <c r="BC65" s="221"/>
      <c r="BD65" s="221"/>
      <c r="BE65" s="221"/>
      <c r="BF65" s="221"/>
      <c r="BG65" s="221"/>
      <c r="BH65" s="221"/>
      <c r="BI65" s="221"/>
      <c r="BJ65" s="221"/>
      <c r="BK65" s="221"/>
      <c r="BL65" s="221"/>
      <c r="BM65" s="221"/>
      <c r="BN65" s="221"/>
      <c r="BO65" s="221"/>
      <c r="BP65" s="221"/>
      <c r="BQ65" s="221"/>
      <c r="BR65" s="221"/>
      <c r="BS65" s="221"/>
      <c r="BT65" s="221"/>
      <c r="BU65" s="221"/>
      <c r="BV65" s="221"/>
      <c r="BW65" s="221"/>
      <c r="BX65" s="221"/>
      <c r="BY65" s="221"/>
      <c r="BZ65" s="222"/>
      <c r="CA65" s="222"/>
      <c r="CB65" s="222"/>
      <c r="CC65" s="222"/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/>
      <c r="CP65" s="222"/>
      <c r="CQ65" s="223"/>
    </row>
    <row r="66" spans="1:95" s="128" customFormat="1" ht="12.75" customHeight="1" outlineLevel="1" x14ac:dyDescent="0.2">
      <c r="A66" s="281">
        <f t="shared" si="7"/>
        <v>9</v>
      </c>
      <c r="B66" s="387"/>
      <c r="C66" s="387"/>
      <c r="D66" s="387"/>
      <c r="E66" s="387"/>
      <c r="F66" s="387"/>
      <c r="G66" s="387"/>
      <c r="H66" s="387"/>
      <c r="I66" s="282">
        <f t="shared" si="7"/>
        <v>0</v>
      </c>
      <c r="J66" s="244"/>
      <c r="K66" s="247">
        <f t="shared" si="8"/>
        <v>0</v>
      </c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1"/>
      <c r="AZ66" s="221"/>
      <c r="BA66" s="221"/>
      <c r="BB66" s="221"/>
      <c r="BC66" s="221"/>
      <c r="BD66" s="221"/>
      <c r="BE66" s="221"/>
      <c r="BF66" s="221"/>
      <c r="BG66" s="221"/>
      <c r="BH66" s="221"/>
      <c r="BI66" s="221"/>
      <c r="BJ66" s="221"/>
      <c r="BK66" s="221"/>
      <c r="BL66" s="221"/>
      <c r="BM66" s="221"/>
      <c r="BN66" s="221"/>
      <c r="BO66" s="221"/>
      <c r="BP66" s="221"/>
      <c r="BQ66" s="221"/>
      <c r="BR66" s="221"/>
      <c r="BS66" s="221"/>
      <c r="BT66" s="221"/>
      <c r="BU66" s="221"/>
      <c r="BV66" s="221"/>
      <c r="BW66" s="221"/>
      <c r="BX66" s="221"/>
      <c r="BY66" s="221"/>
      <c r="BZ66" s="222"/>
      <c r="CA66" s="222"/>
      <c r="CB66" s="222"/>
      <c r="CC66" s="222"/>
      <c r="CD66" s="222"/>
      <c r="CE66" s="222"/>
      <c r="CF66" s="222"/>
      <c r="CG66" s="222"/>
      <c r="CH66" s="222"/>
      <c r="CI66" s="222"/>
      <c r="CJ66" s="222"/>
      <c r="CK66" s="222"/>
      <c r="CL66" s="222"/>
      <c r="CM66" s="222"/>
      <c r="CN66" s="222"/>
      <c r="CO66" s="222"/>
      <c r="CP66" s="222"/>
      <c r="CQ66" s="223"/>
    </row>
    <row r="67" spans="1:95" s="128" customFormat="1" ht="12.75" customHeight="1" outlineLevel="1" x14ac:dyDescent="0.2">
      <c r="A67" s="281">
        <f t="shared" si="7"/>
        <v>10</v>
      </c>
      <c r="B67" s="387"/>
      <c r="C67" s="387"/>
      <c r="D67" s="387"/>
      <c r="E67" s="387"/>
      <c r="F67" s="387"/>
      <c r="G67" s="387"/>
      <c r="H67" s="387"/>
      <c r="I67" s="282">
        <f t="shared" si="7"/>
        <v>0</v>
      </c>
      <c r="J67" s="244"/>
      <c r="K67" s="247">
        <f t="shared" si="8"/>
        <v>0</v>
      </c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  <c r="AM67" s="220"/>
      <c r="AN67" s="220"/>
      <c r="AO67" s="220"/>
      <c r="AP67" s="220"/>
      <c r="AQ67" s="220"/>
      <c r="AR67" s="220"/>
      <c r="AS67" s="220"/>
      <c r="AT67" s="220"/>
      <c r="AU67" s="220"/>
      <c r="AV67" s="220"/>
      <c r="AW67" s="220"/>
      <c r="AX67" s="220"/>
      <c r="AY67" s="221"/>
      <c r="AZ67" s="221"/>
      <c r="BA67" s="221"/>
      <c r="BB67" s="221"/>
      <c r="BC67" s="221"/>
      <c r="BD67" s="221"/>
      <c r="BE67" s="221"/>
      <c r="BF67" s="221"/>
      <c r="BG67" s="221"/>
      <c r="BH67" s="221"/>
      <c r="BI67" s="221"/>
      <c r="BJ67" s="221"/>
      <c r="BK67" s="221"/>
      <c r="BL67" s="221"/>
      <c r="BM67" s="221"/>
      <c r="BN67" s="221"/>
      <c r="BO67" s="221"/>
      <c r="BP67" s="221"/>
      <c r="BQ67" s="221"/>
      <c r="BR67" s="221"/>
      <c r="BS67" s="221"/>
      <c r="BT67" s="221"/>
      <c r="BU67" s="221"/>
      <c r="BV67" s="221"/>
      <c r="BW67" s="221"/>
      <c r="BX67" s="221"/>
      <c r="BY67" s="221"/>
      <c r="BZ67" s="222"/>
      <c r="CA67" s="222"/>
      <c r="CB67" s="222"/>
      <c r="CC67" s="222"/>
      <c r="CD67" s="222"/>
      <c r="CE67" s="222"/>
      <c r="CF67" s="222"/>
      <c r="CG67" s="222"/>
      <c r="CH67" s="222"/>
      <c r="CI67" s="222"/>
      <c r="CJ67" s="222"/>
      <c r="CK67" s="222"/>
      <c r="CL67" s="222"/>
      <c r="CM67" s="222"/>
      <c r="CN67" s="222"/>
      <c r="CO67" s="222"/>
      <c r="CP67" s="222"/>
      <c r="CQ67" s="223"/>
    </row>
    <row r="68" spans="1:95" s="128" customFormat="1" ht="12.75" customHeight="1" outlineLevel="1" x14ac:dyDescent="0.2">
      <c r="A68" s="281">
        <f t="shared" si="7"/>
        <v>11</v>
      </c>
      <c r="B68" s="387"/>
      <c r="C68" s="387"/>
      <c r="D68" s="387"/>
      <c r="E68" s="387"/>
      <c r="F68" s="387"/>
      <c r="G68" s="387"/>
      <c r="H68" s="387"/>
      <c r="I68" s="282">
        <f t="shared" si="7"/>
        <v>0</v>
      </c>
      <c r="J68" s="244">
        <v>0</v>
      </c>
      <c r="K68" s="247">
        <f t="shared" si="8"/>
        <v>0</v>
      </c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  <c r="AM68" s="220"/>
      <c r="AN68" s="220"/>
      <c r="AO68" s="220"/>
      <c r="AP68" s="220"/>
      <c r="AQ68" s="220"/>
      <c r="AR68" s="220"/>
      <c r="AS68" s="220"/>
      <c r="AT68" s="220"/>
      <c r="AU68" s="220"/>
      <c r="AV68" s="220"/>
      <c r="AW68" s="220"/>
      <c r="AX68" s="220"/>
      <c r="AY68" s="221"/>
      <c r="AZ68" s="221"/>
      <c r="BA68" s="221"/>
      <c r="BB68" s="221"/>
      <c r="BC68" s="221"/>
      <c r="BD68" s="221"/>
      <c r="BE68" s="221"/>
      <c r="BF68" s="221"/>
      <c r="BG68" s="221"/>
      <c r="BH68" s="221"/>
      <c r="BI68" s="221"/>
      <c r="BJ68" s="221"/>
      <c r="BK68" s="221"/>
      <c r="BL68" s="221"/>
      <c r="BM68" s="221"/>
      <c r="BN68" s="221"/>
      <c r="BO68" s="221"/>
      <c r="BP68" s="221"/>
      <c r="BQ68" s="221"/>
      <c r="BR68" s="221"/>
      <c r="BS68" s="221"/>
      <c r="BT68" s="221"/>
      <c r="BU68" s="221"/>
      <c r="BV68" s="221"/>
      <c r="BW68" s="221"/>
      <c r="BX68" s="221"/>
      <c r="BY68" s="221"/>
      <c r="BZ68" s="222"/>
      <c r="CA68" s="222"/>
      <c r="CB68" s="222"/>
      <c r="CC68" s="222"/>
      <c r="CD68" s="222"/>
      <c r="CE68" s="222"/>
      <c r="CF68" s="222"/>
      <c r="CG68" s="222"/>
      <c r="CH68" s="222"/>
      <c r="CI68" s="222"/>
      <c r="CJ68" s="222"/>
      <c r="CK68" s="222"/>
      <c r="CL68" s="222"/>
      <c r="CM68" s="222"/>
      <c r="CN68" s="222"/>
      <c r="CO68" s="222"/>
      <c r="CP68" s="222"/>
      <c r="CQ68" s="223"/>
    </row>
    <row r="69" spans="1:95" s="128" customFormat="1" ht="12.75" customHeight="1" outlineLevel="1" x14ac:dyDescent="0.2">
      <c r="A69" s="281">
        <f t="shared" si="7"/>
        <v>12</v>
      </c>
      <c r="B69" s="387"/>
      <c r="C69" s="387"/>
      <c r="D69" s="387"/>
      <c r="E69" s="387"/>
      <c r="F69" s="387"/>
      <c r="G69" s="387"/>
      <c r="H69" s="387"/>
      <c r="I69" s="282">
        <f t="shared" si="7"/>
        <v>0</v>
      </c>
      <c r="J69" s="244"/>
      <c r="K69" s="247">
        <f t="shared" si="8"/>
        <v>0</v>
      </c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  <c r="AM69" s="220"/>
      <c r="AN69" s="220"/>
      <c r="AO69" s="220"/>
      <c r="AP69" s="220"/>
      <c r="AQ69" s="220"/>
      <c r="AR69" s="220"/>
      <c r="AS69" s="220"/>
      <c r="AT69" s="220"/>
      <c r="AU69" s="220"/>
      <c r="AV69" s="220"/>
      <c r="AW69" s="220"/>
      <c r="AX69" s="220"/>
      <c r="AY69" s="221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221"/>
      <c r="BV69" s="221"/>
      <c r="BW69" s="221"/>
      <c r="BX69" s="221"/>
      <c r="BY69" s="221"/>
      <c r="BZ69" s="222"/>
      <c r="CA69" s="222"/>
      <c r="CB69" s="222"/>
      <c r="CC69" s="222"/>
      <c r="CD69" s="222"/>
      <c r="CE69" s="222"/>
      <c r="CF69" s="222"/>
      <c r="CG69" s="222"/>
      <c r="CH69" s="222"/>
      <c r="CI69" s="222"/>
      <c r="CJ69" s="222"/>
      <c r="CK69" s="222"/>
      <c r="CL69" s="222"/>
      <c r="CM69" s="222"/>
      <c r="CN69" s="222"/>
      <c r="CO69" s="222"/>
      <c r="CP69" s="222"/>
      <c r="CQ69" s="223"/>
    </row>
    <row r="70" spans="1:95" s="128" customFormat="1" ht="12.75" customHeight="1" outlineLevel="1" x14ac:dyDescent="0.2">
      <c r="A70" s="281">
        <f t="shared" si="7"/>
        <v>13</v>
      </c>
      <c r="B70" s="387"/>
      <c r="C70" s="387"/>
      <c r="D70" s="387"/>
      <c r="E70" s="387"/>
      <c r="F70" s="387"/>
      <c r="G70" s="387"/>
      <c r="H70" s="387"/>
      <c r="I70" s="282">
        <f t="shared" si="7"/>
        <v>0</v>
      </c>
      <c r="J70" s="244"/>
      <c r="K70" s="247">
        <f t="shared" si="8"/>
        <v>0</v>
      </c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  <c r="AM70" s="220"/>
      <c r="AN70" s="220"/>
      <c r="AO70" s="220"/>
      <c r="AP70" s="220"/>
      <c r="AQ70" s="220"/>
      <c r="AR70" s="220"/>
      <c r="AS70" s="220"/>
      <c r="AT70" s="220"/>
      <c r="AU70" s="220"/>
      <c r="AV70" s="220"/>
      <c r="AW70" s="220"/>
      <c r="AX70" s="220"/>
      <c r="AY70" s="221"/>
      <c r="AZ70" s="221"/>
      <c r="BA70" s="221"/>
      <c r="BB70" s="221"/>
      <c r="BC70" s="221"/>
      <c r="BD70" s="221"/>
      <c r="BE70" s="221"/>
      <c r="BF70" s="221"/>
      <c r="BG70" s="221"/>
      <c r="BH70" s="221"/>
      <c r="BI70" s="221"/>
      <c r="BJ70" s="221"/>
      <c r="BK70" s="221"/>
      <c r="BL70" s="221"/>
      <c r="BM70" s="221"/>
      <c r="BN70" s="221"/>
      <c r="BO70" s="221"/>
      <c r="BP70" s="221"/>
      <c r="BQ70" s="221"/>
      <c r="BR70" s="221"/>
      <c r="BS70" s="221"/>
      <c r="BT70" s="221"/>
      <c r="BU70" s="221"/>
      <c r="BV70" s="221"/>
      <c r="BW70" s="221"/>
      <c r="BX70" s="221"/>
      <c r="BY70" s="221"/>
      <c r="BZ70" s="222"/>
      <c r="CA70" s="222"/>
      <c r="CB70" s="222"/>
      <c r="CC70" s="222"/>
      <c r="CD70" s="222"/>
      <c r="CE70" s="222"/>
      <c r="CF70" s="222"/>
      <c r="CG70" s="222"/>
      <c r="CH70" s="222"/>
      <c r="CI70" s="222"/>
      <c r="CJ70" s="222"/>
      <c r="CK70" s="222"/>
      <c r="CL70" s="222"/>
      <c r="CM70" s="222"/>
      <c r="CN70" s="222"/>
      <c r="CO70" s="222"/>
      <c r="CP70" s="222"/>
      <c r="CQ70" s="223"/>
    </row>
    <row r="71" spans="1:95" s="128" customFormat="1" ht="12.75" customHeight="1" outlineLevel="1" x14ac:dyDescent="0.2">
      <c r="A71" s="281">
        <f t="shared" si="7"/>
        <v>14</v>
      </c>
      <c r="B71" s="387"/>
      <c r="C71" s="387"/>
      <c r="D71" s="387"/>
      <c r="E71" s="387"/>
      <c r="F71" s="387"/>
      <c r="G71" s="387"/>
      <c r="H71" s="387"/>
      <c r="I71" s="282">
        <f t="shared" si="7"/>
        <v>0</v>
      </c>
      <c r="J71" s="244"/>
      <c r="K71" s="247">
        <f t="shared" si="8"/>
        <v>0</v>
      </c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  <c r="AM71" s="220"/>
      <c r="AN71" s="220"/>
      <c r="AO71" s="220"/>
      <c r="AP71" s="220"/>
      <c r="AQ71" s="220"/>
      <c r="AR71" s="220"/>
      <c r="AS71" s="220"/>
      <c r="AT71" s="220"/>
      <c r="AU71" s="220"/>
      <c r="AV71" s="220"/>
      <c r="AW71" s="220"/>
      <c r="AX71" s="220"/>
      <c r="AY71" s="221"/>
      <c r="AZ71" s="221"/>
      <c r="BA71" s="221"/>
      <c r="BB71" s="221"/>
      <c r="BC71" s="221"/>
      <c r="BD71" s="221"/>
      <c r="BE71" s="221"/>
      <c r="BF71" s="221"/>
      <c r="BG71" s="221"/>
      <c r="BH71" s="221"/>
      <c r="BI71" s="221"/>
      <c r="BJ71" s="221"/>
      <c r="BK71" s="221"/>
      <c r="BL71" s="221"/>
      <c r="BM71" s="221"/>
      <c r="BN71" s="221"/>
      <c r="BO71" s="221"/>
      <c r="BP71" s="221"/>
      <c r="BQ71" s="221"/>
      <c r="BR71" s="221"/>
      <c r="BS71" s="221"/>
      <c r="BT71" s="221"/>
      <c r="BU71" s="221"/>
      <c r="BV71" s="221"/>
      <c r="BW71" s="221"/>
      <c r="BX71" s="221"/>
      <c r="BY71" s="221"/>
      <c r="BZ71" s="222"/>
      <c r="CA71" s="222"/>
      <c r="CB71" s="222"/>
      <c r="CC71" s="222"/>
      <c r="CD71" s="222"/>
      <c r="CE71" s="222"/>
      <c r="CF71" s="222"/>
      <c r="CG71" s="222"/>
      <c r="CH71" s="222"/>
      <c r="CI71" s="222"/>
      <c r="CJ71" s="222"/>
      <c r="CK71" s="222"/>
      <c r="CL71" s="222"/>
      <c r="CM71" s="222"/>
      <c r="CN71" s="222"/>
      <c r="CO71" s="222"/>
      <c r="CP71" s="222"/>
      <c r="CQ71" s="223"/>
    </row>
    <row r="72" spans="1:95" s="128" customFormat="1" ht="12.75" customHeight="1" outlineLevel="1" x14ac:dyDescent="0.2">
      <c r="A72" s="281">
        <f t="shared" si="7"/>
        <v>15</v>
      </c>
      <c r="B72" s="387"/>
      <c r="C72" s="387"/>
      <c r="D72" s="387"/>
      <c r="E72" s="387"/>
      <c r="F72" s="387"/>
      <c r="G72" s="387"/>
      <c r="H72" s="387"/>
      <c r="I72" s="282">
        <f t="shared" si="7"/>
        <v>0</v>
      </c>
      <c r="J72" s="244"/>
      <c r="K72" s="247">
        <f t="shared" si="8"/>
        <v>0</v>
      </c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  <c r="AM72" s="220"/>
      <c r="AN72" s="220"/>
      <c r="AO72" s="220"/>
      <c r="AP72" s="220"/>
      <c r="AQ72" s="220"/>
      <c r="AR72" s="220"/>
      <c r="AS72" s="220"/>
      <c r="AT72" s="220"/>
      <c r="AU72" s="220"/>
      <c r="AV72" s="220"/>
      <c r="AW72" s="220"/>
      <c r="AX72" s="220"/>
      <c r="AY72" s="221"/>
      <c r="AZ72" s="221"/>
      <c r="BA72" s="221"/>
      <c r="BB72" s="221"/>
      <c r="BC72" s="221"/>
      <c r="BD72" s="221"/>
      <c r="BE72" s="221"/>
      <c r="BF72" s="221"/>
      <c r="BG72" s="221"/>
      <c r="BH72" s="221"/>
      <c r="BI72" s="221"/>
      <c r="BJ72" s="221"/>
      <c r="BK72" s="221"/>
      <c r="BL72" s="221"/>
      <c r="BM72" s="221"/>
      <c r="BN72" s="221"/>
      <c r="BO72" s="221"/>
      <c r="BP72" s="221"/>
      <c r="BQ72" s="221"/>
      <c r="BR72" s="221"/>
      <c r="BS72" s="221"/>
      <c r="BT72" s="221"/>
      <c r="BU72" s="221"/>
      <c r="BV72" s="221"/>
      <c r="BW72" s="221"/>
      <c r="BX72" s="221"/>
      <c r="BY72" s="221"/>
      <c r="BZ72" s="222"/>
      <c r="CA72" s="222"/>
      <c r="CB72" s="222"/>
      <c r="CC72" s="222"/>
      <c r="CD72" s="222"/>
      <c r="CE72" s="222"/>
      <c r="CF72" s="222"/>
      <c r="CG72" s="222"/>
      <c r="CH72" s="222"/>
      <c r="CI72" s="222"/>
      <c r="CJ72" s="222"/>
      <c r="CK72" s="222"/>
      <c r="CL72" s="222"/>
      <c r="CM72" s="222"/>
      <c r="CN72" s="222"/>
      <c r="CO72" s="222"/>
      <c r="CP72" s="222"/>
      <c r="CQ72" s="223"/>
    </row>
    <row r="73" spans="1:95" s="128" customFormat="1" ht="12.75" customHeight="1" outlineLevel="1" x14ac:dyDescent="0.2">
      <c r="A73" s="281">
        <f t="shared" si="7"/>
        <v>16</v>
      </c>
      <c r="B73" s="387"/>
      <c r="C73" s="387"/>
      <c r="D73" s="387"/>
      <c r="E73" s="387"/>
      <c r="F73" s="387"/>
      <c r="G73" s="387"/>
      <c r="H73" s="387"/>
      <c r="I73" s="282">
        <f t="shared" si="7"/>
        <v>0</v>
      </c>
      <c r="J73" s="244"/>
      <c r="K73" s="247">
        <f>SUM(J73*$K$7)</f>
        <v>0</v>
      </c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  <c r="AM73" s="220"/>
      <c r="AN73" s="220"/>
      <c r="AO73" s="220"/>
      <c r="AP73" s="220"/>
      <c r="AQ73" s="220"/>
      <c r="AR73" s="220"/>
      <c r="AS73" s="220"/>
      <c r="AT73" s="220"/>
      <c r="AU73" s="220"/>
      <c r="AV73" s="220"/>
      <c r="AW73" s="220"/>
      <c r="AX73" s="220"/>
      <c r="AY73" s="221"/>
      <c r="AZ73" s="221"/>
      <c r="BA73" s="221"/>
      <c r="BB73" s="221"/>
      <c r="BC73" s="221"/>
      <c r="BD73" s="221"/>
      <c r="BE73" s="221"/>
      <c r="BF73" s="221"/>
      <c r="BG73" s="221"/>
      <c r="BH73" s="221"/>
      <c r="BI73" s="221"/>
      <c r="BJ73" s="221"/>
      <c r="BK73" s="221"/>
      <c r="BL73" s="221"/>
      <c r="BM73" s="221"/>
      <c r="BN73" s="221"/>
      <c r="BO73" s="221"/>
      <c r="BP73" s="221"/>
      <c r="BQ73" s="221"/>
      <c r="BR73" s="221"/>
      <c r="BS73" s="221"/>
      <c r="BT73" s="221"/>
      <c r="BU73" s="221"/>
      <c r="BV73" s="221"/>
      <c r="BW73" s="221"/>
      <c r="BX73" s="221"/>
      <c r="BY73" s="221"/>
      <c r="BZ73" s="222"/>
      <c r="CA73" s="222"/>
      <c r="CB73" s="222"/>
      <c r="CC73" s="222"/>
      <c r="CD73" s="222"/>
      <c r="CE73" s="222"/>
      <c r="CF73" s="222"/>
      <c r="CG73" s="222"/>
      <c r="CH73" s="222"/>
      <c r="CI73" s="222"/>
      <c r="CJ73" s="222"/>
      <c r="CK73" s="222"/>
      <c r="CL73" s="222"/>
      <c r="CM73" s="222"/>
      <c r="CN73" s="222"/>
      <c r="CO73" s="222"/>
      <c r="CP73" s="222"/>
      <c r="CQ73" s="223"/>
    </row>
    <row r="74" spans="1:95" s="128" customFormat="1" ht="12.75" customHeight="1" outlineLevel="1" x14ac:dyDescent="0.2">
      <c r="A74" s="281">
        <f t="shared" si="7"/>
        <v>17</v>
      </c>
      <c r="B74" s="387"/>
      <c r="C74" s="387"/>
      <c r="D74" s="387"/>
      <c r="E74" s="387"/>
      <c r="F74" s="387"/>
      <c r="G74" s="387"/>
      <c r="H74" s="387"/>
      <c r="I74" s="282">
        <f t="shared" si="7"/>
        <v>0</v>
      </c>
      <c r="J74" s="244"/>
      <c r="K74" s="247">
        <f t="shared" si="8"/>
        <v>0</v>
      </c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1"/>
      <c r="AZ74" s="221"/>
      <c r="BA74" s="221"/>
      <c r="BB74" s="221"/>
      <c r="BC74" s="221"/>
      <c r="BD74" s="221"/>
      <c r="BE74" s="221"/>
      <c r="BF74" s="221"/>
      <c r="BG74" s="221"/>
      <c r="BH74" s="221"/>
      <c r="BI74" s="221"/>
      <c r="BJ74" s="221"/>
      <c r="BK74" s="221"/>
      <c r="BL74" s="221"/>
      <c r="BM74" s="221"/>
      <c r="BN74" s="221"/>
      <c r="BO74" s="221"/>
      <c r="BP74" s="221"/>
      <c r="BQ74" s="221"/>
      <c r="BR74" s="221"/>
      <c r="BS74" s="221"/>
      <c r="BT74" s="221"/>
      <c r="BU74" s="221"/>
      <c r="BV74" s="221"/>
      <c r="BW74" s="221"/>
      <c r="BX74" s="221"/>
      <c r="BY74" s="221"/>
      <c r="BZ74" s="222"/>
      <c r="CA74" s="222"/>
      <c r="CB74" s="222"/>
      <c r="CC74" s="222"/>
      <c r="CD74" s="222"/>
      <c r="CE74" s="222"/>
      <c r="CF74" s="222"/>
      <c r="CG74" s="222"/>
      <c r="CH74" s="222"/>
      <c r="CI74" s="222"/>
      <c r="CJ74" s="222"/>
      <c r="CK74" s="222"/>
      <c r="CL74" s="222"/>
      <c r="CM74" s="222"/>
      <c r="CN74" s="222"/>
      <c r="CO74" s="222"/>
      <c r="CP74" s="222"/>
      <c r="CQ74" s="223"/>
    </row>
    <row r="75" spans="1:95" s="128" customFormat="1" ht="12.75" customHeight="1" outlineLevel="1" x14ac:dyDescent="0.2">
      <c r="A75" s="281">
        <f t="shared" si="7"/>
        <v>18</v>
      </c>
      <c r="B75" s="387"/>
      <c r="C75" s="387"/>
      <c r="D75" s="387"/>
      <c r="E75" s="387"/>
      <c r="F75" s="387"/>
      <c r="G75" s="387"/>
      <c r="H75" s="387"/>
      <c r="I75" s="282">
        <f t="shared" si="7"/>
        <v>0</v>
      </c>
      <c r="J75" s="244"/>
      <c r="K75" s="247">
        <f t="shared" si="8"/>
        <v>0</v>
      </c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  <c r="AM75" s="220"/>
      <c r="AN75" s="220"/>
      <c r="AO75" s="220"/>
      <c r="AP75" s="220"/>
      <c r="AQ75" s="220"/>
      <c r="AR75" s="220"/>
      <c r="AS75" s="220"/>
      <c r="AT75" s="220"/>
      <c r="AU75" s="220"/>
      <c r="AV75" s="220"/>
      <c r="AW75" s="220"/>
      <c r="AX75" s="220"/>
      <c r="AY75" s="221"/>
      <c r="AZ75" s="221"/>
      <c r="BA75" s="221"/>
      <c r="BB75" s="221"/>
      <c r="BC75" s="221"/>
      <c r="BD75" s="221"/>
      <c r="BE75" s="221"/>
      <c r="BF75" s="221"/>
      <c r="BG75" s="221"/>
      <c r="BH75" s="221"/>
      <c r="BI75" s="221"/>
      <c r="BJ75" s="221"/>
      <c r="BK75" s="221"/>
      <c r="BL75" s="221"/>
      <c r="BM75" s="221"/>
      <c r="BN75" s="221"/>
      <c r="BO75" s="221"/>
      <c r="BP75" s="221"/>
      <c r="BQ75" s="221"/>
      <c r="BR75" s="221"/>
      <c r="BS75" s="221"/>
      <c r="BT75" s="221"/>
      <c r="BU75" s="221"/>
      <c r="BV75" s="221"/>
      <c r="BW75" s="221"/>
      <c r="BX75" s="221"/>
      <c r="BY75" s="221"/>
      <c r="BZ75" s="222"/>
      <c r="CA75" s="222"/>
      <c r="CB75" s="222"/>
      <c r="CC75" s="222"/>
      <c r="CD75" s="222"/>
      <c r="CE75" s="222"/>
      <c r="CF75" s="222"/>
      <c r="CG75" s="222"/>
      <c r="CH75" s="222"/>
      <c r="CI75" s="222"/>
      <c r="CJ75" s="222"/>
      <c r="CK75" s="222"/>
      <c r="CL75" s="222"/>
      <c r="CM75" s="222"/>
      <c r="CN75" s="222"/>
      <c r="CO75" s="222"/>
      <c r="CP75" s="222"/>
      <c r="CQ75" s="223"/>
    </row>
    <row r="76" spans="1:95" s="128" customFormat="1" ht="12.75" customHeight="1" outlineLevel="1" x14ac:dyDescent="0.2">
      <c r="A76" s="281">
        <f t="shared" si="7"/>
        <v>19</v>
      </c>
      <c r="B76" s="387"/>
      <c r="C76" s="387"/>
      <c r="D76" s="387"/>
      <c r="E76" s="387"/>
      <c r="F76" s="387"/>
      <c r="G76" s="387"/>
      <c r="H76" s="387"/>
      <c r="I76" s="282">
        <f t="shared" si="7"/>
        <v>0</v>
      </c>
      <c r="J76" s="244"/>
      <c r="K76" s="247">
        <f t="shared" si="8"/>
        <v>0</v>
      </c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  <c r="AM76" s="220"/>
      <c r="AN76" s="220"/>
      <c r="AO76" s="220"/>
      <c r="AP76" s="220"/>
      <c r="AQ76" s="220"/>
      <c r="AR76" s="220"/>
      <c r="AS76" s="220"/>
      <c r="AT76" s="220"/>
      <c r="AU76" s="220"/>
      <c r="AV76" s="220"/>
      <c r="AW76" s="220"/>
      <c r="AX76" s="220"/>
      <c r="AY76" s="221"/>
      <c r="AZ76" s="221"/>
      <c r="BA76" s="221"/>
      <c r="BB76" s="221"/>
      <c r="BC76" s="221"/>
      <c r="BD76" s="221"/>
      <c r="BE76" s="221"/>
      <c r="BF76" s="221"/>
      <c r="BG76" s="221"/>
      <c r="BH76" s="221"/>
      <c r="BI76" s="221"/>
      <c r="BJ76" s="221"/>
      <c r="BK76" s="221"/>
      <c r="BL76" s="221"/>
      <c r="BM76" s="221"/>
      <c r="BN76" s="221"/>
      <c r="BO76" s="221"/>
      <c r="BP76" s="221"/>
      <c r="BQ76" s="221"/>
      <c r="BR76" s="221"/>
      <c r="BS76" s="221"/>
      <c r="BT76" s="221"/>
      <c r="BU76" s="221"/>
      <c r="BV76" s="221"/>
      <c r="BW76" s="221"/>
      <c r="BX76" s="221"/>
      <c r="BY76" s="221"/>
      <c r="BZ76" s="222"/>
      <c r="CA76" s="222"/>
      <c r="CB76" s="222"/>
      <c r="CC76" s="222"/>
      <c r="CD76" s="222"/>
      <c r="CE76" s="222"/>
      <c r="CF76" s="222"/>
      <c r="CG76" s="222"/>
      <c r="CH76" s="222"/>
      <c r="CI76" s="222"/>
      <c r="CJ76" s="222"/>
      <c r="CK76" s="222"/>
      <c r="CL76" s="222"/>
      <c r="CM76" s="222"/>
      <c r="CN76" s="222"/>
      <c r="CO76" s="222"/>
      <c r="CP76" s="222"/>
      <c r="CQ76" s="223"/>
    </row>
    <row r="77" spans="1:95" s="128" customFormat="1" ht="12.75" customHeight="1" outlineLevel="1" x14ac:dyDescent="0.2">
      <c r="A77" s="281">
        <f t="shared" si="7"/>
        <v>20</v>
      </c>
      <c r="B77" s="387"/>
      <c r="C77" s="387"/>
      <c r="D77" s="387"/>
      <c r="E77" s="387"/>
      <c r="F77" s="387"/>
      <c r="G77" s="387"/>
      <c r="H77" s="387"/>
      <c r="I77" s="282">
        <f t="shared" si="7"/>
        <v>0</v>
      </c>
      <c r="J77" s="244"/>
      <c r="K77" s="247">
        <f t="shared" si="8"/>
        <v>0</v>
      </c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  <c r="AM77" s="220"/>
      <c r="AN77" s="220"/>
      <c r="AO77" s="220"/>
      <c r="AP77" s="220"/>
      <c r="AQ77" s="220"/>
      <c r="AR77" s="220"/>
      <c r="AS77" s="220"/>
      <c r="AT77" s="220"/>
      <c r="AU77" s="220"/>
      <c r="AV77" s="220"/>
      <c r="AW77" s="220"/>
      <c r="AX77" s="220"/>
      <c r="AY77" s="221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221"/>
      <c r="BV77" s="221"/>
      <c r="BW77" s="221"/>
      <c r="BX77" s="221"/>
      <c r="BY77" s="221"/>
      <c r="BZ77" s="222"/>
      <c r="CA77" s="222"/>
      <c r="CB77" s="222"/>
      <c r="CC77" s="222"/>
      <c r="CD77" s="222"/>
      <c r="CE77" s="222"/>
      <c r="CF77" s="222"/>
      <c r="CG77" s="222"/>
      <c r="CH77" s="222"/>
      <c r="CI77" s="222"/>
      <c r="CJ77" s="222"/>
      <c r="CK77" s="222"/>
      <c r="CL77" s="222"/>
      <c r="CM77" s="222"/>
      <c r="CN77" s="222"/>
      <c r="CO77" s="222"/>
      <c r="CP77" s="222"/>
      <c r="CQ77" s="223"/>
    </row>
    <row r="78" spans="1:95" s="128" customFormat="1" ht="12.75" customHeight="1" outlineLevel="1" x14ac:dyDescent="0.2">
      <c r="A78" s="281">
        <f t="shared" ref="A78:I97" si="9">A32</f>
        <v>21</v>
      </c>
      <c r="B78" s="387"/>
      <c r="C78" s="387"/>
      <c r="D78" s="387"/>
      <c r="E78" s="387"/>
      <c r="F78" s="387"/>
      <c r="G78" s="387"/>
      <c r="H78" s="387"/>
      <c r="I78" s="282">
        <f t="shared" si="9"/>
        <v>0</v>
      </c>
      <c r="J78" s="244"/>
      <c r="K78" s="247">
        <f t="shared" si="8"/>
        <v>0</v>
      </c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Q78" s="220"/>
      <c r="AR78" s="220"/>
      <c r="AS78" s="220"/>
      <c r="AT78" s="220"/>
      <c r="AU78" s="220"/>
      <c r="AV78" s="220"/>
      <c r="AW78" s="220"/>
      <c r="AX78" s="220"/>
      <c r="AY78" s="221"/>
      <c r="AZ78" s="221"/>
      <c r="BA78" s="221"/>
      <c r="BB78" s="221"/>
      <c r="BC78" s="221"/>
      <c r="BD78" s="221"/>
      <c r="BE78" s="221"/>
      <c r="BF78" s="221"/>
      <c r="BG78" s="221"/>
      <c r="BH78" s="221"/>
      <c r="BI78" s="221"/>
      <c r="BJ78" s="221"/>
      <c r="BK78" s="221"/>
      <c r="BL78" s="221"/>
      <c r="BM78" s="221"/>
      <c r="BN78" s="221"/>
      <c r="BO78" s="221"/>
      <c r="BP78" s="221"/>
      <c r="BQ78" s="221"/>
      <c r="BR78" s="221"/>
      <c r="BS78" s="221"/>
      <c r="BT78" s="221"/>
      <c r="BU78" s="221"/>
      <c r="BV78" s="221"/>
      <c r="BW78" s="221"/>
      <c r="BX78" s="221"/>
      <c r="BY78" s="221"/>
      <c r="BZ78" s="222"/>
      <c r="CA78" s="222"/>
      <c r="CB78" s="222"/>
      <c r="CC78" s="222"/>
      <c r="CD78" s="222"/>
      <c r="CE78" s="222"/>
      <c r="CF78" s="222"/>
      <c r="CG78" s="222"/>
      <c r="CH78" s="222"/>
      <c r="CI78" s="222"/>
      <c r="CJ78" s="222"/>
      <c r="CK78" s="222"/>
      <c r="CL78" s="222"/>
      <c r="CM78" s="222"/>
      <c r="CN78" s="222"/>
      <c r="CO78" s="222"/>
      <c r="CP78" s="222"/>
      <c r="CQ78" s="223"/>
    </row>
    <row r="79" spans="1:95" s="128" customFormat="1" ht="12.75" customHeight="1" outlineLevel="1" x14ac:dyDescent="0.2">
      <c r="A79" s="281">
        <f t="shared" si="9"/>
        <v>22</v>
      </c>
      <c r="B79" s="387"/>
      <c r="C79" s="387"/>
      <c r="D79" s="387"/>
      <c r="E79" s="387"/>
      <c r="F79" s="387"/>
      <c r="G79" s="387"/>
      <c r="H79" s="387"/>
      <c r="I79" s="282">
        <f t="shared" si="9"/>
        <v>0</v>
      </c>
      <c r="J79" s="244"/>
      <c r="K79" s="247">
        <f t="shared" si="8"/>
        <v>0</v>
      </c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Q79" s="220"/>
      <c r="AR79" s="220"/>
      <c r="AS79" s="220"/>
      <c r="AT79" s="220"/>
      <c r="AU79" s="220"/>
      <c r="AV79" s="220"/>
      <c r="AW79" s="220"/>
      <c r="AX79" s="220"/>
      <c r="AY79" s="221"/>
      <c r="AZ79" s="221"/>
      <c r="BA79" s="221"/>
      <c r="BB79" s="221"/>
      <c r="BC79" s="221"/>
      <c r="BD79" s="221"/>
      <c r="BE79" s="221"/>
      <c r="BF79" s="221"/>
      <c r="BG79" s="221"/>
      <c r="BH79" s="221"/>
      <c r="BI79" s="221"/>
      <c r="BJ79" s="221"/>
      <c r="BK79" s="221"/>
      <c r="BL79" s="221"/>
      <c r="BM79" s="221"/>
      <c r="BN79" s="221"/>
      <c r="BO79" s="221"/>
      <c r="BP79" s="221"/>
      <c r="BQ79" s="221"/>
      <c r="BR79" s="221"/>
      <c r="BS79" s="221"/>
      <c r="BT79" s="221"/>
      <c r="BU79" s="221"/>
      <c r="BV79" s="221"/>
      <c r="BW79" s="221"/>
      <c r="BX79" s="221"/>
      <c r="BY79" s="221"/>
      <c r="BZ79" s="222"/>
      <c r="CA79" s="222"/>
      <c r="CB79" s="222"/>
      <c r="CC79" s="222"/>
      <c r="CD79" s="222"/>
      <c r="CE79" s="222"/>
      <c r="CF79" s="222"/>
      <c r="CG79" s="222"/>
      <c r="CH79" s="222"/>
      <c r="CI79" s="222"/>
      <c r="CJ79" s="222"/>
      <c r="CK79" s="222"/>
      <c r="CL79" s="222"/>
      <c r="CM79" s="222"/>
      <c r="CN79" s="222"/>
      <c r="CO79" s="222"/>
      <c r="CP79" s="222"/>
      <c r="CQ79" s="223"/>
    </row>
    <row r="80" spans="1:95" s="128" customFormat="1" ht="12.75" customHeight="1" outlineLevel="1" x14ac:dyDescent="0.2">
      <c r="A80" s="281">
        <f t="shared" si="9"/>
        <v>23</v>
      </c>
      <c r="B80" s="387"/>
      <c r="C80" s="387"/>
      <c r="D80" s="387"/>
      <c r="E80" s="387"/>
      <c r="F80" s="387"/>
      <c r="G80" s="387"/>
      <c r="H80" s="387"/>
      <c r="I80" s="282">
        <f t="shared" si="9"/>
        <v>0</v>
      </c>
      <c r="J80" s="244"/>
      <c r="K80" s="247">
        <f t="shared" si="8"/>
        <v>0</v>
      </c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  <c r="AM80" s="220"/>
      <c r="AN80" s="220"/>
      <c r="AO80" s="220"/>
      <c r="AP80" s="220"/>
      <c r="AQ80" s="220"/>
      <c r="AR80" s="220"/>
      <c r="AS80" s="220"/>
      <c r="AT80" s="220"/>
      <c r="AU80" s="220"/>
      <c r="AV80" s="220"/>
      <c r="AW80" s="220"/>
      <c r="AX80" s="220"/>
      <c r="AY80" s="221"/>
      <c r="AZ80" s="221"/>
      <c r="BA80" s="221"/>
      <c r="BB80" s="221"/>
      <c r="BC80" s="221"/>
      <c r="BD80" s="221"/>
      <c r="BE80" s="221"/>
      <c r="BF80" s="221"/>
      <c r="BG80" s="221"/>
      <c r="BH80" s="221"/>
      <c r="BI80" s="221"/>
      <c r="BJ80" s="221"/>
      <c r="BK80" s="221"/>
      <c r="BL80" s="221"/>
      <c r="BM80" s="221"/>
      <c r="BN80" s="221"/>
      <c r="BO80" s="221"/>
      <c r="BP80" s="221"/>
      <c r="BQ80" s="221"/>
      <c r="BR80" s="221"/>
      <c r="BS80" s="221"/>
      <c r="BT80" s="221"/>
      <c r="BU80" s="221"/>
      <c r="BV80" s="221"/>
      <c r="BW80" s="221"/>
      <c r="BX80" s="221"/>
      <c r="BY80" s="221"/>
      <c r="BZ80" s="222"/>
      <c r="CA80" s="222"/>
      <c r="CB80" s="222"/>
      <c r="CC80" s="222"/>
      <c r="CD80" s="222"/>
      <c r="CE80" s="222"/>
      <c r="CF80" s="222"/>
      <c r="CG80" s="222"/>
      <c r="CH80" s="222"/>
      <c r="CI80" s="222"/>
      <c r="CJ80" s="222"/>
      <c r="CK80" s="222"/>
      <c r="CL80" s="222"/>
      <c r="CM80" s="222"/>
      <c r="CN80" s="222"/>
      <c r="CO80" s="222"/>
      <c r="CP80" s="222"/>
      <c r="CQ80" s="223"/>
    </row>
    <row r="81" spans="1:95" s="128" customFormat="1" ht="12.75" customHeight="1" outlineLevel="1" x14ac:dyDescent="0.2">
      <c r="A81" s="281">
        <f t="shared" si="9"/>
        <v>24</v>
      </c>
      <c r="B81" s="387"/>
      <c r="C81" s="387"/>
      <c r="D81" s="387"/>
      <c r="E81" s="387"/>
      <c r="F81" s="387"/>
      <c r="G81" s="387"/>
      <c r="H81" s="387"/>
      <c r="I81" s="282">
        <f t="shared" si="9"/>
        <v>0</v>
      </c>
      <c r="J81" s="244"/>
      <c r="K81" s="247">
        <f t="shared" si="8"/>
        <v>0</v>
      </c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  <c r="AM81" s="220"/>
      <c r="AN81" s="220"/>
      <c r="AO81" s="220"/>
      <c r="AP81" s="220"/>
      <c r="AQ81" s="220"/>
      <c r="AR81" s="220"/>
      <c r="AS81" s="220"/>
      <c r="AT81" s="220"/>
      <c r="AU81" s="220"/>
      <c r="AV81" s="220"/>
      <c r="AW81" s="220"/>
      <c r="AX81" s="220"/>
      <c r="AY81" s="221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221"/>
      <c r="BV81" s="221"/>
      <c r="BW81" s="221"/>
      <c r="BX81" s="221"/>
      <c r="BY81" s="221"/>
      <c r="BZ81" s="222"/>
      <c r="CA81" s="222"/>
      <c r="CB81" s="222"/>
      <c r="CC81" s="222"/>
      <c r="CD81" s="222"/>
      <c r="CE81" s="222"/>
      <c r="CF81" s="222"/>
      <c r="CG81" s="222"/>
      <c r="CH81" s="222"/>
      <c r="CI81" s="222"/>
      <c r="CJ81" s="222"/>
      <c r="CK81" s="222"/>
      <c r="CL81" s="222"/>
      <c r="CM81" s="222"/>
      <c r="CN81" s="222"/>
      <c r="CO81" s="222"/>
      <c r="CP81" s="222"/>
      <c r="CQ81" s="223"/>
    </row>
    <row r="82" spans="1:95" s="128" customFormat="1" ht="12.75" customHeight="1" outlineLevel="1" x14ac:dyDescent="0.2">
      <c r="A82" s="281">
        <f t="shared" si="9"/>
        <v>25</v>
      </c>
      <c r="B82" s="387"/>
      <c r="C82" s="387"/>
      <c r="D82" s="387"/>
      <c r="E82" s="387"/>
      <c r="F82" s="387"/>
      <c r="G82" s="387"/>
      <c r="H82" s="387"/>
      <c r="I82" s="282">
        <f t="shared" si="9"/>
        <v>0</v>
      </c>
      <c r="J82" s="244"/>
      <c r="K82" s="247">
        <f t="shared" si="8"/>
        <v>0</v>
      </c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  <c r="AM82" s="220"/>
      <c r="AN82" s="220"/>
      <c r="AO82" s="220"/>
      <c r="AP82" s="220"/>
      <c r="AQ82" s="220"/>
      <c r="AR82" s="220"/>
      <c r="AS82" s="220"/>
      <c r="AT82" s="220"/>
      <c r="AU82" s="220"/>
      <c r="AV82" s="220"/>
      <c r="AW82" s="220"/>
      <c r="AX82" s="220"/>
      <c r="AY82" s="221"/>
      <c r="AZ82" s="221"/>
      <c r="BA82" s="221"/>
      <c r="BB82" s="221"/>
      <c r="BC82" s="221"/>
      <c r="BD82" s="221"/>
      <c r="BE82" s="221"/>
      <c r="BF82" s="221"/>
      <c r="BG82" s="221"/>
      <c r="BH82" s="221"/>
      <c r="BI82" s="221"/>
      <c r="BJ82" s="221"/>
      <c r="BK82" s="221"/>
      <c r="BL82" s="221"/>
      <c r="BM82" s="221"/>
      <c r="BN82" s="221"/>
      <c r="BO82" s="221"/>
      <c r="BP82" s="221"/>
      <c r="BQ82" s="221"/>
      <c r="BR82" s="221"/>
      <c r="BS82" s="221"/>
      <c r="BT82" s="221"/>
      <c r="BU82" s="221"/>
      <c r="BV82" s="221"/>
      <c r="BW82" s="221"/>
      <c r="BX82" s="221"/>
      <c r="BY82" s="221"/>
      <c r="BZ82" s="222"/>
      <c r="CA82" s="222"/>
      <c r="CB82" s="222"/>
      <c r="CC82" s="222"/>
      <c r="CD82" s="222"/>
      <c r="CE82" s="222"/>
      <c r="CF82" s="222"/>
      <c r="CG82" s="222"/>
      <c r="CH82" s="222"/>
      <c r="CI82" s="222"/>
      <c r="CJ82" s="222"/>
      <c r="CK82" s="222"/>
      <c r="CL82" s="222"/>
      <c r="CM82" s="222"/>
      <c r="CN82" s="222"/>
      <c r="CO82" s="222"/>
      <c r="CP82" s="222"/>
      <c r="CQ82" s="223"/>
    </row>
    <row r="83" spans="1:95" s="128" customFormat="1" ht="12.75" customHeight="1" outlineLevel="1" x14ac:dyDescent="0.2">
      <c r="A83" s="281">
        <f t="shared" si="9"/>
        <v>26</v>
      </c>
      <c r="B83" s="387"/>
      <c r="C83" s="387"/>
      <c r="D83" s="387"/>
      <c r="E83" s="387"/>
      <c r="F83" s="387"/>
      <c r="G83" s="387"/>
      <c r="H83" s="387"/>
      <c r="I83" s="282">
        <f t="shared" si="9"/>
        <v>0</v>
      </c>
      <c r="J83" s="244"/>
      <c r="K83" s="247">
        <f t="shared" si="8"/>
        <v>0</v>
      </c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  <c r="AM83" s="220"/>
      <c r="AN83" s="220"/>
      <c r="AO83" s="220"/>
      <c r="AP83" s="220"/>
      <c r="AQ83" s="220"/>
      <c r="AR83" s="220"/>
      <c r="AS83" s="220"/>
      <c r="AT83" s="220"/>
      <c r="AU83" s="220"/>
      <c r="AV83" s="220"/>
      <c r="AW83" s="220"/>
      <c r="AX83" s="220"/>
      <c r="AY83" s="221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221"/>
      <c r="BV83" s="221"/>
      <c r="BW83" s="221"/>
      <c r="BX83" s="221"/>
      <c r="BY83" s="221"/>
      <c r="BZ83" s="222"/>
      <c r="CA83" s="222"/>
      <c r="CB83" s="222"/>
      <c r="CC83" s="222"/>
      <c r="CD83" s="222"/>
      <c r="CE83" s="222"/>
      <c r="CF83" s="222"/>
      <c r="CG83" s="222"/>
      <c r="CH83" s="222"/>
      <c r="CI83" s="222"/>
      <c r="CJ83" s="222"/>
      <c r="CK83" s="222"/>
      <c r="CL83" s="222"/>
      <c r="CM83" s="222"/>
      <c r="CN83" s="222"/>
      <c r="CO83" s="222"/>
      <c r="CP83" s="222"/>
      <c r="CQ83" s="223"/>
    </row>
    <row r="84" spans="1:95" s="128" customFormat="1" ht="12.75" customHeight="1" outlineLevel="1" x14ac:dyDescent="0.2">
      <c r="A84" s="281">
        <f t="shared" si="9"/>
        <v>27</v>
      </c>
      <c r="B84" s="387"/>
      <c r="C84" s="387"/>
      <c r="D84" s="387"/>
      <c r="E84" s="387"/>
      <c r="F84" s="387"/>
      <c r="G84" s="387"/>
      <c r="H84" s="387"/>
      <c r="I84" s="282">
        <f t="shared" si="9"/>
        <v>0</v>
      </c>
      <c r="J84" s="244"/>
      <c r="K84" s="247">
        <f t="shared" si="8"/>
        <v>0</v>
      </c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  <c r="AM84" s="220"/>
      <c r="AN84" s="220"/>
      <c r="AO84" s="220"/>
      <c r="AP84" s="220"/>
      <c r="AQ84" s="220"/>
      <c r="AR84" s="220"/>
      <c r="AS84" s="220"/>
      <c r="AT84" s="220"/>
      <c r="AU84" s="220"/>
      <c r="AV84" s="220"/>
      <c r="AW84" s="220"/>
      <c r="AX84" s="220"/>
      <c r="AY84" s="221"/>
      <c r="AZ84" s="221"/>
      <c r="BA84" s="221"/>
      <c r="BB84" s="221"/>
      <c r="BC84" s="221"/>
      <c r="BD84" s="221"/>
      <c r="BE84" s="221"/>
      <c r="BF84" s="221"/>
      <c r="BG84" s="221"/>
      <c r="BH84" s="221"/>
      <c r="BI84" s="221"/>
      <c r="BJ84" s="221"/>
      <c r="BK84" s="221"/>
      <c r="BL84" s="221"/>
      <c r="BM84" s="221"/>
      <c r="BN84" s="221"/>
      <c r="BO84" s="221"/>
      <c r="BP84" s="221"/>
      <c r="BQ84" s="221"/>
      <c r="BR84" s="221"/>
      <c r="BS84" s="221"/>
      <c r="BT84" s="221"/>
      <c r="BU84" s="221"/>
      <c r="BV84" s="221"/>
      <c r="BW84" s="221"/>
      <c r="BX84" s="221"/>
      <c r="BY84" s="221"/>
      <c r="BZ84" s="222"/>
      <c r="CA84" s="222"/>
      <c r="CB84" s="222"/>
      <c r="CC84" s="222"/>
      <c r="CD84" s="222"/>
      <c r="CE84" s="222"/>
      <c r="CF84" s="222"/>
      <c r="CG84" s="222"/>
      <c r="CH84" s="222"/>
      <c r="CI84" s="222"/>
      <c r="CJ84" s="222"/>
      <c r="CK84" s="222"/>
      <c r="CL84" s="222"/>
      <c r="CM84" s="222"/>
      <c r="CN84" s="222"/>
      <c r="CO84" s="222"/>
      <c r="CP84" s="222"/>
      <c r="CQ84" s="223"/>
    </row>
    <row r="85" spans="1:95" s="128" customFormat="1" ht="12.75" customHeight="1" outlineLevel="1" x14ac:dyDescent="0.2">
      <c r="A85" s="281">
        <f t="shared" si="9"/>
        <v>28</v>
      </c>
      <c r="B85" s="387"/>
      <c r="C85" s="387"/>
      <c r="D85" s="387"/>
      <c r="E85" s="387"/>
      <c r="F85" s="387"/>
      <c r="G85" s="387"/>
      <c r="H85" s="387"/>
      <c r="I85" s="282">
        <f t="shared" si="9"/>
        <v>0</v>
      </c>
      <c r="J85" s="244"/>
      <c r="K85" s="247">
        <f t="shared" si="8"/>
        <v>0</v>
      </c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0"/>
      <c r="AU85" s="220"/>
      <c r="AV85" s="220"/>
      <c r="AW85" s="220"/>
      <c r="AX85" s="220"/>
      <c r="AY85" s="221"/>
      <c r="AZ85" s="221"/>
      <c r="BA85" s="221"/>
      <c r="BB85" s="221"/>
      <c r="BC85" s="221"/>
      <c r="BD85" s="221"/>
      <c r="BE85" s="221"/>
      <c r="BF85" s="221"/>
      <c r="BG85" s="221"/>
      <c r="BH85" s="221"/>
      <c r="BI85" s="221"/>
      <c r="BJ85" s="221"/>
      <c r="BK85" s="221"/>
      <c r="BL85" s="221"/>
      <c r="BM85" s="221"/>
      <c r="BN85" s="221"/>
      <c r="BO85" s="221"/>
      <c r="BP85" s="221"/>
      <c r="BQ85" s="221"/>
      <c r="BR85" s="221"/>
      <c r="BS85" s="221"/>
      <c r="BT85" s="221"/>
      <c r="BU85" s="221"/>
      <c r="BV85" s="221"/>
      <c r="BW85" s="221"/>
      <c r="BX85" s="221"/>
      <c r="BY85" s="221"/>
      <c r="BZ85" s="222"/>
      <c r="CA85" s="222"/>
      <c r="CB85" s="222"/>
      <c r="CC85" s="222"/>
      <c r="CD85" s="222"/>
      <c r="CE85" s="222"/>
      <c r="CF85" s="222"/>
      <c r="CG85" s="222"/>
      <c r="CH85" s="222"/>
      <c r="CI85" s="222"/>
      <c r="CJ85" s="222"/>
      <c r="CK85" s="222"/>
      <c r="CL85" s="222"/>
      <c r="CM85" s="222"/>
      <c r="CN85" s="222"/>
      <c r="CO85" s="222"/>
      <c r="CP85" s="222"/>
      <c r="CQ85" s="223"/>
    </row>
    <row r="86" spans="1:95" s="128" customFormat="1" ht="12.75" customHeight="1" outlineLevel="1" x14ac:dyDescent="0.2">
      <c r="A86" s="281">
        <f t="shared" si="9"/>
        <v>29</v>
      </c>
      <c r="B86" s="387"/>
      <c r="C86" s="387"/>
      <c r="D86" s="387"/>
      <c r="E86" s="387"/>
      <c r="F86" s="387"/>
      <c r="G86" s="387"/>
      <c r="H86" s="387"/>
      <c r="I86" s="282">
        <f t="shared" si="9"/>
        <v>0</v>
      </c>
      <c r="J86" s="244"/>
      <c r="K86" s="247">
        <f t="shared" si="8"/>
        <v>0</v>
      </c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0"/>
      <c r="AU86" s="220"/>
      <c r="AV86" s="220"/>
      <c r="AW86" s="220"/>
      <c r="AX86" s="220"/>
      <c r="AY86" s="221"/>
      <c r="AZ86" s="221"/>
      <c r="BA86" s="221"/>
      <c r="BB86" s="221"/>
      <c r="BC86" s="221"/>
      <c r="BD86" s="221"/>
      <c r="BE86" s="221"/>
      <c r="BF86" s="221"/>
      <c r="BG86" s="221"/>
      <c r="BH86" s="221"/>
      <c r="BI86" s="221"/>
      <c r="BJ86" s="221"/>
      <c r="BK86" s="221"/>
      <c r="BL86" s="221"/>
      <c r="BM86" s="221"/>
      <c r="BN86" s="221"/>
      <c r="BO86" s="221"/>
      <c r="BP86" s="221"/>
      <c r="BQ86" s="221"/>
      <c r="BR86" s="221"/>
      <c r="BS86" s="221"/>
      <c r="BT86" s="221"/>
      <c r="BU86" s="221"/>
      <c r="BV86" s="221"/>
      <c r="BW86" s="221"/>
      <c r="BX86" s="221"/>
      <c r="BY86" s="221"/>
      <c r="BZ86" s="222"/>
      <c r="CA86" s="222"/>
      <c r="CB86" s="222"/>
      <c r="CC86" s="222"/>
      <c r="CD86" s="222"/>
      <c r="CE86" s="222"/>
      <c r="CF86" s="222"/>
      <c r="CG86" s="222"/>
      <c r="CH86" s="222"/>
      <c r="CI86" s="222"/>
      <c r="CJ86" s="222"/>
      <c r="CK86" s="222"/>
      <c r="CL86" s="222"/>
      <c r="CM86" s="222"/>
      <c r="CN86" s="222"/>
      <c r="CO86" s="222"/>
      <c r="CP86" s="222"/>
      <c r="CQ86" s="223"/>
    </row>
    <row r="87" spans="1:95" s="128" customFormat="1" ht="12.75" customHeight="1" outlineLevel="1" x14ac:dyDescent="0.2">
      <c r="A87" s="281">
        <f t="shared" si="9"/>
        <v>30</v>
      </c>
      <c r="B87" s="387"/>
      <c r="C87" s="387"/>
      <c r="D87" s="387"/>
      <c r="E87" s="387"/>
      <c r="F87" s="387"/>
      <c r="G87" s="387"/>
      <c r="H87" s="387"/>
      <c r="I87" s="282">
        <f t="shared" si="9"/>
        <v>0</v>
      </c>
      <c r="J87" s="244"/>
      <c r="K87" s="247">
        <f t="shared" si="8"/>
        <v>0</v>
      </c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0"/>
      <c r="AU87" s="220"/>
      <c r="AV87" s="220"/>
      <c r="AW87" s="220"/>
      <c r="AX87" s="220"/>
      <c r="AY87" s="221"/>
      <c r="AZ87" s="221"/>
      <c r="BA87" s="221"/>
      <c r="BB87" s="221"/>
      <c r="BC87" s="221"/>
      <c r="BD87" s="221"/>
      <c r="BE87" s="221"/>
      <c r="BF87" s="221"/>
      <c r="BG87" s="221"/>
      <c r="BH87" s="221"/>
      <c r="BI87" s="221"/>
      <c r="BJ87" s="221"/>
      <c r="BK87" s="221"/>
      <c r="BL87" s="221"/>
      <c r="BM87" s="221"/>
      <c r="BN87" s="221"/>
      <c r="BO87" s="221"/>
      <c r="BP87" s="221"/>
      <c r="BQ87" s="221"/>
      <c r="BR87" s="221"/>
      <c r="BS87" s="221"/>
      <c r="BT87" s="221"/>
      <c r="BU87" s="221"/>
      <c r="BV87" s="221"/>
      <c r="BW87" s="221"/>
      <c r="BX87" s="221"/>
      <c r="BY87" s="221"/>
      <c r="BZ87" s="222"/>
      <c r="CA87" s="222"/>
      <c r="CB87" s="222"/>
      <c r="CC87" s="222"/>
      <c r="CD87" s="222"/>
      <c r="CE87" s="222"/>
      <c r="CF87" s="222"/>
      <c r="CG87" s="222"/>
      <c r="CH87" s="222"/>
      <c r="CI87" s="222"/>
      <c r="CJ87" s="222"/>
      <c r="CK87" s="222"/>
      <c r="CL87" s="222"/>
      <c r="CM87" s="222"/>
      <c r="CN87" s="222"/>
      <c r="CO87" s="222"/>
      <c r="CP87" s="222"/>
      <c r="CQ87" s="223"/>
    </row>
    <row r="88" spans="1:95" s="128" customFormat="1" ht="12.75" customHeight="1" outlineLevel="1" x14ac:dyDescent="0.2">
      <c r="A88" s="281">
        <f t="shared" si="9"/>
        <v>31</v>
      </c>
      <c r="B88" s="387"/>
      <c r="C88" s="387"/>
      <c r="D88" s="387"/>
      <c r="E88" s="387"/>
      <c r="F88" s="387"/>
      <c r="G88" s="387"/>
      <c r="H88" s="387"/>
      <c r="I88" s="282">
        <f t="shared" si="9"/>
        <v>0</v>
      </c>
      <c r="J88" s="244"/>
      <c r="K88" s="247">
        <f t="shared" si="8"/>
        <v>0</v>
      </c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1"/>
      <c r="AZ88" s="221"/>
      <c r="BA88" s="221"/>
      <c r="BB88" s="221"/>
      <c r="BC88" s="221"/>
      <c r="BD88" s="221"/>
      <c r="BE88" s="221"/>
      <c r="BF88" s="221"/>
      <c r="BG88" s="221"/>
      <c r="BH88" s="221"/>
      <c r="BI88" s="221"/>
      <c r="BJ88" s="221"/>
      <c r="BK88" s="221"/>
      <c r="BL88" s="221"/>
      <c r="BM88" s="221"/>
      <c r="BN88" s="221"/>
      <c r="BO88" s="221"/>
      <c r="BP88" s="221"/>
      <c r="BQ88" s="221"/>
      <c r="BR88" s="221"/>
      <c r="BS88" s="221"/>
      <c r="BT88" s="221"/>
      <c r="BU88" s="221"/>
      <c r="BV88" s="221"/>
      <c r="BW88" s="221"/>
      <c r="BX88" s="221"/>
      <c r="BY88" s="221"/>
      <c r="BZ88" s="222"/>
      <c r="CA88" s="222"/>
      <c r="CB88" s="222"/>
      <c r="CC88" s="222"/>
      <c r="CD88" s="222"/>
      <c r="CE88" s="222"/>
      <c r="CF88" s="222"/>
      <c r="CG88" s="222"/>
      <c r="CH88" s="222"/>
      <c r="CI88" s="222"/>
      <c r="CJ88" s="222"/>
      <c r="CK88" s="222"/>
      <c r="CL88" s="222"/>
      <c r="CM88" s="222"/>
      <c r="CN88" s="222"/>
      <c r="CO88" s="222"/>
      <c r="CP88" s="222"/>
      <c r="CQ88" s="223"/>
    </row>
    <row r="89" spans="1:95" s="128" customFormat="1" ht="12.75" customHeight="1" outlineLevel="1" x14ac:dyDescent="0.2">
      <c r="A89" s="281">
        <f t="shared" si="9"/>
        <v>32</v>
      </c>
      <c r="B89" s="387"/>
      <c r="C89" s="387"/>
      <c r="D89" s="387"/>
      <c r="E89" s="387"/>
      <c r="F89" s="387"/>
      <c r="G89" s="387"/>
      <c r="H89" s="387"/>
      <c r="I89" s="282">
        <f t="shared" si="9"/>
        <v>0</v>
      </c>
      <c r="J89" s="244"/>
      <c r="K89" s="247">
        <f t="shared" si="8"/>
        <v>0</v>
      </c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0"/>
      <c r="AU89" s="220"/>
      <c r="AV89" s="220"/>
      <c r="AW89" s="220"/>
      <c r="AX89" s="220"/>
      <c r="AY89" s="221"/>
      <c r="AZ89" s="221"/>
      <c r="BA89" s="221"/>
      <c r="BB89" s="221"/>
      <c r="BC89" s="221"/>
      <c r="BD89" s="221"/>
      <c r="BE89" s="221"/>
      <c r="BF89" s="221"/>
      <c r="BG89" s="221"/>
      <c r="BH89" s="221"/>
      <c r="BI89" s="221"/>
      <c r="BJ89" s="221"/>
      <c r="BK89" s="221"/>
      <c r="BL89" s="221"/>
      <c r="BM89" s="221"/>
      <c r="BN89" s="221"/>
      <c r="BO89" s="221"/>
      <c r="BP89" s="221"/>
      <c r="BQ89" s="221"/>
      <c r="BR89" s="221"/>
      <c r="BS89" s="221"/>
      <c r="BT89" s="221"/>
      <c r="BU89" s="221"/>
      <c r="BV89" s="221"/>
      <c r="BW89" s="221"/>
      <c r="BX89" s="221"/>
      <c r="BY89" s="221"/>
      <c r="BZ89" s="222"/>
      <c r="CA89" s="222"/>
      <c r="CB89" s="222"/>
      <c r="CC89" s="222"/>
      <c r="CD89" s="222"/>
      <c r="CE89" s="222"/>
      <c r="CF89" s="222"/>
      <c r="CG89" s="222"/>
      <c r="CH89" s="222"/>
      <c r="CI89" s="222"/>
      <c r="CJ89" s="222"/>
      <c r="CK89" s="222"/>
      <c r="CL89" s="222"/>
      <c r="CM89" s="222"/>
      <c r="CN89" s="222"/>
      <c r="CO89" s="222"/>
      <c r="CP89" s="222"/>
      <c r="CQ89" s="223"/>
    </row>
    <row r="90" spans="1:95" s="128" customFormat="1" ht="12.75" customHeight="1" outlineLevel="1" x14ac:dyDescent="0.2">
      <c r="A90" s="281">
        <f t="shared" si="9"/>
        <v>33</v>
      </c>
      <c r="B90" s="387"/>
      <c r="C90" s="387"/>
      <c r="D90" s="387"/>
      <c r="E90" s="387"/>
      <c r="F90" s="387"/>
      <c r="G90" s="387"/>
      <c r="H90" s="387"/>
      <c r="I90" s="282">
        <f t="shared" si="9"/>
        <v>0</v>
      </c>
      <c r="J90" s="244"/>
      <c r="K90" s="247">
        <f t="shared" si="8"/>
        <v>0</v>
      </c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0"/>
      <c r="AU90" s="220"/>
      <c r="AV90" s="220"/>
      <c r="AW90" s="220"/>
      <c r="AX90" s="220"/>
      <c r="AY90" s="221"/>
      <c r="AZ90" s="221"/>
      <c r="BA90" s="221"/>
      <c r="BB90" s="221"/>
      <c r="BC90" s="221"/>
      <c r="BD90" s="221"/>
      <c r="BE90" s="221"/>
      <c r="BF90" s="221"/>
      <c r="BG90" s="221"/>
      <c r="BH90" s="221"/>
      <c r="BI90" s="221"/>
      <c r="BJ90" s="221"/>
      <c r="BK90" s="221"/>
      <c r="BL90" s="221"/>
      <c r="BM90" s="221"/>
      <c r="BN90" s="221"/>
      <c r="BO90" s="221"/>
      <c r="BP90" s="221"/>
      <c r="BQ90" s="221"/>
      <c r="BR90" s="221"/>
      <c r="BS90" s="221"/>
      <c r="BT90" s="221"/>
      <c r="BU90" s="221"/>
      <c r="BV90" s="221"/>
      <c r="BW90" s="221"/>
      <c r="BX90" s="221"/>
      <c r="BY90" s="221"/>
      <c r="BZ90" s="222"/>
      <c r="CA90" s="222"/>
      <c r="CB90" s="222"/>
      <c r="CC90" s="222"/>
      <c r="CD90" s="222"/>
      <c r="CE90" s="222"/>
      <c r="CF90" s="222"/>
      <c r="CG90" s="222"/>
      <c r="CH90" s="222"/>
      <c r="CI90" s="222"/>
      <c r="CJ90" s="222"/>
      <c r="CK90" s="222"/>
      <c r="CL90" s="222"/>
      <c r="CM90" s="222"/>
      <c r="CN90" s="222"/>
      <c r="CO90" s="222"/>
      <c r="CP90" s="222"/>
      <c r="CQ90" s="223"/>
    </row>
    <row r="91" spans="1:95" s="128" customFormat="1" ht="12.75" customHeight="1" outlineLevel="1" x14ac:dyDescent="0.2">
      <c r="A91" s="281">
        <f t="shared" si="9"/>
        <v>34</v>
      </c>
      <c r="B91" s="387"/>
      <c r="C91" s="387"/>
      <c r="D91" s="387"/>
      <c r="E91" s="387"/>
      <c r="F91" s="387"/>
      <c r="G91" s="387"/>
      <c r="H91" s="387"/>
      <c r="I91" s="282">
        <f t="shared" si="9"/>
        <v>0</v>
      </c>
      <c r="J91" s="244"/>
      <c r="K91" s="247">
        <f t="shared" si="8"/>
        <v>0</v>
      </c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0"/>
      <c r="AU91" s="220"/>
      <c r="AV91" s="220"/>
      <c r="AW91" s="220"/>
      <c r="AX91" s="220"/>
      <c r="AY91" s="221"/>
      <c r="AZ91" s="221"/>
      <c r="BA91" s="221"/>
      <c r="BB91" s="221"/>
      <c r="BC91" s="221"/>
      <c r="BD91" s="221"/>
      <c r="BE91" s="221"/>
      <c r="BF91" s="221"/>
      <c r="BG91" s="221"/>
      <c r="BH91" s="221"/>
      <c r="BI91" s="221"/>
      <c r="BJ91" s="221"/>
      <c r="BK91" s="221"/>
      <c r="BL91" s="221"/>
      <c r="BM91" s="221"/>
      <c r="BN91" s="221"/>
      <c r="BO91" s="221"/>
      <c r="BP91" s="221"/>
      <c r="BQ91" s="221"/>
      <c r="BR91" s="221"/>
      <c r="BS91" s="221"/>
      <c r="BT91" s="221"/>
      <c r="BU91" s="221"/>
      <c r="BV91" s="221"/>
      <c r="BW91" s="221"/>
      <c r="BX91" s="221"/>
      <c r="BY91" s="221"/>
      <c r="BZ91" s="222"/>
      <c r="CA91" s="222"/>
      <c r="CB91" s="222"/>
      <c r="CC91" s="222"/>
      <c r="CD91" s="222"/>
      <c r="CE91" s="222"/>
      <c r="CF91" s="222"/>
      <c r="CG91" s="222"/>
      <c r="CH91" s="222"/>
      <c r="CI91" s="222"/>
      <c r="CJ91" s="222"/>
      <c r="CK91" s="222"/>
      <c r="CL91" s="222"/>
      <c r="CM91" s="222"/>
      <c r="CN91" s="222"/>
      <c r="CO91" s="222"/>
      <c r="CP91" s="222"/>
      <c r="CQ91" s="223"/>
    </row>
    <row r="92" spans="1:95" s="128" customFormat="1" ht="12.75" customHeight="1" outlineLevel="1" x14ac:dyDescent="0.2">
      <c r="A92" s="281">
        <f t="shared" si="9"/>
        <v>35</v>
      </c>
      <c r="B92" s="387"/>
      <c r="C92" s="387"/>
      <c r="D92" s="387"/>
      <c r="E92" s="387"/>
      <c r="F92" s="387"/>
      <c r="G92" s="387"/>
      <c r="H92" s="387"/>
      <c r="I92" s="282">
        <f t="shared" si="9"/>
        <v>0</v>
      </c>
      <c r="J92" s="244"/>
      <c r="K92" s="247">
        <f t="shared" si="8"/>
        <v>0</v>
      </c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0"/>
      <c r="AU92" s="220"/>
      <c r="AV92" s="220"/>
      <c r="AW92" s="220"/>
      <c r="AX92" s="220"/>
      <c r="AY92" s="221"/>
      <c r="AZ92" s="221"/>
      <c r="BA92" s="221"/>
      <c r="BB92" s="221"/>
      <c r="BC92" s="221"/>
      <c r="BD92" s="221"/>
      <c r="BE92" s="221"/>
      <c r="BF92" s="221"/>
      <c r="BG92" s="221"/>
      <c r="BH92" s="221"/>
      <c r="BI92" s="221"/>
      <c r="BJ92" s="221"/>
      <c r="BK92" s="221"/>
      <c r="BL92" s="221"/>
      <c r="BM92" s="221"/>
      <c r="BN92" s="221"/>
      <c r="BO92" s="221"/>
      <c r="BP92" s="221"/>
      <c r="BQ92" s="221"/>
      <c r="BR92" s="221"/>
      <c r="BS92" s="221"/>
      <c r="BT92" s="221"/>
      <c r="BU92" s="221"/>
      <c r="BV92" s="221"/>
      <c r="BW92" s="221"/>
      <c r="BX92" s="221"/>
      <c r="BY92" s="221"/>
      <c r="BZ92" s="222"/>
      <c r="CA92" s="222"/>
      <c r="CB92" s="222"/>
      <c r="CC92" s="222"/>
      <c r="CD92" s="222"/>
      <c r="CE92" s="222"/>
      <c r="CF92" s="222"/>
      <c r="CG92" s="222"/>
      <c r="CH92" s="222"/>
      <c r="CI92" s="222"/>
      <c r="CJ92" s="222"/>
      <c r="CK92" s="222"/>
      <c r="CL92" s="222"/>
      <c r="CM92" s="222"/>
      <c r="CN92" s="222"/>
      <c r="CO92" s="222"/>
      <c r="CP92" s="222"/>
      <c r="CQ92" s="223"/>
    </row>
    <row r="93" spans="1:95" s="128" customFormat="1" ht="12.75" customHeight="1" outlineLevel="1" x14ac:dyDescent="0.2">
      <c r="A93" s="281">
        <f t="shared" si="9"/>
        <v>36</v>
      </c>
      <c r="B93" s="387"/>
      <c r="C93" s="387"/>
      <c r="D93" s="387"/>
      <c r="E93" s="387"/>
      <c r="F93" s="387"/>
      <c r="G93" s="387"/>
      <c r="H93" s="387"/>
      <c r="I93" s="282">
        <f t="shared" si="9"/>
        <v>0</v>
      </c>
      <c r="J93" s="244"/>
      <c r="K93" s="247">
        <f t="shared" si="8"/>
        <v>0</v>
      </c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0"/>
      <c r="AU93" s="220"/>
      <c r="AV93" s="220"/>
      <c r="AW93" s="220"/>
      <c r="AX93" s="220"/>
      <c r="AY93" s="221"/>
      <c r="AZ93" s="221"/>
      <c r="BA93" s="221"/>
      <c r="BB93" s="221"/>
      <c r="BC93" s="221"/>
      <c r="BD93" s="221"/>
      <c r="BE93" s="221"/>
      <c r="BF93" s="221"/>
      <c r="BG93" s="221"/>
      <c r="BH93" s="221"/>
      <c r="BI93" s="221"/>
      <c r="BJ93" s="221"/>
      <c r="BK93" s="221"/>
      <c r="BL93" s="221"/>
      <c r="BM93" s="221"/>
      <c r="BN93" s="221"/>
      <c r="BO93" s="221"/>
      <c r="BP93" s="221"/>
      <c r="BQ93" s="221"/>
      <c r="BR93" s="221"/>
      <c r="BS93" s="221"/>
      <c r="BT93" s="221"/>
      <c r="BU93" s="221"/>
      <c r="BV93" s="221"/>
      <c r="BW93" s="221"/>
      <c r="BX93" s="221"/>
      <c r="BY93" s="221"/>
      <c r="BZ93" s="222"/>
      <c r="CA93" s="222"/>
      <c r="CB93" s="222"/>
      <c r="CC93" s="222"/>
      <c r="CD93" s="222"/>
      <c r="CE93" s="222"/>
      <c r="CF93" s="222"/>
      <c r="CG93" s="222"/>
      <c r="CH93" s="222"/>
      <c r="CI93" s="222"/>
      <c r="CJ93" s="222"/>
      <c r="CK93" s="222"/>
      <c r="CL93" s="222"/>
      <c r="CM93" s="222"/>
      <c r="CN93" s="222"/>
      <c r="CO93" s="222"/>
      <c r="CP93" s="222"/>
      <c r="CQ93" s="223"/>
    </row>
    <row r="94" spans="1:95" s="128" customFormat="1" ht="12.75" customHeight="1" outlineLevel="1" x14ac:dyDescent="0.2">
      <c r="A94" s="281">
        <f t="shared" si="9"/>
        <v>37</v>
      </c>
      <c r="B94" s="387"/>
      <c r="C94" s="387"/>
      <c r="D94" s="387"/>
      <c r="E94" s="387"/>
      <c r="F94" s="387"/>
      <c r="G94" s="387"/>
      <c r="H94" s="387"/>
      <c r="I94" s="282">
        <f t="shared" si="9"/>
        <v>0</v>
      </c>
      <c r="J94" s="244"/>
      <c r="K94" s="247">
        <f t="shared" si="8"/>
        <v>0</v>
      </c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0"/>
      <c r="AU94" s="220"/>
      <c r="AV94" s="220"/>
      <c r="AW94" s="220"/>
      <c r="AX94" s="220"/>
      <c r="AY94" s="221"/>
      <c r="AZ94" s="221"/>
      <c r="BA94" s="221"/>
      <c r="BB94" s="221"/>
      <c r="BC94" s="221"/>
      <c r="BD94" s="221"/>
      <c r="BE94" s="221"/>
      <c r="BF94" s="221"/>
      <c r="BG94" s="221"/>
      <c r="BH94" s="221"/>
      <c r="BI94" s="221"/>
      <c r="BJ94" s="221"/>
      <c r="BK94" s="221"/>
      <c r="BL94" s="221"/>
      <c r="BM94" s="221"/>
      <c r="BN94" s="221"/>
      <c r="BO94" s="221"/>
      <c r="BP94" s="221"/>
      <c r="BQ94" s="221"/>
      <c r="BR94" s="221"/>
      <c r="BS94" s="221"/>
      <c r="BT94" s="221"/>
      <c r="BU94" s="221"/>
      <c r="BV94" s="221"/>
      <c r="BW94" s="221"/>
      <c r="BX94" s="221"/>
      <c r="BY94" s="221"/>
      <c r="BZ94" s="222"/>
      <c r="CA94" s="222"/>
      <c r="CB94" s="222"/>
      <c r="CC94" s="222"/>
      <c r="CD94" s="222"/>
      <c r="CE94" s="222"/>
      <c r="CF94" s="222"/>
      <c r="CG94" s="222"/>
      <c r="CH94" s="222"/>
      <c r="CI94" s="222"/>
      <c r="CJ94" s="222"/>
      <c r="CK94" s="222"/>
      <c r="CL94" s="222"/>
      <c r="CM94" s="222"/>
      <c r="CN94" s="222"/>
      <c r="CO94" s="222"/>
      <c r="CP94" s="222"/>
      <c r="CQ94" s="223"/>
    </row>
    <row r="95" spans="1:95" s="128" customFormat="1" ht="12.75" customHeight="1" outlineLevel="1" x14ac:dyDescent="0.2">
      <c r="A95" s="281">
        <f t="shared" si="9"/>
        <v>38</v>
      </c>
      <c r="B95" s="387"/>
      <c r="C95" s="387"/>
      <c r="D95" s="387"/>
      <c r="E95" s="387"/>
      <c r="F95" s="387"/>
      <c r="G95" s="387"/>
      <c r="H95" s="387"/>
      <c r="I95" s="282">
        <f t="shared" si="9"/>
        <v>0</v>
      </c>
      <c r="J95" s="244"/>
      <c r="K95" s="247">
        <f t="shared" si="8"/>
        <v>0</v>
      </c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0"/>
      <c r="AU95" s="220"/>
      <c r="AV95" s="220"/>
      <c r="AW95" s="220"/>
      <c r="AX95" s="220"/>
      <c r="AY95" s="221"/>
      <c r="AZ95" s="221"/>
      <c r="BA95" s="221"/>
      <c r="BB95" s="221"/>
      <c r="BC95" s="221"/>
      <c r="BD95" s="221"/>
      <c r="BE95" s="221"/>
      <c r="BF95" s="221"/>
      <c r="BG95" s="221"/>
      <c r="BH95" s="221"/>
      <c r="BI95" s="221"/>
      <c r="BJ95" s="221"/>
      <c r="BK95" s="221"/>
      <c r="BL95" s="221"/>
      <c r="BM95" s="221"/>
      <c r="BN95" s="221"/>
      <c r="BO95" s="221"/>
      <c r="BP95" s="221"/>
      <c r="BQ95" s="221"/>
      <c r="BR95" s="221"/>
      <c r="BS95" s="221"/>
      <c r="BT95" s="221"/>
      <c r="BU95" s="221"/>
      <c r="BV95" s="221"/>
      <c r="BW95" s="221"/>
      <c r="BX95" s="221"/>
      <c r="BY95" s="221"/>
      <c r="BZ95" s="222"/>
      <c r="CA95" s="222"/>
      <c r="CB95" s="222"/>
      <c r="CC95" s="222"/>
      <c r="CD95" s="222"/>
      <c r="CE95" s="222"/>
      <c r="CF95" s="222"/>
      <c r="CG95" s="222"/>
      <c r="CH95" s="222"/>
      <c r="CI95" s="222"/>
      <c r="CJ95" s="222"/>
      <c r="CK95" s="222"/>
      <c r="CL95" s="222"/>
      <c r="CM95" s="222"/>
      <c r="CN95" s="222"/>
      <c r="CO95" s="222"/>
      <c r="CP95" s="222"/>
      <c r="CQ95" s="223"/>
    </row>
    <row r="96" spans="1:95" s="128" customFormat="1" ht="12.75" customHeight="1" outlineLevel="1" x14ac:dyDescent="0.2">
      <c r="A96" s="281">
        <f t="shared" si="9"/>
        <v>39</v>
      </c>
      <c r="B96" s="387"/>
      <c r="C96" s="387"/>
      <c r="D96" s="387"/>
      <c r="E96" s="387"/>
      <c r="F96" s="387"/>
      <c r="G96" s="387"/>
      <c r="H96" s="387"/>
      <c r="I96" s="282">
        <f t="shared" si="9"/>
        <v>0</v>
      </c>
      <c r="J96" s="244"/>
      <c r="K96" s="247">
        <f t="shared" si="8"/>
        <v>0</v>
      </c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0"/>
      <c r="AU96" s="220"/>
      <c r="AV96" s="220"/>
      <c r="AW96" s="220"/>
      <c r="AX96" s="220"/>
      <c r="AY96" s="221"/>
      <c r="AZ96" s="221"/>
      <c r="BA96" s="221"/>
      <c r="BB96" s="221"/>
      <c r="BC96" s="221"/>
      <c r="BD96" s="221"/>
      <c r="BE96" s="221"/>
      <c r="BF96" s="221"/>
      <c r="BG96" s="221"/>
      <c r="BH96" s="221"/>
      <c r="BI96" s="221"/>
      <c r="BJ96" s="221"/>
      <c r="BK96" s="221"/>
      <c r="BL96" s="221"/>
      <c r="BM96" s="221"/>
      <c r="BN96" s="221"/>
      <c r="BO96" s="221"/>
      <c r="BP96" s="221"/>
      <c r="BQ96" s="221"/>
      <c r="BR96" s="221"/>
      <c r="BS96" s="221"/>
      <c r="BT96" s="221"/>
      <c r="BU96" s="221"/>
      <c r="BV96" s="221"/>
      <c r="BW96" s="221"/>
      <c r="BX96" s="221"/>
      <c r="BY96" s="221"/>
      <c r="BZ96" s="222"/>
      <c r="CA96" s="222"/>
      <c r="CB96" s="222"/>
      <c r="CC96" s="222"/>
      <c r="CD96" s="222"/>
      <c r="CE96" s="222"/>
      <c r="CF96" s="222"/>
      <c r="CG96" s="222"/>
      <c r="CH96" s="222"/>
      <c r="CI96" s="222"/>
      <c r="CJ96" s="222"/>
      <c r="CK96" s="222"/>
      <c r="CL96" s="222"/>
      <c r="CM96" s="222"/>
      <c r="CN96" s="222"/>
      <c r="CO96" s="222"/>
      <c r="CP96" s="222"/>
      <c r="CQ96" s="223"/>
    </row>
    <row r="97" spans="1:104" s="128" customFormat="1" ht="12.75" customHeight="1" outlineLevel="1" x14ac:dyDescent="0.2">
      <c r="A97" s="281">
        <f t="shared" si="9"/>
        <v>40</v>
      </c>
      <c r="B97" s="387"/>
      <c r="C97" s="387"/>
      <c r="D97" s="387"/>
      <c r="E97" s="387"/>
      <c r="F97" s="387"/>
      <c r="G97" s="387"/>
      <c r="H97" s="387"/>
      <c r="I97" s="282">
        <f t="shared" si="9"/>
        <v>0</v>
      </c>
      <c r="J97" s="244"/>
      <c r="K97" s="247">
        <f t="shared" si="8"/>
        <v>0</v>
      </c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0"/>
      <c r="AU97" s="220"/>
      <c r="AV97" s="220"/>
      <c r="AW97" s="220"/>
      <c r="AX97" s="220"/>
      <c r="AY97" s="221"/>
      <c r="AZ97" s="221"/>
      <c r="BA97" s="221"/>
      <c r="BB97" s="221"/>
      <c r="BC97" s="221"/>
      <c r="BD97" s="221"/>
      <c r="BE97" s="221"/>
      <c r="BF97" s="221"/>
      <c r="BG97" s="221"/>
      <c r="BH97" s="221"/>
      <c r="BI97" s="221"/>
      <c r="BJ97" s="221"/>
      <c r="BK97" s="221"/>
      <c r="BL97" s="221"/>
      <c r="BM97" s="221"/>
      <c r="BN97" s="221"/>
      <c r="BO97" s="221"/>
      <c r="BP97" s="221"/>
      <c r="BQ97" s="221"/>
      <c r="BR97" s="221"/>
      <c r="BS97" s="221"/>
      <c r="BT97" s="221"/>
      <c r="BU97" s="221"/>
      <c r="BV97" s="221"/>
      <c r="BW97" s="221"/>
      <c r="BX97" s="221"/>
      <c r="BY97" s="221"/>
      <c r="BZ97" s="222"/>
      <c r="CA97" s="222"/>
      <c r="CB97" s="222"/>
      <c r="CC97" s="222"/>
      <c r="CD97" s="222"/>
      <c r="CE97" s="222"/>
      <c r="CF97" s="222"/>
      <c r="CG97" s="222"/>
      <c r="CH97" s="222"/>
      <c r="CI97" s="222"/>
      <c r="CJ97" s="222"/>
      <c r="CK97" s="222"/>
      <c r="CL97" s="222"/>
      <c r="CM97" s="222"/>
      <c r="CN97" s="222"/>
      <c r="CO97" s="222"/>
      <c r="CP97" s="222"/>
      <c r="CQ97" s="223"/>
    </row>
    <row r="98" spans="1:104" s="128" customFormat="1" ht="12.75" customHeight="1" outlineLevel="1" x14ac:dyDescent="0.2">
      <c r="A98" s="281">
        <f t="shared" ref="A98:I98" si="10">A52</f>
        <v>0</v>
      </c>
      <c r="B98" s="387"/>
      <c r="C98" s="387"/>
      <c r="D98" s="387"/>
      <c r="E98" s="387"/>
      <c r="F98" s="387"/>
      <c r="G98" s="387"/>
      <c r="H98" s="387"/>
      <c r="I98" s="282">
        <f t="shared" si="10"/>
        <v>0</v>
      </c>
      <c r="J98" s="244"/>
      <c r="K98" s="247">
        <f t="shared" si="8"/>
        <v>0</v>
      </c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0"/>
      <c r="AU98" s="220"/>
      <c r="AV98" s="220"/>
      <c r="AW98" s="220"/>
      <c r="AX98" s="220"/>
      <c r="AY98" s="221"/>
      <c r="AZ98" s="221"/>
      <c r="BA98" s="221"/>
      <c r="BB98" s="221"/>
      <c r="BC98" s="221"/>
      <c r="BD98" s="221"/>
      <c r="BE98" s="221"/>
      <c r="BF98" s="221"/>
      <c r="BG98" s="221"/>
      <c r="BH98" s="221"/>
      <c r="BI98" s="221"/>
      <c r="BJ98" s="221"/>
      <c r="BK98" s="221"/>
      <c r="BL98" s="221"/>
      <c r="BM98" s="221"/>
      <c r="BN98" s="221"/>
      <c r="BO98" s="221"/>
      <c r="BP98" s="221"/>
      <c r="BQ98" s="221"/>
      <c r="BR98" s="221"/>
      <c r="BS98" s="221"/>
      <c r="BT98" s="221"/>
      <c r="BU98" s="221"/>
      <c r="BV98" s="221"/>
      <c r="BW98" s="221"/>
      <c r="BX98" s="221"/>
      <c r="BY98" s="221"/>
      <c r="BZ98" s="222"/>
      <c r="CA98" s="222"/>
      <c r="CB98" s="222"/>
      <c r="CC98" s="222"/>
      <c r="CD98" s="222"/>
      <c r="CE98" s="222"/>
      <c r="CF98" s="222"/>
      <c r="CG98" s="222"/>
      <c r="CH98" s="222"/>
      <c r="CI98" s="222"/>
      <c r="CJ98" s="222"/>
      <c r="CK98" s="222"/>
      <c r="CL98" s="222"/>
      <c r="CM98" s="222"/>
      <c r="CN98" s="222"/>
      <c r="CO98" s="222"/>
      <c r="CP98" s="222"/>
      <c r="CQ98" s="223"/>
    </row>
    <row r="99" spans="1:104" s="128" customFormat="1" ht="12.75" customHeight="1" outlineLevel="1" thickBot="1" x14ac:dyDescent="0.25">
      <c r="A99" s="281"/>
      <c r="B99" s="387"/>
      <c r="C99" s="387"/>
      <c r="D99" s="387"/>
      <c r="E99" s="387"/>
      <c r="F99" s="387"/>
      <c r="G99" s="387"/>
      <c r="H99" s="387"/>
      <c r="I99" s="282" t="s">
        <v>165</v>
      </c>
      <c r="J99" s="356">
        <f>J107</f>
        <v>0</v>
      </c>
      <c r="K99" s="357">
        <f>SUM(J99*$K$8)</f>
        <v>0</v>
      </c>
      <c r="L99" s="358"/>
      <c r="M99" s="359"/>
      <c r="N99" s="359"/>
      <c r="O99" s="359"/>
      <c r="P99" s="359"/>
      <c r="Q99" s="359"/>
      <c r="R99" s="359"/>
      <c r="S99" s="359"/>
      <c r="T99" s="359"/>
      <c r="U99" s="359"/>
      <c r="V99" s="359"/>
      <c r="W99" s="359"/>
      <c r="X99" s="359"/>
      <c r="Y99" s="359"/>
      <c r="Z99" s="359"/>
      <c r="AA99" s="359"/>
      <c r="AB99" s="359"/>
      <c r="AC99" s="359"/>
      <c r="AD99" s="359"/>
      <c r="AE99" s="359"/>
      <c r="AF99" s="359"/>
      <c r="AG99" s="359"/>
      <c r="AH99" s="359"/>
      <c r="AI99" s="359"/>
      <c r="AJ99" s="359"/>
      <c r="AK99" s="359"/>
      <c r="AL99" s="359"/>
      <c r="AM99" s="359"/>
      <c r="AN99" s="359"/>
      <c r="AO99" s="359"/>
      <c r="AP99" s="359"/>
      <c r="AQ99" s="359"/>
      <c r="AR99" s="359"/>
      <c r="AS99" s="359"/>
      <c r="AT99" s="359"/>
      <c r="AU99" s="359"/>
      <c r="AV99" s="359"/>
      <c r="AW99" s="359"/>
      <c r="AX99" s="359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1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2"/>
      <c r="CA99" s="362"/>
      <c r="CB99" s="363"/>
      <c r="CC99" s="363"/>
      <c r="CD99" s="363"/>
      <c r="CE99" s="363"/>
      <c r="CF99" s="363"/>
      <c r="CG99" s="363"/>
      <c r="CH99" s="363"/>
      <c r="CI99" s="363"/>
      <c r="CJ99" s="363"/>
      <c r="CK99" s="363"/>
      <c r="CL99" s="364"/>
      <c r="CM99" s="364"/>
      <c r="CN99" s="364"/>
      <c r="CO99" s="364"/>
      <c r="CP99" s="365"/>
      <c r="CQ99" s="223"/>
    </row>
    <row r="100" spans="1:104" s="128" customFormat="1" ht="12.75" customHeight="1" outlineLevel="1" thickBot="1" x14ac:dyDescent="0.25">
      <c r="A100" s="283"/>
      <c r="B100" s="388"/>
      <c r="C100" s="388"/>
      <c r="D100" s="388"/>
      <c r="E100" s="388"/>
      <c r="F100" s="388"/>
      <c r="G100" s="388"/>
      <c r="H100" s="388"/>
      <c r="I100" s="355"/>
      <c r="J100" s="367">
        <f>SUM(J58:J99)</f>
        <v>0</v>
      </c>
      <c r="K100" s="368">
        <f>SUM(K58:K99)</f>
        <v>0</v>
      </c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  <c r="AA100" s="368"/>
      <c r="AB100" s="368"/>
      <c r="AC100" s="368"/>
      <c r="AD100" s="368"/>
      <c r="AE100" s="368"/>
      <c r="AF100" s="368"/>
      <c r="AG100" s="368"/>
      <c r="AH100" s="368"/>
      <c r="AI100" s="368"/>
      <c r="AJ100" s="368"/>
      <c r="AK100" s="368"/>
      <c r="AL100" s="368"/>
      <c r="AM100" s="368"/>
      <c r="AN100" s="368"/>
      <c r="AO100" s="368"/>
      <c r="AP100" s="368"/>
      <c r="AQ100" s="368"/>
      <c r="AR100" s="368"/>
      <c r="AS100" s="368"/>
      <c r="AT100" s="368"/>
      <c r="AU100" s="368"/>
      <c r="AV100" s="368"/>
      <c r="AW100" s="368"/>
      <c r="AX100" s="368"/>
      <c r="AY100" s="368"/>
      <c r="AZ100" s="368"/>
      <c r="BA100" s="368"/>
      <c r="BB100" s="368"/>
      <c r="BC100" s="368"/>
      <c r="BD100" s="368"/>
      <c r="BE100" s="368"/>
      <c r="BF100" s="368"/>
      <c r="BG100" s="368"/>
      <c r="BH100" s="368"/>
      <c r="BI100" s="368"/>
      <c r="BJ100" s="368"/>
      <c r="BK100" s="368"/>
      <c r="BL100" s="368"/>
      <c r="BM100" s="368"/>
      <c r="BN100" s="368"/>
      <c r="BO100" s="368"/>
      <c r="BP100" s="368"/>
      <c r="BQ100" s="368"/>
      <c r="BR100" s="368"/>
      <c r="BS100" s="368"/>
      <c r="BT100" s="368"/>
      <c r="BU100" s="368"/>
      <c r="BV100" s="368"/>
      <c r="BW100" s="368"/>
      <c r="BX100" s="368"/>
      <c r="BY100" s="368"/>
      <c r="BZ100" s="368"/>
      <c r="CA100" s="368"/>
      <c r="CB100" s="368"/>
      <c r="CC100" s="368"/>
      <c r="CD100" s="368"/>
      <c r="CE100" s="368"/>
      <c r="CF100" s="368"/>
      <c r="CG100" s="368"/>
      <c r="CH100" s="368"/>
      <c r="CI100" s="368"/>
      <c r="CJ100" s="368"/>
      <c r="CK100" s="369"/>
      <c r="CL100" s="369"/>
      <c r="CM100" s="369"/>
      <c r="CN100" s="369"/>
      <c r="CO100" s="370"/>
      <c r="CP100" s="371"/>
      <c r="CQ100" s="372"/>
    </row>
    <row r="101" spans="1:104" s="128" customFormat="1" ht="12.75" customHeight="1" outlineLevel="1" thickBot="1" x14ac:dyDescent="0.25">
      <c r="A101" s="127"/>
      <c r="B101" s="386"/>
      <c r="C101" s="386"/>
      <c r="D101" s="386"/>
      <c r="E101" s="386"/>
      <c r="F101" s="386"/>
      <c r="G101" s="386"/>
      <c r="H101" s="386"/>
      <c r="I101" s="132"/>
      <c r="J101" s="133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  <c r="BK101" s="127"/>
      <c r="BL101" s="127"/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27"/>
      <c r="BZ101" s="127"/>
      <c r="CA101" s="127"/>
      <c r="CB101" s="127"/>
      <c r="CC101" s="127"/>
      <c r="CD101" s="127"/>
      <c r="CE101" s="127"/>
      <c r="CF101" s="127"/>
      <c r="CG101" s="127"/>
      <c r="CH101" s="127"/>
      <c r="CI101" s="127"/>
      <c r="CJ101" s="127"/>
      <c r="CK101" s="127"/>
      <c r="CL101" s="127"/>
      <c r="CM101" s="127"/>
      <c r="CN101" s="127"/>
      <c r="CO101" s="137"/>
      <c r="CP101" s="127"/>
      <c r="CQ101" s="366"/>
    </row>
    <row r="102" spans="1:104" s="128" customFormat="1" ht="27" customHeight="1" outlineLevel="1" thickBot="1" x14ac:dyDescent="0.25">
      <c r="A102" s="127"/>
      <c r="B102" s="386"/>
      <c r="C102" s="386"/>
      <c r="D102" s="386"/>
      <c r="E102" s="386"/>
      <c r="F102" s="386"/>
      <c r="G102" s="386"/>
      <c r="H102" s="386"/>
      <c r="J102" s="457" t="s">
        <v>143</v>
      </c>
      <c r="K102" s="458"/>
      <c r="L102" s="138">
        <f t="shared" ref="L102:AQ102" si="11">SUM(L54-L100)</f>
        <v>0</v>
      </c>
      <c r="M102" s="138">
        <f t="shared" si="11"/>
        <v>0</v>
      </c>
      <c r="N102" s="138">
        <f t="shared" si="11"/>
        <v>0</v>
      </c>
      <c r="O102" s="138">
        <f t="shared" si="11"/>
        <v>0</v>
      </c>
      <c r="P102" s="138">
        <f t="shared" si="11"/>
        <v>0</v>
      </c>
      <c r="Q102" s="138">
        <f t="shared" si="11"/>
        <v>0</v>
      </c>
      <c r="R102" s="138">
        <f t="shared" si="11"/>
        <v>0</v>
      </c>
      <c r="S102" s="138">
        <f t="shared" si="11"/>
        <v>0</v>
      </c>
      <c r="T102" s="138">
        <f t="shared" si="11"/>
        <v>0</v>
      </c>
      <c r="U102" s="138">
        <f t="shared" si="11"/>
        <v>0</v>
      </c>
      <c r="V102" s="138">
        <f t="shared" si="11"/>
        <v>0</v>
      </c>
      <c r="W102" s="138">
        <f t="shared" si="11"/>
        <v>0</v>
      </c>
      <c r="X102" s="138">
        <f t="shared" si="11"/>
        <v>0</v>
      </c>
      <c r="Y102" s="138">
        <f t="shared" si="11"/>
        <v>0</v>
      </c>
      <c r="Z102" s="138">
        <f t="shared" si="11"/>
        <v>0</v>
      </c>
      <c r="AA102" s="138">
        <f t="shared" si="11"/>
        <v>0</v>
      </c>
      <c r="AB102" s="138">
        <f t="shared" si="11"/>
        <v>0</v>
      </c>
      <c r="AC102" s="138">
        <f t="shared" si="11"/>
        <v>0</v>
      </c>
      <c r="AD102" s="138">
        <f t="shared" si="11"/>
        <v>0</v>
      </c>
      <c r="AE102" s="138">
        <f t="shared" si="11"/>
        <v>0</v>
      </c>
      <c r="AF102" s="138">
        <f t="shared" si="11"/>
        <v>0</v>
      </c>
      <c r="AG102" s="138">
        <f t="shared" si="11"/>
        <v>0</v>
      </c>
      <c r="AH102" s="138">
        <f t="shared" si="11"/>
        <v>0</v>
      </c>
      <c r="AI102" s="138">
        <f t="shared" si="11"/>
        <v>0</v>
      </c>
      <c r="AJ102" s="138">
        <f t="shared" si="11"/>
        <v>0</v>
      </c>
      <c r="AK102" s="138">
        <f t="shared" si="11"/>
        <v>0</v>
      </c>
      <c r="AL102" s="138">
        <f t="shared" si="11"/>
        <v>0</v>
      </c>
      <c r="AM102" s="138">
        <f t="shared" si="11"/>
        <v>0</v>
      </c>
      <c r="AN102" s="138">
        <f t="shared" si="11"/>
        <v>0</v>
      </c>
      <c r="AO102" s="138">
        <f t="shared" si="11"/>
        <v>0</v>
      </c>
      <c r="AP102" s="138">
        <f t="shared" si="11"/>
        <v>0</v>
      </c>
      <c r="AQ102" s="138">
        <f t="shared" si="11"/>
        <v>0</v>
      </c>
      <c r="AR102" s="138">
        <f t="shared" ref="AR102:CA102" si="12">SUM(AR54-AR100)</f>
        <v>0</v>
      </c>
      <c r="AS102" s="138">
        <f t="shared" si="12"/>
        <v>0</v>
      </c>
      <c r="AT102" s="138">
        <f t="shared" si="12"/>
        <v>0</v>
      </c>
      <c r="AU102" s="138">
        <f t="shared" si="12"/>
        <v>0</v>
      </c>
      <c r="AV102" s="138">
        <f t="shared" si="12"/>
        <v>0</v>
      </c>
      <c r="AW102" s="138">
        <f t="shared" si="12"/>
        <v>0</v>
      </c>
      <c r="AX102" s="138">
        <f t="shared" si="12"/>
        <v>0</v>
      </c>
      <c r="AY102" s="138">
        <f t="shared" si="12"/>
        <v>0</v>
      </c>
      <c r="AZ102" s="138">
        <f t="shared" si="12"/>
        <v>0</v>
      </c>
      <c r="BA102" s="242">
        <f>SUM(BA54-BA100)</f>
        <v>0</v>
      </c>
      <c r="BB102" s="138">
        <f t="shared" si="12"/>
        <v>0</v>
      </c>
      <c r="BC102" s="138">
        <f t="shared" si="12"/>
        <v>0</v>
      </c>
      <c r="BD102" s="138">
        <f t="shared" si="12"/>
        <v>0</v>
      </c>
      <c r="BE102" s="138">
        <f t="shared" si="12"/>
        <v>0</v>
      </c>
      <c r="BF102" s="138">
        <f t="shared" si="12"/>
        <v>0</v>
      </c>
      <c r="BG102" s="138">
        <f t="shared" si="12"/>
        <v>0</v>
      </c>
      <c r="BH102" s="138">
        <f t="shared" si="12"/>
        <v>0</v>
      </c>
      <c r="BI102" s="138">
        <f t="shared" si="12"/>
        <v>0</v>
      </c>
      <c r="BJ102" s="138">
        <f t="shared" ref="BJ102" si="13">SUM(BJ54-BJ100)</f>
        <v>0</v>
      </c>
      <c r="BK102" s="138">
        <f t="shared" si="12"/>
        <v>0</v>
      </c>
      <c r="BL102" s="138">
        <f t="shared" ref="BL102" si="14">SUM(BL54-BL100)</f>
        <v>0</v>
      </c>
      <c r="BM102" s="138">
        <f t="shared" si="12"/>
        <v>0</v>
      </c>
      <c r="BN102" s="138">
        <f t="shared" si="12"/>
        <v>0</v>
      </c>
      <c r="BO102" s="138">
        <f t="shared" si="12"/>
        <v>0</v>
      </c>
      <c r="BP102" s="138">
        <f t="shared" si="12"/>
        <v>0</v>
      </c>
      <c r="BQ102" s="138">
        <f t="shared" si="12"/>
        <v>0</v>
      </c>
      <c r="BR102" s="138">
        <f t="shared" si="12"/>
        <v>0</v>
      </c>
      <c r="BS102" s="138">
        <f t="shared" si="12"/>
        <v>0</v>
      </c>
      <c r="BT102" s="138">
        <f t="shared" si="12"/>
        <v>0</v>
      </c>
      <c r="BU102" s="138">
        <f t="shared" si="12"/>
        <v>0</v>
      </c>
      <c r="BV102" s="138">
        <f t="shared" ref="BV102:BW102" si="15">SUM(BV54-BV100)</f>
        <v>0</v>
      </c>
      <c r="BW102" s="138">
        <f t="shared" si="15"/>
        <v>0</v>
      </c>
      <c r="BX102" s="138">
        <f t="shared" si="12"/>
        <v>0</v>
      </c>
      <c r="BY102" s="138">
        <f t="shared" si="12"/>
        <v>0</v>
      </c>
      <c r="BZ102" s="138">
        <f t="shared" si="12"/>
        <v>0</v>
      </c>
      <c r="CA102" s="138">
        <f t="shared" si="12"/>
        <v>0</v>
      </c>
      <c r="CB102" s="138">
        <f t="shared" ref="CB102:CP102" si="16">SUM(CB54-CB100)</f>
        <v>0</v>
      </c>
      <c r="CC102" s="138">
        <f t="shared" si="16"/>
        <v>0</v>
      </c>
      <c r="CD102" s="138">
        <f t="shared" si="16"/>
        <v>0</v>
      </c>
      <c r="CE102" s="242">
        <f t="shared" si="16"/>
        <v>0</v>
      </c>
      <c r="CF102" s="138">
        <f t="shared" si="16"/>
        <v>0</v>
      </c>
      <c r="CG102" s="138">
        <f t="shared" si="16"/>
        <v>0</v>
      </c>
      <c r="CH102" s="138">
        <f t="shared" si="16"/>
        <v>0</v>
      </c>
      <c r="CI102" s="138">
        <f t="shared" si="16"/>
        <v>0</v>
      </c>
      <c r="CJ102" s="138">
        <f t="shared" si="16"/>
        <v>0</v>
      </c>
      <c r="CK102" s="139">
        <f t="shared" si="16"/>
        <v>0</v>
      </c>
      <c r="CL102" s="139">
        <f t="shared" si="16"/>
        <v>0</v>
      </c>
      <c r="CM102" s="139">
        <f t="shared" ref="CM102:CN102" si="17">SUM(CM54-CM100)</f>
        <v>0</v>
      </c>
      <c r="CN102" s="139">
        <f t="shared" si="17"/>
        <v>0</v>
      </c>
      <c r="CO102" s="139">
        <f t="shared" si="16"/>
        <v>0</v>
      </c>
      <c r="CP102" s="140">
        <f t="shared" si="16"/>
        <v>0</v>
      </c>
      <c r="CQ102" s="141"/>
      <c r="CS102" s="127"/>
    </row>
    <row r="103" spans="1:104" s="128" customFormat="1" ht="12.75" customHeight="1" x14ac:dyDescent="0.2">
      <c r="A103" s="127"/>
      <c r="B103" s="386"/>
      <c r="C103" s="386"/>
      <c r="D103" s="386"/>
      <c r="E103" s="386"/>
      <c r="F103" s="386"/>
      <c r="G103" s="386"/>
      <c r="H103" s="386"/>
      <c r="I103" s="132"/>
      <c r="J103" s="133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  <c r="BK103" s="127"/>
      <c r="BL103" s="127"/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27"/>
      <c r="BZ103" s="127"/>
      <c r="CA103" s="127"/>
      <c r="CB103" s="127"/>
      <c r="CC103" s="127"/>
      <c r="CD103" s="127"/>
      <c r="CE103" s="127"/>
      <c r="CF103" s="127"/>
      <c r="CG103" s="127"/>
      <c r="CH103" s="127"/>
      <c r="CI103" s="127"/>
      <c r="CJ103" s="127"/>
      <c r="CK103" s="127"/>
      <c r="CL103" s="127"/>
      <c r="CM103" s="127"/>
      <c r="CN103" s="127"/>
      <c r="CO103" s="127"/>
      <c r="CP103" s="127"/>
      <c r="CQ103" s="111"/>
      <c r="CR103" s="142"/>
      <c r="CS103" s="127"/>
    </row>
    <row r="104" spans="1:104" s="128" customFormat="1" ht="12.75" customHeight="1" thickBot="1" x14ac:dyDescent="0.25">
      <c r="A104" s="127"/>
      <c r="B104" s="386"/>
      <c r="C104" s="386"/>
      <c r="D104" s="386"/>
      <c r="E104" s="386"/>
      <c r="F104" s="386"/>
      <c r="G104" s="386"/>
      <c r="H104" s="386"/>
      <c r="I104" s="132"/>
      <c r="J104" s="133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  <c r="BK104" s="127"/>
      <c r="BL104" s="127"/>
      <c r="BM104" s="127"/>
      <c r="BN104" s="127"/>
      <c r="BO104" s="127"/>
      <c r="BP104" s="127"/>
      <c r="BQ104" s="127"/>
      <c r="BR104" s="127"/>
      <c r="BS104" s="127"/>
      <c r="BT104" s="127"/>
      <c r="BU104" s="127"/>
      <c r="BV104" s="127"/>
      <c r="BW104" s="127"/>
      <c r="BX104" s="127"/>
      <c r="BY104" s="127"/>
      <c r="BZ104" s="127"/>
      <c r="CA104" s="127"/>
      <c r="CB104" s="127"/>
      <c r="CC104" s="127"/>
      <c r="CD104" s="127"/>
      <c r="CE104" s="127"/>
      <c r="CF104" s="127"/>
      <c r="CG104" s="127"/>
      <c r="CH104" s="127"/>
      <c r="CI104" s="127"/>
      <c r="CJ104" s="127"/>
      <c r="CK104" s="127"/>
      <c r="CL104" s="127"/>
      <c r="CM104" s="127"/>
      <c r="CN104" s="127"/>
      <c r="CO104" s="127"/>
      <c r="CP104" s="127"/>
      <c r="CQ104" s="111"/>
      <c r="CR104" s="142"/>
      <c r="CS104" s="127"/>
    </row>
    <row r="105" spans="1:104" s="128" customFormat="1" ht="33" customHeight="1" thickBot="1" x14ac:dyDescent="0.25">
      <c r="A105" s="454" t="s">
        <v>169</v>
      </c>
      <c r="B105" s="455"/>
      <c r="C105" s="455"/>
      <c r="D105" s="455"/>
      <c r="E105" s="455"/>
      <c r="F105" s="455"/>
      <c r="G105" s="455"/>
      <c r="H105" s="455"/>
      <c r="I105" s="456"/>
      <c r="J105" s="133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  <c r="BK105" s="127"/>
      <c r="BL105" s="127"/>
      <c r="BM105" s="127"/>
      <c r="BN105" s="127"/>
      <c r="BO105" s="127"/>
      <c r="BP105" s="127"/>
      <c r="BQ105" s="127"/>
      <c r="BR105" s="127"/>
      <c r="BS105" s="127"/>
      <c r="BT105" s="127"/>
      <c r="BU105" s="127"/>
      <c r="BV105" s="127"/>
      <c r="BW105" s="127"/>
      <c r="BX105" s="127"/>
      <c r="BY105" s="127"/>
      <c r="BZ105" s="127"/>
      <c r="CA105" s="127"/>
      <c r="CB105" s="127"/>
      <c r="CC105" s="127"/>
      <c r="CD105" s="127"/>
      <c r="CE105" s="127"/>
      <c r="CF105" s="127"/>
      <c r="CG105" s="127"/>
      <c r="CH105" s="127"/>
      <c r="CI105" s="127"/>
      <c r="CJ105" s="127"/>
      <c r="CK105" s="127"/>
      <c r="CL105" s="127"/>
      <c r="CM105" s="127"/>
      <c r="CN105" s="127"/>
      <c r="CO105" s="127"/>
      <c r="CP105" s="127"/>
      <c r="CQ105" s="111"/>
      <c r="CR105" s="142"/>
      <c r="CS105" s="127"/>
      <c r="CY105" s="373"/>
      <c r="CZ105" s="125"/>
    </row>
    <row r="106" spans="1:104" s="125" customFormat="1" ht="15" customHeight="1" x14ac:dyDescent="0.2">
      <c r="A106" s="143"/>
      <c r="B106" s="389"/>
      <c r="C106" s="389"/>
      <c r="D106" s="389"/>
      <c r="E106" s="389"/>
      <c r="F106" s="389"/>
      <c r="G106" s="389"/>
      <c r="H106" s="389"/>
      <c r="I106" s="317"/>
      <c r="J106" s="270"/>
      <c r="K106" s="271">
        <f>SUM(J106*$K$8)</f>
        <v>0</v>
      </c>
      <c r="L106" s="267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46"/>
      <c r="AZ106" s="246"/>
      <c r="BA106" s="246"/>
      <c r="BB106" s="246"/>
      <c r="BC106" s="246"/>
      <c r="BD106" s="246"/>
      <c r="BE106" s="246"/>
      <c r="BF106" s="246"/>
      <c r="BG106" s="246"/>
      <c r="BH106" s="246"/>
      <c r="BI106" s="246"/>
      <c r="BJ106" s="246"/>
      <c r="BK106" s="246"/>
      <c r="BL106" s="246"/>
      <c r="BM106" s="246"/>
      <c r="BN106" s="246"/>
      <c r="BO106" s="246"/>
      <c r="BP106" s="246"/>
      <c r="BQ106" s="246"/>
      <c r="BR106" s="246"/>
      <c r="BS106" s="246"/>
      <c r="BT106" s="252"/>
      <c r="BU106" s="252"/>
      <c r="BV106" s="252"/>
      <c r="BW106" s="252"/>
      <c r="BX106" s="252"/>
      <c r="BY106" s="252"/>
      <c r="BZ106" s="253"/>
      <c r="CA106" s="253"/>
      <c r="CB106" s="254"/>
      <c r="CC106" s="254"/>
      <c r="CD106" s="254"/>
      <c r="CE106" s="254"/>
      <c r="CF106" s="254"/>
      <c r="CG106" s="254"/>
      <c r="CH106" s="254"/>
      <c r="CI106" s="254"/>
      <c r="CJ106" s="254"/>
      <c r="CK106" s="254"/>
      <c r="CL106" s="255"/>
      <c r="CM106" s="255"/>
      <c r="CN106" s="255"/>
      <c r="CO106" s="255"/>
      <c r="CP106" s="256"/>
      <c r="CQ106" s="200">
        <f t="shared" ref="CQ106" si="18">SUM(K106:CP106)</f>
        <v>0</v>
      </c>
      <c r="CR106" s="257"/>
      <c r="CS106" s="124"/>
      <c r="CT106" s="320"/>
      <c r="CU106" s="320"/>
      <c r="CV106" s="321"/>
    </row>
    <row r="107" spans="1:104" s="125" customFormat="1" ht="24.75" customHeight="1" x14ac:dyDescent="0.2">
      <c r="A107" s="143">
        <v>1</v>
      </c>
      <c r="B107" s="389"/>
      <c r="C107" s="389"/>
      <c r="D107" s="389"/>
      <c r="E107" s="389"/>
      <c r="F107" s="389"/>
      <c r="G107" s="389"/>
      <c r="H107" s="389"/>
      <c r="I107" s="6"/>
      <c r="J107" s="272"/>
      <c r="K107" s="273"/>
      <c r="L107" s="268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193"/>
      <c r="AY107" s="194"/>
      <c r="AZ107" s="194"/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314"/>
      <c r="BP107" s="194"/>
      <c r="BQ107" s="194"/>
      <c r="BR107" s="194"/>
      <c r="BS107" s="194"/>
      <c r="BT107" s="194"/>
      <c r="BU107" s="194"/>
      <c r="BV107" s="194"/>
      <c r="BW107" s="194"/>
      <c r="BX107" s="194"/>
      <c r="BY107" s="194"/>
      <c r="BZ107" s="195"/>
      <c r="CA107" s="195"/>
      <c r="CB107" s="196"/>
      <c r="CC107" s="196"/>
      <c r="CD107" s="196"/>
      <c r="CE107" s="196"/>
      <c r="CF107" s="196"/>
      <c r="CG107" s="196"/>
      <c r="CH107" s="196"/>
      <c r="CI107" s="196"/>
      <c r="CJ107" s="196"/>
      <c r="CK107" s="196"/>
      <c r="CL107" s="197"/>
      <c r="CM107" s="197"/>
      <c r="CN107" s="197"/>
      <c r="CO107" s="197"/>
      <c r="CP107" s="198"/>
      <c r="CQ107" s="201"/>
      <c r="CR107" s="258"/>
      <c r="CS107" s="124"/>
      <c r="CT107" s="320"/>
      <c r="CU107" s="322"/>
      <c r="CV107" s="329"/>
    </row>
    <row r="108" spans="1:104" s="125" customFormat="1" ht="15" customHeight="1" x14ac:dyDescent="0.2">
      <c r="A108" s="143">
        <v>2</v>
      </c>
      <c r="B108" s="389"/>
      <c r="C108" s="389"/>
      <c r="D108" s="389"/>
      <c r="E108" s="389"/>
      <c r="F108" s="389"/>
      <c r="G108" s="389"/>
      <c r="H108" s="389"/>
      <c r="I108" s="6"/>
      <c r="J108" s="272"/>
      <c r="K108" s="273"/>
      <c r="L108" s="268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4"/>
      <c r="AZ108" s="194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314"/>
      <c r="BP108" s="194"/>
      <c r="BQ108" s="194"/>
      <c r="BR108" s="194"/>
      <c r="BS108" s="194"/>
      <c r="BT108" s="194"/>
      <c r="BU108" s="194"/>
      <c r="BV108" s="194"/>
      <c r="BW108" s="194"/>
      <c r="BX108" s="194"/>
      <c r="BY108" s="194"/>
      <c r="BZ108" s="195"/>
      <c r="CA108" s="195"/>
      <c r="CB108" s="196"/>
      <c r="CC108" s="196"/>
      <c r="CD108" s="196"/>
      <c r="CE108" s="196"/>
      <c r="CF108" s="196"/>
      <c r="CG108" s="196"/>
      <c r="CH108" s="196"/>
      <c r="CI108" s="196"/>
      <c r="CJ108" s="196"/>
      <c r="CK108" s="196"/>
      <c r="CL108" s="197"/>
      <c r="CM108" s="197"/>
      <c r="CN108" s="197"/>
      <c r="CO108" s="197"/>
      <c r="CP108" s="198"/>
      <c r="CQ108" s="201"/>
      <c r="CR108" s="258"/>
      <c r="CS108" s="124"/>
      <c r="CT108" s="325"/>
      <c r="CU108" s="325"/>
      <c r="CV108" s="321"/>
    </row>
    <row r="109" spans="1:104" s="125" customFormat="1" ht="15" customHeight="1" x14ac:dyDescent="0.2">
      <c r="A109" s="143">
        <v>3</v>
      </c>
      <c r="B109" s="389"/>
      <c r="C109" s="389"/>
      <c r="D109" s="389"/>
      <c r="E109" s="389"/>
      <c r="F109" s="389"/>
      <c r="G109" s="389"/>
      <c r="H109" s="389"/>
      <c r="I109" s="6"/>
      <c r="J109" s="272"/>
      <c r="K109" s="273"/>
      <c r="L109" s="268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193"/>
      <c r="AY109" s="194"/>
      <c r="AZ109" s="194"/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314"/>
      <c r="BP109" s="194"/>
      <c r="BQ109" s="194"/>
      <c r="BR109" s="194"/>
      <c r="BS109" s="194"/>
      <c r="BT109" s="194"/>
      <c r="BU109" s="194"/>
      <c r="BV109" s="194"/>
      <c r="BW109" s="194"/>
      <c r="BX109" s="194"/>
      <c r="BY109" s="194"/>
      <c r="BZ109" s="195"/>
      <c r="CA109" s="195"/>
      <c r="CB109" s="196"/>
      <c r="CC109" s="196"/>
      <c r="CD109" s="196"/>
      <c r="CE109" s="196"/>
      <c r="CF109" s="196"/>
      <c r="CG109" s="196"/>
      <c r="CH109" s="196"/>
      <c r="CI109" s="196"/>
      <c r="CJ109" s="196"/>
      <c r="CK109" s="196"/>
      <c r="CL109" s="197"/>
      <c r="CM109" s="197"/>
      <c r="CN109" s="197"/>
      <c r="CO109" s="197"/>
      <c r="CP109" s="198"/>
      <c r="CQ109" s="201"/>
      <c r="CR109" s="258"/>
      <c r="CS109" s="124"/>
      <c r="CT109" s="326"/>
      <c r="CU109" s="327"/>
      <c r="CV109" s="321"/>
    </row>
    <row r="110" spans="1:104" s="125" customFormat="1" ht="15" customHeight="1" x14ac:dyDescent="0.2">
      <c r="A110" s="143">
        <v>4</v>
      </c>
      <c r="B110" s="389"/>
      <c r="C110" s="389"/>
      <c r="D110" s="389"/>
      <c r="E110" s="389"/>
      <c r="F110" s="389"/>
      <c r="G110" s="389"/>
      <c r="H110" s="389"/>
      <c r="I110" s="6"/>
      <c r="J110" s="272"/>
      <c r="K110" s="273"/>
      <c r="L110" s="268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4"/>
      <c r="AZ110" s="194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314"/>
      <c r="BP110" s="194"/>
      <c r="BQ110" s="194"/>
      <c r="BR110" s="194"/>
      <c r="BS110" s="194"/>
      <c r="BT110" s="194"/>
      <c r="BU110" s="194"/>
      <c r="BV110" s="194"/>
      <c r="BW110" s="194"/>
      <c r="BX110" s="194"/>
      <c r="BY110" s="194"/>
      <c r="BZ110" s="195"/>
      <c r="CA110" s="195"/>
      <c r="CB110" s="196"/>
      <c r="CC110" s="196"/>
      <c r="CD110" s="196"/>
      <c r="CE110" s="196"/>
      <c r="CF110" s="196"/>
      <c r="CG110" s="196"/>
      <c r="CH110" s="196"/>
      <c r="CI110" s="196"/>
      <c r="CJ110" s="196"/>
      <c r="CK110" s="196"/>
      <c r="CL110" s="197"/>
      <c r="CM110" s="197"/>
      <c r="CN110" s="197"/>
      <c r="CO110" s="197"/>
      <c r="CP110" s="198"/>
      <c r="CQ110" s="201"/>
      <c r="CR110" s="258"/>
      <c r="CS110" s="124"/>
      <c r="CT110" s="326"/>
      <c r="CU110" s="327"/>
      <c r="CV110" s="321"/>
    </row>
    <row r="111" spans="1:104" s="125" customFormat="1" ht="15" customHeight="1" x14ac:dyDescent="0.2">
      <c r="A111" s="143">
        <v>5</v>
      </c>
      <c r="B111" s="389"/>
      <c r="C111" s="389"/>
      <c r="D111" s="389"/>
      <c r="E111" s="389"/>
      <c r="F111" s="389"/>
      <c r="G111" s="389"/>
      <c r="H111" s="389"/>
      <c r="I111" s="6"/>
      <c r="J111" s="272"/>
      <c r="K111" s="273"/>
      <c r="L111" s="268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4"/>
      <c r="AZ111" s="194"/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  <c r="BP111" s="194"/>
      <c r="BQ111" s="194"/>
      <c r="BR111" s="194"/>
      <c r="BS111" s="194"/>
      <c r="BT111" s="194"/>
      <c r="BU111" s="194"/>
      <c r="BV111" s="194"/>
      <c r="BW111" s="194"/>
      <c r="BX111" s="194"/>
      <c r="BY111" s="194"/>
      <c r="BZ111" s="195"/>
      <c r="CA111" s="195"/>
      <c r="CB111" s="196"/>
      <c r="CC111" s="196"/>
      <c r="CD111" s="196"/>
      <c r="CE111" s="196"/>
      <c r="CF111" s="196"/>
      <c r="CG111" s="196"/>
      <c r="CH111" s="196"/>
      <c r="CI111" s="196"/>
      <c r="CJ111" s="196"/>
      <c r="CK111" s="196"/>
      <c r="CL111" s="197"/>
      <c r="CM111" s="197"/>
      <c r="CN111" s="197"/>
      <c r="CO111" s="197"/>
      <c r="CP111" s="198"/>
      <c r="CQ111" s="201"/>
      <c r="CR111" s="258"/>
      <c r="CS111" s="124"/>
      <c r="CT111" s="326"/>
      <c r="CU111" s="327"/>
      <c r="CV111" s="323"/>
    </row>
    <row r="112" spans="1:104" s="125" customFormat="1" ht="15" customHeight="1" x14ac:dyDescent="0.2">
      <c r="A112" s="143">
        <v>6</v>
      </c>
      <c r="B112" s="389"/>
      <c r="C112" s="389"/>
      <c r="D112" s="389"/>
      <c r="E112" s="389"/>
      <c r="F112" s="389"/>
      <c r="G112" s="389"/>
      <c r="H112" s="389"/>
      <c r="I112" s="18"/>
      <c r="J112" s="272"/>
      <c r="K112" s="273"/>
      <c r="L112" s="268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4"/>
      <c r="AZ112" s="194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  <c r="BP112" s="194"/>
      <c r="BQ112" s="194"/>
      <c r="BR112" s="194"/>
      <c r="BS112" s="194"/>
      <c r="BT112" s="194"/>
      <c r="BU112" s="194"/>
      <c r="BV112" s="194"/>
      <c r="BW112" s="194"/>
      <c r="BX112" s="194"/>
      <c r="BY112" s="194"/>
      <c r="BZ112" s="195"/>
      <c r="CA112" s="195"/>
      <c r="CB112" s="196"/>
      <c r="CC112" s="196"/>
      <c r="CD112" s="196"/>
      <c r="CE112" s="196"/>
      <c r="CF112" s="196"/>
      <c r="CG112" s="196"/>
      <c r="CH112" s="196"/>
      <c r="CI112" s="196"/>
      <c r="CJ112" s="196"/>
      <c r="CK112" s="196"/>
      <c r="CL112" s="197"/>
      <c r="CM112" s="197"/>
      <c r="CN112" s="197"/>
      <c r="CO112" s="197"/>
      <c r="CP112" s="199"/>
      <c r="CQ112" s="201"/>
      <c r="CR112" s="259"/>
      <c r="CS112" s="124"/>
      <c r="CT112" s="328"/>
      <c r="CU112" s="328"/>
      <c r="CV112" s="329"/>
    </row>
    <row r="113" spans="1:100" s="125" customFormat="1" ht="15" customHeight="1" x14ac:dyDescent="0.2">
      <c r="A113" s="143">
        <v>7</v>
      </c>
      <c r="B113" s="389"/>
      <c r="C113" s="389"/>
      <c r="D113" s="389"/>
      <c r="E113" s="389"/>
      <c r="F113" s="389"/>
      <c r="G113" s="389"/>
      <c r="H113" s="389"/>
      <c r="I113" s="18"/>
      <c r="J113" s="272"/>
      <c r="K113" s="273"/>
      <c r="L113" s="268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4"/>
      <c r="AZ113" s="194"/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  <c r="BP113" s="194"/>
      <c r="BQ113" s="194"/>
      <c r="BR113" s="194"/>
      <c r="BS113" s="194"/>
      <c r="BT113" s="194"/>
      <c r="BU113" s="194"/>
      <c r="BV113" s="194"/>
      <c r="BW113" s="194"/>
      <c r="BX113" s="194"/>
      <c r="BY113" s="194"/>
      <c r="BZ113" s="195"/>
      <c r="CA113" s="195"/>
      <c r="CB113" s="196"/>
      <c r="CC113" s="196"/>
      <c r="CD113" s="196"/>
      <c r="CE113" s="196"/>
      <c r="CF113" s="196"/>
      <c r="CG113" s="196"/>
      <c r="CH113" s="196"/>
      <c r="CI113" s="196"/>
      <c r="CJ113" s="196"/>
      <c r="CK113" s="196"/>
      <c r="CL113" s="197"/>
      <c r="CM113" s="197"/>
      <c r="CN113" s="197"/>
      <c r="CO113" s="197"/>
      <c r="CP113" s="199"/>
      <c r="CQ113" s="201"/>
      <c r="CR113" s="259"/>
      <c r="CS113" s="124"/>
      <c r="CT113" s="328"/>
      <c r="CU113" s="328"/>
      <c r="CV113" s="329"/>
    </row>
    <row r="114" spans="1:100" s="125" customFormat="1" ht="15" customHeight="1" x14ac:dyDescent="0.2">
      <c r="A114" s="143">
        <v>8</v>
      </c>
      <c r="B114" s="389"/>
      <c r="C114" s="389"/>
      <c r="D114" s="389"/>
      <c r="E114" s="389"/>
      <c r="F114" s="389"/>
      <c r="G114" s="389"/>
      <c r="H114" s="389"/>
      <c r="I114" s="18"/>
      <c r="J114" s="272"/>
      <c r="K114" s="273"/>
      <c r="L114" s="268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193"/>
      <c r="AS114" s="193"/>
      <c r="AT114" s="193"/>
      <c r="AU114" s="193"/>
      <c r="AV114" s="193"/>
      <c r="AW114" s="193"/>
      <c r="AX114" s="193"/>
      <c r="AY114" s="194"/>
      <c r="AZ114" s="194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  <c r="BP114" s="194"/>
      <c r="BQ114" s="194"/>
      <c r="BR114" s="194"/>
      <c r="BS114" s="194"/>
      <c r="BT114" s="194"/>
      <c r="BU114" s="194"/>
      <c r="BV114" s="194"/>
      <c r="BW114" s="194"/>
      <c r="BX114" s="194"/>
      <c r="BY114" s="194"/>
      <c r="BZ114" s="195"/>
      <c r="CA114" s="195"/>
      <c r="CB114" s="196"/>
      <c r="CC114" s="196"/>
      <c r="CD114" s="196"/>
      <c r="CE114" s="196"/>
      <c r="CF114" s="196"/>
      <c r="CG114" s="196"/>
      <c r="CH114" s="196"/>
      <c r="CI114" s="196"/>
      <c r="CJ114" s="196"/>
      <c r="CK114" s="196"/>
      <c r="CL114" s="197"/>
      <c r="CM114" s="197"/>
      <c r="CN114" s="197"/>
      <c r="CO114" s="197"/>
      <c r="CP114" s="199"/>
      <c r="CQ114" s="201"/>
      <c r="CR114" s="259"/>
      <c r="CS114" s="124"/>
      <c r="CT114" s="328"/>
      <c r="CU114" s="328"/>
      <c r="CV114" s="329"/>
    </row>
    <row r="115" spans="1:100" s="125" customFormat="1" ht="15" customHeight="1" x14ac:dyDescent="0.2">
      <c r="A115" s="143">
        <v>9</v>
      </c>
      <c r="B115" s="389"/>
      <c r="C115" s="389"/>
      <c r="D115" s="389"/>
      <c r="E115" s="389"/>
      <c r="F115" s="389"/>
      <c r="G115" s="389"/>
      <c r="H115" s="389"/>
      <c r="I115" s="18"/>
      <c r="J115" s="272"/>
      <c r="K115" s="273"/>
      <c r="L115" s="268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193"/>
      <c r="AS115" s="193"/>
      <c r="AT115" s="193"/>
      <c r="AU115" s="193"/>
      <c r="AV115" s="193"/>
      <c r="AW115" s="193"/>
      <c r="AX115" s="193"/>
      <c r="AY115" s="194"/>
      <c r="AZ115" s="194"/>
      <c r="BA115" s="194"/>
      <c r="BB115" s="194"/>
      <c r="BC115" s="194"/>
      <c r="BD115" s="194"/>
      <c r="BE115" s="194"/>
      <c r="BF115" s="194"/>
      <c r="BG115" s="194"/>
      <c r="BH115" s="194"/>
      <c r="BI115" s="194"/>
      <c r="BJ115" s="194"/>
      <c r="BK115" s="194"/>
      <c r="BL115" s="194"/>
      <c r="BM115" s="194"/>
      <c r="BN115" s="194"/>
      <c r="BO115" s="194"/>
      <c r="BP115" s="194"/>
      <c r="BQ115" s="194"/>
      <c r="BR115" s="194"/>
      <c r="BS115" s="194"/>
      <c r="BT115" s="194"/>
      <c r="BU115" s="194"/>
      <c r="BV115" s="194"/>
      <c r="BW115" s="194"/>
      <c r="BX115" s="194"/>
      <c r="BY115" s="194"/>
      <c r="BZ115" s="195"/>
      <c r="CA115" s="195"/>
      <c r="CB115" s="196"/>
      <c r="CC115" s="196"/>
      <c r="CD115" s="196"/>
      <c r="CE115" s="196"/>
      <c r="CF115" s="196"/>
      <c r="CG115" s="196"/>
      <c r="CH115" s="196"/>
      <c r="CI115" s="196"/>
      <c r="CJ115" s="196"/>
      <c r="CK115" s="196"/>
      <c r="CL115" s="197"/>
      <c r="CM115" s="197"/>
      <c r="CN115" s="197"/>
      <c r="CO115" s="197"/>
      <c r="CP115" s="199"/>
      <c r="CQ115" s="201"/>
      <c r="CR115" s="259"/>
      <c r="CS115" s="124"/>
      <c r="CT115" s="328"/>
      <c r="CU115" s="328"/>
      <c r="CV115" s="329"/>
    </row>
    <row r="116" spans="1:100" s="125" customFormat="1" ht="15" customHeight="1" x14ac:dyDescent="0.2">
      <c r="A116" s="143">
        <v>10</v>
      </c>
      <c r="B116" s="389"/>
      <c r="C116" s="389"/>
      <c r="D116" s="389"/>
      <c r="E116" s="389"/>
      <c r="F116" s="389"/>
      <c r="G116" s="389"/>
      <c r="H116" s="389"/>
      <c r="I116" s="18"/>
      <c r="J116" s="272"/>
      <c r="K116" s="273"/>
      <c r="L116" s="268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193"/>
      <c r="AY116" s="194"/>
      <c r="AZ116" s="194"/>
      <c r="BA116" s="194"/>
      <c r="BB116" s="194"/>
      <c r="BC116" s="194"/>
      <c r="BD116" s="194"/>
      <c r="BE116" s="194"/>
      <c r="BF116" s="194"/>
      <c r="BG116" s="194"/>
      <c r="BH116" s="194"/>
      <c r="BI116" s="194"/>
      <c r="BJ116" s="194"/>
      <c r="BK116" s="194"/>
      <c r="BL116" s="194"/>
      <c r="BM116" s="194"/>
      <c r="BN116" s="194"/>
      <c r="BO116" s="194"/>
      <c r="BP116" s="194"/>
      <c r="BQ116" s="194"/>
      <c r="BR116" s="194"/>
      <c r="BS116" s="194"/>
      <c r="BT116" s="194"/>
      <c r="BU116" s="194"/>
      <c r="BV116" s="194"/>
      <c r="BW116" s="194"/>
      <c r="BX116" s="194"/>
      <c r="BY116" s="194"/>
      <c r="BZ116" s="195"/>
      <c r="CA116" s="195"/>
      <c r="CB116" s="196"/>
      <c r="CC116" s="196"/>
      <c r="CD116" s="196"/>
      <c r="CE116" s="196"/>
      <c r="CF116" s="196"/>
      <c r="CG116" s="196"/>
      <c r="CH116" s="196"/>
      <c r="CI116" s="196"/>
      <c r="CJ116" s="196"/>
      <c r="CK116" s="196"/>
      <c r="CL116" s="197"/>
      <c r="CM116" s="197"/>
      <c r="CN116" s="197"/>
      <c r="CO116" s="197"/>
      <c r="CP116" s="199"/>
      <c r="CQ116" s="201"/>
      <c r="CR116" s="259"/>
      <c r="CS116" s="124"/>
      <c r="CT116" s="328"/>
      <c r="CU116" s="328"/>
      <c r="CV116" s="329"/>
    </row>
    <row r="117" spans="1:100" s="125" customFormat="1" ht="15" customHeight="1" x14ac:dyDescent="0.2">
      <c r="A117" s="143">
        <v>11</v>
      </c>
      <c r="B117" s="389"/>
      <c r="C117" s="389"/>
      <c r="D117" s="389"/>
      <c r="E117" s="389"/>
      <c r="F117" s="389"/>
      <c r="G117" s="389"/>
      <c r="H117" s="389"/>
      <c r="I117" s="18"/>
      <c r="J117" s="272"/>
      <c r="K117" s="273"/>
      <c r="L117" s="268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193"/>
      <c r="AY117" s="194"/>
      <c r="AZ117" s="194"/>
      <c r="BA117" s="194"/>
      <c r="BB117" s="194"/>
      <c r="BC117" s="194"/>
      <c r="BD117" s="194"/>
      <c r="BE117" s="194"/>
      <c r="BF117" s="194"/>
      <c r="BG117" s="194"/>
      <c r="BH117" s="194"/>
      <c r="BI117" s="194"/>
      <c r="BJ117" s="194"/>
      <c r="BK117" s="194"/>
      <c r="BL117" s="194"/>
      <c r="BM117" s="194"/>
      <c r="BN117" s="194"/>
      <c r="BO117" s="194"/>
      <c r="BP117" s="194"/>
      <c r="BQ117" s="194"/>
      <c r="BR117" s="194"/>
      <c r="BS117" s="194"/>
      <c r="BT117" s="194"/>
      <c r="BU117" s="194"/>
      <c r="BV117" s="194"/>
      <c r="BW117" s="194"/>
      <c r="BX117" s="194"/>
      <c r="BY117" s="194"/>
      <c r="BZ117" s="195"/>
      <c r="CA117" s="195"/>
      <c r="CB117" s="196"/>
      <c r="CC117" s="196"/>
      <c r="CD117" s="196"/>
      <c r="CE117" s="196"/>
      <c r="CF117" s="196"/>
      <c r="CG117" s="196"/>
      <c r="CH117" s="196"/>
      <c r="CI117" s="196"/>
      <c r="CJ117" s="196"/>
      <c r="CK117" s="196"/>
      <c r="CL117" s="197"/>
      <c r="CM117" s="197"/>
      <c r="CN117" s="197"/>
      <c r="CO117" s="197"/>
      <c r="CP117" s="199"/>
      <c r="CQ117" s="201"/>
      <c r="CR117" s="259"/>
      <c r="CS117" s="124"/>
      <c r="CT117" s="328"/>
      <c r="CU117" s="328"/>
      <c r="CV117" s="329"/>
    </row>
    <row r="118" spans="1:100" s="125" customFormat="1" ht="15" customHeight="1" x14ac:dyDescent="0.2">
      <c r="A118" s="143">
        <v>12</v>
      </c>
      <c r="B118" s="389"/>
      <c r="C118" s="389"/>
      <c r="D118" s="389"/>
      <c r="E118" s="389"/>
      <c r="F118" s="389"/>
      <c r="G118" s="389"/>
      <c r="H118" s="389"/>
      <c r="I118" s="18"/>
      <c r="J118" s="272"/>
      <c r="K118" s="273"/>
      <c r="L118" s="268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3"/>
      <c r="AN118" s="193"/>
      <c r="AO118" s="193"/>
      <c r="AP118" s="193"/>
      <c r="AQ118" s="193"/>
      <c r="AR118" s="193"/>
      <c r="AS118" s="193"/>
      <c r="AT118" s="193"/>
      <c r="AU118" s="193"/>
      <c r="AV118" s="193"/>
      <c r="AW118" s="193"/>
      <c r="AX118" s="193"/>
      <c r="AY118" s="194"/>
      <c r="AZ118" s="194"/>
      <c r="BA118" s="194"/>
      <c r="BB118" s="194"/>
      <c r="BC118" s="194"/>
      <c r="BD118" s="194"/>
      <c r="BE118" s="194"/>
      <c r="BF118" s="194"/>
      <c r="BG118" s="194"/>
      <c r="BH118" s="194"/>
      <c r="BI118" s="194"/>
      <c r="BJ118" s="194"/>
      <c r="BK118" s="194"/>
      <c r="BL118" s="194"/>
      <c r="BM118" s="194"/>
      <c r="BN118" s="194"/>
      <c r="BO118" s="194"/>
      <c r="BP118" s="194"/>
      <c r="BQ118" s="194"/>
      <c r="BR118" s="194"/>
      <c r="BS118" s="194"/>
      <c r="BT118" s="194"/>
      <c r="BU118" s="194"/>
      <c r="BV118" s="194"/>
      <c r="BW118" s="194"/>
      <c r="BX118" s="194"/>
      <c r="BY118" s="194"/>
      <c r="BZ118" s="195"/>
      <c r="CA118" s="195"/>
      <c r="CB118" s="196"/>
      <c r="CC118" s="196"/>
      <c r="CD118" s="196"/>
      <c r="CE118" s="196"/>
      <c r="CF118" s="196"/>
      <c r="CG118" s="196"/>
      <c r="CH118" s="196"/>
      <c r="CI118" s="196"/>
      <c r="CJ118" s="196"/>
      <c r="CK118" s="196"/>
      <c r="CL118" s="197"/>
      <c r="CM118" s="197"/>
      <c r="CN118" s="197"/>
      <c r="CO118" s="197"/>
      <c r="CP118" s="199"/>
      <c r="CQ118" s="201"/>
      <c r="CR118" s="259"/>
      <c r="CS118" s="124"/>
      <c r="CT118" s="328"/>
      <c r="CU118" s="335"/>
      <c r="CV118" s="329"/>
    </row>
    <row r="119" spans="1:100" s="125" customFormat="1" ht="15" customHeight="1" x14ac:dyDescent="0.2">
      <c r="A119" s="143">
        <v>13</v>
      </c>
      <c r="B119" s="389"/>
      <c r="C119" s="389"/>
      <c r="D119" s="389"/>
      <c r="E119" s="389"/>
      <c r="F119" s="389"/>
      <c r="G119" s="389"/>
      <c r="H119" s="389"/>
      <c r="I119" s="18"/>
      <c r="J119" s="272"/>
      <c r="K119" s="273"/>
      <c r="L119" s="268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3"/>
      <c r="AS119" s="193"/>
      <c r="AT119" s="193"/>
      <c r="AU119" s="193"/>
      <c r="AV119" s="193"/>
      <c r="AW119" s="193"/>
      <c r="AX119" s="193"/>
      <c r="AY119" s="194"/>
      <c r="AZ119" s="194"/>
      <c r="BA119" s="194"/>
      <c r="BB119" s="194"/>
      <c r="BC119" s="194"/>
      <c r="BD119" s="194"/>
      <c r="BE119" s="194"/>
      <c r="BF119" s="194"/>
      <c r="BG119" s="194"/>
      <c r="BH119" s="194"/>
      <c r="BI119" s="194"/>
      <c r="BJ119" s="194"/>
      <c r="BK119" s="194"/>
      <c r="BL119" s="194"/>
      <c r="BM119" s="194"/>
      <c r="BN119" s="194"/>
      <c r="BO119" s="194"/>
      <c r="BP119" s="194"/>
      <c r="BQ119" s="194"/>
      <c r="BR119" s="194"/>
      <c r="BS119" s="194"/>
      <c r="BT119" s="194"/>
      <c r="BU119" s="194"/>
      <c r="BV119" s="194"/>
      <c r="BW119" s="194"/>
      <c r="BX119" s="194"/>
      <c r="BY119" s="194"/>
      <c r="BZ119" s="195"/>
      <c r="CA119" s="195"/>
      <c r="CB119" s="196"/>
      <c r="CC119" s="196"/>
      <c r="CD119" s="196"/>
      <c r="CE119" s="196"/>
      <c r="CF119" s="196"/>
      <c r="CG119" s="196"/>
      <c r="CH119" s="196"/>
      <c r="CI119" s="196"/>
      <c r="CJ119" s="196"/>
      <c r="CK119" s="196"/>
      <c r="CL119" s="197"/>
      <c r="CM119" s="197"/>
      <c r="CN119" s="197"/>
      <c r="CO119" s="197"/>
      <c r="CP119" s="199"/>
      <c r="CQ119" s="201"/>
      <c r="CR119" s="259"/>
      <c r="CS119" s="124"/>
      <c r="CT119" s="328"/>
      <c r="CU119" s="335"/>
      <c r="CV119" s="329"/>
    </row>
    <row r="120" spans="1:100" s="125" customFormat="1" ht="15" customHeight="1" x14ac:dyDescent="0.2">
      <c r="A120" s="143">
        <v>14</v>
      </c>
      <c r="B120" s="389"/>
      <c r="C120" s="389"/>
      <c r="D120" s="389"/>
      <c r="E120" s="389"/>
      <c r="F120" s="389"/>
      <c r="G120" s="389"/>
      <c r="H120" s="389"/>
      <c r="I120" s="6"/>
      <c r="J120" s="272"/>
      <c r="K120" s="273"/>
      <c r="L120" s="268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4"/>
      <c r="BM120" s="194"/>
      <c r="BN120" s="194"/>
      <c r="BO120" s="194"/>
      <c r="BP120" s="194"/>
      <c r="BQ120" s="194"/>
      <c r="BR120" s="194"/>
      <c r="BS120" s="194"/>
      <c r="BT120" s="194"/>
      <c r="BU120" s="194"/>
      <c r="BV120" s="194"/>
      <c r="BW120" s="194"/>
      <c r="BX120" s="194"/>
      <c r="BY120" s="194"/>
      <c r="BZ120" s="195"/>
      <c r="CA120" s="195"/>
      <c r="CB120" s="196"/>
      <c r="CC120" s="196"/>
      <c r="CD120" s="196"/>
      <c r="CE120" s="196"/>
      <c r="CF120" s="196"/>
      <c r="CG120" s="196"/>
      <c r="CH120" s="196"/>
      <c r="CI120" s="196"/>
      <c r="CJ120" s="196"/>
      <c r="CK120" s="196"/>
      <c r="CL120" s="197"/>
      <c r="CM120" s="197"/>
      <c r="CN120" s="197"/>
      <c r="CO120" s="197"/>
      <c r="CP120" s="199"/>
      <c r="CQ120" s="201"/>
      <c r="CR120" s="259"/>
      <c r="CS120" s="124"/>
      <c r="CT120" s="324"/>
      <c r="CU120" s="325"/>
      <c r="CV120" s="330"/>
    </row>
    <row r="121" spans="1:100" s="125" customFormat="1" ht="15" customHeight="1" x14ac:dyDescent="0.2">
      <c r="A121" s="143">
        <v>15</v>
      </c>
      <c r="B121" s="389"/>
      <c r="C121" s="389"/>
      <c r="D121" s="389"/>
      <c r="E121" s="389"/>
      <c r="F121" s="389"/>
      <c r="G121" s="389"/>
      <c r="H121" s="389"/>
      <c r="I121" s="6"/>
      <c r="J121" s="272"/>
      <c r="K121" s="273"/>
      <c r="L121" s="268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4"/>
      <c r="AZ121" s="194"/>
      <c r="BA121" s="194"/>
      <c r="BB121" s="194"/>
      <c r="BC121" s="194"/>
      <c r="BD121" s="194"/>
      <c r="BE121" s="194"/>
      <c r="BF121" s="194"/>
      <c r="BG121" s="194"/>
      <c r="BH121" s="194"/>
      <c r="BI121" s="194"/>
      <c r="BJ121" s="194"/>
      <c r="BK121" s="194"/>
      <c r="BL121" s="194"/>
      <c r="BM121" s="194"/>
      <c r="BN121" s="194"/>
      <c r="BO121" s="194"/>
      <c r="BP121" s="194"/>
      <c r="BQ121" s="194"/>
      <c r="BR121" s="194"/>
      <c r="BS121" s="194"/>
      <c r="BT121" s="194"/>
      <c r="BU121" s="194"/>
      <c r="BV121" s="316"/>
      <c r="BW121" s="194"/>
      <c r="BX121" s="194"/>
      <c r="BY121" s="194"/>
      <c r="BZ121" s="195"/>
      <c r="CA121" s="195"/>
      <c r="CB121" s="196"/>
      <c r="CC121" s="196"/>
      <c r="CD121" s="196"/>
      <c r="CE121" s="196"/>
      <c r="CF121" s="196"/>
      <c r="CG121" s="196"/>
      <c r="CH121" s="196"/>
      <c r="CI121" s="196"/>
      <c r="CJ121" s="196"/>
      <c r="CK121" s="196"/>
      <c r="CL121" s="197"/>
      <c r="CM121" s="197"/>
      <c r="CN121" s="197"/>
      <c r="CO121" s="197"/>
      <c r="CP121" s="199"/>
      <c r="CQ121" s="201"/>
      <c r="CR121" s="259"/>
      <c r="CS121" s="124"/>
      <c r="CT121" s="331"/>
      <c r="CU121" s="332"/>
      <c r="CV121" s="333"/>
    </row>
    <row r="122" spans="1:100" s="125" customFormat="1" ht="15" customHeight="1" x14ac:dyDescent="0.2">
      <c r="A122" s="143">
        <v>16</v>
      </c>
      <c r="B122" s="389"/>
      <c r="C122" s="389"/>
      <c r="D122" s="389"/>
      <c r="E122" s="389"/>
      <c r="F122" s="389"/>
      <c r="G122" s="389"/>
      <c r="H122" s="389"/>
      <c r="I122" s="6"/>
      <c r="J122" s="272"/>
      <c r="K122" s="273"/>
      <c r="L122" s="268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3"/>
      <c r="AS122" s="193"/>
      <c r="AT122" s="193"/>
      <c r="AU122" s="193"/>
      <c r="AV122" s="193"/>
      <c r="AW122" s="193"/>
      <c r="AX122" s="193"/>
      <c r="AY122" s="194"/>
      <c r="AZ122" s="194"/>
      <c r="BA122" s="194"/>
      <c r="BB122" s="194"/>
      <c r="BC122" s="194"/>
      <c r="BD122" s="194"/>
      <c r="BE122" s="194"/>
      <c r="BF122" s="194"/>
      <c r="BG122" s="194"/>
      <c r="BH122" s="194"/>
      <c r="BI122" s="194"/>
      <c r="BJ122" s="194"/>
      <c r="BK122" s="194"/>
      <c r="BL122" s="194"/>
      <c r="BM122" s="194"/>
      <c r="BN122" s="194"/>
      <c r="BO122" s="194"/>
      <c r="BP122" s="194"/>
      <c r="BQ122" s="194"/>
      <c r="BR122" s="194"/>
      <c r="BS122" s="194"/>
      <c r="BT122" s="194"/>
      <c r="BU122" s="194"/>
      <c r="BV122" s="194"/>
      <c r="BW122" s="194"/>
      <c r="BX122" s="194"/>
      <c r="BY122" s="194"/>
      <c r="BZ122" s="195"/>
      <c r="CA122" s="195"/>
      <c r="CB122" s="196"/>
      <c r="CC122" s="196"/>
      <c r="CD122" s="196"/>
      <c r="CE122" s="196"/>
      <c r="CF122" s="196"/>
      <c r="CG122" s="196"/>
      <c r="CH122" s="196"/>
      <c r="CI122" s="196"/>
      <c r="CJ122" s="196"/>
      <c r="CK122" s="196"/>
      <c r="CL122" s="197"/>
      <c r="CM122" s="197"/>
      <c r="CN122" s="197"/>
      <c r="CO122" s="197"/>
      <c r="CP122" s="199"/>
      <c r="CQ122" s="201"/>
      <c r="CR122" s="259"/>
      <c r="CS122" s="124"/>
      <c r="CT122" s="324"/>
      <c r="CU122" s="324"/>
      <c r="CV122" s="334"/>
    </row>
    <row r="123" spans="1:100" s="125" customFormat="1" ht="15.6" customHeight="1" x14ac:dyDescent="0.2">
      <c r="A123" s="143">
        <v>17</v>
      </c>
      <c r="B123" s="389"/>
      <c r="C123" s="389"/>
      <c r="D123" s="389"/>
      <c r="E123" s="389"/>
      <c r="F123" s="389"/>
      <c r="G123" s="389"/>
      <c r="H123" s="389"/>
      <c r="I123" s="6"/>
      <c r="J123" s="272"/>
      <c r="K123" s="273"/>
      <c r="L123" s="268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/>
      <c r="AT123" s="193"/>
      <c r="AU123" s="193"/>
      <c r="AV123" s="193"/>
      <c r="AW123" s="193"/>
      <c r="AX123" s="193"/>
      <c r="AY123" s="194"/>
      <c r="AZ123" s="194"/>
      <c r="BA123" s="194"/>
      <c r="BB123" s="194"/>
      <c r="BC123" s="194"/>
      <c r="BD123" s="194"/>
      <c r="BE123" s="194"/>
      <c r="BF123" s="194"/>
      <c r="BG123" s="194"/>
      <c r="BH123" s="194"/>
      <c r="BI123" s="194"/>
      <c r="BJ123" s="194"/>
      <c r="BK123" s="194"/>
      <c r="BL123" s="194"/>
      <c r="BM123" s="194"/>
      <c r="BN123" s="194"/>
      <c r="BO123" s="194"/>
      <c r="BP123" s="194"/>
      <c r="BQ123" s="194"/>
      <c r="BR123" s="194"/>
      <c r="BS123" s="194"/>
      <c r="BT123" s="194"/>
      <c r="BU123" s="194"/>
      <c r="BV123" s="194"/>
      <c r="BW123" s="194"/>
      <c r="BX123" s="194"/>
      <c r="BY123" s="194"/>
      <c r="BZ123" s="195"/>
      <c r="CA123" s="195"/>
      <c r="CB123" s="196"/>
      <c r="CC123" s="196"/>
      <c r="CD123" s="196"/>
      <c r="CE123" s="196"/>
      <c r="CF123" s="196"/>
      <c r="CG123" s="196"/>
      <c r="CH123" s="196"/>
      <c r="CI123" s="196"/>
      <c r="CJ123" s="196"/>
      <c r="CK123" s="196"/>
      <c r="CL123" s="197"/>
      <c r="CM123" s="197"/>
      <c r="CN123" s="197"/>
      <c r="CO123" s="197"/>
      <c r="CP123" s="199"/>
      <c r="CQ123" s="201"/>
      <c r="CR123" s="259"/>
      <c r="CS123" s="124"/>
      <c r="CT123" s="324"/>
      <c r="CU123" s="324"/>
      <c r="CV123" s="320"/>
    </row>
    <row r="124" spans="1:100" s="125" customFormat="1" ht="15" customHeight="1" x14ac:dyDescent="0.2">
      <c r="A124" s="143">
        <v>18</v>
      </c>
      <c r="B124" s="389"/>
      <c r="C124" s="389"/>
      <c r="D124" s="389"/>
      <c r="E124" s="389"/>
      <c r="F124" s="389"/>
      <c r="G124" s="389"/>
      <c r="H124" s="389"/>
      <c r="I124" s="338"/>
      <c r="J124" s="272"/>
      <c r="K124" s="273"/>
      <c r="L124" s="268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3"/>
      <c r="AN124" s="193"/>
      <c r="AO124" s="193"/>
      <c r="AP124" s="193"/>
      <c r="AQ124" s="193"/>
      <c r="AR124" s="193"/>
      <c r="AS124" s="193"/>
      <c r="AT124" s="193"/>
      <c r="AU124" s="193"/>
      <c r="AV124" s="193"/>
      <c r="AW124" s="193"/>
      <c r="AX124" s="193"/>
      <c r="AY124" s="194"/>
      <c r="AZ124" s="194"/>
      <c r="BA124" s="194"/>
      <c r="BB124" s="194"/>
      <c r="BC124" s="194"/>
      <c r="BD124" s="194"/>
      <c r="BE124" s="194"/>
      <c r="BF124" s="194"/>
      <c r="BG124" s="194"/>
      <c r="BH124" s="194"/>
      <c r="BI124" s="194"/>
      <c r="BJ124" s="194"/>
      <c r="BK124" s="194"/>
      <c r="BL124" s="194"/>
      <c r="BM124" s="194"/>
      <c r="BN124" s="194"/>
      <c r="BO124" s="194"/>
      <c r="BP124" s="194"/>
      <c r="BQ124" s="194"/>
      <c r="BR124" s="194"/>
      <c r="BS124" s="194"/>
      <c r="BT124" s="194"/>
      <c r="BU124" s="194"/>
      <c r="BV124" s="194"/>
      <c r="BW124" s="194"/>
      <c r="BX124" s="194"/>
      <c r="BY124" s="194"/>
      <c r="BZ124" s="195"/>
      <c r="CA124" s="195"/>
      <c r="CB124" s="196"/>
      <c r="CC124" s="196"/>
      <c r="CD124" s="196"/>
      <c r="CE124" s="196"/>
      <c r="CF124" s="196"/>
      <c r="CG124" s="196"/>
      <c r="CH124" s="196"/>
      <c r="CI124" s="196"/>
      <c r="CJ124" s="196"/>
      <c r="CK124" s="196"/>
      <c r="CL124" s="197"/>
      <c r="CM124" s="197"/>
      <c r="CN124" s="197"/>
      <c r="CO124" s="197"/>
      <c r="CP124" s="199"/>
      <c r="CQ124" s="201"/>
      <c r="CR124" s="259"/>
      <c r="CS124" s="124"/>
      <c r="CT124" s="328"/>
      <c r="CU124" s="329"/>
      <c r="CV124" s="329"/>
    </row>
    <row r="125" spans="1:100" s="125" customFormat="1" ht="15" customHeight="1" x14ac:dyDescent="0.2">
      <c r="A125" s="143">
        <v>19</v>
      </c>
      <c r="B125" s="389"/>
      <c r="C125" s="389"/>
      <c r="D125" s="389"/>
      <c r="E125" s="389"/>
      <c r="F125" s="389"/>
      <c r="G125" s="389"/>
      <c r="H125" s="389"/>
      <c r="I125" s="338"/>
      <c r="J125" s="272"/>
      <c r="K125" s="273"/>
      <c r="L125" s="268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  <c r="AW125" s="193"/>
      <c r="AX125" s="193"/>
      <c r="AY125" s="194"/>
      <c r="AZ125" s="194"/>
      <c r="BA125" s="194"/>
      <c r="BB125" s="194"/>
      <c r="BC125" s="194"/>
      <c r="BD125" s="194"/>
      <c r="BE125" s="194"/>
      <c r="BF125" s="194"/>
      <c r="BG125" s="194"/>
      <c r="BH125" s="194"/>
      <c r="BI125" s="194"/>
      <c r="BJ125" s="194"/>
      <c r="BK125" s="194"/>
      <c r="BL125" s="194"/>
      <c r="BM125" s="194"/>
      <c r="BN125" s="194"/>
      <c r="BO125" s="194"/>
      <c r="BP125" s="194"/>
      <c r="BQ125" s="194"/>
      <c r="BR125" s="194"/>
      <c r="BS125" s="194"/>
      <c r="BT125" s="194"/>
      <c r="BU125" s="194"/>
      <c r="BV125" s="194"/>
      <c r="BW125" s="194"/>
      <c r="BX125" s="194"/>
      <c r="BY125" s="194"/>
      <c r="BZ125" s="195"/>
      <c r="CA125" s="195"/>
      <c r="CB125" s="196"/>
      <c r="CC125" s="196"/>
      <c r="CD125" s="196"/>
      <c r="CE125" s="196"/>
      <c r="CF125" s="196"/>
      <c r="CG125" s="196"/>
      <c r="CH125" s="196"/>
      <c r="CI125" s="196"/>
      <c r="CJ125" s="196"/>
      <c r="CK125" s="196"/>
      <c r="CL125" s="197"/>
      <c r="CM125" s="197"/>
      <c r="CN125" s="197"/>
      <c r="CO125" s="197"/>
      <c r="CP125" s="199"/>
      <c r="CQ125" s="201"/>
      <c r="CR125" s="259"/>
      <c r="CS125" s="124"/>
      <c r="CT125" s="329"/>
      <c r="CU125" s="329"/>
      <c r="CV125" s="329"/>
    </row>
    <row r="126" spans="1:100" s="125" customFormat="1" ht="15" customHeight="1" x14ac:dyDescent="0.2">
      <c r="A126" s="143">
        <v>20</v>
      </c>
      <c r="B126" s="389"/>
      <c r="C126" s="389"/>
      <c r="D126" s="389"/>
      <c r="E126" s="389"/>
      <c r="F126" s="389"/>
      <c r="G126" s="389"/>
      <c r="H126" s="389"/>
      <c r="I126" s="18"/>
      <c r="J126" s="272"/>
      <c r="K126" s="273"/>
      <c r="L126" s="268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  <c r="AH126" s="193"/>
      <c r="AI126" s="193"/>
      <c r="AJ126" s="193"/>
      <c r="AK126" s="193"/>
      <c r="AL126" s="193"/>
      <c r="AM126" s="193"/>
      <c r="AN126" s="193"/>
      <c r="AO126" s="193"/>
      <c r="AP126" s="193"/>
      <c r="AQ126" s="193"/>
      <c r="AR126" s="193"/>
      <c r="AS126" s="193"/>
      <c r="AT126" s="193"/>
      <c r="AU126" s="193"/>
      <c r="AV126" s="193"/>
      <c r="AW126" s="193"/>
      <c r="AX126" s="193"/>
      <c r="AY126" s="194"/>
      <c r="AZ126" s="194"/>
      <c r="BA126" s="194"/>
      <c r="BB126" s="194"/>
      <c r="BC126" s="194"/>
      <c r="BD126" s="194"/>
      <c r="BE126" s="194"/>
      <c r="BF126" s="194"/>
      <c r="BG126" s="194"/>
      <c r="BH126" s="194"/>
      <c r="BI126" s="194"/>
      <c r="BJ126" s="194"/>
      <c r="BK126" s="194"/>
      <c r="BL126" s="194"/>
      <c r="BM126" s="194"/>
      <c r="BN126" s="194"/>
      <c r="BO126" s="194"/>
      <c r="BP126" s="194"/>
      <c r="BQ126" s="194"/>
      <c r="BR126" s="194"/>
      <c r="BS126" s="194"/>
      <c r="BT126" s="194"/>
      <c r="BU126" s="194"/>
      <c r="BV126" s="194"/>
      <c r="BW126" s="194"/>
      <c r="BX126" s="194"/>
      <c r="BY126" s="194"/>
      <c r="BZ126" s="195"/>
      <c r="CA126" s="195"/>
      <c r="CB126" s="196"/>
      <c r="CC126" s="196"/>
      <c r="CD126" s="196"/>
      <c r="CE126" s="196"/>
      <c r="CF126" s="196"/>
      <c r="CG126" s="196"/>
      <c r="CH126" s="196"/>
      <c r="CI126" s="196"/>
      <c r="CJ126" s="196"/>
      <c r="CK126" s="196"/>
      <c r="CL126" s="197"/>
      <c r="CM126" s="197"/>
      <c r="CN126" s="197"/>
      <c r="CO126" s="197"/>
      <c r="CP126" s="199"/>
      <c r="CQ126" s="201"/>
      <c r="CR126" s="259"/>
      <c r="CS126" s="124"/>
      <c r="CT126" s="329"/>
      <c r="CU126" s="329"/>
      <c r="CV126" s="329"/>
    </row>
    <row r="127" spans="1:100" s="125" customFormat="1" ht="15" customHeight="1" x14ac:dyDescent="0.2">
      <c r="A127" s="143">
        <v>21</v>
      </c>
      <c r="B127" s="389"/>
      <c r="C127" s="389"/>
      <c r="D127" s="389"/>
      <c r="E127" s="389"/>
      <c r="F127" s="389"/>
      <c r="G127" s="389"/>
      <c r="H127" s="389"/>
      <c r="I127" s="315"/>
      <c r="J127" s="272"/>
      <c r="K127" s="273"/>
      <c r="L127" s="268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3"/>
      <c r="AN127" s="193"/>
      <c r="AO127" s="193"/>
      <c r="AP127" s="193"/>
      <c r="AQ127" s="193"/>
      <c r="AR127" s="193"/>
      <c r="AS127" s="193"/>
      <c r="AT127" s="193"/>
      <c r="AU127" s="193"/>
      <c r="AV127" s="193"/>
      <c r="AW127" s="193"/>
      <c r="AX127" s="193"/>
      <c r="AY127" s="194"/>
      <c r="AZ127" s="194"/>
      <c r="BA127" s="194"/>
      <c r="BB127" s="194"/>
      <c r="BC127" s="194"/>
      <c r="BD127" s="194"/>
      <c r="BE127" s="194"/>
      <c r="BF127" s="194"/>
      <c r="BG127" s="194"/>
      <c r="BH127" s="194"/>
      <c r="BI127" s="194"/>
      <c r="BJ127" s="194"/>
      <c r="BK127" s="194"/>
      <c r="BL127" s="194"/>
      <c r="BM127" s="194"/>
      <c r="BN127" s="194"/>
      <c r="BO127" s="194"/>
      <c r="BP127" s="194"/>
      <c r="BQ127" s="194"/>
      <c r="BR127" s="194"/>
      <c r="BS127" s="194"/>
      <c r="BT127" s="194"/>
      <c r="BU127" s="194"/>
      <c r="BV127" s="194"/>
      <c r="BW127" s="194"/>
      <c r="BX127" s="194"/>
      <c r="BY127" s="194"/>
      <c r="BZ127" s="195"/>
      <c r="CA127" s="195"/>
      <c r="CB127" s="196"/>
      <c r="CC127" s="196"/>
      <c r="CD127" s="196"/>
      <c r="CE127" s="196"/>
      <c r="CF127" s="196"/>
      <c r="CG127" s="196"/>
      <c r="CH127" s="196"/>
      <c r="CI127" s="196"/>
      <c r="CJ127" s="196"/>
      <c r="CK127" s="196"/>
      <c r="CL127" s="197"/>
      <c r="CM127" s="197"/>
      <c r="CN127" s="197"/>
      <c r="CO127" s="197"/>
      <c r="CP127" s="199"/>
      <c r="CQ127" s="201"/>
      <c r="CR127" s="259"/>
      <c r="CS127" s="124"/>
      <c r="CT127" s="329"/>
      <c r="CU127" s="329"/>
      <c r="CV127" s="329"/>
    </row>
    <row r="128" spans="1:100" s="125" customFormat="1" ht="15" customHeight="1" x14ac:dyDescent="0.2">
      <c r="A128" s="143">
        <v>22</v>
      </c>
      <c r="B128" s="389"/>
      <c r="C128" s="389"/>
      <c r="D128" s="389"/>
      <c r="E128" s="389"/>
      <c r="F128" s="389"/>
      <c r="G128" s="389"/>
      <c r="H128" s="389"/>
      <c r="I128" s="315"/>
      <c r="J128" s="272"/>
      <c r="K128" s="273"/>
      <c r="L128" s="268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  <c r="AH128" s="193"/>
      <c r="AI128" s="193"/>
      <c r="AJ128" s="193"/>
      <c r="AK128" s="193"/>
      <c r="AL128" s="193"/>
      <c r="AM128" s="193"/>
      <c r="AN128" s="193"/>
      <c r="AO128" s="193"/>
      <c r="AP128" s="193"/>
      <c r="AQ128" s="193"/>
      <c r="AR128" s="193"/>
      <c r="AS128" s="193"/>
      <c r="AT128" s="193"/>
      <c r="AU128" s="193"/>
      <c r="AV128" s="193"/>
      <c r="AW128" s="193"/>
      <c r="AX128" s="193"/>
      <c r="AY128" s="194"/>
      <c r="AZ128" s="194"/>
      <c r="BA128" s="194"/>
      <c r="BB128" s="194"/>
      <c r="BC128" s="194"/>
      <c r="BD128" s="194"/>
      <c r="BE128" s="194"/>
      <c r="BF128" s="194"/>
      <c r="BG128" s="194"/>
      <c r="BH128" s="194"/>
      <c r="BI128" s="194"/>
      <c r="BJ128" s="194"/>
      <c r="BK128" s="194"/>
      <c r="BL128" s="194"/>
      <c r="BM128" s="194"/>
      <c r="BN128" s="194"/>
      <c r="BO128" s="194"/>
      <c r="BP128" s="194"/>
      <c r="BQ128" s="194"/>
      <c r="BR128" s="194"/>
      <c r="BS128" s="194"/>
      <c r="BT128" s="194"/>
      <c r="BU128" s="194"/>
      <c r="BV128" s="194"/>
      <c r="BW128" s="194"/>
      <c r="BX128" s="194"/>
      <c r="BY128" s="194"/>
      <c r="BZ128" s="195"/>
      <c r="CA128" s="195"/>
      <c r="CB128" s="196"/>
      <c r="CC128" s="196"/>
      <c r="CD128" s="196"/>
      <c r="CE128" s="196"/>
      <c r="CF128" s="196"/>
      <c r="CG128" s="196"/>
      <c r="CH128" s="196"/>
      <c r="CI128" s="196"/>
      <c r="CJ128" s="196"/>
      <c r="CK128" s="196"/>
      <c r="CL128" s="197"/>
      <c r="CM128" s="197"/>
      <c r="CN128" s="197"/>
      <c r="CO128" s="197"/>
      <c r="CP128" s="199"/>
      <c r="CQ128" s="201"/>
      <c r="CR128" s="259"/>
      <c r="CS128" s="124"/>
      <c r="CT128" s="329"/>
      <c r="CU128" s="329"/>
      <c r="CV128" s="329"/>
    </row>
    <row r="129" spans="1:104" s="125" customFormat="1" ht="15" customHeight="1" x14ac:dyDescent="0.2">
      <c r="A129" s="143">
        <v>23</v>
      </c>
      <c r="B129" s="389"/>
      <c r="C129" s="389"/>
      <c r="D129" s="389"/>
      <c r="E129" s="389"/>
      <c r="F129" s="389"/>
      <c r="G129" s="389"/>
      <c r="H129" s="389"/>
      <c r="I129" s="315"/>
      <c r="J129" s="272"/>
      <c r="K129" s="273"/>
      <c r="L129" s="268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  <c r="AU129" s="193"/>
      <c r="AV129" s="193"/>
      <c r="AW129" s="193"/>
      <c r="AX129" s="193"/>
      <c r="AY129" s="194"/>
      <c r="AZ129" s="194"/>
      <c r="BA129" s="194"/>
      <c r="BB129" s="194"/>
      <c r="BC129" s="194"/>
      <c r="BD129" s="194"/>
      <c r="BE129" s="194"/>
      <c r="BF129" s="194"/>
      <c r="BG129" s="194"/>
      <c r="BH129" s="194"/>
      <c r="BI129" s="194"/>
      <c r="BJ129" s="194"/>
      <c r="BK129" s="194"/>
      <c r="BL129" s="194"/>
      <c r="BM129" s="194"/>
      <c r="BN129" s="194"/>
      <c r="BO129" s="194"/>
      <c r="BP129" s="194"/>
      <c r="BQ129" s="194"/>
      <c r="BR129" s="194"/>
      <c r="BS129" s="194"/>
      <c r="BT129" s="194"/>
      <c r="BU129" s="194"/>
      <c r="BV129" s="194"/>
      <c r="BW129" s="194"/>
      <c r="BX129" s="194"/>
      <c r="BY129" s="194"/>
      <c r="BZ129" s="195"/>
      <c r="CA129" s="195"/>
      <c r="CB129" s="196"/>
      <c r="CC129" s="196"/>
      <c r="CD129" s="196"/>
      <c r="CE129" s="196"/>
      <c r="CF129" s="196"/>
      <c r="CG129" s="196"/>
      <c r="CH129" s="196"/>
      <c r="CI129" s="196"/>
      <c r="CJ129" s="196"/>
      <c r="CK129" s="196"/>
      <c r="CL129" s="197"/>
      <c r="CM129" s="197"/>
      <c r="CN129" s="197"/>
      <c r="CO129" s="197"/>
      <c r="CP129" s="199"/>
      <c r="CQ129" s="201"/>
      <c r="CR129" s="259"/>
      <c r="CS129" s="124"/>
      <c r="CT129" s="329"/>
      <c r="CU129" s="329"/>
      <c r="CV129" s="329"/>
    </row>
    <row r="130" spans="1:104" s="125" customFormat="1" ht="15" customHeight="1" x14ac:dyDescent="0.2">
      <c r="A130" s="143">
        <v>24</v>
      </c>
      <c r="B130" s="389"/>
      <c r="C130" s="389"/>
      <c r="D130" s="389"/>
      <c r="E130" s="389"/>
      <c r="F130" s="389"/>
      <c r="G130" s="389"/>
      <c r="H130" s="389"/>
      <c r="I130" s="315"/>
      <c r="J130" s="272"/>
      <c r="K130" s="273"/>
      <c r="L130" s="268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  <c r="AU130" s="193"/>
      <c r="AV130" s="193"/>
      <c r="AW130" s="193"/>
      <c r="AX130" s="193"/>
      <c r="AY130" s="194"/>
      <c r="AZ130" s="194"/>
      <c r="BA130" s="194"/>
      <c r="BB130" s="194"/>
      <c r="BC130" s="194"/>
      <c r="BD130" s="194"/>
      <c r="BE130" s="194"/>
      <c r="BF130" s="194"/>
      <c r="BG130" s="194"/>
      <c r="BH130" s="194"/>
      <c r="BI130" s="194"/>
      <c r="BJ130" s="194"/>
      <c r="BK130" s="194"/>
      <c r="BL130" s="194"/>
      <c r="BM130" s="194"/>
      <c r="BN130" s="194"/>
      <c r="BO130" s="194"/>
      <c r="BP130" s="194"/>
      <c r="BQ130" s="194"/>
      <c r="BR130" s="194"/>
      <c r="BS130" s="194"/>
      <c r="BT130" s="194"/>
      <c r="BU130" s="194"/>
      <c r="BV130" s="194"/>
      <c r="BW130" s="194"/>
      <c r="BX130" s="194"/>
      <c r="BY130" s="194"/>
      <c r="BZ130" s="195"/>
      <c r="CA130" s="195"/>
      <c r="CB130" s="196"/>
      <c r="CC130" s="196"/>
      <c r="CD130" s="196"/>
      <c r="CE130" s="196"/>
      <c r="CF130" s="196"/>
      <c r="CG130" s="196"/>
      <c r="CH130" s="196"/>
      <c r="CI130" s="196"/>
      <c r="CJ130" s="196"/>
      <c r="CK130" s="196"/>
      <c r="CL130" s="197"/>
      <c r="CM130" s="197"/>
      <c r="CN130" s="197"/>
      <c r="CO130" s="197"/>
      <c r="CP130" s="199"/>
      <c r="CQ130" s="201"/>
      <c r="CR130" s="259"/>
      <c r="CS130" s="124"/>
      <c r="CT130" s="329"/>
      <c r="CU130" s="329"/>
      <c r="CV130" s="329"/>
    </row>
    <row r="131" spans="1:104" s="125" customFormat="1" ht="15" customHeight="1" thickBot="1" x14ac:dyDescent="0.25">
      <c r="A131" s="143"/>
      <c r="B131" s="389"/>
      <c r="C131" s="389"/>
      <c r="D131" s="389"/>
      <c r="E131" s="389"/>
      <c r="F131" s="389"/>
      <c r="G131" s="389"/>
      <c r="H131" s="389"/>
      <c r="I131" s="7"/>
      <c r="J131" s="274"/>
      <c r="K131" s="275"/>
      <c r="L131" s="269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60"/>
      <c r="AL131" s="26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260"/>
      <c r="AY131" s="261"/>
      <c r="AZ131" s="261"/>
      <c r="BA131" s="261"/>
      <c r="BB131" s="261"/>
      <c r="BC131" s="261"/>
      <c r="BD131" s="261"/>
      <c r="BE131" s="261"/>
      <c r="BF131" s="261"/>
      <c r="BG131" s="261"/>
      <c r="BH131" s="261"/>
      <c r="BI131" s="261"/>
      <c r="BJ131" s="261"/>
      <c r="BK131" s="261"/>
      <c r="BL131" s="261"/>
      <c r="BM131" s="261"/>
      <c r="BN131" s="261"/>
      <c r="BO131" s="261"/>
      <c r="BP131" s="261"/>
      <c r="BQ131" s="261"/>
      <c r="BR131" s="261"/>
      <c r="BS131" s="261"/>
      <c r="BT131" s="261"/>
      <c r="BU131" s="261"/>
      <c r="BV131" s="261"/>
      <c r="BW131" s="261"/>
      <c r="BX131" s="261"/>
      <c r="BY131" s="261"/>
      <c r="BZ131" s="262"/>
      <c r="CA131" s="262"/>
      <c r="CB131" s="263"/>
      <c r="CC131" s="263"/>
      <c r="CD131" s="263"/>
      <c r="CE131" s="263"/>
      <c r="CF131" s="263"/>
      <c r="CG131" s="263"/>
      <c r="CH131" s="263"/>
      <c r="CI131" s="263"/>
      <c r="CJ131" s="263"/>
      <c r="CK131" s="263"/>
      <c r="CL131" s="264"/>
      <c r="CM131" s="264"/>
      <c r="CN131" s="264"/>
      <c r="CO131" s="264"/>
      <c r="CP131" s="265"/>
      <c r="CQ131" s="202"/>
      <c r="CR131" s="266"/>
      <c r="CS131" s="124"/>
      <c r="CT131" s="144"/>
      <c r="CU131" s="144"/>
      <c r="CV131" s="144"/>
    </row>
    <row r="132" spans="1:104" s="128" customFormat="1" thickBot="1" x14ac:dyDescent="0.25">
      <c r="A132" s="451"/>
      <c r="B132" s="452"/>
      <c r="C132" s="452"/>
      <c r="D132" s="452"/>
      <c r="E132" s="452"/>
      <c r="F132" s="452"/>
      <c r="G132" s="452"/>
      <c r="H132" s="452"/>
      <c r="I132" s="453"/>
      <c r="J132" s="248">
        <f t="shared" ref="J132:AO132" si="19">SUM(J106:J131)</f>
        <v>0</v>
      </c>
      <c r="K132" s="249">
        <f t="shared" si="19"/>
        <v>0</v>
      </c>
      <c r="L132" s="145">
        <f t="shared" si="19"/>
        <v>0</v>
      </c>
      <c r="M132" s="146">
        <f t="shared" si="19"/>
        <v>0</v>
      </c>
      <c r="N132" s="146">
        <f>SUM(N106:N131)</f>
        <v>0</v>
      </c>
      <c r="O132" s="146">
        <f t="shared" si="19"/>
        <v>0</v>
      </c>
      <c r="P132" s="146">
        <f t="shared" si="19"/>
        <v>0</v>
      </c>
      <c r="Q132" s="146">
        <f t="shared" si="19"/>
        <v>0</v>
      </c>
      <c r="R132" s="146">
        <f t="shared" si="19"/>
        <v>0</v>
      </c>
      <c r="S132" s="146">
        <f t="shared" si="19"/>
        <v>0</v>
      </c>
      <c r="T132" s="146">
        <f t="shared" si="19"/>
        <v>0</v>
      </c>
      <c r="U132" s="146">
        <f t="shared" si="19"/>
        <v>0</v>
      </c>
      <c r="V132" s="146">
        <f t="shared" si="19"/>
        <v>0</v>
      </c>
      <c r="W132" s="146">
        <f t="shared" si="19"/>
        <v>0</v>
      </c>
      <c r="X132" s="146">
        <f t="shared" si="19"/>
        <v>0</v>
      </c>
      <c r="Y132" s="146">
        <f t="shared" si="19"/>
        <v>0</v>
      </c>
      <c r="Z132" s="146">
        <f t="shared" si="19"/>
        <v>0</v>
      </c>
      <c r="AA132" s="146">
        <f t="shared" si="19"/>
        <v>0</v>
      </c>
      <c r="AB132" s="146">
        <f t="shared" si="19"/>
        <v>0</v>
      </c>
      <c r="AC132" s="146">
        <f t="shared" si="19"/>
        <v>0</v>
      </c>
      <c r="AD132" s="146">
        <f t="shared" si="19"/>
        <v>0</v>
      </c>
      <c r="AE132" s="146">
        <f t="shared" si="19"/>
        <v>0</v>
      </c>
      <c r="AF132" s="146">
        <f t="shared" si="19"/>
        <v>0</v>
      </c>
      <c r="AG132" s="146">
        <f t="shared" si="19"/>
        <v>0</v>
      </c>
      <c r="AH132" s="146">
        <f t="shared" si="19"/>
        <v>0</v>
      </c>
      <c r="AI132" s="146">
        <f t="shared" si="19"/>
        <v>0</v>
      </c>
      <c r="AJ132" s="146">
        <f t="shared" si="19"/>
        <v>0</v>
      </c>
      <c r="AK132" s="146">
        <f t="shared" si="19"/>
        <v>0</v>
      </c>
      <c r="AL132" s="146">
        <f t="shared" si="19"/>
        <v>0</v>
      </c>
      <c r="AM132" s="146">
        <f t="shared" si="19"/>
        <v>0</v>
      </c>
      <c r="AN132" s="146">
        <f t="shared" si="19"/>
        <v>0</v>
      </c>
      <c r="AO132" s="146">
        <f t="shared" si="19"/>
        <v>0</v>
      </c>
      <c r="AP132" s="146">
        <f t="shared" ref="AP132:BU132" si="20">SUM(AP106:AP131)</f>
        <v>0</v>
      </c>
      <c r="AQ132" s="146">
        <f t="shared" si="20"/>
        <v>0</v>
      </c>
      <c r="AR132" s="146">
        <f t="shared" si="20"/>
        <v>0</v>
      </c>
      <c r="AS132" s="146">
        <f t="shared" si="20"/>
        <v>0</v>
      </c>
      <c r="AT132" s="146">
        <f t="shared" si="20"/>
        <v>0</v>
      </c>
      <c r="AU132" s="146">
        <f t="shared" si="20"/>
        <v>0</v>
      </c>
      <c r="AV132" s="146">
        <f t="shared" si="20"/>
        <v>0</v>
      </c>
      <c r="AW132" s="146">
        <f t="shared" si="20"/>
        <v>0</v>
      </c>
      <c r="AX132" s="146">
        <f t="shared" si="20"/>
        <v>0</v>
      </c>
      <c r="AY132" s="147">
        <f t="shared" si="20"/>
        <v>0</v>
      </c>
      <c r="AZ132" s="147">
        <f t="shared" si="20"/>
        <v>0</v>
      </c>
      <c r="BA132" s="147">
        <f t="shared" si="20"/>
        <v>0</v>
      </c>
      <c r="BB132" s="147">
        <f t="shared" si="20"/>
        <v>0</v>
      </c>
      <c r="BC132" s="147">
        <f t="shared" si="20"/>
        <v>0</v>
      </c>
      <c r="BD132" s="147">
        <f t="shared" si="20"/>
        <v>0</v>
      </c>
      <c r="BE132" s="147">
        <f t="shared" si="20"/>
        <v>0</v>
      </c>
      <c r="BF132" s="147">
        <f t="shared" si="20"/>
        <v>0</v>
      </c>
      <c r="BG132" s="147">
        <f t="shared" si="20"/>
        <v>0</v>
      </c>
      <c r="BH132" s="147">
        <f t="shared" si="20"/>
        <v>0</v>
      </c>
      <c r="BI132" s="147">
        <f t="shared" si="20"/>
        <v>0</v>
      </c>
      <c r="BJ132" s="147">
        <f t="shared" si="20"/>
        <v>0</v>
      </c>
      <c r="BK132" s="147">
        <f t="shared" si="20"/>
        <v>0</v>
      </c>
      <c r="BL132" s="147">
        <f t="shared" si="20"/>
        <v>0</v>
      </c>
      <c r="BM132" s="147">
        <f t="shared" si="20"/>
        <v>0</v>
      </c>
      <c r="BN132" s="147">
        <f t="shared" si="20"/>
        <v>0</v>
      </c>
      <c r="BO132" s="147">
        <f t="shared" si="20"/>
        <v>0</v>
      </c>
      <c r="BP132" s="147">
        <f t="shared" si="20"/>
        <v>0</v>
      </c>
      <c r="BQ132" s="147">
        <f t="shared" si="20"/>
        <v>0</v>
      </c>
      <c r="BR132" s="147">
        <f t="shared" si="20"/>
        <v>0</v>
      </c>
      <c r="BS132" s="147">
        <f t="shared" si="20"/>
        <v>0</v>
      </c>
      <c r="BT132" s="147">
        <f t="shared" si="20"/>
        <v>0</v>
      </c>
      <c r="BU132" s="147">
        <f t="shared" si="20"/>
        <v>0</v>
      </c>
      <c r="BV132" s="147">
        <f t="shared" ref="BV132:CQ132" si="21">SUM(BV106:BV131)</f>
        <v>0</v>
      </c>
      <c r="BW132" s="147">
        <f t="shared" si="21"/>
        <v>0</v>
      </c>
      <c r="BX132" s="147">
        <f t="shared" si="21"/>
        <v>0</v>
      </c>
      <c r="BY132" s="147">
        <f t="shared" si="21"/>
        <v>0</v>
      </c>
      <c r="BZ132" s="148">
        <f t="shared" si="21"/>
        <v>0</v>
      </c>
      <c r="CA132" s="148">
        <f t="shared" si="21"/>
        <v>0</v>
      </c>
      <c r="CB132" s="148">
        <f t="shared" si="21"/>
        <v>0</v>
      </c>
      <c r="CC132" s="148">
        <f t="shared" si="21"/>
        <v>0</v>
      </c>
      <c r="CD132" s="148">
        <f t="shared" si="21"/>
        <v>0</v>
      </c>
      <c r="CE132" s="148">
        <f t="shared" si="21"/>
        <v>0</v>
      </c>
      <c r="CF132" s="148">
        <f t="shared" si="21"/>
        <v>0</v>
      </c>
      <c r="CG132" s="148">
        <f t="shared" si="21"/>
        <v>0</v>
      </c>
      <c r="CH132" s="148">
        <f t="shared" si="21"/>
        <v>0</v>
      </c>
      <c r="CI132" s="148">
        <f t="shared" si="21"/>
        <v>0</v>
      </c>
      <c r="CJ132" s="148">
        <f t="shared" si="21"/>
        <v>0</v>
      </c>
      <c r="CK132" s="148">
        <f t="shared" si="21"/>
        <v>0</v>
      </c>
      <c r="CL132" s="148">
        <f t="shared" si="21"/>
        <v>0</v>
      </c>
      <c r="CM132" s="148">
        <f t="shared" si="21"/>
        <v>0</v>
      </c>
      <c r="CN132" s="148">
        <f t="shared" si="21"/>
        <v>0</v>
      </c>
      <c r="CO132" s="148">
        <f t="shared" si="21"/>
        <v>0</v>
      </c>
      <c r="CP132" s="148">
        <f t="shared" si="21"/>
        <v>0</v>
      </c>
      <c r="CQ132" s="250">
        <f t="shared" si="21"/>
        <v>0</v>
      </c>
      <c r="CR132" s="250">
        <f>SUM(CR106:CR131)</f>
        <v>0</v>
      </c>
      <c r="CS132" s="149"/>
      <c r="CT132" s="150">
        <f>SUM(CT106:CT131)</f>
        <v>0</v>
      </c>
      <c r="CU132" s="151">
        <f>SUM(CU106:CU131)</f>
        <v>0</v>
      </c>
      <c r="CV132" s="318">
        <f>SUM(CV106:CV131)</f>
        <v>0</v>
      </c>
      <c r="CZ132" s="125"/>
    </row>
    <row r="133" spans="1:104" s="128" customFormat="1" thickBot="1" x14ac:dyDescent="0.25">
      <c r="A133" s="127"/>
      <c r="B133" s="386"/>
      <c r="C133" s="386"/>
      <c r="D133" s="386"/>
      <c r="E133" s="386"/>
      <c r="F133" s="386"/>
      <c r="G133" s="386"/>
      <c r="H133" s="386"/>
      <c r="I133" s="13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52"/>
      <c r="BL133" s="152"/>
      <c r="BM133" s="152"/>
      <c r="BN133" s="152"/>
      <c r="BO133" s="152"/>
      <c r="BP133" s="152"/>
      <c r="BQ133" s="152"/>
      <c r="BR133" s="152"/>
      <c r="BS133" s="152"/>
      <c r="BT133" s="152"/>
      <c r="BU133" s="152"/>
      <c r="BV133" s="296"/>
      <c r="BW133" s="296"/>
      <c r="BX133" s="186"/>
      <c r="BY133" s="187"/>
      <c r="BZ133" s="187"/>
      <c r="CA133" s="187"/>
      <c r="CB133" s="187"/>
      <c r="CC133" s="187"/>
      <c r="CD133" s="187"/>
      <c r="CE133" s="187"/>
      <c r="CF133" s="187"/>
      <c r="CG133" s="187"/>
      <c r="CH133" s="187"/>
      <c r="CI133" s="187"/>
      <c r="CJ133" s="187"/>
      <c r="CK133" s="187"/>
      <c r="CL133" s="187"/>
      <c r="CM133" s="187"/>
      <c r="CN133" s="187"/>
      <c r="CO133" s="187"/>
      <c r="CP133" s="188"/>
      <c r="CQ133" s="153" t="s">
        <v>139</v>
      </c>
      <c r="CR133" s="153">
        <f>CR132-CQ132</f>
        <v>0</v>
      </c>
      <c r="CS133" s="149"/>
      <c r="CT133" s="154">
        <v>0</v>
      </c>
      <c r="CU133" s="154">
        <f>SUM(CU132/2)</f>
        <v>0</v>
      </c>
      <c r="CV133" s="154">
        <f>CV132</f>
        <v>0</v>
      </c>
      <c r="CZ133" s="125"/>
    </row>
    <row r="134" spans="1:104" s="128" customFormat="1" thickBot="1" x14ac:dyDescent="0.25">
      <c r="A134" s="155"/>
      <c r="B134" s="390"/>
      <c r="C134" s="390"/>
      <c r="D134" s="390"/>
      <c r="E134" s="390"/>
      <c r="F134" s="390"/>
      <c r="G134" s="390"/>
      <c r="H134" s="390"/>
      <c r="I134" s="155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  <c r="BK134" s="127"/>
      <c r="BL134" s="127"/>
      <c r="BM134" s="127"/>
      <c r="BN134" s="127"/>
      <c r="BO134" s="127"/>
      <c r="BP134" s="127"/>
      <c r="BQ134" s="127"/>
      <c r="BR134" s="127"/>
      <c r="BS134" s="127"/>
      <c r="BT134" s="127"/>
      <c r="BU134" s="127"/>
      <c r="BV134" s="127"/>
      <c r="BW134" s="127"/>
      <c r="BX134" s="155"/>
      <c r="BY134" s="155"/>
      <c r="BZ134" s="155"/>
      <c r="CA134" s="155"/>
      <c r="CB134" s="155"/>
      <c r="CC134" s="155"/>
      <c r="CD134" s="155"/>
      <c r="CE134" s="155"/>
      <c r="CF134" s="155"/>
      <c r="CG134" s="155"/>
      <c r="CH134" s="155"/>
      <c r="CI134" s="155"/>
      <c r="CJ134" s="155"/>
      <c r="CK134" s="155"/>
      <c r="CL134" s="155"/>
      <c r="CM134" s="155"/>
      <c r="CN134" s="155"/>
      <c r="CO134" s="155"/>
      <c r="CP134" s="185"/>
      <c r="CQ134" s="156" t="s">
        <v>140</v>
      </c>
      <c r="CR134" s="157">
        <f>IF(CR133=0,0,CR133/CR132)</f>
        <v>0</v>
      </c>
      <c r="CS134" s="127"/>
      <c r="CZ134" s="125"/>
    </row>
    <row r="135" spans="1:104" s="159" customFormat="1" ht="12" x14ac:dyDescent="0.2">
      <c r="A135" s="158"/>
      <c r="B135" s="391"/>
      <c r="C135" s="391"/>
      <c r="D135" s="391"/>
      <c r="E135" s="391"/>
      <c r="F135" s="391"/>
      <c r="G135" s="391"/>
      <c r="H135" s="391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  <c r="BN135" s="158"/>
      <c r="BO135" s="158"/>
      <c r="BP135" s="158"/>
      <c r="BQ135" s="158"/>
      <c r="BR135" s="158"/>
      <c r="BS135" s="158"/>
      <c r="BT135" s="158"/>
      <c r="BU135" s="158"/>
      <c r="BV135" s="158"/>
      <c r="BW135" s="158"/>
      <c r="BX135" s="158"/>
      <c r="BY135" s="158"/>
      <c r="BZ135" s="158"/>
      <c r="CA135" s="158"/>
      <c r="CB135" s="158"/>
      <c r="CC135" s="158"/>
      <c r="CD135" s="158"/>
      <c r="CE135" s="158"/>
      <c r="CF135" s="158"/>
      <c r="CG135" s="158"/>
      <c r="CH135" s="158"/>
      <c r="CI135" s="158"/>
      <c r="CJ135" s="158"/>
      <c r="CK135" s="158"/>
      <c r="CL135" s="158"/>
      <c r="CM135" s="158"/>
      <c r="CN135" s="158"/>
      <c r="CO135" s="127"/>
      <c r="CP135" s="158"/>
      <c r="CQ135" s="158"/>
      <c r="CR135" s="189"/>
      <c r="CZ135" s="125"/>
    </row>
    <row r="136" spans="1:104" ht="12.75" customHeight="1" thickBot="1" x14ac:dyDescent="0.25">
      <c r="BX136" s="108"/>
      <c r="BY136" s="108"/>
      <c r="BZ136" s="108"/>
      <c r="CA136" s="108"/>
      <c r="CB136" s="108"/>
      <c r="CC136" s="108"/>
      <c r="CD136" s="108"/>
      <c r="CE136" s="108"/>
      <c r="CF136" s="108"/>
      <c r="CG136" s="108"/>
      <c r="CH136" s="108"/>
      <c r="CI136" s="108"/>
      <c r="CJ136" s="108"/>
      <c r="CK136" s="108"/>
      <c r="CL136" s="108"/>
      <c r="CM136" s="108"/>
      <c r="CN136" s="108"/>
      <c r="CO136" s="108"/>
      <c r="CP136" s="108"/>
      <c r="CQ136" s="108"/>
      <c r="CZ136" s="125"/>
    </row>
    <row r="137" spans="1:104" ht="28.35" customHeight="1" thickBot="1" x14ac:dyDescent="0.25">
      <c r="A137" s="459" t="s">
        <v>144</v>
      </c>
      <c r="B137" s="460"/>
      <c r="C137" s="460"/>
      <c r="D137" s="460"/>
      <c r="E137" s="460"/>
      <c r="F137" s="460"/>
      <c r="G137" s="460"/>
      <c r="H137" s="460"/>
      <c r="I137" s="460"/>
      <c r="J137" s="445" t="s">
        <v>145</v>
      </c>
      <c r="K137" s="447"/>
      <c r="L137" s="445" t="s">
        <v>146</v>
      </c>
      <c r="M137" s="446"/>
      <c r="N137" s="446"/>
      <c r="O137" s="446"/>
      <c r="P137" s="446"/>
      <c r="Q137" s="446"/>
      <c r="R137" s="446"/>
      <c r="S137" s="446"/>
      <c r="T137" s="446"/>
      <c r="U137" s="446"/>
      <c r="V137" s="446"/>
      <c r="W137" s="446"/>
      <c r="X137" s="446"/>
      <c r="Y137" s="446"/>
      <c r="Z137" s="446"/>
      <c r="AA137" s="446"/>
      <c r="AB137" s="446"/>
      <c r="AC137" s="446"/>
      <c r="AD137" s="446"/>
      <c r="AE137" s="446"/>
      <c r="AF137" s="446"/>
      <c r="AG137" s="446"/>
      <c r="AH137" s="446"/>
      <c r="AI137" s="446"/>
      <c r="AJ137" s="446"/>
      <c r="AK137" s="446"/>
      <c r="AL137" s="446"/>
      <c r="AM137" s="446"/>
      <c r="AN137" s="446"/>
      <c r="AO137" s="446"/>
      <c r="AP137" s="446"/>
      <c r="AQ137" s="446"/>
      <c r="AR137" s="446"/>
      <c r="AS137" s="446"/>
      <c r="AT137" s="446"/>
      <c r="AU137" s="446"/>
      <c r="AV137" s="446"/>
      <c r="AW137" s="446"/>
      <c r="AX137" s="446"/>
      <c r="AY137" s="446"/>
      <c r="AZ137" s="446"/>
      <c r="BA137" s="446"/>
      <c r="BB137" s="446"/>
      <c r="BC137" s="446"/>
      <c r="BD137" s="446"/>
      <c r="BE137" s="446"/>
      <c r="BF137" s="446"/>
      <c r="BG137" s="446"/>
      <c r="BH137" s="446"/>
      <c r="BI137" s="446"/>
      <c r="BJ137" s="446"/>
      <c r="BK137" s="446"/>
      <c r="BL137" s="446"/>
      <c r="BM137" s="446"/>
      <c r="BN137" s="446"/>
      <c r="BO137" s="446"/>
      <c r="BP137" s="446"/>
      <c r="BQ137" s="446"/>
      <c r="BR137" s="446"/>
      <c r="BS137" s="446"/>
      <c r="BT137" s="446"/>
      <c r="BU137" s="446"/>
      <c r="BV137" s="446"/>
      <c r="BW137" s="446"/>
      <c r="BX137" s="446"/>
      <c r="BY137" s="447"/>
      <c r="BZ137" s="445" t="s">
        <v>147</v>
      </c>
      <c r="CA137" s="446"/>
      <c r="CB137" s="446"/>
      <c r="CC137" s="446"/>
      <c r="CD137" s="446"/>
      <c r="CE137" s="446"/>
      <c r="CF137" s="446"/>
      <c r="CG137" s="446"/>
      <c r="CH137" s="446"/>
      <c r="CI137" s="446"/>
      <c r="CJ137" s="446"/>
      <c r="CK137" s="446"/>
      <c r="CL137" s="446"/>
      <c r="CM137" s="446"/>
      <c r="CN137" s="446"/>
      <c r="CO137" s="446"/>
      <c r="CP137" s="447"/>
      <c r="CQ137" s="161"/>
      <c r="CR137" s="190"/>
      <c r="CZ137" s="125"/>
    </row>
    <row r="138" spans="1:104" x14ac:dyDescent="0.2">
      <c r="A138" s="284">
        <f t="shared" ref="A138:I157" si="22">A12</f>
        <v>1</v>
      </c>
      <c r="B138" s="393"/>
      <c r="C138" s="393"/>
      <c r="D138" s="393"/>
      <c r="E138" s="393"/>
      <c r="F138" s="393"/>
      <c r="G138" s="393"/>
      <c r="H138" s="393"/>
      <c r="I138" s="285">
        <f t="shared" si="22"/>
        <v>0</v>
      </c>
      <c r="J138" s="225"/>
      <c r="K138" s="226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27"/>
      <c r="AZ138" s="227"/>
      <c r="BA138" s="227"/>
      <c r="BB138" s="227"/>
      <c r="BC138" s="227"/>
      <c r="BD138" s="227"/>
      <c r="BE138" s="227"/>
      <c r="BF138" s="227"/>
      <c r="BG138" s="227"/>
      <c r="BH138" s="227"/>
      <c r="BI138" s="227"/>
      <c r="BJ138" s="227"/>
      <c r="BK138" s="227"/>
      <c r="BL138" s="227"/>
      <c r="BM138" s="227"/>
      <c r="BN138" s="227"/>
      <c r="BO138" s="227"/>
      <c r="BP138" s="227"/>
      <c r="BQ138" s="227"/>
      <c r="BR138" s="227"/>
      <c r="BS138" s="227"/>
      <c r="BT138" s="227"/>
      <c r="BU138" s="227"/>
      <c r="BV138" s="227"/>
      <c r="BW138" s="227"/>
      <c r="BX138" s="227"/>
      <c r="BY138" s="227"/>
      <c r="BZ138" s="228"/>
      <c r="CA138" s="319"/>
      <c r="CB138" s="228"/>
      <c r="CC138" s="228"/>
      <c r="CD138" s="228"/>
      <c r="CE138" s="306"/>
      <c r="CF138" s="306"/>
      <c r="CG138" s="228"/>
      <c r="CH138" s="228"/>
      <c r="CI138" s="228"/>
      <c r="CJ138" s="228"/>
      <c r="CK138" s="228"/>
      <c r="CL138" s="228"/>
      <c r="CM138" s="228"/>
      <c r="CN138" s="229"/>
      <c r="CO138" s="306"/>
      <c r="CP138" s="228"/>
      <c r="CQ138" s="231"/>
      <c r="CR138" s="190"/>
      <c r="CZ138" s="125"/>
    </row>
    <row r="139" spans="1:104" x14ac:dyDescent="0.2">
      <c r="A139" s="286">
        <f t="shared" si="22"/>
        <v>2</v>
      </c>
      <c r="B139" s="394"/>
      <c r="C139" s="394"/>
      <c r="D139" s="394"/>
      <c r="E139" s="394"/>
      <c r="F139" s="394"/>
      <c r="G139" s="394"/>
      <c r="H139" s="394"/>
      <c r="I139" s="280">
        <f t="shared" si="22"/>
        <v>0</v>
      </c>
      <c r="J139" s="218"/>
      <c r="K139" s="219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1"/>
      <c r="AZ139" s="221"/>
      <c r="BA139" s="221"/>
      <c r="BB139" s="221"/>
      <c r="BC139" s="221"/>
      <c r="BD139" s="194"/>
      <c r="BE139" s="194"/>
      <c r="BF139" s="194"/>
      <c r="BG139" s="194"/>
      <c r="BH139" s="194"/>
      <c r="BI139" s="194"/>
      <c r="BJ139" s="194"/>
      <c r="BK139" s="194"/>
      <c r="BL139" s="194"/>
      <c r="BM139" s="194"/>
      <c r="BN139" s="194"/>
      <c r="BO139" s="194"/>
      <c r="BP139" s="194"/>
      <c r="BQ139" s="194"/>
      <c r="BR139" s="194"/>
      <c r="BS139" s="194"/>
      <c r="BT139" s="194"/>
      <c r="BU139" s="194"/>
      <c r="BV139" s="194"/>
      <c r="BW139" s="194"/>
      <c r="BX139" s="194"/>
      <c r="BY139" s="221"/>
      <c r="BZ139" s="222"/>
      <c r="CA139" s="222"/>
      <c r="CB139" s="222"/>
      <c r="CC139" s="222"/>
      <c r="CD139" s="222"/>
      <c r="CE139" s="222"/>
      <c r="CF139" s="222"/>
      <c r="CG139" s="222"/>
      <c r="CH139" s="222"/>
      <c r="CI139" s="222"/>
      <c r="CJ139" s="222"/>
      <c r="CK139" s="222"/>
      <c r="CL139" s="222"/>
      <c r="CM139" s="222"/>
      <c r="CN139" s="222"/>
      <c r="CO139" s="222"/>
      <c r="CP139" s="222"/>
      <c r="CQ139" s="278"/>
      <c r="CR139" s="190"/>
      <c r="CZ139" s="125"/>
    </row>
    <row r="140" spans="1:104" x14ac:dyDescent="0.2">
      <c r="A140" s="286">
        <f t="shared" si="22"/>
        <v>3</v>
      </c>
      <c r="B140" s="394"/>
      <c r="C140" s="394"/>
      <c r="D140" s="394"/>
      <c r="E140" s="394"/>
      <c r="F140" s="394"/>
      <c r="G140" s="394"/>
      <c r="H140" s="394"/>
      <c r="I140" s="280">
        <f t="shared" si="22"/>
        <v>0</v>
      </c>
      <c r="J140" s="218"/>
      <c r="K140" s="219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1"/>
      <c r="AZ140" s="221"/>
      <c r="BA140" s="221"/>
      <c r="BB140" s="221"/>
      <c r="BC140" s="221"/>
      <c r="BD140" s="194"/>
      <c r="BE140" s="302"/>
      <c r="BF140" s="194"/>
      <c r="BG140" s="194"/>
      <c r="BH140" s="194"/>
      <c r="BI140" s="194"/>
      <c r="BJ140" s="194"/>
      <c r="BK140" s="194"/>
      <c r="BL140" s="194"/>
      <c r="BM140" s="194"/>
      <c r="BN140" s="194"/>
      <c r="BO140" s="302"/>
      <c r="BP140" s="194"/>
      <c r="BQ140" s="194"/>
      <c r="BR140" s="194"/>
      <c r="BS140" s="194"/>
      <c r="BT140" s="194"/>
      <c r="BU140" s="194"/>
      <c r="BV140" s="194"/>
      <c r="BW140" s="194"/>
      <c r="BX140" s="194"/>
      <c r="BY140" s="221"/>
      <c r="BZ140" s="222"/>
      <c r="CA140" s="222"/>
      <c r="CB140" s="222"/>
      <c r="CC140" s="222"/>
      <c r="CD140" s="222"/>
      <c r="CE140" s="222"/>
      <c r="CF140" s="222"/>
      <c r="CG140" s="222"/>
      <c r="CH140" s="222"/>
      <c r="CI140" s="222"/>
      <c r="CJ140" s="222"/>
      <c r="CK140" s="222"/>
      <c r="CL140" s="222"/>
      <c r="CM140" s="222"/>
      <c r="CN140" s="222"/>
      <c r="CO140" s="222"/>
      <c r="CP140" s="222"/>
      <c r="CQ140" s="278"/>
      <c r="CR140" s="190"/>
      <c r="CZ140" s="125"/>
    </row>
    <row r="141" spans="1:104" x14ac:dyDescent="0.2">
      <c r="A141" s="286">
        <f t="shared" si="22"/>
        <v>4</v>
      </c>
      <c r="B141" s="394"/>
      <c r="C141" s="394"/>
      <c r="D141" s="394"/>
      <c r="E141" s="394"/>
      <c r="F141" s="394"/>
      <c r="G141" s="394"/>
      <c r="H141" s="394"/>
      <c r="I141" s="280">
        <f t="shared" si="22"/>
        <v>0</v>
      </c>
      <c r="J141" s="218"/>
      <c r="K141" s="219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1"/>
      <c r="AZ141" s="221"/>
      <c r="BA141" s="221"/>
      <c r="BB141" s="221"/>
      <c r="BC141" s="221"/>
      <c r="BD141" s="194"/>
      <c r="BE141" s="302"/>
      <c r="BF141" s="194"/>
      <c r="BG141" s="194"/>
      <c r="BH141" s="194"/>
      <c r="BI141" s="194"/>
      <c r="BJ141" s="194"/>
      <c r="BK141" s="194"/>
      <c r="BL141" s="194"/>
      <c r="BM141" s="194"/>
      <c r="BN141" s="194"/>
      <c r="BO141" s="194"/>
      <c r="BP141" s="194"/>
      <c r="BQ141" s="194"/>
      <c r="BR141" s="194"/>
      <c r="BS141" s="194"/>
      <c r="BT141" s="194"/>
      <c r="BU141" s="194"/>
      <c r="BV141" s="194"/>
      <c r="BW141" s="194"/>
      <c r="BX141" s="194"/>
      <c r="BY141" s="302"/>
      <c r="BZ141" s="222"/>
      <c r="CA141" s="222"/>
      <c r="CB141" s="222"/>
      <c r="CC141" s="222"/>
      <c r="CD141" s="222"/>
      <c r="CE141" s="222"/>
      <c r="CF141" s="222"/>
      <c r="CG141" s="222"/>
      <c r="CH141" s="222"/>
      <c r="CI141" s="222"/>
      <c r="CJ141" s="222"/>
      <c r="CK141" s="222"/>
      <c r="CL141" s="222"/>
      <c r="CM141" s="222"/>
      <c r="CN141" s="222"/>
      <c r="CO141" s="243"/>
      <c r="CP141" s="222"/>
      <c r="CQ141" s="278"/>
      <c r="CR141" s="190"/>
    </row>
    <row r="142" spans="1:104" x14ac:dyDescent="0.2">
      <c r="A142" s="286">
        <f t="shared" si="22"/>
        <v>5</v>
      </c>
      <c r="B142" s="394"/>
      <c r="C142" s="394"/>
      <c r="D142" s="394"/>
      <c r="E142" s="394"/>
      <c r="F142" s="394"/>
      <c r="G142" s="394"/>
      <c r="H142" s="394"/>
      <c r="I142" s="280">
        <f t="shared" si="22"/>
        <v>0</v>
      </c>
      <c r="J142" s="218"/>
      <c r="K142" s="219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1"/>
      <c r="AZ142" s="221"/>
      <c r="BA142" s="221"/>
      <c r="BB142" s="221"/>
      <c r="BC142" s="221"/>
      <c r="BD142" s="194"/>
      <c r="BE142" s="194"/>
      <c r="BF142" s="194"/>
      <c r="BG142" s="194"/>
      <c r="BH142" s="194"/>
      <c r="BI142" s="194"/>
      <c r="BJ142" s="194"/>
      <c r="BK142" s="194"/>
      <c r="BL142" s="194"/>
      <c r="BM142" s="194"/>
      <c r="BN142" s="194"/>
      <c r="BO142" s="194"/>
      <c r="BP142" s="194"/>
      <c r="BQ142" s="194"/>
      <c r="BR142" s="194"/>
      <c r="BS142" s="194"/>
      <c r="BT142" s="194"/>
      <c r="BU142" s="194"/>
      <c r="BV142" s="194"/>
      <c r="BW142" s="194"/>
      <c r="BX142" s="194"/>
      <c r="BY142" s="221"/>
      <c r="BZ142" s="222"/>
      <c r="CA142" s="222"/>
      <c r="CB142" s="222"/>
      <c r="CC142" s="222"/>
      <c r="CD142" s="222"/>
      <c r="CE142" s="222"/>
      <c r="CF142" s="222"/>
      <c r="CG142" s="222"/>
      <c r="CH142" s="222"/>
      <c r="CI142" s="222"/>
      <c r="CJ142" s="222"/>
      <c r="CK142" s="222"/>
      <c r="CL142" s="222"/>
      <c r="CM142" s="222"/>
      <c r="CN142" s="222"/>
      <c r="CO142" s="222"/>
      <c r="CP142" s="222"/>
      <c r="CQ142" s="278"/>
      <c r="CR142" s="190"/>
    </row>
    <row r="143" spans="1:104" x14ac:dyDescent="0.2">
      <c r="A143" s="286">
        <f t="shared" si="22"/>
        <v>6</v>
      </c>
      <c r="B143" s="394"/>
      <c r="C143" s="394"/>
      <c r="D143" s="394"/>
      <c r="E143" s="394"/>
      <c r="F143" s="394"/>
      <c r="G143" s="394"/>
      <c r="H143" s="394"/>
      <c r="I143" s="280">
        <f t="shared" si="22"/>
        <v>0</v>
      </c>
      <c r="J143" s="292"/>
      <c r="K143" s="219"/>
      <c r="L143" s="297"/>
      <c r="M143" s="220"/>
      <c r="N143" s="297"/>
      <c r="O143" s="297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98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98"/>
      <c r="AY143" s="221"/>
      <c r="AZ143" s="221"/>
      <c r="BA143" s="221"/>
      <c r="BB143" s="221"/>
      <c r="BC143" s="221"/>
      <c r="BD143" s="194"/>
      <c r="BE143" s="194"/>
      <c r="BF143" s="194"/>
      <c r="BG143" s="194"/>
      <c r="BH143" s="194"/>
      <c r="BI143" s="194"/>
      <c r="BJ143" s="194"/>
      <c r="BK143" s="194"/>
      <c r="BL143" s="194"/>
      <c r="BM143" s="301"/>
      <c r="BN143" s="194"/>
      <c r="BO143" s="194"/>
      <c r="BP143" s="194"/>
      <c r="BQ143" s="194"/>
      <c r="BR143" s="194"/>
      <c r="BS143" s="194"/>
      <c r="BT143" s="194"/>
      <c r="BU143" s="194"/>
      <c r="BV143" s="194"/>
      <c r="BW143" s="194"/>
      <c r="BX143" s="194"/>
      <c r="BY143" s="304"/>
      <c r="BZ143" s="222"/>
      <c r="CA143" s="222"/>
      <c r="CB143" s="222"/>
      <c r="CC143" s="222"/>
      <c r="CD143" s="222"/>
      <c r="CE143" s="222"/>
      <c r="CF143" s="222"/>
      <c r="CG143" s="222"/>
      <c r="CH143" s="222"/>
      <c r="CI143" s="222"/>
      <c r="CJ143" s="222"/>
      <c r="CK143" s="222"/>
      <c r="CL143" s="222"/>
      <c r="CM143" s="222"/>
      <c r="CN143" s="222"/>
      <c r="CO143" s="222"/>
      <c r="CP143" s="222"/>
      <c r="CQ143" s="278"/>
      <c r="CR143" s="190"/>
    </row>
    <row r="144" spans="1:104" x14ac:dyDescent="0.2">
      <c r="A144" s="286">
        <f t="shared" si="22"/>
        <v>7</v>
      </c>
      <c r="B144" s="394"/>
      <c r="C144" s="394"/>
      <c r="D144" s="394"/>
      <c r="E144" s="394"/>
      <c r="F144" s="394"/>
      <c r="G144" s="394"/>
      <c r="H144" s="394"/>
      <c r="I144" s="280">
        <f t="shared" si="22"/>
        <v>0</v>
      </c>
      <c r="J144" s="292"/>
      <c r="K144" s="219"/>
      <c r="L144" s="297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1"/>
      <c r="AZ144" s="221"/>
      <c r="BA144" s="221"/>
      <c r="BB144" s="221"/>
      <c r="BC144" s="221"/>
      <c r="BD144" s="194"/>
      <c r="BE144" s="308"/>
      <c r="BF144" s="301"/>
      <c r="BG144" s="194"/>
      <c r="BH144" s="194"/>
      <c r="BI144" s="194"/>
      <c r="BJ144" s="194"/>
      <c r="BK144" s="194"/>
      <c r="BL144" s="194"/>
      <c r="BM144" s="194"/>
      <c r="BN144" s="194"/>
      <c r="BO144" s="194"/>
      <c r="BP144" s="194"/>
      <c r="BQ144" s="194"/>
      <c r="BR144" s="194"/>
      <c r="BS144" s="194"/>
      <c r="BT144" s="194"/>
      <c r="BU144" s="194"/>
      <c r="BV144" s="194"/>
      <c r="BW144" s="194"/>
      <c r="BX144" s="194"/>
      <c r="BY144" s="304"/>
      <c r="BZ144" s="222"/>
      <c r="CA144" s="222"/>
      <c r="CB144" s="222"/>
      <c r="CC144" s="222"/>
      <c r="CD144" s="222"/>
      <c r="CE144" s="222"/>
      <c r="CF144" s="222"/>
      <c r="CG144" s="222"/>
      <c r="CH144" s="222"/>
      <c r="CI144" s="222"/>
      <c r="CJ144" s="222"/>
      <c r="CK144" s="222"/>
      <c r="CL144" s="222"/>
      <c r="CM144" s="222"/>
      <c r="CN144" s="222"/>
      <c r="CO144" s="222"/>
      <c r="CP144" s="222"/>
      <c r="CQ144" s="278"/>
      <c r="CR144" s="190"/>
    </row>
    <row r="145" spans="1:96" x14ac:dyDescent="0.2">
      <c r="A145" s="286">
        <f t="shared" si="22"/>
        <v>8</v>
      </c>
      <c r="B145" s="394"/>
      <c r="C145" s="394"/>
      <c r="D145" s="394"/>
      <c r="E145" s="394"/>
      <c r="F145" s="394"/>
      <c r="G145" s="394"/>
      <c r="H145" s="394"/>
      <c r="I145" s="280">
        <f t="shared" si="22"/>
        <v>0</v>
      </c>
      <c r="J145" s="292"/>
      <c r="K145" s="219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98"/>
      <c r="AY145" s="221"/>
      <c r="AZ145" s="221"/>
      <c r="BA145" s="221"/>
      <c r="BB145" s="221"/>
      <c r="BC145" s="221"/>
      <c r="BD145" s="221"/>
      <c r="BE145" s="221"/>
      <c r="BF145" s="221"/>
      <c r="BG145" s="221"/>
      <c r="BH145" s="221"/>
      <c r="BI145" s="194"/>
      <c r="BJ145" s="221"/>
      <c r="BK145" s="221"/>
      <c r="BL145" s="221"/>
      <c r="BM145" s="221"/>
      <c r="BN145" s="221"/>
      <c r="BO145" s="221"/>
      <c r="BP145" s="221"/>
      <c r="BQ145" s="221"/>
      <c r="BR145" s="221"/>
      <c r="BS145" s="221"/>
      <c r="BT145" s="221"/>
      <c r="BU145" s="221"/>
      <c r="BV145" s="221"/>
      <c r="BW145" s="221"/>
      <c r="BX145" s="221"/>
      <c r="BY145" s="304"/>
      <c r="BZ145" s="222"/>
      <c r="CA145" s="222"/>
      <c r="CB145" s="222"/>
      <c r="CC145" s="222"/>
      <c r="CD145" s="222"/>
      <c r="CE145" s="222"/>
      <c r="CF145" s="222"/>
      <c r="CG145" s="222"/>
      <c r="CH145" s="222"/>
      <c r="CI145" s="222"/>
      <c r="CJ145" s="222"/>
      <c r="CK145" s="222"/>
      <c r="CL145" s="222"/>
      <c r="CM145" s="222"/>
      <c r="CN145" s="222"/>
      <c r="CO145" s="222"/>
      <c r="CP145" s="222"/>
      <c r="CQ145" s="278"/>
      <c r="CR145" s="190"/>
    </row>
    <row r="146" spans="1:96" x14ac:dyDescent="0.2">
      <c r="A146" s="286">
        <f t="shared" si="22"/>
        <v>9</v>
      </c>
      <c r="B146" s="394"/>
      <c r="C146" s="394"/>
      <c r="D146" s="394"/>
      <c r="E146" s="394"/>
      <c r="F146" s="394"/>
      <c r="G146" s="394"/>
      <c r="H146" s="394"/>
      <c r="I146" s="280">
        <f t="shared" si="22"/>
        <v>0</v>
      </c>
      <c r="J146" s="292"/>
      <c r="K146" s="219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  <c r="AB146" s="220"/>
      <c r="AC146" s="220"/>
      <c r="AD146" s="220"/>
      <c r="AE146" s="220"/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1"/>
      <c r="AZ146" s="221"/>
      <c r="BA146" s="221"/>
      <c r="BB146" s="221"/>
      <c r="BC146" s="221"/>
      <c r="BD146" s="221"/>
      <c r="BE146" s="221"/>
      <c r="BF146" s="221"/>
      <c r="BG146" s="221"/>
      <c r="BH146" s="221"/>
      <c r="BI146" s="194"/>
      <c r="BJ146" s="221"/>
      <c r="BK146" s="221"/>
      <c r="BL146" s="221"/>
      <c r="BM146" s="221"/>
      <c r="BN146" s="221"/>
      <c r="BO146" s="221"/>
      <c r="BP146" s="221"/>
      <c r="BQ146" s="221"/>
      <c r="BR146" s="221"/>
      <c r="BS146" s="221"/>
      <c r="BT146" s="221"/>
      <c r="BU146" s="221"/>
      <c r="BV146" s="221"/>
      <c r="BW146" s="221"/>
      <c r="BX146" s="221"/>
      <c r="BY146" s="304"/>
      <c r="BZ146" s="222"/>
      <c r="CA146" s="222"/>
      <c r="CB146" s="222"/>
      <c r="CC146" s="222"/>
      <c r="CD146" s="222"/>
      <c r="CE146" s="222"/>
      <c r="CF146" s="222"/>
      <c r="CG146" s="222"/>
      <c r="CH146" s="222"/>
      <c r="CI146" s="222"/>
      <c r="CJ146" s="222"/>
      <c r="CK146" s="222"/>
      <c r="CL146" s="222"/>
      <c r="CM146" s="222"/>
      <c r="CN146" s="222"/>
      <c r="CO146" s="222"/>
      <c r="CP146" s="222"/>
      <c r="CQ146" s="278"/>
      <c r="CR146" s="190"/>
    </row>
    <row r="147" spans="1:96" x14ac:dyDescent="0.2">
      <c r="A147" s="286">
        <f t="shared" si="22"/>
        <v>10</v>
      </c>
      <c r="B147" s="394"/>
      <c r="C147" s="394"/>
      <c r="D147" s="394"/>
      <c r="E147" s="394"/>
      <c r="F147" s="394"/>
      <c r="G147" s="394"/>
      <c r="H147" s="394"/>
      <c r="I147" s="280">
        <f t="shared" si="22"/>
        <v>0</v>
      </c>
      <c r="J147" s="218"/>
      <c r="K147" s="219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1"/>
      <c r="AZ147" s="221"/>
      <c r="BA147" s="221"/>
      <c r="BB147" s="221"/>
      <c r="BC147" s="221"/>
      <c r="BD147" s="194"/>
      <c r="BE147" s="194"/>
      <c r="BF147" s="194"/>
      <c r="BG147" s="194"/>
      <c r="BH147" s="194"/>
      <c r="BI147" s="194"/>
      <c r="BJ147" s="194"/>
      <c r="BK147" s="194"/>
      <c r="BL147" s="194"/>
      <c r="BM147" s="194"/>
      <c r="BN147" s="194"/>
      <c r="BO147" s="194"/>
      <c r="BP147" s="194"/>
      <c r="BQ147" s="194"/>
      <c r="BR147" s="194"/>
      <c r="BS147" s="194"/>
      <c r="BT147" s="194"/>
      <c r="BU147" s="194"/>
      <c r="BV147" s="194"/>
      <c r="BW147" s="194"/>
      <c r="BX147" s="194"/>
      <c r="BY147" s="221"/>
      <c r="BZ147" s="222"/>
      <c r="CA147" s="222"/>
      <c r="CB147" s="303"/>
      <c r="CC147" s="222"/>
      <c r="CD147" s="222"/>
      <c r="CE147" s="222"/>
      <c r="CF147" s="222"/>
      <c r="CG147" s="222"/>
      <c r="CH147" s="222"/>
      <c r="CI147" s="222"/>
      <c r="CJ147" s="222"/>
      <c r="CK147" s="222"/>
      <c r="CL147" s="222"/>
      <c r="CM147" s="222"/>
      <c r="CN147" s="222"/>
      <c r="CO147" s="222"/>
      <c r="CP147" s="222"/>
      <c r="CQ147" s="278"/>
      <c r="CR147" s="190"/>
    </row>
    <row r="148" spans="1:96" x14ac:dyDescent="0.2">
      <c r="A148" s="286">
        <f t="shared" si="22"/>
        <v>11</v>
      </c>
      <c r="B148" s="394"/>
      <c r="C148" s="394"/>
      <c r="D148" s="394"/>
      <c r="E148" s="394"/>
      <c r="F148" s="394"/>
      <c r="G148" s="394"/>
      <c r="H148" s="394"/>
      <c r="I148" s="280">
        <f t="shared" si="22"/>
        <v>0</v>
      </c>
      <c r="J148" s="218"/>
      <c r="K148" s="219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1"/>
      <c r="AZ148" s="221"/>
      <c r="BA148" s="221"/>
      <c r="BB148" s="221"/>
      <c r="BC148" s="221"/>
      <c r="BD148" s="221"/>
      <c r="BE148" s="221"/>
      <c r="BF148" s="221"/>
      <c r="BG148" s="221"/>
      <c r="BH148" s="221"/>
      <c r="BI148" s="221"/>
      <c r="BJ148" s="221"/>
      <c r="BK148" s="221"/>
      <c r="BL148" s="221"/>
      <c r="BM148" s="221"/>
      <c r="BN148" s="221"/>
      <c r="BO148" s="221"/>
      <c r="BP148" s="221"/>
      <c r="BQ148" s="221"/>
      <c r="BR148" s="221"/>
      <c r="BS148" s="221"/>
      <c r="BT148" s="221"/>
      <c r="BU148" s="221"/>
      <c r="BV148" s="221"/>
      <c r="BW148" s="221"/>
      <c r="BX148" s="221"/>
      <c r="BY148" s="221"/>
      <c r="BZ148" s="222"/>
      <c r="CA148" s="222"/>
      <c r="CB148" s="222"/>
      <c r="CC148" s="222"/>
      <c r="CD148" s="222"/>
      <c r="CE148" s="222"/>
      <c r="CF148" s="222"/>
      <c r="CG148" s="222"/>
      <c r="CH148" s="222"/>
      <c r="CI148" s="222"/>
      <c r="CJ148" s="222"/>
      <c r="CK148" s="222"/>
      <c r="CL148" s="222"/>
      <c r="CM148" s="222"/>
      <c r="CN148" s="222"/>
      <c r="CO148" s="222"/>
      <c r="CP148" s="222"/>
      <c r="CQ148" s="278"/>
      <c r="CR148" s="190"/>
    </row>
    <row r="149" spans="1:96" x14ac:dyDescent="0.2">
      <c r="A149" s="286">
        <f t="shared" si="22"/>
        <v>12</v>
      </c>
      <c r="B149" s="394"/>
      <c r="C149" s="394"/>
      <c r="D149" s="394"/>
      <c r="E149" s="394"/>
      <c r="F149" s="394"/>
      <c r="G149" s="394"/>
      <c r="H149" s="394"/>
      <c r="I149" s="280">
        <f t="shared" si="22"/>
        <v>0</v>
      </c>
      <c r="J149" s="218"/>
      <c r="K149" s="219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1"/>
      <c r="AZ149" s="221"/>
      <c r="BA149" s="221"/>
      <c r="BB149" s="221"/>
      <c r="BC149" s="221"/>
      <c r="BD149" s="221"/>
      <c r="BE149" s="221"/>
      <c r="BF149" s="221"/>
      <c r="BG149" s="221"/>
      <c r="BH149" s="221"/>
      <c r="BI149" s="221"/>
      <c r="BJ149" s="221"/>
      <c r="BK149" s="221"/>
      <c r="BL149" s="221"/>
      <c r="BM149" s="221"/>
      <c r="BN149" s="221"/>
      <c r="BO149" s="221"/>
      <c r="BP149" s="221"/>
      <c r="BQ149" s="221"/>
      <c r="BR149" s="221"/>
      <c r="BS149" s="221"/>
      <c r="BT149" s="221"/>
      <c r="BU149" s="221"/>
      <c r="BV149" s="221"/>
      <c r="BW149" s="221"/>
      <c r="BX149" s="221"/>
      <c r="BY149" s="221"/>
      <c r="BZ149" s="222"/>
      <c r="CA149" s="222"/>
      <c r="CB149" s="222"/>
      <c r="CC149" s="222"/>
      <c r="CD149" s="222"/>
      <c r="CE149" s="222"/>
      <c r="CF149" s="222"/>
      <c r="CG149" s="222"/>
      <c r="CH149" s="222"/>
      <c r="CI149" s="222"/>
      <c r="CJ149" s="222"/>
      <c r="CK149" s="222"/>
      <c r="CL149" s="222"/>
      <c r="CM149" s="222"/>
      <c r="CN149" s="222"/>
      <c r="CO149" s="222"/>
      <c r="CP149" s="222"/>
      <c r="CQ149" s="278"/>
      <c r="CR149" s="190"/>
    </row>
    <row r="150" spans="1:96" x14ac:dyDescent="0.2">
      <c r="A150" s="286">
        <f t="shared" si="22"/>
        <v>13</v>
      </c>
      <c r="B150" s="394"/>
      <c r="C150" s="394"/>
      <c r="D150" s="394"/>
      <c r="E150" s="394"/>
      <c r="F150" s="394"/>
      <c r="G150" s="394"/>
      <c r="H150" s="394"/>
      <c r="I150" s="280">
        <f t="shared" si="22"/>
        <v>0</v>
      </c>
      <c r="J150" s="218"/>
      <c r="K150" s="219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  <c r="AV150" s="220"/>
      <c r="AW150" s="220"/>
      <c r="AX150" s="220"/>
      <c r="AY150" s="221"/>
      <c r="AZ150" s="221"/>
      <c r="BA150" s="221"/>
      <c r="BB150" s="221"/>
      <c r="BC150" s="221"/>
      <c r="BD150" s="221"/>
      <c r="BE150" s="221"/>
      <c r="BF150" s="221"/>
      <c r="BG150" s="221"/>
      <c r="BH150" s="221"/>
      <c r="BI150" s="221"/>
      <c r="BJ150" s="221"/>
      <c r="BK150" s="221"/>
      <c r="BL150" s="221"/>
      <c r="BM150" s="221"/>
      <c r="BN150" s="221"/>
      <c r="BO150" s="221"/>
      <c r="BP150" s="221"/>
      <c r="BQ150" s="221"/>
      <c r="BR150" s="221"/>
      <c r="BS150" s="221"/>
      <c r="BT150" s="221"/>
      <c r="BU150" s="221"/>
      <c r="BV150" s="221"/>
      <c r="BW150" s="221"/>
      <c r="BX150" s="221"/>
      <c r="BY150" s="221"/>
      <c r="BZ150" s="222"/>
      <c r="CA150" s="222"/>
      <c r="CB150" s="222"/>
      <c r="CC150" s="222"/>
      <c r="CD150" s="222"/>
      <c r="CE150" s="222"/>
      <c r="CF150" s="222"/>
      <c r="CG150" s="222"/>
      <c r="CH150" s="222"/>
      <c r="CI150" s="222"/>
      <c r="CJ150" s="222"/>
      <c r="CK150" s="222"/>
      <c r="CL150" s="222"/>
      <c r="CM150" s="222"/>
      <c r="CN150" s="222"/>
      <c r="CO150" s="222"/>
      <c r="CP150" s="222"/>
      <c r="CQ150" s="278"/>
      <c r="CR150" s="190"/>
    </row>
    <row r="151" spans="1:96" x14ac:dyDescent="0.2">
      <c r="A151" s="286">
        <f t="shared" si="22"/>
        <v>14</v>
      </c>
      <c r="B151" s="394"/>
      <c r="C151" s="394"/>
      <c r="D151" s="394"/>
      <c r="E151" s="394"/>
      <c r="F151" s="394"/>
      <c r="G151" s="394"/>
      <c r="H151" s="394"/>
      <c r="I151" s="280">
        <f t="shared" si="22"/>
        <v>0</v>
      </c>
      <c r="J151" s="218"/>
      <c r="K151" s="219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221"/>
      <c r="AZ151" s="221"/>
      <c r="BA151" s="221"/>
      <c r="BB151" s="221"/>
      <c r="BC151" s="221"/>
      <c r="BD151" s="221"/>
      <c r="BE151" s="221"/>
      <c r="BF151" s="221"/>
      <c r="BG151" s="221"/>
      <c r="BH151" s="221"/>
      <c r="BI151" s="221"/>
      <c r="BJ151" s="221"/>
      <c r="BK151" s="221"/>
      <c r="BL151" s="221"/>
      <c r="BM151" s="221"/>
      <c r="BN151" s="221"/>
      <c r="BO151" s="221"/>
      <c r="BP151" s="221"/>
      <c r="BQ151" s="221"/>
      <c r="BR151" s="221"/>
      <c r="BS151" s="221"/>
      <c r="BT151" s="221"/>
      <c r="BU151" s="221"/>
      <c r="BV151" s="221"/>
      <c r="BW151" s="221"/>
      <c r="BX151" s="221"/>
      <c r="BY151" s="221"/>
      <c r="BZ151" s="222"/>
      <c r="CA151" s="222"/>
      <c r="CB151" s="222"/>
      <c r="CC151" s="222"/>
      <c r="CD151" s="222"/>
      <c r="CE151" s="222"/>
      <c r="CF151" s="222"/>
      <c r="CG151" s="222"/>
      <c r="CH151" s="222"/>
      <c r="CI151" s="222"/>
      <c r="CJ151" s="222"/>
      <c r="CK151" s="222"/>
      <c r="CL151" s="222"/>
      <c r="CM151" s="222"/>
      <c r="CN151" s="222"/>
      <c r="CO151" s="222"/>
      <c r="CP151" s="222"/>
      <c r="CQ151" s="278"/>
      <c r="CR151" s="190"/>
    </row>
    <row r="152" spans="1:96" x14ac:dyDescent="0.2">
      <c r="A152" s="286">
        <f t="shared" si="22"/>
        <v>15</v>
      </c>
      <c r="B152" s="394"/>
      <c r="C152" s="394"/>
      <c r="D152" s="394"/>
      <c r="E152" s="394"/>
      <c r="F152" s="394"/>
      <c r="G152" s="394"/>
      <c r="H152" s="394"/>
      <c r="I152" s="280">
        <f t="shared" si="22"/>
        <v>0</v>
      </c>
      <c r="J152" s="218"/>
      <c r="K152" s="219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  <c r="AV152" s="220"/>
      <c r="AW152" s="220"/>
      <c r="AX152" s="220"/>
      <c r="AY152" s="221"/>
      <c r="AZ152" s="221"/>
      <c r="BA152" s="221"/>
      <c r="BB152" s="221"/>
      <c r="BC152" s="221"/>
      <c r="BD152" s="221"/>
      <c r="BE152" s="221"/>
      <c r="BF152" s="221"/>
      <c r="BG152" s="221"/>
      <c r="BH152" s="221"/>
      <c r="BI152" s="221"/>
      <c r="BJ152" s="221"/>
      <c r="BK152" s="221"/>
      <c r="BL152" s="221"/>
      <c r="BM152" s="221"/>
      <c r="BN152" s="221"/>
      <c r="BO152" s="221"/>
      <c r="BP152" s="221"/>
      <c r="BQ152" s="221"/>
      <c r="BR152" s="221"/>
      <c r="BS152" s="221"/>
      <c r="BT152" s="221"/>
      <c r="BU152" s="221"/>
      <c r="BV152" s="221"/>
      <c r="BW152" s="221"/>
      <c r="BX152" s="221"/>
      <c r="BY152" s="221"/>
      <c r="BZ152" s="222"/>
      <c r="CA152" s="222"/>
      <c r="CB152" s="222"/>
      <c r="CC152" s="222"/>
      <c r="CD152" s="222"/>
      <c r="CE152" s="222"/>
      <c r="CF152" s="222"/>
      <c r="CG152" s="222"/>
      <c r="CH152" s="222"/>
      <c r="CI152" s="222"/>
      <c r="CJ152" s="222"/>
      <c r="CK152" s="222"/>
      <c r="CL152" s="222"/>
      <c r="CM152" s="222"/>
      <c r="CN152" s="222"/>
      <c r="CO152" s="222"/>
      <c r="CP152" s="222"/>
      <c r="CQ152" s="278"/>
      <c r="CR152" s="190"/>
    </row>
    <row r="153" spans="1:96" x14ac:dyDescent="0.2">
      <c r="A153" s="286">
        <f t="shared" si="22"/>
        <v>16</v>
      </c>
      <c r="B153" s="394"/>
      <c r="C153" s="394"/>
      <c r="D153" s="394"/>
      <c r="E153" s="394"/>
      <c r="F153" s="394"/>
      <c r="G153" s="394"/>
      <c r="H153" s="394"/>
      <c r="I153" s="280">
        <f t="shared" si="22"/>
        <v>0</v>
      </c>
      <c r="J153" s="218"/>
      <c r="K153" s="219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  <c r="AV153" s="220"/>
      <c r="AW153" s="220"/>
      <c r="AX153" s="220"/>
      <c r="AY153" s="221"/>
      <c r="AZ153" s="221"/>
      <c r="BA153" s="221"/>
      <c r="BB153" s="221"/>
      <c r="BC153" s="221"/>
      <c r="BD153" s="221"/>
      <c r="BE153" s="221"/>
      <c r="BF153" s="221"/>
      <c r="BG153" s="221"/>
      <c r="BH153" s="221"/>
      <c r="BI153" s="221"/>
      <c r="BJ153" s="221"/>
      <c r="BK153" s="221"/>
      <c r="BL153" s="221"/>
      <c r="BM153" s="221"/>
      <c r="BN153" s="221"/>
      <c r="BO153" s="221"/>
      <c r="BP153" s="221"/>
      <c r="BQ153" s="221"/>
      <c r="BR153" s="221"/>
      <c r="BS153" s="221"/>
      <c r="BT153" s="221"/>
      <c r="BU153" s="221"/>
      <c r="BV153" s="221"/>
      <c r="BW153" s="221"/>
      <c r="BX153" s="221"/>
      <c r="BY153" s="221"/>
      <c r="BZ153" s="222"/>
      <c r="CA153" s="222"/>
      <c r="CB153" s="222"/>
      <c r="CC153" s="222"/>
      <c r="CD153" s="222"/>
      <c r="CE153" s="222"/>
      <c r="CF153" s="222"/>
      <c r="CG153" s="222"/>
      <c r="CH153" s="222"/>
      <c r="CI153" s="222"/>
      <c r="CJ153" s="222"/>
      <c r="CK153" s="222"/>
      <c r="CL153" s="222"/>
      <c r="CM153" s="222"/>
      <c r="CN153" s="222"/>
      <c r="CO153" s="222"/>
      <c r="CP153" s="222"/>
      <c r="CQ153" s="278"/>
      <c r="CR153" s="190"/>
    </row>
    <row r="154" spans="1:96" x14ac:dyDescent="0.2">
      <c r="A154" s="286">
        <f t="shared" si="22"/>
        <v>17</v>
      </c>
      <c r="B154" s="394"/>
      <c r="C154" s="394"/>
      <c r="D154" s="394"/>
      <c r="E154" s="394"/>
      <c r="F154" s="394"/>
      <c r="G154" s="394"/>
      <c r="H154" s="394"/>
      <c r="I154" s="280">
        <f t="shared" si="22"/>
        <v>0</v>
      </c>
      <c r="J154" s="218"/>
      <c r="K154" s="219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/>
      <c r="AX154" s="220"/>
      <c r="AY154" s="221"/>
      <c r="AZ154" s="221"/>
      <c r="BA154" s="221"/>
      <c r="BB154" s="221"/>
      <c r="BC154" s="221"/>
      <c r="BD154" s="221"/>
      <c r="BE154" s="221"/>
      <c r="BF154" s="221"/>
      <c r="BG154" s="221"/>
      <c r="BH154" s="221"/>
      <c r="BI154" s="221"/>
      <c r="BJ154" s="221"/>
      <c r="BK154" s="221"/>
      <c r="BL154" s="221"/>
      <c r="BM154" s="221"/>
      <c r="BN154" s="221"/>
      <c r="BO154" s="221"/>
      <c r="BP154" s="221"/>
      <c r="BQ154" s="221"/>
      <c r="BR154" s="221"/>
      <c r="BS154" s="221"/>
      <c r="BT154" s="221"/>
      <c r="BU154" s="221"/>
      <c r="BV154" s="221"/>
      <c r="BW154" s="221"/>
      <c r="BX154" s="221"/>
      <c r="BY154" s="221"/>
      <c r="BZ154" s="222"/>
      <c r="CA154" s="222"/>
      <c r="CB154" s="222"/>
      <c r="CC154" s="222"/>
      <c r="CD154" s="222"/>
      <c r="CE154" s="222"/>
      <c r="CF154" s="222"/>
      <c r="CG154" s="222"/>
      <c r="CH154" s="222"/>
      <c r="CI154" s="222"/>
      <c r="CJ154" s="222"/>
      <c r="CK154" s="222"/>
      <c r="CL154" s="222"/>
      <c r="CM154" s="222"/>
      <c r="CN154" s="222"/>
      <c r="CO154" s="222"/>
      <c r="CP154" s="222"/>
      <c r="CQ154" s="278"/>
      <c r="CR154" s="190"/>
    </row>
    <row r="155" spans="1:96" x14ac:dyDescent="0.2">
      <c r="A155" s="286">
        <f t="shared" si="22"/>
        <v>18</v>
      </c>
      <c r="B155" s="394"/>
      <c r="C155" s="394"/>
      <c r="D155" s="394"/>
      <c r="E155" s="394"/>
      <c r="F155" s="394"/>
      <c r="G155" s="394"/>
      <c r="H155" s="394"/>
      <c r="I155" s="280">
        <f t="shared" si="22"/>
        <v>0</v>
      </c>
      <c r="J155" s="218"/>
      <c r="K155" s="219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  <c r="AV155" s="220"/>
      <c r="AW155" s="220"/>
      <c r="AX155" s="220"/>
      <c r="AY155" s="221"/>
      <c r="AZ155" s="221"/>
      <c r="BA155" s="221"/>
      <c r="BB155" s="221"/>
      <c r="BC155" s="221"/>
      <c r="BD155" s="221"/>
      <c r="BE155" s="221"/>
      <c r="BF155" s="221"/>
      <c r="BG155" s="221"/>
      <c r="BH155" s="221"/>
      <c r="BI155" s="221"/>
      <c r="BJ155" s="221"/>
      <c r="BK155" s="221"/>
      <c r="BL155" s="221"/>
      <c r="BM155" s="221"/>
      <c r="BN155" s="221"/>
      <c r="BO155" s="221"/>
      <c r="BP155" s="221"/>
      <c r="BQ155" s="221"/>
      <c r="BR155" s="221"/>
      <c r="BS155" s="221"/>
      <c r="BT155" s="221"/>
      <c r="BU155" s="221"/>
      <c r="BV155" s="221"/>
      <c r="BW155" s="221"/>
      <c r="BX155" s="221"/>
      <c r="BY155" s="221"/>
      <c r="BZ155" s="222"/>
      <c r="CA155" s="222"/>
      <c r="CB155" s="222"/>
      <c r="CC155" s="222"/>
      <c r="CD155" s="222"/>
      <c r="CE155" s="222"/>
      <c r="CF155" s="222"/>
      <c r="CG155" s="222"/>
      <c r="CH155" s="222"/>
      <c r="CI155" s="222"/>
      <c r="CJ155" s="222"/>
      <c r="CK155" s="222"/>
      <c r="CL155" s="222"/>
      <c r="CM155" s="222"/>
      <c r="CN155" s="222"/>
      <c r="CO155" s="222"/>
      <c r="CP155" s="222"/>
      <c r="CQ155" s="278"/>
      <c r="CR155" s="190"/>
    </row>
    <row r="156" spans="1:96" x14ac:dyDescent="0.2">
      <c r="A156" s="286">
        <f t="shared" si="22"/>
        <v>19</v>
      </c>
      <c r="B156" s="394"/>
      <c r="C156" s="394"/>
      <c r="D156" s="394"/>
      <c r="E156" s="394"/>
      <c r="F156" s="394"/>
      <c r="G156" s="394"/>
      <c r="H156" s="394"/>
      <c r="I156" s="280">
        <f t="shared" si="22"/>
        <v>0</v>
      </c>
      <c r="J156" s="218"/>
      <c r="K156" s="219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  <c r="AV156" s="220"/>
      <c r="AW156" s="220"/>
      <c r="AX156" s="220"/>
      <c r="AY156" s="221"/>
      <c r="AZ156" s="221"/>
      <c r="BA156" s="221"/>
      <c r="BB156" s="221"/>
      <c r="BC156" s="221"/>
      <c r="BD156" s="221"/>
      <c r="BE156" s="221"/>
      <c r="BF156" s="221"/>
      <c r="BG156" s="221"/>
      <c r="BH156" s="221"/>
      <c r="BI156" s="221"/>
      <c r="BJ156" s="221"/>
      <c r="BK156" s="221"/>
      <c r="BL156" s="221"/>
      <c r="BM156" s="221"/>
      <c r="BN156" s="221"/>
      <c r="BO156" s="221"/>
      <c r="BP156" s="221"/>
      <c r="BQ156" s="221"/>
      <c r="BR156" s="221"/>
      <c r="BS156" s="221"/>
      <c r="BT156" s="221"/>
      <c r="BU156" s="221"/>
      <c r="BV156" s="221"/>
      <c r="BW156" s="221"/>
      <c r="BX156" s="221"/>
      <c r="BY156" s="221"/>
      <c r="BZ156" s="222"/>
      <c r="CA156" s="222"/>
      <c r="CB156" s="222"/>
      <c r="CC156" s="222"/>
      <c r="CD156" s="222"/>
      <c r="CE156" s="222"/>
      <c r="CF156" s="222"/>
      <c r="CG156" s="222"/>
      <c r="CH156" s="222"/>
      <c r="CI156" s="222"/>
      <c r="CJ156" s="222"/>
      <c r="CK156" s="222"/>
      <c r="CL156" s="222"/>
      <c r="CM156" s="222"/>
      <c r="CN156" s="222"/>
      <c r="CO156" s="222"/>
      <c r="CP156" s="222"/>
      <c r="CQ156" s="278"/>
      <c r="CR156" s="190"/>
    </row>
    <row r="157" spans="1:96" x14ac:dyDescent="0.2">
      <c r="A157" s="286">
        <f t="shared" si="22"/>
        <v>20</v>
      </c>
      <c r="B157" s="394"/>
      <c r="C157" s="394"/>
      <c r="D157" s="394"/>
      <c r="E157" s="394"/>
      <c r="F157" s="394"/>
      <c r="G157" s="394"/>
      <c r="H157" s="394"/>
      <c r="I157" s="280">
        <f t="shared" si="22"/>
        <v>0</v>
      </c>
      <c r="J157" s="218"/>
      <c r="K157" s="219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  <c r="AV157" s="220"/>
      <c r="AW157" s="220"/>
      <c r="AX157" s="220"/>
      <c r="AY157" s="221"/>
      <c r="AZ157" s="221"/>
      <c r="BA157" s="221"/>
      <c r="BB157" s="221"/>
      <c r="BC157" s="221"/>
      <c r="BD157" s="221"/>
      <c r="BE157" s="221"/>
      <c r="BF157" s="221"/>
      <c r="BG157" s="221"/>
      <c r="BH157" s="221"/>
      <c r="BI157" s="221"/>
      <c r="BJ157" s="221"/>
      <c r="BK157" s="221"/>
      <c r="BL157" s="221"/>
      <c r="BM157" s="221"/>
      <c r="BN157" s="221"/>
      <c r="BO157" s="221"/>
      <c r="BP157" s="221"/>
      <c r="BQ157" s="221"/>
      <c r="BR157" s="221"/>
      <c r="BS157" s="221"/>
      <c r="BT157" s="221"/>
      <c r="BU157" s="221"/>
      <c r="BV157" s="221"/>
      <c r="BW157" s="221"/>
      <c r="BX157" s="221"/>
      <c r="BY157" s="221"/>
      <c r="BZ157" s="222"/>
      <c r="CA157" s="222"/>
      <c r="CB157" s="222"/>
      <c r="CC157" s="222"/>
      <c r="CD157" s="222"/>
      <c r="CE157" s="222"/>
      <c r="CF157" s="222"/>
      <c r="CG157" s="222"/>
      <c r="CH157" s="222"/>
      <c r="CI157" s="222"/>
      <c r="CJ157" s="222"/>
      <c r="CK157" s="222"/>
      <c r="CL157" s="222"/>
      <c r="CM157" s="222"/>
      <c r="CN157" s="222"/>
      <c r="CO157" s="222"/>
      <c r="CP157" s="222"/>
      <c r="CQ157" s="278"/>
      <c r="CR157" s="190"/>
    </row>
    <row r="158" spans="1:96" x14ac:dyDescent="0.2">
      <c r="A158" s="286">
        <f t="shared" ref="A158:I177" si="23">A32</f>
        <v>21</v>
      </c>
      <c r="B158" s="394"/>
      <c r="C158" s="394"/>
      <c r="D158" s="394"/>
      <c r="E158" s="394"/>
      <c r="F158" s="394"/>
      <c r="G158" s="394"/>
      <c r="H158" s="394"/>
      <c r="I158" s="280">
        <f t="shared" si="23"/>
        <v>0</v>
      </c>
      <c r="J158" s="218"/>
      <c r="K158" s="219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220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  <c r="AV158" s="220"/>
      <c r="AW158" s="220"/>
      <c r="AX158" s="220"/>
      <c r="AY158" s="221"/>
      <c r="AZ158" s="221"/>
      <c r="BA158" s="221"/>
      <c r="BB158" s="221"/>
      <c r="BC158" s="221"/>
      <c r="BD158" s="221"/>
      <c r="BE158" s="221"/>
      <c r="BF158" s="221"/>
      <c r="BG158" s="221"/>
      <c r="BH158" s="221"/>
      <c r="BI158" s="221"/>
      <c r="BJ158" s="221"/>
      <c r="BK158" s="221"/>
      <c r="BL158" s="221"/>
      <c r="BM158" s="221"/>
      <c r="BN158" s="221"/>
      <c r="BO158" s="221"/>
      <c r="BP158" s="221"/>
      <c r="BQ158" s="221"/>
      <c r="BR158" s="221"/>
      <c r="BS158" s="221"/>
      <c r="BT158" s="221"/>
      <c r="BU158" s="221"/>
      <c r="BV158" s="221"/>
      <c r="BW158" s="221"/>
      <c r="BX158" s="221"/>
      <c r="BY158" s="221"/>
      <c r="BZ158" s="222"/>
      <c r="CA158" s="222"/>
      <c r="CB158" s="222"/>
      <c r="CC158" s="222"/>
      <c r="CD158" s="222"/>
      <c r="CE158" s="222"/>
      <c r="CF158" s="222"/>
      <c r="CG158" s="222"/>
      <c r="CH158" s="222"/>
      <c r="CI158" s="222"/>
      <c r="CJ158" s="222"/>
      <c r="CK158" s="222"/>
      <c r="CL158" s="222"/>
      <c r="CM158" s="222"/>
      <c r="CN158" s="222"/>
      <c r="CO158" s="222"/>
      <c r="CP158" s="222"/>
      <c r="CQ158" s="278"/>
      <c r="CR158" s="190"/>
    </row>
    <row r="159" spans="1:96" x14ac:dyDescent="0.2">
      <c r="A159" s="286">
        <f t="shared" si="23"/>
        <v>22</v>
      </c>
      <c r="B159" s="394"/>
      <c r="C159" s="394"/>
      <c r="D159" s="394"/>
      <c r="E159" s="394"/>
      <c r="F159" s="394"/>
      <c r="G159" s="394"/>
      <c r="H159" s="394"/>
      <c r="I159" s="280">
        <f t="shared" si="23"/>
        <v>0</v>
      </c>
      <c r="J159" s="218"/>
      <c r="K159" s="219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220"/>
      <c r="AJ159" s="220"/>
      <c r="AK159" s="220"/>
      <c r="AL159" s="220"/>
      <c r="AM159" s="220"/>
      <c r="AN159" s="220"/>
      <c r="AO159" s="220"/>
      <c r="AP159" s="220"/>
      <c r="AQ159" s="220"/>
      <c r="AR159" s="220"/>
      <c r="AS159" s="220"/>
      <c r="AT159" s="220"/>
      <c r="AU159" s="220"/>
      <c r="AV159" s="220"/>
      <c r="AW159" s="220"/>
      <c r="AX159" s="220"/>
      <c r="AY159" s="221"/>
      <c r="AZ159" s="221"/>
      <c r="BA159" s="221"/>
      <c r="BB159" s="221"/>
      <c r="BC159" s="221"/>
      <c r="BD159" s="221"/>
      <c r="BE159" s="221"/>
      <c r="BF159" s="221"/>
      <c r="BG159" s="221"/>
      <c r="BH159" s="221"/>
      <c r="BI159" s="221"/>
      <c r="BJ159" s="221"/>
      <c r="BK159" s="221"/>
      <c r="BL159" s="221"/>
      <c r="BM159" s="221"/>
      <c r="BN159" s="221"/>
      <c r="BO159" s="221"/>
      <c r="BP159" s="221"/>
      <c r="BQ159" s="221"/>
      <c r="BR159" s="221"/>
      <c r="BS159" s="221"/>
      <c r="BT159" s="221"/>
      <c r="BU159" s="221"/>
      <c r="BV159" s="221"/>
      <c r="BW159" s="221"/>
      <c r="BX159" s="221"/>
      <c r="BY159" s="221"/>
      <c r="BZ159" s="222"/>
      <c r="CA159" s="222"/>
      <c r="CB159" s="222"/>
      <c r="CC159" s="222"/>
      <c r="CD159" s="222"/>
      <c r="CE159" s="222"/>
      <c r="CF159" s="222"/>
      <c r="CG159" s="222"/>
      <c r="CH159" s="222"/>
      <c r="CI159" s="222"/>
      <c r="CJ159" s="222"/>
      <c r="CK159" s="222"/>
      <c r="CL159" s="222"/>
      <c r="CM159" s="222"/>
      <c r="CN159" s="222"/>
      <c r="CO159" s="222"/>
      <c r="CP159" s="222"/>
      <c r="CQ159" s="278"/>
      <c r="CR159" s="190"/>
    </row>
    <row r="160" spans="1:96" x14ac:dyDescent="0.2">
      <c r="A160" s="286">
        <f t="shared" si="23"/>
        <v>23</v>
      </c>
      <c r="B160" s="394"/>
      <c r="C160" s="394"/>
      <c r="D160" s="394"/>
      <c r="E160" s="394"/>
      <c r="F160" s="394"/>
      <c r="G160" s="394"/>
      <c r="H160" s="394"/>
      <c r="I160" s="280">
        <f t="shared" si="23"/>
        <v>0</v>
      </c>
      <c r="J160" s="218"/>
      <c r="K160" s="219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220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  <c r="AV160" s="220"/>
      <c r="AW160" s="220"/>
      <c r="AX160" s="220"/>
      <c r="AY160" s="221"/>
      <c r="AZ160" s="221"/>
      <c r="BA160" s="221"/>
      <c r="BB160" s="221"/>
      <c r="BC160" s="221"/>
      <c r="BD160" s="221"/>
      <c r="BE160" s="221"/>
      <c r="BF160" s="221"/>
      <c r="BG160" s="221"/>
      <c r="BH160" s="221"/>
      <c r="BI160" s="221"/>
      <c r="BJ160" s="221"/>
      <c r="BK160" s="221"/>
      <c r="BL160" s="221"/>
      <c r="BM160" s="221"/>
      <c r="BN160" s="221"/>
      <c r="BO160" s="221"/>
      <c r="BP160" s="221"/>
      <c r="BQ160" s="221"/>
      <c r="BR160" s="221"/>
      <c r="BS160" s="221"/>
      <c r="BT160" s="221"/>
      <c r="BU160" s="221"/>
      <c r="BV160" s="221"/>
      <c r="BW160" s="221"/>
      <c r="BX160" s="221"/>
      <c r="BY160" s="221"/>
      <c r="BZ160" s="222"/>
      <c r="CA160" s="222"/>
      <c r="CB160" s="222"/>
      <c r="CC160" s="222"/>
      <c r="CD160" s="222"/>
      <c r="CE160" s="222"/>
      <c r="CF160" s="222"/>
      <c r="CG160" s="222"/>
      <c r="CH160" s="222"/>
      <c r="CI160" s="222"/>
      <c r="CJ160" s="222"/>
      <c r="CK160" s="222"/>
      <c r="CL160" s="222"/>
      <c r="CM160" s="222"/>
      <c r="CN160" s="222"/>
      <c r="CO160" s="222"/>
      <c r="CP160" s="222"/>
      <c r="CQ160" s="278"/>
      <c r="CR160" s="190"/>
    </row>
    <row r="161" spans="1:96" x14ac:dyDescent="0.2">
      <c r="A161" s="286">
        <f t="shared" si="23"/>
        <v>24</v>
      </c>
      <c r="B161" s="394"/>
      <c r="C161" s="394"/>
      <c r="D161" s="394"/>
      <c r="E161" s="394"/>
      <c r="F161" s="394"/>
      <c r="G161" s="394"/>
      <c r="H161" s="394"/>
      <c r="I161" s="280">
        <f t="shared" si="23"/>
        <v>0</v>
      </c>
      <c r="J161" s="218"/>
      <c r="K161" s="219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  <c r="AV161" s="220"/>
      <c r="AW161" s="220"/>
      <c r="AX161" s="220"/>
      <c r="AY161" s="221"/>
      <c r="AZ161" s="221"/>
      <c r="BA161" s="221"/>
      <c r="BB161" s="221"/>
      <c r="BC161" s="221"/>
      <c r="BD161" s="221"/>
      <c r="BE161" s="221"/>
      <c r="BF161" s="221"/>
      <c r="BG161" s="221"/>
      <c r="BH161" s="221"/>
      <c r="BI161" s="221"/>
      <c r="BJ161" s="221"/>
      <c r="BK161" s="221"/>
      <c r="BL161" s="221"/>
      <c r="BM161" s="221"/>
      <c r="BN161" s="221"/>
      <c r="BO161" s="221"/>
      <c r="BP161" s="221"/>
      <c r="BQ161" s="221"/>
      <c r="BR161" s="221"/>
      <c r="BS161" s="221"/>
      <c r="BT161" s="221"/>
      <c r="BU161" s="221"/>
      <c r="BV161" s="221"/>
      <c r="BW161" s="221"/>
      <c r="BX161" s="221"/>
      <c r="BY161" s="221"/>
      <c r="BZ161" s="222"/>
      <c r="CA161" s="222"/>
      <c r="CB161" s="222"/>
      <c r="CC161" s="222"/>
      <c r="CD161" s="222"/>
      <c r="CE161" s="222"/>
      <c r="CF161" s="222"/>
      <c r="CG161" s="222"/>
      <c r="CH161" s="222"/>
      <c r="CI161" s="222"/>
      <c r="CJ161" s="222"/>
      <c r="CK161" s="222"/>
      <c r="CL161" s="222"/>
      <c r="CM161" s="222"/>
      <c r="CN161" s="222"/>
      <c r="CO161" s="222"/>
      <c r="CP161" s="222"/>
      <c r="CQ161" s="278"/>
      <c r="CR161" s="190"/>
    </row>
    <row r="162" spans="1:96" x14ac:dyDescent="0.2">
      <c r="A162" s="286">
        <f t="shared" si="23"/>
        <v>25</v>
      </c>
      <c r="B162" s="394"/>
      <c r="C162" s="394"/>
      <c r="D162" s="394"/>
      <c r="E162" s="394"/>
      <c r="F162" s="394"/>
      <c r="G162" s="394"/>
      <c r="H162" s="394"/>
      <c r="I162" s="280">
        <f t="shared" si="23"/>
        <v>0</v>
      </c>
      <c r="J162" s="218"/>
      <c r="K162" s="219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  <c r="AV162" s="220"/>
      <c r="AW162" s="220"/>
      <c r="AX162" s="220"/>
      <c r="AY162" s="221"/>
      <c r="AZ162" s="221"/>
      <c r="BA162" s="221"/>
      <c r="BB162" s="221"/>
      <c r="BC162" s="221"/>
      <c r="BD162" s="221"/>
      <c r="BE162" s="221"/>
      <c r="BF162" s="221"/>
      <c r="BG162" s="221"/>
      <c r="BH162" s="221"/>
      <c r="BI162" s="221"/>
      <c r="BJ162" s="221"/>
      <c r="BK162" s="221"/>
      <c r="BL162" s="221"/>
      <c r="BM162" s="221"/>
      <c r="BN162" s="221"/>
      <c r="BO162" s="221"/>
      <c r="BP162" s="221"/>
      <c r="BQ162" s="221"/>
      <c r="BR162" s="221"/>
      <c r="BS162" s="221"/>
      <c r="BT162" s="221"/>
      <c r="BU162" s="221"/>
      <c r="BV162" s="221"/>
      <c r="BW162" s="221"/>
      <c r="BX162" s="221"/>
      <c r="BY162" s="221"/>
      <c r="BZ162" s="222"/>
      <c r="CA162" s="222"/>
      <c r="CB162" s="222"/>
      <c r="CC162" s="222"/>
      <c r="CD162" s="222"/>
      <c r="CE162" s="222"/>
      <c r="CF162" s="222"/>
      <c r="CG162" s="222"/>
      <c r="CH162" s="222"/>
      <c r="CI162" s="222"/>
      <c r="CJ162" s="222"/>
      <c r="CK162" s="222"/>
      <c r="CL162" s="222"/>
      <c r="CM162" s="222"/>
      <c r="CN162" s="222"/>
      <c r="CO162" s="222"/>
      <c r="CP162" s="222"/>
      <c r="CQ162" s="278"/>
      <c r="CR162" s="190"/>
    </row>
    <row r="163" spans="1:96" x14ac:dyDescent="0.2">
      <c r="A163" s="286">
        <f t="shared" si="23"/>
        <v>26</v>
      </c>
      <c r="B163" s="394"/>
      <c r="C163" s="394"/>
      <c r="D163" s="394"/>
      <c r="E163" s="394"/>
      <c r="F163" s="394"/>
      <c r="G163" s="394"/>
      <c r="H163" s="394"/>
      <c r="I163" s="280">
        <f t="shared" si="23"/>
        <v>0</v>
      </c>
      <c r="J163" s="218"/>
      <c r="K163" s="219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  <c r="AV163" s="220"/>
      <c r="AW163" s="220"/>
      <c r="AX163" s="220"/>
      <c r="AY163" s="221"/>
      <c r="AZ163" s="221"/>
      <c r="BA163" s="221"/>
      <c r="BB163" s="221"/>
      <c r="BC163" s="221"/>
      <c r="BD163" s="221"/>
      <c r="BE163" s="221"/>
      <c r="BF163" s="221"/>
      <c r="BG163" s="221"/>
      <c r="BH163" s="221"/>
      <c r="BI163" s="221"/>
      <c r="BJ163" s="221"/>
      <c r="BK163" s="221"/>
      <c r="BL163" s="221"/>
      <c r="BM163" s="221"/>
      <c r="BN163" s="221"/>
      <c r="BO163" s="221"/>
      <c r="BP163" s="221"/>
      <c r="BQ163" s="221"/>
      <c r="BR163" s="221"/>
      <c r="BS163" s="221"/>
      <c r="BT163" s="221"/>
      <c r="BU163" s="221"/>
      <c r="BV163" s="221"/>
      <c r="BW163" s="221"/>
      <c r="BX163" s="221"/>
      <c r="BY163" s="221"/>
      <c r="BZ163" s="222"/>
      <c r="CA163" s="222"/>
      <c r="CB163" s="222"/>
      <c r="CC163" s="222"/>
      <c r="CD163" s="222"/>
      <c r="CE163" s="222"/>
      <c r="CF163" s="222"/>
      <c r="CG163" s="222"/>
      <c r="CH163" s="222"/>
      <c r="CI163" s="222"/>
      <c r="CJ163" s="222"/>
      <c r="CK163" s="222"/>
      <c r="CL163" s="222"/>
      <c r="CM163" s="222"/>
      <c r="CN163" s="222"/>
      <c r="CO163" s="222"/>
      <c r="CP163" s="222"/>
      <c r="CQ163" s="278"/>
      <c r="CR163" s="190"/>
    </row>
    <row r="164" spans="1:96" x14ac:dyDescent="0.2">
      <c r="A164" s="286">
        <f t="shared" si="23"/>
        <v>27</v>
      </c>
      <c r="B164" s="394"/>
      <c r="C164" s="394"/>
      <c r="D164" s="394"/>
      <c r="E164" s="394"/>
      <c r="F164" s="394"/>
      <c r="G164" s="394"/>
      <c r="H164" s="394"/>
      <c r="I164" s="280">
        <f t="shared" si="23"/>
        <v>0</v>
      </c>
      <c r="J164" s="218"/>
      <c r="K164" s="219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  <c r="AV164" s="220"/>
      <c r="AW164" s="220"/>
      <c r="AX164" s="220"/>
      <c r="AY164" s="221"/>
      <c r="AZ164" s="221"/>
      <c r="BA164" s="221"/>
      <c r="BB164" s="221"/>
      <c r="BC164" s="221"/>
      <c r="BD164" s="221"/>
      <c r="BE164" s="221"/>
      <c r="BF164" s="221"/>
      <c r="BG164" s="221"/>
      <c r="BH164" s="221"/>
      <c r="BI164" s="221"/>
      <c r="BJ164" s="221"/>
      <c r="BK164" s="221"/>
      <c r="BL164" s="221"/>
      <c r="BM164" s="221"/>
      <c r="BN164" s="221"/>
      <c r="BO164" s="221"/>
      <c r="BP164" s="221"/>
      <c r="BQ164" s="221"/>
      <c r="BR164" s="221"/>
      <c r="BS164" s="221"/>
      <c r="BT164" s="221"/>
      <c r="BU164" s="221"/>
      <c r="BV164" s="221"/>
      <c r="BW164" s="221"/>
      <c r="BX164" s="221"/>
      <c r="BY164" s="221"/>
      <c r="BZ164" s="222"/>
      <c r="CA164" s="222"/>
      <c r="CB164" s="222"/>
      <c r="CC164" s="222"/>
      <c r="CD164" s="222"/>
      <c r="CE164" s="222"/>
      <c r="CF164" s="222"/>
      <c r="CG164" s="222"/>
      <c r="CH164" s="222"/>
      <c r="CI164" s="222"/>
      <c r="CJ164" s="222"/>
      <c r="CK164" s="222"/>
      <c r="CL164" s="222"/>
      <c r="CM164" s="222"/>
      <c r="CN164" s="222"/>
      <c r="CO164" s="222"/>
      <c r="CP164" s="222"/>
      <c r="CQ164" s="278"/>
      <c r="CR164" s="190"/>
    </row>
    <row r="165" spans="1:96" x14ac:dyDescent="0.2">
      <c r="A165" s="286">
        <f t="shared" si="23"/>
        <v>28</v>
      </c>
      <c r="B165" s="394"/>
      <c r="C165" s="394"/>
      <c r="D165" s="394"/>
      <c r="E165" s="394"/>
      <c r="F165" s="394"/>
      <c r="G165" s="394"/>
      <c r="H165" s="394"/>
      <c r="I165" s="280">
        <f t="shared" si="23"/>
        <v>0</v>
      </c>
      <c r="J165" s="218"/>
      <c r="K165" s="219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220"/>
      <c r="AJ165" s="220"/>
      <c r="AK165" s="220"/>
      <c r="AL165" s="220"/>
      <c r="AM165" s="220"/>
      <c r="AN165" s="220"/>
      <c r="AO165" s="220"/>
      <c r="AP165" s="220"/>
      <c r="AQ165" s="220"/>
      <c r="AR165" s="220"/>
      <c r="AS165" s="220"/>
      <c r="AT165" s="220"/>
      <c r="AU165" s="220"/>
      <c r="AV165" s="220"/>
      <c r="AW165" s="220"/>
      <c r="AX165" s="220"/>
      <c r="AY165" s="221"/>
      <c r="AZ165" s="221"/>
      <c r="BA165" s="221"/>
      <c r="BB165" s="221"/>
      <c r="BC165" s="221"/>
      <c r="BD165" s="221"/>
      <c r="BE165" s="221"/>
      <c r="BF165" s="221"/>
      <c r="BG165" s="221"/>
      <c r="BH165" s="221"/>
      <c r="BI165" s="221"/>
      <c r="BJ165" s="221"/>
      <c r="BK165" s="221"/>
      <c r="BL165" s="221"/>
      <c r="BM165" s="221"/>
      <c r="BN165" s="221"/>
      <c r="BO165" s="221"/>
      <c r="BP165" s="221"/>
      <c r="BQ165" s="221"/>
      <c r="BR165" s="221"/>
      <c r="BS165" s="221"/>
      <c r="BT165" s="221"/>
      <c r="BU165" s="221"/>
      <c r="BV165" s="221"/>
      <c r="BW165" s="221"/>
      <c r="BX165" s="221"/>
      <c r="BY165" s="221"/>
      <c r="BZ165" s="222"/>
      <c r="CA165" s="222"/>
      <c r="CB165" s="222"/>
      <c r="CC165" s="222"/>
      <c r="CD165" s="222"/>
      <c r="CE165" s="222"/>
      <c r="CF165" s="222"/>
      <c r="CG165" s="222"/>
      <c r="CH165" s="222"/>
      <c r="CI165" s="222"/>
      <c r="CJ165" s="222"/>
      <c r="CK165" s="222"/>
      <c r="CL165" s="222"/>
      <c r="CM165" s="222"/>
      <c r="CN165" s="222"/>
      <c r="CO165" s="222"/>
      <c r="CP165" s="222"/>
      <c r="CQ165" s="278"/>
      <c r="CR165" s="190"/>
    </row>
    <row r="166" spans="1:96" x14ac:dyDescent="0.2">
      <c r="A166" s="286">
        <f t="shared" si="23"/>
        <v>29</v>
      </c>
      <c r="B166" s="394"/>
      <c r="C166" s="394"/>
      <c r="D166" s="394"/>
      <c r="E166" s="394"/>
      <c r="F166" s="394"/>
      <c r="G166" s="394"/>
      <c r="H166" s="394"/>
      <c r="I166" s="280">
        <f t="shared" si="23"/>
        <v>0</v>
      </c>
      <c r="J166" s="218"/>
      <c r="K166" s="219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220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  <c r="AV166" s="220"/>
      <c r="AW166" s="220"/>
      <c r="AX166" s="220"/>
      <c r="AY166" s="221"/>
      <c r="AZ166" s="221"/>
      <c r="BA166" s="221"/>
      <c r="BB166" s="221"/>
      <c r="BC166" s="221"/>
      <c r="BD166" s="221"/>
      <c r="BE166" s="221"/>
      <c r="BF166" s="221"/>
      <c r="BG166" s="221"/>
      <c r="BH166" s="221"/>
      <c r="BI166" s="221"/>
      <c r="BJ166" s="221"/>
      <c r="BK166" s="221"/>
      <c r="BL166" s="221"/>
      <c r="BM166" s="221"/>
      <c r="BN166" s="221"/>
      <c r="BO166" s="221"/>
      <c r="BP166" s="221"/>
      <c r="BQ166" s="221"/>
      <c r="BR166" s="221"/>
      <c r="BS166" s="221"/>
      <c r="BT166" s="221"/>
      <c r="BU166" s="221"/>
      <c r="BV166" s="221"/>
      <c r="BW166" s="221"/>
      <c r="BX166" s="221"/>
      <c r="BY166" s="221"/>
      <c r="BZ166" s="222"/>
      <c r="CA166" s="222"/>
      <c r="CB166" s="222"/>
      <c r="CC166" s="222"/>
      <c r="CD166" s="222"/>
      <c r="CE166" s="222"/>
      <c r="CF166" s="222"/>
      <c r="CG166" s="222"/>
      <c r="CH166" s="222"/>
      <c r="CI166" s="222"/>
      <c r="CJ166" s="222"/>
      <c r="CK166" s="222"/>
      <c r="CL166" s="222"/>
      <c r="CM166" s="222"/>
      <c r="CN166" s="222"/>
      <c r="CO166" s="222"/>
      <c r="CP166" s="222"/>
      <c r="CQ166" s="278"/>
      <c r="CR166" s="190"/>
    </row>
    <row r="167" spans="1:96" x14ac:dyDescent="0.2">
      <c r="A167" s="286">
        <f t="shared" si="23"/>
        <v>30</v>
      </c>
      <c r="B167" s="394"/>
      <c r="C167" s="394"/>
      <c r="D167" s="394"/>
      <c r="E167" s="394"/>
      <c r="F167" s="394"/>
      <c r="G167" s="394"/>
      <c r="H167" s="394"/>
      <c r="I167" s="280">
        <f t="shared" si="23"/>
        <v>0</v>
      </c>
      <c r="J167" s="218"/>
      <c r="K167" s="219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220"/>
      <c r="AJ167" s="220"/>
      <c r="AK167" s="220"/>
      <c r="AL167" s="220"/>
      <c r="AM167" s="220"/>
      <c r="AN167" s="220"/>
      <c r="AO167" s="220"/>
      <c r="AP167" s="220"/>
      <c r="AQ167" s="220"/>
      <c r="AR167" s="220"/>
      <c r="AS167" s="220"/>
      <c r="AT167" s="220"/>
      <c r="AU167" s="220"/>
      <c r="AV167" s="220"/>
      <c r="AW167" s="220"/>
      <c r="AX167" s="220"/>
      <c r="AY167" s="221"/>
      <c r="AZ167" s="221"/>
      <c r="BA167" s="221"/>
      <c r="BB167" s="221"/>
      <c r="BC167" s="221"/>
      <c r="BD167" s="221"/>
      <c r="BE167" s="221"/>
      <c r="BF167" s="221"/>
      <c r="BG167" s="221"/>
      <c r="BH167" s="221"/>
      <c r="BI167" s="221"/>
      <c r="BJ167" s="221"/>
      <c r="BK167" s="221"/>
      <c r="BL167" s="221"/>
      <c r="BM167" s="221"/>
      <c r="BN167" s="221"/>
      <c r="BO167" s="221"/>
      <c r="BP167" s="221"/>
      <c r="BQ167" s="221"/>
      <c r="BR167" s="221"/>
      <c r="BS167" s="221"/>
      <c r="BT167" s="221"/>
      <c r="BU167" s="221"/>
      <c r="BV167" s="221"/>
      <c r="BW167" s="221"/>
      <c r="BX167" s="221"/>
      <c r="BY167" s="221"/>
      <c r="BZ167" s="222"/>
      <c r="CA167" s="222"/>
      <c r="CB167" s="222"/>
      <c r="CC167" s="222"/>
      <c r="CD167" s="222"/>
      <c r="CE167" s="222"/>
      <c r="CF167" s="222"/>
      <c r="CG167" s="222"/>
      <c r="CH167" s="222"/>
      <c r="CI167" s="222"/>
      <c r="CJ167" s="222"/>
      <c r="CK167" s="222"/>
      <c r="CL167" s="222"/>
      <c r="CM167" s="222"/>
      <c r="CN167" s="222"/>
      <c r="CO167" s="222"/>
      <c r="CP167" s="222"/>
      <c r="CQ167" s="278"/>
      <c r="CR167" s="190"/>
    </row>
    <row r="168" spans="1:96" x14ac:dyDescent="0.2">
      <c r="A168" s="286">
        <f t="shared" si="23"/>
        <v>31</v>
      </c>
      <c r="B168" s="394"/>
      <c r="C168" s="394"/>
      <c r="D168" s="394"/>
      <c r="E168" s="394"/>
      <c r="F168" s="394"/>
      <c r="G168" s="394"/>
      <c r="H168" s="394"/>
      <c r="I168" s="280">
        <f t="shared" si="23"/>
        <v>0</v>
      </c>
      <c r="J168" s="218"/>
      <c r="K168" s="219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220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  <c r="AV168" s="220"/>
      <c r="AW168" s="220"/>
      <c r="AX168" s="220"/>
      <c r="AY168" s="221"/>
      <c r="AZ168" s="221"/>
      <c r="BA168" s="221"/>
      <c r="BB168" s="221"/>
      <c r="BC168" s="221"/>
      <c r="BD168" s="221"/>
      <c r="BE168" s="221"/>
      <c r="BF168" s="221"/>
      <c r="BG168" s="221"/>
      <c r="BH168" s="221"/>
      <c r="BI168" s="221"/>
      <c r="BJ168" s="221"/>
      <c r="BK168" s="221"/>
      <c r="BL168" s="221"/>
      <c r="BM168" s="221"/>
      <c r="BN168" s="221"/>
      <c r="BO168" s="221"/>
      <c r="BP168" s="221"/>
      <c r="BQ168" s="221"/>
      <c r="BR168" s="221"/>
      <c r="BS168" s="221"/>
      <c r="BT168" s="221"/>
      <c r="BU168" s="221"/>
      <c r="BV168" s="221"/>
      <c r="BW168" s="221"/>
      <c r="BX168" s="221"/>
      <c r="BY168" s="221"/>
      <c r="BZ168" s="222"/>
      <c r="CA168" s="222"/>
      <c r="CB168" s="222"/>
      <c r="CC168" s="222"/>
      <c r="CD168" s="222"/>
      <c r="CE168" s="222"/>
      <c r="CF168" s="222"/>
      <c r="CG168" s="222"/>
      <c r="CH168" s="222"/>
      <c r="CI168" s="222"/>
      <c r="CJ168" s="222"/>
      <c r="CK168" s="222"/>
      <c r="CL168" s="222"/>
      <c r="CM168" s="222"/>
      <c r="CN168" s="222"/>
      <c r="CO168" s="222"/>
      <c r="CP168" s="222"/>
      <c r="CQ168" s="278"/>
      <c r="CR168" s="190"/>
    </row>
    <row r="169" spans="1:96" x14ac:dyDescent="0.2">
      <c r="A169" s="286">
        <f t="shared" si="23"/>
        <v>32</v>
      </c>
      <c r="B169" s="394"/>
      <c r="C169" s="394"/>
      <c r="D169" s="394"/>
      <c r="E169" s="394"/>
      <c r="F169" s="394"/>
      <c r="G169" s="394"/>
      <c r="H169" s="394"/>
      <c r="I169" s="280">
        <f t="shared" si="23"/>
        <v>0</v>
      </c>
      <c r="J169" s="218"/>
      <c r="K169" s="219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  <c r="AV169" s="220"/>
      <c r="AW169" s="220"/>
      <c r="AX169" s="220"/>
      <c r="AY169" s="221"/>
      <c r="AZ169" s="221"/>
      <c r="BA169" s="221"/>
      <c r="BB169" s="221"/>
      <c r="BC169" s="221"/>
      <c r="BD169" s="221"/>
      <c r="BE169" s="221"/>
      <c r="BF169" s="221"/>
      <c r="BG169" s="221"/>
      <c r="BH169" s="221"/>
      <c r="BI169" s="221"/>
      <c r="BJ169" s="221"/>
      <c r="BK169" s="221"/>
      <c r="BL169" s="221"/>
      <c r="BM169" s="221"/>
      <c r="BN169" s="221"/>
      <c r="BO169" s="221"/>
      <c r="BP169" s="221"/>
      <c r="BQ169" s="221"/>
      <c r="BR169" s="221"/>
      <c r="BS169" s="221"/>
      <c r="BT169" s="221"/>
      <c r="BU169" s="221"/>
      <c r="BV169" s="221"/>
      <c r="BW169" s="221"/>
      <c r="BX169" s="221"/>
      <c r="BY169" s="221"/>
      <c r="BZ169" s="222"/>
      <c r="CA169" s="222"/>
      <c r="CB169" s="222"/>
      <c r="CC169" s="222"/>
      <c r="CD169" s="222"/>
      <c r="CE169" s="222"/>
      <c r="CF169" s="222"/>
      <c r="CG169" s="222"/>
      <c r="CH169" s="222"/>
      <c r="CI169" s="222"/>
      <c r="CJ169" s="222"/>
      <c r="CK169" s="222"/>
      <c r="CL169" s="222"/>
      <c r="CM169" s="222"/>
      <c r="CN169" s="222"/>
      <c r="CO169" s="222"/>
      <c r="CP169" s="222"/>
      <c r="CQ169" s="278"/>
      <c r="CR169" s="190"/>
    </row>
    <row r="170" spans="1:96" x14ac:dyDescent="0.2">
      <c r="A170" s="286">
        <f t="shared" si="23"/>
        <v>33</v>
      </c>
      <c r="B170" s="394"/>
      <c r="C170" s="394"/>
      <c r="D170" s="394"/>
      <c r="E170" s="394"/>
      <c r="F170" s="394"/>
      <c r="G170" s="394"/>
      <c r="H170" s="394"/>
      <c r="I170" s="280">
        <f t="shared" si="23"/>
        <v>0</v>
      </c>
      <c r="J170" s="218"/>
      <c r="K170" s="219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220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  <c r="AV170" s="220"/>
      <c r="AW170" s="220"/>
      <c r="AX170" s="220"/>
      <c r="AY170" s="221"/>
      <c r="AZ170" s="221"/>
      <c r="BA170" s="221"/>
      <c r="BB170" s="221"/>
      <c r="BC170" s="221"/>
      <c r="BD170" s="221"/>
      <c r="BE170" s="221"/>
      <c r="BF170" s="221"/>
      <c r="BG170" s="221"/>
      <c r="BH170" s="221"/>
      <c r="BI170" s="221"/>
      <c r="BJ170" s="221"/>
      <c r="BK170" s="221"/>
      <c r="BL170" s="221"/>
      <c r="BM170" s="221"/>
      <c r="BN170" s="221"/>
      <c r="BO170" s="221"/>
      <c r="BP170" s="221"/>
      <c r="BQ170" s="221"/>
      <c r="BR170" s="221"/>
      <c r="BS170" s="221"/>
      <c r="BT170" s="221"/>
      <c r="BU170" s="221"/>
      <c r="BV170" s="221"/>
      <c r="BW170" s="221"/>
      <c r="BX170" s="221"/>
      <c r="BY170" s="221"/>
      <c r="BZ170" s="222"/>
      <c r="CA170" s="222"/>
      <c r="CB170" s="222"/>
      <c r="CC170" s="222"/>
      <c r="CD170" s="222"/>
      <c r="CE170" s="222"/>
      <c r="CF170" s="222"/>
      <c r="CG170" s="222"/>
      <c r="CH170" s="222"/>
      <c r="CI170" s="222"/>
      <c r="CJ170" s="222"/>
      <c r="CK170" s="222"/>
      <c r="CL170" s="222"/>
      <c r="CM170" s="222"/>
      <c r="CN170" s="222"/>
      <c r="CO170" s="222"/>
      <c r="CP170" s="222"/>
      <c r="CQ170" s="278"/>
      <c r="CR170" s="190"/>
    </row>
    <row r="171" spans="1:96" x14ac:dyDescent="0.2">
      <c r="A171" s="286">
        <f t="shared" si="23"/>
        <v>34</v>
      </c>
      <c r="B171" s="394"/>
      <c r="C171" s="394"/>
      <c r="D171" s="394"/>
      <c r="E171" s="394"/>
      <c r="F171" s="394"/>
      <c r="G171" s="394"/>
      <c r="H171" s="394"/>
      <c r="I171" s="280">
        <f t="shared" si="23"/>
        <v>0</v>
      </c>
      <c r="J171" s="218"/>
      <c r="K171" s="219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220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  <c r="AV171" s="220"/>
      <c r="AW171" s="220"/>
      <c r="AX171" s="220"/>
      <c r="AY171" s="221"/>
      <c r="AZ171" s="221"/>
      <c r="BA171" s="221"/>
      <c r="BB171" s="221"/>
      <c r="BC171" s="221"/>
      <c r="BD171" s="221"/>
      <c r="BE171" s="221"/>
      <c r="BF171" s="221"/>
      <c r="BG171" s="221"/>
      <c r="BH171" s="221"/>
      <c r="BI171" s="221"/>
      <c r="BJ171" s="221"/>
      <c r="BK171" s="221"/>
      <c r="BL171" s="221"/>
      <c r="BM171" s="221"/>
      <c r="BN171" s="221"/>
      <c r="BO171" s="221"/>
      <c r="BP171" s="221"/>
      <c r="BQ171" s="221"/>
      <c r="BR171" s="221"/>
      <c r="BS171" s="221"/>
      <c r="BT171" s="221"/>
      <c r="BU171" s="221"/>
      <c r="BV171" s="221"/>
      <c r="BW171" s="221"/>
      <c r="BX171" s="221"/>
      <c r="BY171" s="221"/>
      <c r="BZ171" s="222"/>
      <c r="CA171" s="222"/>
      <c r="CB171" s="222"/>
      <c r="CC171" s="222"/>
      <c r="CD171" s="222"/>
      <c r="CE171" s="222"/>
      <c r="CF171" s="222"/>
      <c r="CG171" s="222"/>
      <c r="CH171" s="222"/>
      <c r="CI171" s="222"/>
      <c r="CJ171" s="222"/>
      <c r="CK171" s="222"/>
      <c r="CL171" s="222"/>
      <c r="CM171" s="222"/>
      <c r="CN171" s="222"/>
      <c r="CO171" s="222"/>
      <c r="CP171" s="222"/>
      <c r="CQ171" s="278"/>
      <c r="CR171" s="190"/>
    </row>
    <row r="172" spans="1:96" x14ac:dyDescent="0.2">
      <c r="A172" s="286">
        <f t="shared" si="23"/>
        <v>35</v>
      </c>
      <c r="B172" s="394"/>
      <c r="C172" s="394"/>
      <c r="D172" s="394"/>
      <c r="E172" s="394"/>
      <c r="F172" s="394"/>
      <c r="G172" s="394"/>
      <c r="H172" s="394"/>
      <c r="I172" s="280">
        <f t="shared" si="23"/>
        <v>0</v>
      </c>
      <c r="J172" s="218"/>
      <c r="K172" s="219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220"/>
      <c r="AJ172" s="220"/>
      <c r="AK172" s="220"/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  <c r="AV172" s="220"/>
      <c r="AW172" s="220"/>
      <c r="AX172" s="220"/>
      <c r="AY172" s="221"/>
      <c r="AZ172" s="221"/>
      <c r="BA172" s="221"/>
      <c r="BB172" s="221"/>
      <c r="BC172" s="221"/>
      <c r="BD172" s="221"/>
      <c r="BE172" s="221"/>
      <c r="BF172" s="221"/>
      <c r="BG172" s="221"/>
      <c r="BH172" s="221"/>
      <c r="BI172" s="221"/>
      <c r="BJ172" s="221"/>
      <c r="BK172" s="221"/>
      <c r="BL172" s="221"/>
      <c r="BM172" s="221"/>
      <c r="BN172" s="221"/>
      <c r="BO172" s="221"/>
      <c r="BP172" s="221"/>
      <c r="BQ172" s="221"/>
      <c r="BR172" s="221"/>
      <c r="BS172" s="221"/>
      <c r="BT172" s="221"/>
      <c r="BU172" s="221"/>
      <c r="BV172" s="221"/>
      <c r="BW172" s="221"/>
      <c r="BX172" s="221"/>
      <c r="BY172" s="221"/>
      <c r="BZ172" s="222"/>
      <c r="CA172" s="222"/>
      <c r="CB172" s="222"/>
      <c r="CC172" s="222"/>
      <c r="CD172" s="222"/>
      <c r="CE172" s="222"/>
      <c r="CF172" s="222"/>
      <c r="CG172" s="222"/>
      <c r="CH172" s="222"/>
      <c r="CI172" s="222"/>
      <c r="CJ172" s="222"/>
      <c r="CK172" s="222"/>
      <c r="CL172" s="222"/>
      <c r="CM172" s="222"/>
      <c r="CN172" s="222"/>
      <c r="CO172" s="222"/>
      <c r="CP172" s="222"/>
      <c r="CQ172" s="278"/>
      <c r="CR172" s="190"/>
    </row>
    <row r="173" spans="1:96" x14ac:dyDescent="0.2">
      <c r="A173" s="286">
        <f t="shared" si="23"/>
        <v>36</v>
      </c>
      <c r="B173" s="394"/>
      <c r="C173" s="394"/>
      <c r="D173" s="394"/>
      <c r="E173" s="394"/>
      <c r="F173" s="394"/>
      <c r="G173" s="394"/>
      <c r="H173" s="394"/>
      <c r="I173" s="280">
        <f t="shared" si="23"/>
        <v>0</v>
      </c>
      <c r="J173" s="218"/>
      <c r="K173" s="219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220"/>
      <c r="AJ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  <c r="AV173" s="220"/>
      <c r="AW173" s="220"/>
      <c r="AX173" s="220"/>
      <c r="AY173" s="221"/>
      <c r="AZ173" s="221"/>
      <c r="BA173" s="221"/>
      <c r="BB173" s="221"/>
      <c r="BC173" s="221"/>
      <c r="BD173" s="221"/>
      <c r="BE173" s="221"/>
      <c r="BF173" s="221"/>
      <c r="BG173" s="221"/>
      <c r="BH173" s="221"/>
      <c r="BI173" s="221"/>
      <c r="BJ173" s="221"/>
      <c r="BK173" s="221"/>
      <c r="BL173" s="221"/>
      <c r="BM173" s="221"/>
      <c r="BN173" s="221"/>
      <c r="BO173" s="221"/>
      <c r="BP173" s="221"/>
      <c r="BQ173" s="221"/>
      <c r="BR173" s="221"/>
      <c r="BS173" s="221"/>
      <c r="BT173" s="221"/>
      <c r="BU173" s="221"/>
      <c r="BV173" s="221"/>
      <c r="BW173" s="221"/>
      <c r="BX173" s="221"/>
      <c r="BY173" s="221"/>
      <c r="BZ173" s="222"/>
      <c r="CA173" s="222"/>
      <c r="CB173" s="222"/>
      <c r="CC173" s="222"/>
      <c r="CD173" s="222"/>
      <c r="CE173" s="222"/>
      <c r="CF173" s="222"/>
      <c r="CG173" s="222"/>
      <c r="CH173" s="222"/>
      <c r="CI173" s="222"/>
      <c r="CJ173" s="222"/>
      <c r="CK173" s="222"/>
      <c r="CL173" s="222"/>
      <c r="CM173" s="222"/>
      <c r="CN173" s="222"/>
      <c r="CO173" s="222"/>
      <c r="CP173" s="222"/>
      <c r="CQ173" s="278"/>
      <c r="CR173" s="190"/>
    </row>
    <row r="174" spans="1:96" x14ac:dyDescent="0.2">
      <c r="A174" s="286">
        <f t="shared" si="23"/>
        <v>37</v>
      </c>
      <c r="B174" s="394"/>
      <c r="C174" s="394"/>
      <c r="D174" s="394"/>
      <c r="E174" s="394"/>
      <c r="F174" s="394"/>
      <c r="G174" s="394"/>
      <c r="H174" s="394"/>
      <c r="I174" s="280">
        <f t="shared" si="23"/>
        <v>0</v>
      </c>
      <c r="J174" s="218"/>
      <c r="K174" s="219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220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  <c r="AV174" s="220"/>
      <c r="AW174" s="220"/>
      <c r="AX174" s="220"/>
      <c r="AY174" s="221"/>
      <c r="AZ174" s="221"/>
      <c r="BA174" s="221"/>
      <c r="BB174" s="221"/>
      <c r="BC174" s="221"/>
      <c r="BD174" s="221"/>
      <c r="BE174" s="221"/>
      <c r="BF174" s="221"/>
      <c r="BG174" s="221"/>
      <c r="BH174" s="221"/>
      <c r="BI174" s="221"/>
      <c r="BJ174" s="221"/>
      <c r="BK174" s="221"/>
      <c r="BL174" s="221"/>
      <c r="BM174" s="221"/>
      <c r="BN174" s="221"/>
      <c r="BO174" s="221"/>
      <c r="BP174" s="221"/>
      <c r="BQ174" s="221"/>
      <c r="BR174" s="221"/>
      <c r="BS174" s="221"/>
      <c r="BT174" s="221"/>
      <c r="BU174" s="221"/>
      <c r="BV174" s="221"/>
      <c r="BW174" s="221"/>
      <c r="BX174" s="221"/>
      <c r="BY174" s="221"/>
      <c r="BZ174" s="222"/>
      <c r="CA174" s="222"/>
      <c r="CB174" s="222"/>
      <c r="CC174" s="222"/>
      <c r="CD174" s="222"/>
      <c r="CE174" s="222"/>
      <c r="CF174" s="222"/>
      <c r="CG174" s="222"/>
      <c r="CH174" s="222"/>
      <c r="CI174" s="222"/>
      <c r="CJ174" s="222"/>
      <c r="CK174" s="222"/>
      <c r="CL174" s="222"/>
      <c r="CM174" s="222"/>
      <c r="CN174" s="222"/>
      <c r="CO174" s="222"/>
      <c r="CP174" s="222"/>
      <c r="CQ174" s="278"/>
      <c r="CR174" s="190"/>
    </row>
    <row r="175" spans="1:96" x14ac:dyDescent="0.2">
      <c r="A175" s="286">
        <f t="shared" si="23"/>
        <v>38</v>
      </c>
      <c r="B175" s="394"/>
      <c r="C175" s="394"/>
      <c r="D175" s="394"/>
      <c r="E175" s="394"/>
      <c r="F175" s="394"/>
      <c r="G175" s="394"/>
      <c r="H175" s="394"/>
      <c r="I175" s="280">
        <f t="shared" si="23"/>
        <v>0</v>
      </c>
      <c r="J175" s="218"/>
      <c r="K175" s="219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220"/>
      <c r="AJ175" s="220"/>
      <c r="AK175" s="220"/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  <c r="AV175" s="220"/>
      <c r="AW175" s="220"/>
      <c r="AX175" s="220"/>
      <c r="AY175" s="221"/>
      <c r="AZ175" s="221"/>
      <c r="BA175" s="221"/>
      <c r="BB175" s="221"/>
      <c r="BC175" s="221"/>
      <c r="BD175" s="221"/>
      <c r="BE175" s="221"/>
      <c r="BF175" s="221"/>
      <c r="BG175" s="221"/>
      <c r="BH175" s="221"/>
      <c r="BI175" s="221"/>
      <c r="BJ175" s="221"/>
      <c r="BK175" s="221"/>
      <c r="BL175" s="221"/>
      <c r="BM175" s="221"/>
      <c r="BN175" s="221"/>
      <c r="BO175" s="221"/>
      <c r="BP175" s="221"/>
      <c r="BQ175" s="221"/>
      <c r="BR175" s="221"/>
      <c r="BS175" s="221"/>
      <c r="BT175" s="221"/>
      <c r="BU175" s="221"/>
      <c r="BV175" s="221"/>
      <c r="BW175" s="221"/>
      <c r="BX175" s="221"/>
      <c r="BY175" s="221"/>
      <c r="BZ175" s="222"/>
      <c r="CA175" s="222"/>
      <c r="CB175" s="222"/>
      <c r="CC175" s="222"/>
      <c r="CD175" s="222"/>
      <c r="CE175" s="222"/>
      <c r="CF175" s="222"/>
      <c r="CG175" s="222"/>
      <c r="CH175" s="222"/>
      <c r="CI175" s="222"/>
      <c r="CJ175" s="222"/>
      <c r="CK175" s="222"/>
      <c r="CL175" s="222"/>
      <c r="CM175" s="222"/>
      <c r="CN175" s="222"/>
      <c r="CO175" s="222"/>
      <c r="CP175" s="222"/>
      <c r="CQ175" s="278"/>
      <c r="CR175" s="190"/>
    </row>
    <row r="176" spans="1:96" x14ac:dyDescent="0.2">
      <c r="A176" s="286">
        <f t="shared" si="23"/>
        <v>39</v>
      </c>
      <c r="B176" s="394"/>
      <c r="C176" s="394"/>
      <c r="D176" s="394"/>
      <c r="E176" s="394"/>
      <c r="F176" s="394"/>
      <c r="G176" s="394"/>
      <c r="H176" s="394"/>
      <c r="I176" s="280">
        <f t="shared" si="23"/>
        <v>0</v>
      </c>
      <c r="J176" s="218"/>
      <c r="K176" s="219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220"/>
      <c r="AJ176" s="220"/>
      <c r="AK176" s="220"/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  <c r="AV176" s="220"/>
      <c r="AW176" s="220"/>
      <c r="AX176" s="220"/>
      <c r="AY176" s="221"/>
      <c r="AZ176" s="221"/>
      <c r="BA176" s="221"/>
      <c r="BB176" s="221"/>
      <c r="BC176" s="221"/>
      <c r="BD176" s="221"/>
      <c r="BE176" s="221"/>
      <c r="BF176" s="221"/>
      <c r="BG176" s="221"/>
      <c r="BH176" s="221"/>
      <c r="BI176" s="221"/>
      <c r="BJ176" s="221"/>
      <c r="BK176" s="221"/>
      <c r="BL176" s="221"/>
      <c r="BM176" s="221"/>
      <c r="BN176" s="221"/>
      <c r="BO176" s="221"/>
      <c r="BP176" s="221"/>
      <c r="BQ176" s="221"/>
      <c r="BR176" s="221"/>
      <c r="BS176" s="221"/>
      <c r="BT176" s="221"/>
      <c r="BU176" s="221"/>
      <c r="BV176" s="221"/>
      <c r="BW176" s="221"/>
      <c r="BX176" s="221"/>
      <c r="BY176" s="221"/>
      <c r="BZ176" s="222"/>
      <c r="CA176" s="222"/>
      <c r="CB176" s="222"/>
      <c r="CC176" s="222"/>
      <c r="CD176" s="222"/>
      <c r="CE176" s="222"/>
      <c r="CF176" s="222"/>
      <c r="CG176" s="222"/>
      <c r="CH176" s="222"/>
      <c r="CI176" s="222"/>
      <c r="CJ176" s="222"/>
      <c r="CK176" s="222"/>
      <c r="CL176" s="222"/>
      <c r="CM176" s="222"/>
      <c r="CN176" s="222"/>
      <c r="CO176" s="222"/>
      <c r="CP176" s="222"/>
      <c r="CQ176" s="278"/>
      <c r="CR176" s="190"/>
    </row>
    <row r="177" spans="1:96" x14ac:dyDescent="0.2">
      <c r="A177" s="286">
        <f t="shared" si="23"/>
        <v>40</v>
      </c>
      <c r="B177" s="394"/>
      <c r="C177" s="394"/>
      <c r="D177" s="394"/>
      <c r="E177" s="394"/>
      <c r="F177" s="394"/>
      <c r="G177" s="394"/>
      <c r="H177" s="394"/>
      <c r="I177" s="280">
        <f t="shared" si="23"/>
        <v>0</v>
      </c>
      <c r="J177" s="218"/>
      <c r="K177" s="219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220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  <c r="AV177" s="220"/>
      <c r="AW177" s="220"/>
      <c r="AX177" s="220"/>
      <c r="AY177" s="221"/>
      <c r="AZ177" s="221"/>
      <c r="BA177" s="221"/>
      <c r="BB177" s="221"/>
      <c r="BC177" s="221"/>
      <c r="BD177" s="221"/>
      <c r="BE177" s="221"/>
      <c r="BF177" s="221"/>
      <c r="BG177" s="221"/>
      <c r="BH177" s="221"/>
      <c r="BI177" s="221"/>
      <c r="BJ177" s="221"/>
      <c r="BK177" s="221"/>
      <c r="BL177" s="221"/>
      <c r="BM177" s="221"/>
      <c r="BN177" s="221"/>
      <c r="BO177" s="221"/>
      <c r="BP177" s="221"/>
      <c r="BQ177" s="221"/>
      <c r="BR177" s="221"/>
      <c r="BS177" s="221"/>
      <c r="BT177" s="221"/>
      <c r="BU177" s="221"/>
      <c r="BV177" s="221"/>
      <c r="BW177" s="221"/>
      <c r="BX177" s="221"/>
      <c r="BY177" s="221"/>
      <c r="BZ177" s="222"/>
      <c r="CA177" s="222"/>
      <c r="CB177" s="222"/>
      <c r="CC177" s="222"/>
      <c r="CD177" s="222"/>
      <c r="CE177" s="222"/>
      <c r="CF177" s="222"/>
      <c r="CG177" s="222"/>
      <c r="CH177" s="222"/>
      <c r="CI177" s="222"/>
      <c r="CJ177" s="222"/>
      <c r="CK177" s="222"/>
      <c r="CL177" s="222"/>
      <c r="CM177" s="222"/>
      <c r="CN177" s="222"/>
      <c r="CO177" s="222"/>
      <c r="CP177" s="222"/>
      <c r="CQ177" s="278"/>
      <c r="CR177" s="190"/>
    </row>
    <row r="178" spans="1:96" x14ac:dyDescent="0.2">
      <c r="A178" s="286">
        <f t="shared" ref="A178:I178" si="24">A52</f>
        <v>0</v>
      </c>
      <c r="B178" s="394"/>
      <c r="C178" s="394"/>
      <c r="D178" s="394"/>
      <c r="E178" s="394"/>
      <c r="F178" s="394"/>
      <c r="G178" s="394"/>
      <c r="H178" s="394"/>
      <c r="I178" s="280">
        <f t="shared" si="24"/>
        <v>0</v>
      </c>
      <c r="J178" s="218"/>
      <c r="K178" s="219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220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  <c r="AV178" s="220"/>
      <c r="AW178" s="220"/>
      <c r="AX178" s="220"/>
      <c r="AY178" s="221"/>
      <c r="AZ178" s="221"/>
      <c r="BA178" s="221"/>
      <c r="BB178" s="221"/>
      <c r="BC178" s="221"/>
      <c r="BD178" s="221"/>
      <c r="BE178" s="221"/>
      <c r="BF178" s="221"/>
      <c r="BG178" s="221"/>
      <c r="BH178" s="221"/>
      <c r="BI178" s="221"/>
      <c r="BJ178" s="221"/>
      <c r="BK178" s="221"/>
      <c r="BL178" s="221"/>
      <c r="BM178" s="221"/>
      <c r="BN178" s="221"/>
      <c r="BO178" s="221"/>
      <c r="BP178" s="221"/>
      <c r="BQ178" s="221"/>
      <c r="BR178" s="221"/>
      <c r="BS178" s="221"/>
      <c r="BT178" s="221"/>
      <c r="BU178" s="221"/>
      <c r="BV178" s="221"/>
      <c r="BW178" s="221"/>
      <c r="BX178" s="221"/>
      <c r="BY178" s="221"/>
      <c r="BZ178" s="222"/>
      <c r="CA178" s="222"/>
      <c r="CB178" s="222"/>
      <c r="CC178" s="222"/>
      <c r="CD178" s="222"/>
      <c r="CE178" s="222"/>
      <c r="CF178" s="222"/>
      <c r="CG178" s="222"/>
      <c r="CH178" s="222"/>
      <c r="CI178" s="222"/>
      <c r="CJ178" s="222"/>
      <c r="CK178" s="222"/>
      <c r="CL178" s="222"/>
      <c r="CM178" s="222"/>
      <c r="CN178" s="222"/>
      <c r="CO178" s="222"/>
      <c r="CP178" s="222"/>
      <c r="CQ178" s="278"/>
      <c r="CR178" s="190"/>
    </row>
    <row r="179" spans="1:96" x14ac:dyDescent="0.2">
      <c r="A179" s="286"/>
      <c r="B179" s="394"/>
      <c r="C179" s="394"/>
      <c r="D179" s="394"/>
      <c r="E179" s="394"/>
      <c r="F179" s="394"/>
      <c r="G179" s="394"/>
      <c r="H179" s="394"/>
      <c r="I179" s="280" t="s">
        <v>167</v>
      </c>
      <c r="J179" s="218"/>
      <c r="K179" s="219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220"/>
      <c r="AJ179" s="220"/>
      <c r="AK179" s="220"/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  <c r="AV179" s="220"/>
      <c r="AW179" s="220"/>
      <c r="AX179" s="220"/>
      <c r="AY179" s="221"/>
      <c r="AZ179" s="221"/>
      <c r="BA179" s="221"/>
      <c r="BB179" s="221"/>
      <c r="BC179" s="221"/>
      <c r="BD179" s="221"/>
      <c r="BE179" s="221"/>
      <c r="BF179" s="221"/>
      <c r="BG179" s="221"/>
      <c r="BH179" s="221"/>
      <c r="BI179" s="221"/>
      <c r="BJ179" s="221"/>
      <c r="BK179" s="221"/>
      <c r="BL179" s="221"/>
      <c r="BM179" s="221"/>
      <c r="BN179" s="221"/>
      <c r="BO179" s="221"/>
      <c r="BP179" s="221"/>
      <c r="BQ179" s="221"/>
      <c r="BR179" s="221"/>
      <c r="BS179" s="221"/>
      <c r="BT179" s="221"/>
      <c r="BU179" s="221"/>
      <c r="BV179" s="221"/>
      <c r="BW179" s="221"/>
      <c r="BX179" s="221"/>
      <c r="BY179" s="221"/>
      <c r="BZ179" s="222"/>
      <c r="CA179" s="222"/>
      <c r="CB179" s="222"/>
      <c r="CC179" s="222"/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/>
      <c r="CP179" s="222"/>
      <c r="CQ179" s="278"/>
      <c r="CR179" s="190"/>
    </row>
    <row r="180" spans="1:96" ht="13.5" thickBot="1" x14ac:dyDescent="0.25">
      <c r="A180" s="287"/>
      <c r="B180" s="395"/>
      <c r="C180" s="395"/>
      <c r="D180" s="395"/>
      <c r="E180" s="395"/>
      <c r="F180" s="395"/>
      <c r="G180" s="395"/>
      <c r="H180" s="395"/>
      <c r="I180" s="288" t="s">
        <v>168</v>
      </c>
      <c r="J180" s="235"/>
      <c r="K180" s="219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  <c r="AD180" s="237"/>
      <c r="AE180" s="237"/>
      <c r="AF180" s="237"/>
      <c r="AG180" s="237"/>
      <c r="AH180" s="237"/>
      <c r="AI180" s="237"/>
      <c r="AJ180" s="237"/>
      <c r="AK180" s="237"/>
      <c r="AL180" s="237"/>
      <c r="AM180" s="237"/>
      <c r="AN180" s="237"/>
      <c r="AO180" s="237"/>
      <c r="AP180" s="237"/>
      <c r="AQ180" s="237"/>
      <c r="AR180" s="237"/>
      <c r="AS180" s="237"/>
      <c r="AT180" s="237"/>
      <c r="AU180" s="237"/>
      <c r="AV180" s="237"/>
      <c r="AW180" s="237"/>
      <c r="AX180" s="237"/>
      <c r="AY180" s="238"/>
      <c r="AZ180" s="238"/>
      <c r="BA180" s="238"/>
      <c r="BB180" s="238"/>
      <c r="BC180" s="238"/>
      <c r="BD180" s="238"/>
      <c r="BE180" s="238"/>
      <c r="BF180" s="238"/>
      <c r="BG180" s="238"/>
      <c r="BH180" s="238"/>
      <c r="BI180" s="238"/>
      <c r="BJ180" s="238"/>
      <c r="BK180" s="238"/>
      <c r="BL180" s="238"/>
      <c r="BM180" s="238"/>
      <c r="BN180" s="238"/>
      <c r="BO180" s="238"/>
      <c r="BP180" s="238"/>
      <c r="BQ180" s="238"/>
      <c r="BR180" s="238"/>
      <c r="BS180" s="238"/>
      <c r="BT180" s="238"/>
      <c r="BU180" s="238"/>
      <c r="BV180" s="238"/>
      <c r="BW180" s="238"/>
      <c r="BX180" s="238"/>
      <c r="BY180" s="238"/>
      <c r="BZ180" s="239"/>
      <c r="CA180" s="239"/>
      <c r="CB180" s="239"/>
      <c r="CC180" s="239"/>
      <c r="CD180" s="239"/>
      <c r="CE180" s="239"/>
      <c r="CF180" s="239"/>
      <c r="CG180" s="239"/>
      <c r="CH180" s="239"/>
      <c r="CI180" s="239"/>
      <c r="CJ180" s="239"/>
      <c r="CK180" s="239"/>
      <c r="CL180" s="239"/>
      <c r="CM180" s="239"/>
      <c r="CN180" s="239"/>
      <c r="CO180" s="239"/>
      <c r="CP180" s="239"/>
      <c r="CQ180" s="279"/>
      <c r="CR180" s="190"/>
    </row>
    <row r="181" spans="1:96" ht="13.5" customHeight="1" thickBot="1" x14ac:dyDescent="0.25">
      <c r="A181" s="127"/>
      <c r="B181" s="386"/>
      <c r="C181" s="386"/>
      <c r="D181" s="386"/>
      <c r="E181" s="386"/>
      <c r="F181" s="386"/>
      <c r="G181" s="386"/>
      <c r="H181" s="386"/>
      <c r="I181" s="346"/>
      <c r="J181" s="276"/>
      <c r="K181" s="277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  <c r="BX181" s="212"/>
      <c r="BY181" s="212"/>
      <c r="BZ181" s="212"/>
      <c r="CA181" s="212"/>
      <c r="CB181" s="212"/>
      <c r="CC181" s="212"/>
      <c r="CD181" s="212"/>
      <c r="CE181" s="212"/>
      <c r="CF181" s="212"/>
      <c r="CG181" s="212"/>
      <c r="CH181" s="212"/>
      <c r="CI181" s="212"/>
      <c r="CJ181" s="212"/>
      <c r="CK181" s="212"/>
      <c r="CL181" s="212"/>
      <c r="CM181" s="212"/>
      <c r="CN181" s="212"/>
      <c r="CO181" s="212"/>
      <c r="CP181" s="212"/>
      <c r="CQ181" s="216"/>
      <c r="CR181" s="190"/>
    </row>
    <row r="182" spans="1:96" ht="22.5" customHeight="1" thickBot="1" x14ac:dyDescent="0.25">
      <c r="I182" s="162"/>
      <c r="J182" s="291" t="s">
        <v>143</v>
      </c>
      <c r="K182" s="242">
        <f t="shared" ref="K182:BW182" si="25">SUM(K132+K54)-SUM(K100+K181)</f>
        <v>0</v>
      </c>
      <c r="L182" s="242">
        <f t="shared" si="25"/>
        <v>0</v>
      </c>
      <c r="M182" s="242">
        <f t="shared" si="25"/>
        <v>0</v>
      </c>
      <c r="N182" s="242">
        <f t="shared" si="25"/>
        <v>0</v>
      </c>
      <c r="O182" s="242">
        <f t="shared" si="25"/>
        <v>0</v>
      </c>
      <c r="P182" s="242">
        <f t="shared" si="25"/>
        <v>0</v>
      </c>
      <c r="Q182" s="242">
        <f>SUM(Q132+Q54)-SUM(Q100+Q181)</f>
        <v>0</v>
      </c>
      <c r="R182" s="242">
        <f>SUM(R132+R54)-SUM(R100+R181)</f>
        <v>0</v>
      </c>
      <c r="S182" s="242">
        <f t="shared" si="25"/>
        <v>0</v>
      </c>
      <c r="T182" s="242">
        <f t="shared" si="25"/>
        <v>0</v>
      </c>
      <c r="U182" s="242">
        <f t="shared" si="25"/>
        <v>0</v>
      </c>
      <c r="V182" s="242">
        <f t="shared" si="25"/>
        <v>0</v>
      </c>
      <c r="W182" s="242">
        <f t="shared" si="25"/>
        <v>0</v>
      </c>
      <c r="X182" s="242">
        <f t="shared" si="25"/>
        <v>0</v>
      </c>
      <c r="Y182" s="242">
        <f t="shared" si="25"/>
        <v>0</v>
      </c>
      <c r="Z182" s="242">
        <f t="shared" si="25"/>
        <v>0</v>
      </c>
      <c r="AA182" s="242">
        <f t="shared" si="25"/>
        <v>0</v>
      </c>
      <c r="AB182" s="242">
        <f t="shared" si="25"/>
        <v>0</v>
      </c>
      <c r="AC182" s="242">
        <f t="shared" si="25"/>
        <v>0</v>
      </c>
      <c r="AD182" s="242">
        <f t="shared" si="25"/>
        <v>0</v>
      </c>
      <c r="AE182" s="242">
        <f t="shared" si="25"/>
        <v>0</v>
      </c>
      <c r="AF182" s="242">
        <f t="shared" si="25"/>
        <v>0</v>
      </c>
      <c r="AG182" s="242">
        <f t="shared" si="25"/>
        <v>0</v>
      </c>
      <c r="AH182" s="242">
        <f t="shared" si="25"/>
        <v>0</v>
      </c>
      <c r="AI182" s="242">
        <f t="shared" si="25"/>
        <v>0</v>
      </c>
      <c r="AJ182" s="242">
        <f t="shared" si="25"/>
        <v>0</v>
      </c>
      <c r="AK182" s="242">
        <f t="shared" si="25"/>
        <v>0</v>
      </c>
      <c r="AL182" s="242">
        <f t="shared" si="25"/>
        <v>0</v>
      </c>
      <c r="AM182" s="242">
        <f t="shared" si="25"/>
        <v>0</v>
      </c>
      <c r="AN182" s="242">
        <f t="shared" si="25"/>
        <v>0</v>
      </c>
      <c r="AO182" s="242">
        <f t="shared" si="25"/>
        <v>0</v>
      </c>
      <c r="AP182" s="242">
        <f t="shared" si="25"/>
        <v>0</v>
      </c>
      <c r="AQ182" s="242">
        <f t="shared" si="25"/>
        <v>0</v>
      </c>
      <c r="AR182" s="242">
        <f t="shared" si="25"/>
        <v>0</v>
      </c>
      <c r="AS182" s="242">
        <f t="shared" si="25"/>
        <v>0</v>
      </c>
      <c r="AT182" s="242">
        <f t="shared" si="25"/>
        <v>0</v>
      </c>
      <c r="AU182" s="242">
        <f t="shared" si="25"/>
        <v>0</v>
      </c>
      <c r="AV182" s="242">
        <f t="shared" si="25"/>
        <v>0</v>
      </c>
      <c r="AW182" s="242">
        <f t="shared" si="25"/>
        <v>0</v>
      </c>
      <c r="AX182" s="242">
        <f t="shared" si="25"/>
        <v>0</v>
      </c>
      <c r="AY182" s="242">
        <f t="shared" si="25"/>
        <v>0</v>
      </c>
      <c r="AZ182" s="242">
        <f t="shared" si="25"/>
        <v>0</v>
      </c>
      <c r="BA182" s="242">
        <f t="shared" si="25"/>
        <v>0</v>
      </c>
      <c r="BB182" s="242">
        <f t="shared" si="25"/>
        <v>0</v>
      </c>
      <c r="BC182" s="242">
        <f t="shared" si="25"/>
        <v>0</v>
      </c>
      <c r="BD182" s="242">
        <f t="shared" si="25"/>
        <v>0</v>
      </c>
      <c r="BE182" s="242">
        <f t="shared" si="25"/>
        <v>0</v>
      </c>
      <c r="BF182" s="242">
        <f t="shared" si="25"/>
        <v>0</v>
      </c>
      <c r="BG182" s="242">
        <f t="shared" si="25"/>
        <v>0</v>
      </c>
      <c r="BH182" s="242">
        <f t="shared" si="25"/>
        <v>0</v>
      </c>
      <c r="BI182" s="242">
        <f t="shared" si="25"/>
        <v>0</v>
      </c>
      <c r="BJ182" s="242">
        <f t="shared" si="25"/>
        <v>0</v>
      </c>
      <c r="BK182" s="242">
        <f t="shared" si="25"/>
        <v>0</v>
      </c>
      <c r="BL182" s="242">
        <f t="shared" si="25"/>
        <v>0</v>
      </c>
      <c r="BM182" s="242">
        <f t="shared" si="25"/>
        <v>0</v>
      </c>
      <c r="BN182" s="242">
        <f t="shared" si="25"/>
        <v>0</v>
      </c>
      <c r="BO182" s="242">
        <f t="shared" si="25"/>
        <v>0</v>
      </c>
      <c r="BP182" s="242">
        <f t="shared" si="25"/>
        <v>0</v>
      </c>
      <c r="BQ182" s="242">
        <f t="shared" si="25"/>
        <v>0</v>
      </c>
      <c r="BR182" s="242">
        <f t="shared" si="25"/>
        <v>0</v>
      </c>
      <c r="BS182" s="242">
        <f t="shared" si="25"/>
        <v>0</v>
      </c>
      <c r="BT182" s="242">
        <f t="shared" si="25"/>
        <v>0</v>
      </c>
      <c r="BU182" s="242">
        <f t="shared" si="25"/>
        <v>0</v>
      </c>
      <c r="BV182" s="242">
        <f t="shared" si="25"/>
        <v>0</v>
      </c>
      <c r="BW182" s="242">
        <f t="shared" si="25"/>
        <v>0</v>
      </c>
      <c r="BX182" s="242">
        <f t="shared" ref="BX182:CO182" si="26">SUM(BX132+BX54)-SUM(BX100+BX181)</f>
        <v>0</v>
      </c>
      <c r="BY182" s="242">
        <f t="shared" si="26"/>
        <v>0</v>
      </c>
      <c r="BZ182" s="242">
        <f t="shared" si="26"/>
        <v>0</v>
      </c>
      <c r="CA182" s="242">
        <f t="shared" si="26"/>
        <v>0</v>
      </c>
      <c r="CB182" s="242">
        <f t="shared" si="26"/>
        <v>0</v>
      </c>
      <c r="CC182" s="242">
        <f t="shared" si="26"/>
        <v>0</v>
      </c>
      <c r="CD182" s="242">
        <f t="shared" si="26"/>
        <v>0</v>
      </c>
      <c r="CE182" s="242">
        <f t="shared" si="26"/>
        <v>0</v>
      </c>
      <c r="CF182" s="242">
        <f t="shared" si="26"/>
        <v>0</v>
      </c>
      <c r="CG182" s="242">
        <f t="shared" si="26"/>
        <v>0</v>
      </c>
      <c r="CH182" s="242">
        <f t="shared" si="26"/>
        <v>0</v>
      </c>
      <c r="CI182" s="242">
        <f t="shared" si="26"/>
        <v>0</v>
      </c>
      <c r="CJ182" s="242">
        <f t="shared" si="26"/>
        <v>0</v>
      </c>
      <c r="CK182" s="242">
        <f t="shared" si="26"/>
        <v>0</v>
      </c>
      <c r="CL182" s="242">
        <f t="shared" si="26"/>
        <v>0</v>
      </c>
      <c r="CM182" s="242">
        <f t="shared" si="26"/>
        <v>0</v>
      </c>
      <c r="CN182" s="242">
        <f t="shared" si="26"/>
        <v>0</v>
      </c>
      <c r="CO182" s="242">
        <f t="shared" si="26"/>
        <v>0</v>
      </c>
      <c r="CP182" s="242">
        <f>SUM(CP132+CP54)-SUM(CP100+CP181)</f>
        <v>0</v>
      </c>
      <c r="CQ182" s="191">
        <f>SUM(K182:CP182)</f>
        <v>0</v>
      </c>
      <c r="CR182" s="190"/>
    </row>
    <row r="183" spans="1:96" ht="13.5" customHeight="1" x14ac:dyDescent="0.2">
      <c r="I183" s="374"/>
      <c r="CR183" s="190"/>
    </row>
    <row r="184" spans="1:96" x14ac:dyDescent="0.2">
      <c r="L184" s="375"/>
      <c r="CR184" s="190"/>
    </row>
    <row r="185" spans="1:96" ht="12.75" customHeight="1" thickBot="1" x14ac:dyDescent="0.25">
      <c r="BY185" s="376"/>
      <c r="CQ185" s="191"/>
    </row>
    <row r="186" spans="1:96" ht="15.75" x14ac:dyDescent="0.25">
      <c r="B186" s="396"/>
      <c r="C186" s="397"/>
      <c r="D186" s="398"/>
      <c r="E186" s="398" t="s">
        <v>6</v>
      </c>
      <c r="F186" s="398" t="s">
        <v>19</v>
      </c>
      <c r="G186" s="398" t="s">
        <v>148</v>
      </c>
      <c r="H186" s="399" t="s">
        <v>149</v>
      </c>
      <c r="AS186" s="377"/>
      <c r="AT186" s="378"/>
      <c r="AU186" s="378"/>
      <c r="BY186" s="376"/>
    </row>
    <row r="187" spans="1:96" ht="16.5" thickBot="1" x14ac:dyDescent="0.3">
      <c r="B187" s="400" t="s">
        <v>150</v>
      </c>
      <c r="C187" s="401"/>
      <c r="D187" s="402"/>
      <c r="E187" s="402"/>
      <c r="F187" s="402"/>
      <c r="G187" s="402"/>
      <c r="H187" s="403"/>
      <c r="AS187" s="378"/>
      <c r="AT187" s="378"/>
      <c r="AU187" s="378"/>
      <c r="BY187" s="376"/>
    </row>
    <row r="188" spans="1:96" ht="16.5" thickBot="1" x14ac:dyDescent="0.3">
      <c r="B188" s="404" t="s">
        <v>20</v>
      </c>
      <c r="C188" s="405">
        <f>SUM(K100+K132+K181)</f>
        <v>0</v>
      </c>
      <c r="D188" s="402"/>
      <c r="E188" s="406">
        <f>SUM(K100)</f>
        <v>0</v>
      </c>
      <c r="F188" s="406">
        <f>K132</f>
        <v>0</v>
      </c>
      <c r="G188" s="406">
        <f>K181</f>
        <v>0</v>
      </c>
      <c r="H188" s="407">
        <f>C188-SUM(E188:G188)</f>
        <v>0</v>
      </c>
      <c r="AS188" s="378"/>
      <c r="AT188" s="379"/>
      <c r="AU188" s="378"/>
      <c r="BY188" s="376"/>
    </row>
    <row r="189" spans="1:96" ht="16.5" thickBot="1" x14ac:dyDescent="0.3">
      <c r="B189" s="408" t="s">
        <v>21</v>
      </c>
      <c r="C189" s="409">
        <f>SUM(L100:AX100)+SUM(L132:AX132)+SUM(L181:AX181)</f>
        <v>0</v>
      </c>
      <c r="D189" s="402"/>
      <c r="E189" s="406">
        <f>SUM(L100:AX100)</f>
        <v>0</v>
      </c>
      <c r="F189" s="406">
        <f>SUM(L132:AX132)</f>
        <v>0</v>
      </c>
      <c r="G189" s="406">
        <f>SUM(L181:AX181)</f>
        <v>0</v>
      </c>
      <c r="H189" s="407">
        <f>C189-SUM(E189:G189)</f>
        <v>0</v>
      </c>
      <c r="AS189" s="378"/>
      <c r="AT189" s="379"/>
      <c r="AU189" s="378"/>
      <c r="BY189" s="376"/>
    </row>
    <row r="190" spans="1:96" ht="16.5" thickBot="1" x14ac:dyDescent="0.3">
      <c r="B190" s="408" t="s">
        <v>22</v>
      </c>
      <c r="C190" s="410">
        <f>SUM(AY100:BY100)+SUM(AY132:BY132)+SUM(AY181:BY181)</f>
        <v>0</v>
      </c>
      <c r="D190" s="402"/>
      <c r="E190" s="406">
        <f>SUM(AY100:BY100)</f>
        <v>0</v>
      </c>
      <c r="F190" s="406">
        <f>SUM(AY132:BY132)</f>
        <v>0</v>
      </c>
      <c r="G190" s="406">
        <f>SUM(AY181:BY181)</f>
        <v>0</v>
      </c>
      <c r="H190" s="407">
        <f>C190-SUM(E190:G190)</f>
        <v>0</v>
      </c>
      <c r="AS190" s="378"/>
      <c r="AT190" s="379"/>
      <c r="AU190" s="378"/>
    </row>
    <row r="191" spans="1:96" ht="16.5" thickBot="1" x14ac:dyDescent="0.3">
      <c r="B191" s="408" t="s">
        <v>23</v>
      </c>
      <c r="C191" s="411">
        <f>SUM(BZ181:CK181)+SUM(BZ132:CK132)+SUM(BZ100:CK100)</f>
        <v>0</v>
      </c>
      <c r="D191" s="402"/>
      <c r="E191" s="406">
        <f>SUM(BZ100:CK100)</f>
        <v>0</v>
      </c>
      <c r="F191" s="406">
        <f>SUM(BZ132:CK132)</f>
        <v>0</v>
      </c>
      <c r="G191" s="406">
        <f>SUM(BZ181:CK181)</f>
        <v>0</v>
      </c>
      <c r="H191" s="407">
        <f>C191-SUM(E191:G191)</f>
        <v>0</v>
      </c>
      <c r="AS191" s="378"/>
      <c r="AT191" s="379"/>
      <c r="AU191" s="378"/>
    </row>
    <row r="192" spans="1:96" ht="16.5" thickBot="1" x14ac:dyDescent="0.3">
      <c r="B192" s="412" t="s">
        <v>24</v>
      </c>
      <c r="C192" s="413" cm="1">
        <f t="array" ref="C192">SUM(CL181:CP181+CL132:CP132+CL100:CP100)</f>
        <v>0</v>
      </c>
      <c r="D192" s="402"/>
      <c r="E192" s="406">
        <f>SUM(CL100:CP100)</f>
        <v>0</v>
      </c>
      <c r="F192" s="406">
        <f>SUM(CL132:CP132)</f>
        <v>0</v>
      </c>
      <c r="G192" s="406">
        <f>SUM(CL181:CP181)</f>
        <v>0</v>
      </c>
      <c r="H192" s="407">
        <f>C192-SUM(E192:G192)</f>
        <v>0</v>
      </c>
      <c r="AS192" s="378"/>
      <c r="AT192" s="378"/>
      <c r="AU192" s="378"/>
    </row>
    <row r="193" spans="2:47" ht="15.75" x14ac:dyDescent="0.25">
      <c r="B193" s="400"/>
      <c r="C193" s="401"/>
      <c r="D193" s="402"/>
      <c r="E193" s="402"/>
      <c r="F193" s="402"/>
      <c r="G193" s="402"/>
      <c r="H193" s="403"/>
      <c r="AS193" s="378"/>
      <c r="AT193" s="379"/>
      <c r="AU193" s="378"/>
    </row>
    <row r="194" spans="2:47" ht="16.5" thickBot="1" x14ac:dyDescent="0.3">
      <c r="B194" s="414"/>
      <c r="C194" s="415"/>
      <c r="D194" s="416"/>
      <c r="E194" s="417">
        <f>SUM(E188:E192)</f>
        <v>0</v>
      </c>
      <c r="F194" s="418">
        <f>SUM(F188:F192)</f>
        <v>0</v>
      </c>
      <c r="G194" s="417">
        <f>SUM(G188:G192)</f>
        <v>0</v>
      </c>
      <c r="H194" s="419"/>
      <c r="AS194" s="378"/>
      <c r="AT194" s="380"/>
      <c r="AU194" s="378"/>
    </row>
  </sheetData>
  <sheetProtection algorithmName="SHA-512" hashValue="g5TxNgsIOcz/9ddGs3dMtvgMKm3bHJ707Nv+3jScDmhgE+r9ybXPjboBz3mMT3WIseJ8Tyski4WFPvSNWQFkjQ==" saltValue="YLCCIEjhOjfMRqua9qZkMQ==" spinCount="100000" sheet="1" objects="1" scenarios="1" formatColumns="0" formatRows="0" insertColumns="0" insertRows="0" selectLockedCells="1"/>
  <mergeCells count="24">
    <mergeCell ref="A1:CR2"/>
    <mergeCell ref="A3:I4"/>
    <mergeCell ref="J3:CR4"/>
    <mergeCell ref="A5:I6"/>
    <mergeCell ref="A9:I9"/>
    <mergeCell ref="J5:J6"/>
    <mergeCell ref="BZ7:CP7"/>
    <mergeCell ref="L7:AX7"/>
    <mergeCell ref="AY7:BY7"/>
    <mergeCell ref="CQ7:CR7"/>
    <mergeCell ref="A7:J7"/>
    <mergeCell ref="BZ137:CP137"/>
    <mergeCell ref="A11:I11"/>
    <mergeCell ref="J137:K137"/>
    <mergeCell ref="A132:I132"/>
    <mergeCell ref="A105:I105"/>
    <mergeCell ref="L137:BY137"/>
    <mergeCell ref="BZ57:CK57"/>
    <mergeCell ref="J57:K57"/>
    <mergeCell ref="J102:K102"/>
    <mergeCell ref="A137:I137"/>
    <mergeCell ref="L57:BY57"/>
    <mergeCell ref="A57:I57"/>
    <mergeCell ref="A54:I54"/>
  </mergeCells>
  <phoneticPr fontId="0" type="noConversion"/>
  <printOptions horizontalCentered="1" verticalCentered="1" gridLines="1"/>
  <pageMargins left="0" right="0" top="0" bottom="0" header="0.35433070866141736" footer="0.35433070866141736"/>
  <pageSetup paperSize="8" scale="20" orientation="landscape" horizontalDpi="1200" verticalDpi="1200" r:id="rId1"/>
  <headerFooter alignWithMargins="0">
    <oddFooter>&amp;C&amp;P</oddFooter>
  </headerFooter>
  <ignoredErrors>
    <ignoredError sqref="I54 CO54:CR54 BX55:BY55 BX11:BY11 BX103:BY105 J100:K100 BX56:BY57 I58:I98 CO55:CQ55 CQ56:CR57 J101:O102 BX101:CL102 CO101:CP102 CO133:CS133 CT133:CV133 J54 J98:K98 J91:K91 K54 BZ132:CL134 I138:I148 J182 BM54:BS54 BY54 I150:I177 J92:K97 K68 J69:K90 P101:BI101 J56:BI57 J103:BI105 J11:BI11 I55:BI55 L54:BI54 BM56:BU57 BM11:BU11 BM55:BU55 BK56:BK57 BK54:BK55 BK11 BK132 J132:M132 BX132:BY132 J64:K64 A99 A180 A179 P102:AZ102 BB102:BI102 J62:K62 J61:K61 J63:K63 J67:K67 J65:K65 BL132:BU132 CO134:CQ134 CR134:CS134 CM132:CQ132 CR132:CS132 CT132 CU132:CV132 J66:K66 K106 J131 CQ106 A55 A149:A178 A138:A148 A58:A98 A53:A54 I178 J99:K99 BK101:BK105 BM101:BU105 CQ182:CR182 O132:BJ132 I149 K182:Q182 BZ55:CL55 BZ54:CK54 C188:H194 S182:CP182 J58:K60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78BB-C3E3-46B4-853F-8E6D21026741}">
  <sheetPr>
    <tabColor rgb="FFFFFF00"/>
  </sheetPr>
  <dimension ref="A1:W35"/>
  <sheetViews>
    <sheetView zoomScaleNormal="100" workbookViewId="0">
      <selection activeCell="A21" sqref="A21"/>
    </sheetView>
  </sheetViews>
  <sheetFormatPr defaultRowHeight="12.75" x14ac:dyDescent="0.2"/>
  <cols>
    <col min="3" max="4" width="10.42578125" bestFit="1" customWidth="1"/>
    <col min="5" max="5" width="14.42578125" customWidth="1"/>
    <col min="6" max="6" width="11.42578125" bestFit="1" customWidth="1"/>
    <col min="7" max="7" width="14.42578125" customWidth="1"/>
    <col min="8" max="9" width="11.42578125" bestFit="1" customWidth="1"/>
    <col min="10" max="10" width="12.5703125" customWidth="1"/>
    <col min="11" max="11" width="10.5703125" customWidth="1"/>
  </cols>
  <sheetData>
    <row r="1" spans="1:23" x14ac:dyDescent="0.2">
      <c r="A1" s="13" t="s">
        <v>151</v>
      </c>
      <c r="B1" s="13"/>
      <c r="D1" s="2" t="s">
        <v>152</v>
      </c>
      <c r="E1" s="13">
        <v>6841</v>
      </c>
    </row>
    <row r="2" spans="1:23" x14ac:dyDescent="0.2">
      <c r="A2" t="s">
        <v>153</v>
      </c>
      <c r="E2" s="14">
        <v>960</v>
      </c>
      <c r="G2" s="8" t="s">
        <v>154</v>
      </c>
      <c r="H2" s="8"/>
      <c r="I2" s="8"/>
      <c r="J2" s="8"/>
      <c r="K2" s="8"/>
      <c r="L2" s="8"/>
      <c r="M2" s="8"/>
      <c r="N2" s="8"/>
    </row>
    <row r="3" spans="1:23" x14ac:dyDescent="0.2">
      <c r="G3" s="9" t="s">
        <v>155</v>
      </c>
      <c r="H3" s="10"/>
      <c r="I3" s="10"/>
      <c r="J3" s="10"/>
      <c r="K3" s="10"/>
      <c r="L3" s="10"/>
      <c r="M3" s="10"/>
      <c r="N3" s="10"/>
      <c r="O3" s="10"/>
      <c r="P3" s="11" t="s">
        <v>156</v>
      </c>
      <c r="Q3" s="11"/>
      <c r="R3" s="11"/>
      <c r="S3" s="11"/>
      <c r="T3" s="11"/>
      <c r="U3" s="11"/>
      <c r="V3" s="12"/>
    </row>
    <row r="5" spans="1:23" x14ac:dyDescent="0.2">
      <c r="A5" s="13" t="s">
        <v>157</v>
      </c>
    </row>
    <row r="6" spans="1:23" x14ac:dyDescent="0.2">
      <c r="G6" s="310">
        <v>4</v>
      </c>
      <c r="H6" s="310">
        <v>4</v>
      </c>
      <c r="I6" s="310">
        <v>5</v>
      </c>
      <c r="J6" s="310">
        <v>4</v>
      </c>
      <c r="K6" s="310">
        <v>4</v>
      </c>
      <c r="L6" s="310">
        <v>5</v>
      </c>
      <c r="M6" s="310">
        <v>4</v>
      </c>
      <c r="N6" s="310">
        <v>5</v>
      </c>
      <c r="O6" s="310">
        <v>4</v>
      </c>
      <c r="P6" s="310">
        <v>4</v>
      </c>
      <c r="Q6" s="310">
        <v>3</v>
      </c>
      <c r="R6" s="310">
        <v>3</v>
      </c>
      <c r="S6" s="310">
        <v>4</v>
      </c>
      <c r="T6" s="310">
        <v>5</v>
      </c>
      <c r="U6" s="310">
        <v>4</v>
      </c>
      <c r="V6" s="311"/>
    </row>
    <row r="7" spans="1:23" x14ac:dyDescent="0.2">
      <c r="F7" s="15">
        <v>45292</v>
      </c>
      <c r="G7" s="15">
        <v>45323</v>
      </c>
      <c r="H7" s="15">
        <v>45352</v>
      </c>
      <c r="I7" s="15">
        <v>45383</v>
      </c>
      <c r="J7" s="15">
        <v>45413</v>
      </c>
      <c r="K7" s="15">
        <v>45444</v>
      </c>
      <c r="L7" s="15">
        <v>45474</v>
      </c>
      <c r="M7" s="15">
        <v>45505</v>
      </c>
      <c r="N7" s="15">
        <v>45536</v>
      </c>
      <c r="O7" s="15">
        <v>45566</v>
      </c>
      <c r="P7" s="15">
        <v>45597</v>
      </c>
      <c r="Q7" s="15">
        <v>45627</v>
      </c>
      <c r="R7" s="15">
        <v>45658</v>
      </c>
      <c r="S7" s="15">
        <v>45689</v>
      </c>
      <c r="T7" s="15">
        <v>45717</v>
      </c>
      <c r="U7" s="15">
        <v>45748</v>
      </c>
      <c r="V7" t="s">
        <v>158</v>
      </c>
    </row>
    <row r="8" spans="1:23" x14ac:dyDescent="0.2">
      <c r="D8" t="s">
        <v>159</v>
      </c>
      <c r="E8" s="2" t="s">
        <v>170</v>
      </c>
      <c r="H8" s="307"/>
      <c r="N8">
        <f t="shared" ref="N8:R8" si="0">300*5*N6</f>
        <v>7500</v>
      </c>
      <c r="O8">
        <f t="shared" si="0"/>
        <v>6000</v>
      </c>
      <c r="P8">
        <f t="shared" si="0"/>
        <v>6000</v>
      </c>
      <c r="Q8">
        <f t="shared" si="0"/>
        <v>4500</v>
      </c>
      <c r="R8">
        <f t="shared" si="0"/>
        <v>4500</v>
      </c>
      <c r="S8">
        <f t="shared" ref="S8:T8" si="1">300*5*S6</f>
        <v>6000</v>
      </c>
      <c r="T8">
        <f t="shared" si="1"/>
        <v>7500</v>
      </c>
      <c r="V8" s="5">
        <f>SUM(F8:U8)</f>
        <v>42000</v>
      </c>
    </row>
    <row r="9" spans="1:23" x14ac:dyDescent="0.2">
      <c r="E9" t="s">
        <v>160</v>
      </c>
      <c r="N9">
        <v>1250</v>
      </c>
      <c r="O9">
        <v>1250</v>
      </c>
      <c r="P9">
        <v>1250</v>
      </c>
      <c r="Q9">
        <v>1250</v>
      </c>
      <c r="R9">
        <v>1250</v>
      </c>
      <c r="S9">
        <v>1250</v>
      </c>
      <c r="T9">
        <v>1250</v>
      </c>
      <c r="V9" s="5">
        <f>SUM(F9:T9)</f>
        <v>8750</v>
      </c>
      <c r="W9" s="337"/>
    </row>
    <row r="10" spans="1:23" x14ac:dyDescent="0.2">
      <c r="V10" s="16">
        <f>SUM(V8:V9)</f>
        <v>50750</v>
      </c>
      <c r="W10" s="336"/>
    </row>
    <row r="11" spans="1:23" x14ac:dyDescent="0.2">
      <c r="V11" s="13"/>
      <c r="W11" s="336"/>
    </row>
    <row r="12" spans="1:23" x14ac:dyDescent="0.2">
      <c r="D12" s="312"/>
      <c r="E12" s="2" t="s">
        <v>171</v>
      </c>
      <c r="F12" s="2" t="s">
        <v>172</v>
      </c>
      <c r="N12">
        <f t="shared" ref="N12:R12" si="2">150*5*4.33</f>
        <v>3247.5</v>
      </c>
      <c r="O12">
        <f t="shared" si="2"/>
        <v>3247.5</v>
      </c>
      <c r="P12">
        <f t="shared" si="2"/>
        <v>3247.5</v>
      </c>
      <c r="Q12">
        <f t="shared" si="2"/>
        <v>3247.5</v>
      </c>
      <c r="R12">
        <f t="shared" si="2"/>
        <v>3247.5</v>
      </c>
      <c r="V12" s="14">
        <f>SUM(F12:T12)</f>
        <v>16237.5</v>
      </c>
      <c r="W12" s="336"/>
    </row>
    <row r="13" spans="1:23" x14ac:dyDescent="0.2">
      <c r="W13" s="336"/>
    </row>
    <row r="14" spans="1:23" x14ac:dyDescent="0.2">
      <c r="W14" s="336"/>
    </row>
    <row r="15" spans="1:23" x14ac:dyDescent="0.2">
      <c r="K15" s="490" t="s">
        <v>166</v>
      </c>
      <c r="L15" s="490"/>
      <c r="W15" s="336"/>
    </row>
    <row r="16" spans="1:23" x14ac:dyDescent="0.2">
      <c r="A16" s="13" t="s">
        <v>161</v>
      </c>
      <c r="D16" t="s">
        <v>161</v>
      </c>
      <c r="E16" t="s">
        <v>162</v>
      </c>
      <c r="N16">
        <f t="shared" ref="N16:R16" si="3">400*5*N6</f>
        <v>10000</v>
      </c>
      <c r="O16">
        <f t="shared" si="3"/>
        <v>8000</v>
      </c>
      <c r="P16">
        <f t="shared" si="3"/>
        <v>8000</v>
      </c>
      <c r="Q16">
        <f t="shared" si="3"/>
        <v>6000</v>
      </c>
      <c r="R16">
        <f t="shared" si="3"/>
        <v>6000</v>
      </c>
      <c r="S16">
        <v>6000</v>
      </c>
      <c r="T16">
        <v>6000</v>
      </c>
      <c r="V16" s="13">
        <f>SUM(F16:T16)</f>
        <v>50000</v>
      </c>
      <c r="W16" s="336"/>
    </row>
    <row r="17" spans="1:23" x14ac:dyDescent="0.2">
      <c r="A17" t="s">
        <v>163</v>
      </c>
      <c r="N17">
        <f t="shared" ref="N17:T17" si="4">126*4.33</f>
        <v>545.58000000000004</v>
      </c>
      <c r="O17">
        <f t="shared" si="4"/>
        <v>545.58000000000004</v>
      </c>
      <c r="P17">
        <f t="shared" si="4"/>
        <v>545.58000000000004</v>
      </c>
      <c r="Q17">
        <f t="shared" si="4"/>
        <v>545.58000000000004</v>
      </c>
      <c r="R17">
        <f t="shared" si="4"/>
        <v>545.58000000000004</v>
      </c>
      <c r="S17">
        <f t="shared" si="4"/>
        <v>545.58000000000004</v>
      </c>
      <c r="T17">
        <f t="shared" si="4"/>
        <v>545.58000000000004</v>
      </c>
      <c r="V17" s="13">
        <f>SUM(F17:T17)</f>
        <v>3819.06</v>
      </c>
      <c r="W17" s="336"/>
    </row>
    <row r="18" spans="1:23" x14ac:dyDescent="0.2">
      <c r="A18" t="s">
        <v>164</v>
      </c>
      <c r="V18" s="13">
        <f>SUM(F18:S18)</f>
        <v>0</v>
      </c>
    </row>
    <row r="19" spans="1:23" x14ac:dyDescent="0.2">
      <c r="V19" s="13">
        <f>SUM(F19:S19)</f>
        <v>0</v>
      </c>
    </row>
    <row r="20" spans="1:23" x14ac:dyDescent="0.2">
      <c r="V20" s="14">
        <f>SUM(V15:V19)</f>
        <v>53819.06</v>
      </c>
    </row>
    <row r="22" spans="1:23" x14ac:dyDescent="0.2">
      <c r="A22" s="13"/>
      <c r="C22" s="13"/>
      <c r="D22" s="13"/>
      <c r="E22" s="13"/>
      <c r="F22" s="13"/>
      <c r="G22" s="13"/>
      <c r="H22" s="13"/>
      <c r="I22" s="13"/>
    </row>
    <row r="23" spans="1:23" x14ac:dyDescent="0.2">
      <c r="C23" s="3"/>
      <c r="D23" s="3"/>
      <c r="E23" s="3"/>
      <c r="F23" s="3"/>
      <c r="G23" s="3"/>
      <c r="H23" s="3"/>
      <c r="I23" s="3"/>
    </row>
    <row r="24" spans="1:23" x14ac:dyDescent="0.2">
      <c r="C24" s="4"/>
      <c r="D24" s="4"/>
      <c r="E24" s="4"/>
      <c r="F24" s="4"/>
      <c r="G24" s="4"/>
      <c r="H24" s="4"/>
      <c r="I24" s="4"/>
    </row>
    <row r="26" spans="1:23" x14ac:dyDescent="0.2">
      <c r="A26" s="13"/>
      <c r="C26" s="13"/>
      <c r="D26" s="13"/>
      <c r="E26" s="13"/>
      <c r="F26" s="13"/>
      <c r="G26" s="13"/>
      <c r="H26" s="13"/>
      <c r="I26" s="13"/>
    </row>
    <row r="27" spans="1:23" x14ac:dyDescent="0.2">
      <c r="C27" s="3"/>
      <c r="D27" s="3"/>
      <c r="E27" s="3"/>
      <c r="F27" s="3"/>
      <c r="G27" s="3"/>
      <c r="H27" s="3"/>
      <c r="I27" s="3"/>
    </row>
    <row r="28" spans="1:23" x14ac:dyDescent="0.2">
      <c r="C28" s="4"/>
      <c r="D28" s="4"/>
      <c r="E28" s="4"/>
      <c r="F28" s="4"/>
      <c r="G28" s="4"/>
      <c r="H28" s="4"/>
      <c r="I28" s="4"/>
    </row>
    <row r="29" spans="1:23" x14ac:dyDescent="0.2">
      <c r="C29" s="4"/>
      <c r="D29" s="4"/>
      <c r="E29" s="4"/>
      <c r="F29" s="4"/>
      <c r="G29" s="4"/>
      <c r="H29" s="4"/>
      <c r="I29" s="4"/>
    </row>
    <row r="30" spans="1:23" x14ac:dyDescent="0.2">
      <c r="A30" s="17"/>
      <c r="B30" s="13"/>
      <c r="C30" s="4"/>
      <c r="D30" s="4"/>
      <c r="E30" s="4"/>
      <c r="F30" s="4"/>
      <c r="G30" s="4"/>
      <c r="I30" s="4"/>
    </row>
    <row r="32" spans="1:23" x14ac:dyDescent="0.2">
      <c r="A32" s="13"/>
      <c r="B32" s="13"/>
      <c r="C32" s="13"/>
    </row>
    <row r="33" spans="3:9" x14ac:dyDescent="0.2">
      <c r="C33" s="13"/>
      <c r="D33" s="13"/>
      <c r="E33" s="13"/>
      <c r="F33" s="13"/>
      <c r="G33" s="13"/>
      <c r="H33" s="13"/>
      <c r="I33" s="13"/>
    </row>
    <row r="34" spans="3:9" x14ac:dyDescent="0.2">
      <c r="C34" s="4"/>
      <c r="D34" s="4"/>
      <c r="E34" s="4"/>
      <c r="F34" s="4"/>
      <c r="G34" s="4"/>
      <c r="H34" s="4"/>
      <c r="I34" s="4"/>
    </row>
    <row r="35" spans="3:9" x14ac:dyDescent="0.2">
      <c r="C35" s="4"/>
      <c r="D35" s="4"/>
      <c r="E35" s="4"/>
      <c r="F35" s="4"/>
      <c r="G35" s="4"/>
      <c r="H35" s="4"/>
      <c r="I35" s="4"/>
    </row>
  </sheetData>
  <sheetProtection algorithmName="SHA-512" hashValue="lMUvtigHY8hGMTe2+4jNK/1BBR4UFE2DmBgVQy4qwPkP/4I8Dhp7XGQEuJOnAq8Tl75OI2LcLUhEHbB+5lbBKA==" saltValue="j3wWr3BAgX3h6SfGjE3z2Q==" spinCount="100000" sheet="1" objects="1" scenarios="1"/>
  <mergeCells count="1">
    <mergeCell ref="K15:L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3D56-7FC1-4AFE-BA5B-EBD83CA208AF}">
  <sheetPr>
    <tabColor theme="5" tint="0.59999389629810485"/>
  </sheetPr>
  <dimension ref="B4:D6"/>
  <sheetViews>
    <sheetView workbookViewId="0">
      <selection activeCell="J31" sqref="J31"/>
    </sheetView>
  </sheetViews>
  <sheetFormatPr defaultRowHeight="12.75" x14ac:dyDescent="0.2"/>
  <sheetData>
    <row r="4" spans="2:4" x14ac:dyDescent="0.2">
      <c r="D4" s="2"/>
    </row>
    <row r="6" spans="2:4" x14ac:dyDescent="0.2">
      <c r="B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7ae9fa13f83e31fe081a82fafab256f7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9cb9ccfd9e7e36332b2e04128be0a12a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3FF2EB-FAA6-46F5-B537-0847FAABF7D3}">
  <ds:schemaRefs>
    <ds:schemaRef ds:uri="http://schemas.microsoft.com/office/2006/metadata/properties"/>
    <ds:schemaRef ds:uri="http://schemas.microsoft.com/office/infopath/2007/PartnerControls"/>
    <ds:schemaRef ds:uri="ad65be2e-f78a-4e94-a005-02b71c0d7fcb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0944CAB0-058D-4115-86F1-FCE7C7F53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1F52AF-2483-4D95-969C-2FCF7EB3AA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Summary</vt:lpstr>
      <vt:lpstr>Analysis</vt:lpstr>
      <vt:lpstr>Prelims</vt:lpstr>
      <vt:lpstr>NOTES</vt:lpstr>
      <vt:lpstr>Analysis!Print_Area</vt:lpstr>
      <vt:lpstr>Summary!Print_Area</vt:lpstr>
      <vt:lpstr>Analysis!Print_Titles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kat neale</cp:lastModifiedBy>
  <cp:revision/>
  <cp:lastPrinted>2024-04-03T13:38:55Z</cp:lastPrinted>
  <dcterms:created xsi:type="dcterms:W3CDTF">1996-10-14T23:33:28Z</dcterms:created>
  <dcterms:modified xsi:type="dcterms:W3CDTF">2026-06-23T12:32:30Z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0x01010001602292AB956749AB9C07AF01C808F9</vt:lpwstr>
  </property>
  <property fmtid="{D5CDD505-2E9C-101B-9397-08002B2CF9AE}" pid="4" name="MediaServiceImageTags">
    <vt:lpwstr/>
  </property>
</Properties>
</file>